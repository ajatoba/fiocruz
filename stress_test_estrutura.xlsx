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6"/>
  <workbookPr/>
  <mc:AlternateContent xmlns:mc="http://schemas.openxmlformats.org/markup-compatibility/2006">
    <mc:Choice Requires="x15">
      <x15ac:absPath xmlns:x15ac="http://schemas.microsoft.com/office/spreadsheetml/2010/11/ac" url="https://fiocruzbr-my.sharepoint.com/personal/alessandro_jatoba_fiocruz_br/Documents/Response to stress/"/>
    </mc:Choice>
  </mc:AlternateContent>
  <xr:revisionPtr revIDLastSave="70" documentId="8_{633EC223-C015-4843-99A7-DB7CDB23EC1F}" xr6:coauthVersionLast="47" xr6:coauthVersionMax="47" xr10:uidLastSave="{D5CF3879-7CCA-43DC-8256-C302DA14310C}"/>
  <bookViews>
    <workbookView xWindow="0" yWindow="600" windowWidth="68800" windowHeight="28200" xr2:uid="{00000000-000D-0000-FFFF-FFFF00000000}"/>
  </bookViews>
  <sheets>
    <sheet name="base" sheetId="1" r:id="rId1"/>
    <sheet name="srag" sheetId="25" r:id="rId2"/>
    <sheet name="fesp" sheetId="24" r:id="rId3"/>
    <sheet name="ft_medicos_clinicos" sheetId="19" r:id="rId4"/>
    <sheet name="ft_enfermeiros" sheetId="21" r:id="rId5"/>
    <sheet name="ft_equipes_acs" sheetId="16" r:id="rId6"/>
    <sheet name="ci_leitos_internacao" sheetId="3" r:id="rId7"/>
    <sheet name="ci_pa_clinico" sheetId="7" r:id="rId8"/>
    <sheet name="ci_hospitais_internacao" sheetId="9" r:id="rId9"/>
    <sheet name="aps_equipes_esf" sheetId="11" r:id="rId10"/>
    <sheet name="aps_equipes_ap1" sheetId="17" r:id="rId11"/>
    <sheet name="aps_equipes_ap2" sheetId="15" r:id="rId12"/>
    <sheet name="casos" sheetId="22" r:id="rId13"/>
    <sheet name="obitos" sheetId="23" r:id="rId14"/>
  </sheets>
  <definedNames>
    <definedName name="cnes_cnv_equipebr132935186_212_98_254" localSheetId="9">aps_equipes_esf!$A$884:$L$942</definedName>
    <definedName name="cnes_cnv_equipebr133552186_212_98_254" localSheetId="9">aps_equipes_esf!$A$943:$L$979</definedName>
    <definedName name="cnes_cnv_equipebr141509186_212_98_254" localSheetId="10">aps_equipes_ap1!$A$223:$L$258</definedName>
    <definedName name="cnes_cnv_equipebr142024186_212_98_254" localSheetId="5">ft_equipes_acs!$A$586:$L$654</definedName>
    <definedName name="cnes_cnv_servc2br190248186_212_98_254" localSheetId="7">ci_pa_clinico!$A$355:$L$400</definedName>
    <definedName name="deepseek_csv_20260103_403e55" localSheetId="7">ci_pa_clinico!$A$1:$C$353</definedName>
    <definedName name="deepseek_csv_20260103_47bacb" localSheetId="6">ci_leitos_internacao!$A$1:$C$727</definedName>
    <definedName name="deepseek_csv_20260103_6c6bf3" localSheetId="8">ci_hospitais_internacao!$A$1:$C$727</definedName>
    <definedName name="deepseek_csv_20260104_20d45e" localSheetId="9">aps_equipes_esf!$A$585:$C$881</definedName>
    <definedName name="deepseek_csv_20260104_4f976d" localSheetId="4">ft_enfermeiros!$A$1:$C$694</definedName>
    <definedName name="deepseek_csv_20260104_5c32f5" localSheetId="11">aps_equipes_ap2!$A$1:$C$100</definedName>
    <definedName name="deepseek_csv_20260104_79b2e0" localSheetId="9">aps_equipes_esf!$A$1:$C$584</definedName>
    <definedName name="deepseek_csv_20260104_df6ff8" localSheetId="3">ft_medicos_clinicos!$A$1:$C$705</definedName>
    <definedName name="deepseek_csv_20260104_efcd65" localSheetId="10">aps_equipes_ap1!$A$1:$C$221</definedName>
    <definedName name="deepseek_csv_20260104_f19835" localSheetId="5">ft_equipes_acs!$A$1:$C$584</definedName>
    <definedName name="deepseek_csv_20260105_5d445e" localSheetId="12">casos!$A$1:$C$716</definedName>
    <definedName name="deepseek_csv_20260105_fcc3b6" localSheetId="13">obitos!$A$1:$C$683</definedName>
    <definedName name="sinannet_cnv_denguebbr213106186_212_98_254" localSheetId="12">casos!$A$721:$M$818</definedName>
    <definedName name="sinannet_cnv_denguebbr213744186_212_98_254" localSheetId="13">obitos!$A$688:$M$783</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a="1"/>
  <c r="M3" i="1" s="1"/>
  <c r="M4" i="1" a="1"/>
  <c r="M4" i="1"/>
  <c r="M5" i="1" a="1"/>
  <c r="M5" i="1"/>
  <c r="M6" i="1" a="1"/>
  <c r="M6" i="1" s="1"/>
  <c r="M7" i="1" a="1"/>
  <c r="M7" i="1" s="1"/>
  <c r="M8" i="1" a="1"/>
  <c r="M8" i="1"/>
  <c r="M9" i="1" a="1"/>
  <c r="M9" i="1"/>
  <c r="M10" i="1" a="1"/>
  <c r="M10" i="1"/>
  <c r="M11" i="1" a="1"/>
  <c r="M11" i="1" s="1"/>
  <c r="M12" i="1" a="1"/>
  <c r="M12" i="1"/>
  <c r="M13" i="1" a="1"/>
  <c r="M13" i="1"/>
  <c r="M14" i="1" a="1"/>
  <c r="M14" i="1"/>
  <c r="M15" i="1" a="1"/>
  <c r="M15" i="1" s="1"/>
  <c r="M16" i="1" a="1"/>
  <c r="M16" i="1"/>
  <c r="M17" i="1" a="1"/>
  <c r="M17" i="1"/>
  <c r="M18" i="1" a="1"/>
  <c r="M18" i="1"/>
  <c r="M19" i="1" a="1"/>
  <c r="M19" i="1" s="1"/>
  <c r="M20" i="1" a="1"/>
  <c r="M20" i="1"/>
  <c r="M21" i="1" a="1"/>
  <c r="M21" i="1"/>
  <c r="M22" i="1" a="1"/>
  <c r="M22" i="1"/>
  <c r="M23" i="1" a="1"/>
  <c r="M23" i="1" s="1"/>
  <c r="M24" i="1" a="1"/>
  <c r="M24" i="1"/>
  <c r="M25" i="1" a="1"/>
  <c r="M25" i="1"/>
  <c r="M26" i="1" a="1"/>
  <c r="M26" i="1"/>
  <c r="M27" i="1" a="1"/>
  <c r="M27" i="1" s="1"/>
  <c r="M28" i="1" a="1"/>
  <c r="M28" i="1"/>
  <c r="M29" i="1" a="1"/>
  <c r="M29" i="1"/>
  <c r="M30" i="1" a="1"/>
  <c r="M30" i="1"/>
  <c r="M31" i="1" a="1"/>
  <c r="M31" i="1" s="1"/>
  <c r="M32" i="1" a="1"/>
  <c r="M32" i="1"/>
  <c r="M33" i="1" a="1"/>
  <c r="M33" i="1"/>
  <c r="M34" i="1" a="1"/>
  <c r="M34" i="1"/>
  <c r="M35" i="1" a="1"/>
  <c r="M35" i="1" s="1"/>
  <c r="M36" i="1" a="1"/>
  <c r="M36" i="1"/>
  <c r="M37" i="1" a="1"/>
  <c r="M37" i="1"/>
  <c r="M38" i="1" a="1"/>
  <c r="M38" i="1"/>
  <c r="M39" i="1" a="1"/>
  <c r="M39" i="1" s="1"/>
  <c r="M40" i="1" a="1"/>
  <c r="M40" i="1"/>
  <c r="M41" i="1" a="1"/>
  <c r="M41" i="1"/>
  <c r="M42" i="1" a="1"/>
  <c r="M42" i="1"/>
  <c r="M43" i="1" a="1"/>
  <c r="M43" i="1" s="1"/>
  <c r="M44" i="1" a="1"/>
  <c r="M44" i="1"/>
  <c r="M45" i="1" a="1"/>
  <c r="M45" i="1"/>
  <c r="M46" i="1" a="1"/>
  <c r="M46" i="1"/>
  <c r="M47" i="1" a="1"/>
  <c r="M47" i="1" s="1"/>
  <c r="M48" i="1" a="1"/>
  <c r="M48" i="1"/>
  <c r="M49" i="1" a="1"/>
  <c r="M49" i="1"/>
  <c r="M50" i="1" a="1"/>
  <c r="M50" i="1"/>
  <c r="M51" i="1" a="1"/>
  <c r="M51" i="1" s="1"/>
  <c r="M52" i="1" a="1"/>
  <c r="M52" i="1"/>
  <c r="M53" i="1" a="1"/>
  <c r="M53" i="1"/>
  <c r="M54" i="1" a="1"/>
  <c r="M54" i="1"/>
  <c r="M55" i="1" a="1"/>
  <c r="M55" i="1" s="1"/>
  <c r="M56" i="1" a="1"/>
  <c r="M56" i="1"/>
  <c r="M57" i="1" a="1"/>
  <c r="M57" i="1"/>
  <c r="M58" i="1" a="1"/>
  <c r="M58" i="1"/>
  <c r="M59" i="1" a="1"/>
  <c r="M59" i="1" s="1"/>
  <c r="M60" i="1" a="1"/>
  <c r="M60" i="1"/>
  <c r="M61" i="1" a="1"/>
  <c r="M61" i="1"/>
  <c r="M62" i="1" a="1"/>
  <c r="M62" i="1"/>
  <c r="M63" i="1" a="1"/>
  <c r="M63" i="1" s="1"/>
  <c r="M64" i="1" a="1"/>
  <c r="M64" i="1"/>
  <c r="M65" i="1" a="1"/>
  <c r="M65" i="1"/>
  <c r="M66" i="1" a="1"/>
  <c r="M66" i="1"/>
  <c r="M67" i="1" a="1"/>
  <c r="M67" i="1" s="1"/>
  <c r="M68" i="1" a="1"/>
  <c r="M68" i="1"/>
  <c r="M69" i="1" a="1"/>
  <c r="M69" i="1"/>
  <c r="M70" i="1" a="1"/>
  <c r="M70" i="1"/>
  <c r="M71" i="1" a="1"/>
  <c r="M71" i="1" s="1"/>
  <c r="M72" i="1" a="1"/>
  <c r="M72" i="1"/>
  <c r="M73" i="1" a="1"/>
  <c r="M73" i="1"/>
  <c r="M74" i="1" a="1"/>
  <c r="M74" i="1"/>
  <c r="M75" i="1" a="1"/>
  <c r="M75" i="1" s="1"/>
  <c r="M76" i="1" a="1"/>
  <c r="M76" i="1" s="1"/>
  <c r="M77" i="1" a="1"/>
  <c r="M77" i="1"/>
  <c r="M78" i="1" a="1"/>
  <c r="M78" i="1"/>
  <c r="M79" i="1" a="1"/>
  <c r="M79" i="1" s="1"/>
  <c r="M80" i="1" a="1"/>
  <c r="M80" i="1"/>
  <c r="M81" i="1" a="1"/>
  <c r="M81" i="1"/>
  <c r="M82" i="1" a="1"/>
  <c r="M82" i="1"/>
  <c r="M83" i="1" a="1"/>
  <c r="M83" i="1" s="1"/>
  <c r="M84" i="1" a="1"/>
  <c r="M84" i="1" s="1"/>
  <c r="M85" i="1" a="1"/>
  <c r="M85" i="1" s="1"/>
  <c r="M86" i="1" a="1"/>
  <c r="M86" i="1"/>
  <c r="M87" i="1" a="1"/>
  <c r="M87" i="1" s="1"/>
  <c r="M88" i="1" a="1"/>
  <c r="M88" i="1" s="1"/>
  <c r="M89" i="1" a="1"/>
  <c r="M89" i="1"/>
  <c r="M90" i="1" a="1"/>
  <c r="M90" i="1" s="1"/>
  <c r="M91" i="1" a="1"/>
  <c r="M91" i="1" s="1"/>
  <c r="M92" i="1" a="1"/>
  <c r="M92" i="1"/>
  <c r="M93" i="1" a="1"/>
  <c r="M93" i="1" s="1"/>
  <c r="M94" i="1" a="1"/>
  <c r="M94" i="1" s="1"/>
  <c r="M95" i="1" a="1"/>
  <c r="M95" i="1" s="1"/>
  <c r="M96" i="1" a="1"/>
  <c r="M96" i="1" s="1"/>
  <c r="M97" i="1" a="1"/>
  <c r="M97" i="1" s="1"/>
  <c r="M98" i="1" a="1"/>
  <c r="M98" i="1"/>
  <c r="M99" i="1" a="1"/>
  <c r="M99" i="1" s="1"/>
  <c r="M100" i="1" a="1"/>
  <c r="M100" i="1"/>
  <c r="M101" i="1" a="1"/>
  <c r="M101" i="1"/>
  <c r="M102" i="1" a="1"/>
  <c r="M102" i="1" s="1"/>
  <c r="M103" i="1" a="1"/>
  <c r="M103" i="1" s="1"/>
  <c r="M104" i="1" a="1"/>
  <c r="M104" i="1" s="1"/>
  <c r="M105" i="1" a="1"/>
  <c r="M105" i="1" s="1"/>
  <c r="M106" i="1" a="1"/>
  <c r="M106" i="1" s="1"/>
  <c r="M107" i="1" a="1"/>
  <c r="M107" i="1" s="1"/>
  <c r="M108" i="1" a="1"/>
  <c r="M108" i="1" s="1"/>
  <c r="M109" i="1" a="1"/>
  <c r="M109" i="1"/>
  <c r="M110" i="1" a="1"/>
  <c r="M110" i="1"/>
  <c r="M111" i="1" a="1"/>
  <c r="M111" i="1" s="1"/>
  <c r="M112" i="1" a="1"/>
  <c r="M112" i="1"/>
  <c r="M113" i="1" a="1"/>
  <c r="M113" i="1" s="1"/>
  <c r="M114" i="1" a="1"/>
  <c r="M114" i="1" s="1"/>
  <c r="M115" i="1" a="1"/>
  <c r="M115" i="1" s="1"/>
  <c r="M116" i="1" a="1"/>
  <c r="M116" i="1" s="1"/>
  <c r="M117" i="1" a="1"/>
  <c r="M117" i="1" s="1"/>
  <c r="M118" i="1" a="1"/>
  <c r="M118" i="1"/>
  <c r="M119" i="1" a="1"/>
  <c r="M119" i="1" s="1"/>
  <c r="M120" i="1" a="1"/>
  <c r="M120" i="1" s="1"/>
  <c r="M121" i="1" a="1"/>
  <c r="M121" i="1"/>
  <c r="M122" i="1" a="1"/>
  <c r="M122" i="1" s="1"/>
  <c r="M123" i="1" a="1"/>
  <c r="M123" i="1" s="1"/>
  <c r="M124" i="1" a="1"/>
  <c r="M124" i="1"/>
  <c r="M125" i="1" a="1"/>
  <c r="M125" i="1" s="1"/>
  <c r="M126" i="1" a="1"/>
  <c r="M126" i="1" s="1"/>
  <c r="M127" i="1" a="1"/>
  <c r="M127" i="1" s="1"/>
  <c r="M128" i="1" a="1"/>
  <c r="M128" i="1" s="1"/>
  <c r="M129" i="1" a="1"/>
  <c r="M129" i="1" s="1"/>
  <c r="M130" i="1" a="1"/>
  <c r="M130" i="1"/>
  <c r="M131" i="1" a="1"/>
  <c r="M131" i="1" s="1"/>
  <c r="M132" i="1" a="1"/>
  <c r="M132" i="1"/>
  <c r="M133" i="1" a="1"/>
  <c r="M133" i="1"/>
  <c r="M134" i="1" a="1"/>
  <c r="M134" i="1" s="1"/>
  <c r="M135" i="1" a="1"/>
  <c r="M135" i="1" s="1"/>
  <c r="M136" i="1" a="1"/>
  <c r="M136" i="1" s="1"/>
  <c r="M137" i="1" a="1"/>
  <c r="M137" i="1" s="1"/>
  <c r="M138" i="1" a="1"/>
  <c r="M138" i="1" s="1"/>
  <c r="M139" i="1" a="1"/>
  <c r="M139" i="1" s="1"/>
  <c r="M140" i="1" a="1"/>
  <c r="M140" i="1" s="1"/>
  <c r="M141" i="1" a="1"/>
  <c r="M141" i="1"/>
  <c r="M142" i="1" a="1"/>
  <c r="M142" i="1"/>
  <c r="M143" i="1" a="1"/>
  <c r="M143" i="1" s="1"/>
  <c r="M144" i="1" a="1"/>
  <c r="M144" i="1"/>
  <c r="M145" i="1" a="1"/>
  <c r="M145" i="1" s="1"/>
  <c r="M146" i="1" a="1"/>
  <c r="M146" i="1" s="1"/>
  <c r="M147" i="1" a="1"/>
  <c r="M147" i="1" s="1"/>
  <c r="M148" i="1" a="1"/>
  <c r="M148" i="1" s="1"/>
  <c r="M149" i="1" a="1"/>
  <c r="M149" i="1" s="1"/>
  <c r="M150" i="1" a="1"/>
  <c r="M150" i="1"/>
  <c r="M151" i="1" a="1"/>
  <c r="M151" i="1" s="1"/>
  <c r="M152" i="1" a="1"/>
  <c r="M152" i="1" s="1"/>
  <c r="M153" i="1" a="1"/>
  <c r="M153" i="1"/>
  <c r="M154" i="1" a="1"/>
  <c r="M154" i="1" s="1"/>
  <c r="M155" i="1" a="1"/>
  <c r="M155" i="1" s="1"/>
  <c r="M156" i="1" a="1"/>
  <c r="M156" i="1"/>
  <c r="M157" i="1" a="1"/>
  <c r="M157" i="1" s="1"/>
  <c r="M158" i="1" a="1"/>
  <c r="M158" i="1" s="1"/>
  <c r="M159" i="1" a="1"/>
  <c r="M159" i="1" s="1"/>
  <c r="M160" i="1" a="1"/>
  <c r="M160" i="1" s="1"/>
  <c r="M161" i="1" a="1"/>
  <c r="M161" i="1" s="1"/>
  <c r="M162" i="1" a="1"/>
  <c r="M162" i="1"/>
  <c r="M163" i="1" a="1"/>
  <c r="M163" i="1" s="1"/>
  <c r="M164" i="1" a="1"/>
  <c r="M164" i="1"/>
  <c r="M165" i="1" a="1"/>
  <c r="M165" i="1"/>
  <c r="M166" i="1" a="1"/>
  <c r="M166" i="1" s="1"/>
  <c r="M167" i="1" a="1"/>
  <c r="M167" i="1" s="1"/>
  <c r="M168" i="1" a="1"/>
  <c r="M168" i="1" s="1"/>
  <c r="M169" i="1" a="1"/>
  <c r="M169" i="1" s="1"/>
  <c r="M170" i="1" a="1"/>
  <c r="M170" i="1" s="1"/>
  <c r="M171" i="1" a="1"/>
  <c r="M171" i="1" s="1"/>
  <c r="M172" i="1" a="1"/>
  <c r="M172" i="1" s="1"/>
  <c r="M173" i="1" a="1"/>
  <c r="M173" i="1" s="1"/>
  <c r="M174" i="1" a="1"/>
  <c r="M174" i="1"/>
  <c r="M175" i="1" a="1"/>
  <c r="M175" i="1" s="1"/>
  <c r="M176" i="1" a="1"/>
  <c r="M176" i="1"/>
  <c r="M177" i="1" a="1"/>
  <c r="M177" i="1" s="1"/>
  <c r="M178" i="1" a="1"/>
  <c r="M178" i="1" s="1"/>
  <c r="M179" i="1" a="1"/>
  <c r="M179" i="1" s="1"/>
  <c r="M180" i="1" a="1"/>
  <c r="M180" i="1" s="1"/>
  <c r="M181" i="1" a="1"/>
  <c r="M181" i="1" s="1"/>
  <c r="M182" i="1" a="1"/>
  <c r="M182" i="1" s="1"/>
  <c r="M183" i="1" a="1"/>
  <c r="M183" i="1" s="1"/>
  <c r="M184" i="1" a="1"/>
  <c r="M184" i="1" s="1"/>
  <c r="M185" i="1" a="1"/>
  <c r="M185" i="1"/>
  <c r="M186" i="1" a="1"/>
  <c r="M186" i="1" s="1"/>
  <c r="M187" i="1" a="1"/>
  <c r="M187" i="1" s="1"/>
  <c r="M188" i="1" a="1"/>
  <c r="M188" i="1"/>
  <c r="M189" i="1" a="1"/>
  <c r="M189" i="1" s="1"/>
  <c r="M190" i="1" a="1"/>
  <c r="M190" i="1" s="1"/>
  <c r="M191" i="1" a="1"/>
  <c r="M191" i="1" s="1"/>
  <c r="M192" i="1" a="1"/>
  <c r="M192" i="1" s="1"/>
  <c r="M193" i="1" a="1"/>
  <c r="M193" i="1" s="1"/>
  <c r="M194" i="1" a="1"/>
  <c r="M194" i="1"/>
  <c r="M195" i="1" a="1"/>
  <c r="M195" i="1" s="1"/>
  <c r="M196" i="1" a="1"/>
  <c r="M196" i="1" s="1"/>
  <c r="M197" i="1" a="1"/>
  <c r="M197" i="1"/>
  <c r="M198" i="1" a="1"/>
  <c r="M198" i="1" s="1"/>
  <c r="M199" i="1" a="1"/>
  <c r="M199" i="1" s="1"/>
  <c r="M200" i="1" a="1"/>
  <c r="M200" i="1" s="1"/>
  <c r="M201" i="1" a="1"/>
  <c r="M201" i="1" s="1"/>
  <c r="M202" i="1" a="1"/>
  <c r="M202" i="1" s="1"/>
  <c r="M203" i="1" a="1"/>
  <c r="M203" i="1" s="1"/>
  <c r="M204" i="1" a="1"/>
  <c r="M204" i="1" s="1"/>
  <c r="M205" i="1" a="1"/>
  <c r="M205" i="1" s="1"/>
  <c r="M206" i="1" a="1"/>
  <c r="M206" i="1"/>
  <c r="M207" i="1" a="1"/>
  <c r="M207" i="1" s="1"/>
  <c r="M208" i="1" a="1"/>
  <c r="M208" i="1"/>
  <c r="M209" i="1" a="1"/>
  <c r="M209" i="1" s="1"/>
  <c r="M210" i="1" a="1"/>
  <c r="M210" i="1"/>
  <c r="M211" i="1" a="1"/>
  <c r="M211" i="1" s="1"/>
  <c r="M212" i="1" a="1"/>
  <c r="M212" i="1" s="1"/>
  <c r="M213" i="1" a="1"/>
  <c r="M213" i="1" s="1"/>
  <c r="M214" i="1" a="1"/>
  <c r="M214" i="1" s="1"/>
  <c r="M215" i="1" a="1"/>
  <c r="M215" i="1" s="1"/>
  <c r="M216" i="1" a="1"/>
  <c r="M216" i="1" s="1"/>
  <c r="M217" i="1" a="1"/>
  <c r="M217" i="1"/>
  <c r="M218" i="1" a="1"/>
  <c r="M218" i="1" s="1"/>
  <c r="M219" i="1" a="1"/>
  <c r="M219" i="1" s="1"/>
  <c r="M220" i="1" a="1"/>
  <c r="M220" i="1"/>
  <c r="M221" i="1" a="1"/>
  <c r="M221" i="1" s="1"/>
  <c r="M222" i="1" a="1"/>
  <c r="M222" i="1" s="1"/>
  <c r="M223" i="1" a="1"/>
  <c r="M223" i="1" s="1"/>
  <c r="M224" i="1" a="1"/>
  <c r="M224" i="1"/>
  <c r="M225" i="1" a="1"/>
  <c r="M225" i="1" s="1"/>
  <c r="M226" i="1" a="1"/>
  <c r="M226" i="1"/>
  <c r="M227" i="1" a="1"/>
  <c r="M227" i="1" s="1"/>
  <c r="M228" i="1" a="1"/>
  <c r="M228" i="1"/>
  <c r="M229" i="1" a="1"/>
  <c r="M229" i="1" s="1"/>
  <c r="M230" i="1" a="1"/>
  <c r="M230" i="1" s="1"/>
  <c r="M231" i="1" a="1"/>
  <c r="M231" i="1" s="1"/>
  <c r="M232" i="1" a="1"/>
  <c r="M232" i="1" s="1"/>
  <c r="M233" i="1" a="1"/>
  <c r="M233" i="1"/>
  <c r="M234" i="1" a="1"/>
  <c r="M234" i="1" s="1"/>
  <c r="M235" i="1" a="1"/>
  <c r="M235" i="1" s="1"/>
  <c r="M236" i="1" a="1"/>
  <c r="M236" i="1" s="1"/>
  <c r="M237" i="1" a="1"/>
  <c r="M237" i="1"/>
  <c r="M238" i="1" a="1"/>
  <c r="M238" i="1" s="1"/>
  <c r="M239" i="1" a="1"/>
  <c r="M239" i="1" s="1"/>
  <c r="M240" i="1" a="1"/>
  <c r="M240" i="1"/>
  <c r="M241" i="1" a="1"/>
  <c r="M241" i="1" s="1"/>
  <c r="M242" i="1" a="1"/>
  <c r="M242" i="1"/>
  <c r="M243" i="1" a="1"/>
  <c r="M243" i="1" s="1"/>
  <c r="M244" i="1" a="1"/>
  <c r="M244" i="1" s="1"/>
  <c r="M245" i="1" a="1"/>
  <c r="M245" i="1" s="1"/>
  <c r="M246" i="1" a="1"/>
  <c r="M246" i="1"/>
  <c r="M247" i="1" a="1"/>
  <c r="M247" i="1" s="1"/>
  <c r="M248" i="1" a="1"/>
  <c r="M248" i="1" s="1"/>
  <c r="M249" i="1" a="1"/>
  <c r="M249" i="1"/>
  <c r="M250" i="1" a="1"/>
  <c r="M250" i="1" s="1"/>
  <c r="M251" i="1" a="1"/>
  <c r="M251" i="1" s="1"/>
  <c r="M252" i="1" a="1"/>
  <c r="M252" i="1"/>
  <c r="M253" i="1" a="1"/>
  <c r="M253" i="1" s="1"/>
  <c r="M254" i="1" a="1"/>
  <c r="M254" i="1" s="1"/>
  <c r="M255" i="1" a="1"/>
  <c r="M255" i="1" s="1"/>
  <c r="M256" i="1" a="1"/>
  <c r="M256" i="1"/>
  <c r="M257" i="1" a="1"/>
  <c r="M257" i="1" s="1"/>
  <c r="M258" i="1" a="1"/>
  <c r="M258" i="1"/>
  <c r="M259" i="1" a="1"/>
  <c r="M259" i="1" s="1"/>
  <c r="M260" i="1" a="1"/>
  <c r="M260" i="1"/>
  <c r="M261" i="1" a="1"/>
  <c r="M261" i="1"/>
  <c r="M262" i="1" a="1"/>
  <c r="M262" i="1" s="1"/>
  <c r="M263" i="1" a="1"/>
  <c r="M263" i="1" s="1"/>
  <c r="M264" i="1" a="1"/>
  <c r="M264" i="1" s="1"/>
  <c r="M265" i="1" a="1"/>
  <c r="M265" i="1"/>
  <c r="M266" i="1" a="1"/>
  <c r="M266" i="1" s="1"/>
  <c r="M267" i="1" a="1"/>
  <c r="M267" i="1" s="1"/>
  <c r="M268" i="1" a="1"/>
  <c r="M268" i="1" s="1"/>
  <c r="M269" i="1" a="1"/>
  <c r="M269" i="1"/>
  <c r="M270" i="1" a="1"/>
  <c r="M270" i="1"/>
  <c r="M271" i="1" a="1"/>
  <c r="M271" i="1" s="1"/>
  <c r="M272" i="1" a="1"/>
  <c r="M272" i="1"/>
  <c r="M273" i="1" a="1"/>
  <c r="M273" i="1" s="1"/>
  <c r="M274" i="1" a="1"/>
  <c r="M274" i="1"/>
  <c r="M275" i="1" a="1"/>
  <c r="M275" i="1" s="1"/>
  <c r="M276" i="1" a="1"/>
  <c r="M276" i="1" s="1"/>
  <c r="M277" i="1" a="1"/>
  <c r="M277" i="1" s="1"/>
  <c r="M278" i="1" a="1"/>
  <c r="M278" i="1"/>
  <c r="M279" i="1" a="1"/>
  <c r="M279" i="1" s="1"/>
  <c r="M280" i="1" a="1"/>
  <c r="M280" i="1" s="1"/>
  <c r="M281" i="1" a="1"/>
  <c r="M281" i="1"/>
  <c r="M282" i="1" a="1"/>
  <c r="M282" i="1" s="1"/>
  <c r="M283" i="1" a="1"/>
  <c r="M283" i="1" s="1"/>
  <c r="M284" i="1" a="1"/>
  <c r="M284" i="1"/>
  <c r="M285" i="1" a="1"/>
  <c r="M285" i="1" s="1"/>
  <c r="M286" i="1" a="1"/>
  <c r="M286" i="1" s="1"/>
  <c r="M287" i="1" a="1"/>
  <c r="M287" i="1" s="1"/>
  <c r="M288" i="1" a="1"/>
  <c r="M288" i="1"/>
  <c r="M289" i="1" a="1"/>
  <c r="M289" i="1" s="1"/>
  <c r="M290" i="1" a="1"/>
  <c r="M290" i="1"/>
  <c r="M291" i="1" a="1"/>
  <c r="M291" i="1" s="1"/>
  <c r="M292" i="1" a="1"/>
  <c r="M292" i="1"/>
  <c r="M293" i="1" a="1"/>
  <c r="M293" i="1"/>
  <c r="M294" i="1" a="1"/>
  <c r="M294" i="1" s="1"/>
  <c r="M295" i="1" a="1"/>
  <c r="M295" i="1" s="1"/>
  <c r="M296" i="1" a="1"/>
  <c r="M296" i="1" s="1"/>
  <c r="M297" i="1" a="1"/>
  <c r="M297" i="1"/>
  <c r="M298" i="1" a="1"/>
  <c r="M298" i="1" s="1"/>
  <c r="M299" i="1" a="1"/>
  <c r="M299" i="1" s="1"/>
  <c r="M300" i="1" a="1"/>
  <c r="M300" i="1" s="1"/>
  <c r="M301" i="1" a="1"/>
  <c r="M301" i="1"/>
  <c r="M302" i="1" a="1"/>
  <c r="M302" i="1"/>
  <c r="M303" i="1" a="1"/>
  <c r="M303" i="1" s="1"/>
  <c r="M304" i="1" a="1"/>
  <c r="M304" i="1"/>
  <c r="M305" i="1" a="1"/>
  <c r="M305" i="1" s="1"/>
  <c r="M306" i="1" a="1"/>
  <c r="M306" i="1"/>
  <c r="M307" i="1" a="1"/>
  <c r="M307" i="1" s="1"/>
  <c r="M308" i="1" a="1"/>
  <c r="M308" i="1" s="1"/>
  <c r="M309" i="1" a="1"/>
  <c r="M309" i="1" s="1"/>
  <c r="M310" i="1" a="1"/>
  <c r="M310" i="1"/>
  <c r="M311" i="1" a="1"/>
  <c r="M311" i="1" s="1"/>
  <c r="M312" i="1" a="1"/>
  <c r="M312" i="1" s="1"/>
  <c r="M313" i="1" a="1"/>
  <c r="M313" i="1"/>
  <c r="M314" i="1" a="1"/>
  <c r="M314" i="1" s="1"/>
  <c r="M315" i="1" a="1"/>
  <c r="M315" i="1" s="1"/>
  <c r="M316" i="1" a="1"/>
  <c r="M316" i="1"/>
  <c r="M317" i="1" a="1"/>
  <c r="M317" i="1" s="1"/>
  <c r="M318" i="1" a="1"/>
  <c r="M318" i="1" s="1"/>
  <c r="M319" i="1" a="1"/>
  <c r="M319" i="1" s="1"/>
  <c r="M320" i="1" a="1"/>
  <c r="M320" i="1"/>
  <c r="M321" i="1" a="1"/>
  <c r="M321" i="1" s="1"/>
  <c r="M322" i="1" a="1"/>
  <c r="M322" i="1"/>
  <c r="M323" i="1" a="1"/>
  <c r="M323" i="1" s="1"/>
  <c r="M324" i="1" a="1"/>
  <c r="M324" i="1"/>
  <c r="M325" i="1" a="1"/>
  <c r="M325" i="1"/>
  <c r="M326" i="1" a="1"/>
  <c r="M326" i="1" s="1"/>
  <c r="M327" i="1" a="1"/>
  <c r="M327" i="1" s="1"/>
  <c r="M328" i="1" a="1"/>
  <c r="M328" i="1" s="1"/>
  <c r="M329" i="1" a="1"/>
  <c r="M329" i="1"/>
  <c r="M330" i="1" a="1"/>
  <c r="M330" i="1" s="1"/>
  <c r="M331" i="1" a="1"/>
  <c r="M331" i="1" s="1"/>
  <c r="M332" i="1" a="1"/>
  <c r="M332" i="1" s="1"/>
  <c r="M333" i="1" a="1"/>
  <c r="M333" i="1"/>
  <c r="M334" i="1" a="1"/>
  <c r="M334" i="1"/>
  <c r="M335" i="1" a="1"/>
  <c r="M335" i="1" s="1"/>
  <c r="M336" i="1" a="1"/>
  <c r="M336" i="1"/>
  <c r="M337" i="1" a="1"/>
  <c r="M337" i="1" s="1"/>
  <c r="M338" i="1" a="1"/>
  <c r="M338" i="1"/>
  <c r="M339" i="1" a="1"/>
  <c r="M339" i="1" s="1"/>
  <c r="M340" i="1" a="1"/>
  <c r="M340" i="1" s="1"/>
  <c r="M341" i="1" a="1"/>
  <c r="M341" i="1" s="1"/>
  <c r="M342" i="1" a="1"/>
  <c r="M342" i="1"/>
  <c r="M343" i="1" a="1"/>
  <c r="M343" i="1" s="1"/>
  <c r="M344" i="1" a="1"/>
  <c r="M344" i="1" s="1"/>
  <c r="M345" i="1" a="1"/>
  <c r="M345" i="1" s="1"/>
  <c r="M346" i="1" a="1"/>
  <c r="M346" i="1" s="1"/>
  <c r="M347" i="1" a="1"/>
  <c r="M347" i="1"/>
  <c r="M348" i="1" a="1"/>
  <c r="M348" i="1"/>
  <c r="M349" i="1" a="1"/>
  <c r="M349" i="1"/>
  <c r="M350" i="1" a="1"/>
  <c r="M350" i="1" s="1"/>
  <c r="M351" i="1" a="1"/>
  <c r="M351" i="1" s="1"/>
  <c r="M352" i="1" a="1"/>
  <c r="M352" i="1" s="1"/>
  <c r="M353" i="1" a="1"/>
  <c r="M353" i="1" s="1"/>
  <c r="M354" i="1" a="1"/>
  <c r="M354" i="1" s="1"/>
  <c r="M355" i="1" a="1"/>
  <c r="M355" i="1"/>
  <c r="M356" i="1" a="1"/>
  <c r="M356" i="1" s="1"/>
  <c r="M357" i="1" a="1"/>
  <c r="M357" i="1"/>
  <c r="M358" i="1" a="1"/>
  <c r="M358" i="1" s="1"/>
  <c r="M359" i="1" a="1"/>
  <c r="M359" i="1" s="1"/>
  <c r="M360" i="1" a="1"/>
  <c r="M360" i="1" s="1"/>
  <c r="M361" i="1" a="1"/>
  <c r="M361" i="1" s="1"/>
  <c r="M362" i="1" a="1"/>
  <c r="M362" i="1" s="1"/>
  <c r="M363" i="1" a="1"/>
  <c r="M363" i="1"/>
  <c r="M364" i="1" a="1"/>
  <c r="M364" i="1"/>
  <c r="M365" i="1" a="1"/>
  <c r="M365" i="1" s="1"/>
  <c r="M366" i="1" a="1"/>
  <c r="M366" i="1" s="1"/>
  <c r="M367" i="1" a="1"/>
  <c r="M367" i="1" s="1"/>
  <c r="M368" i="1" a="1"/>
  <c r="M368" i="1" s="1"/>
  <c r="M369" i="1" a="1"/>
  <c r="M369" i="1" s="1"/>
  <c r="M370" i="1" a="1"/>
  <c r="M370" i="1" s="1"/>
  <c r="M371" i="1" a="1"/>
  <c r="M371" i="1"/>
  <c r="M372" i="1" a="1"/>
  <c r="M372" i="1"/>
  <c r="M373" i="1" a="1"/>
  <c r="M373" i="1"/>
  <c r="M374" i="1" a="1"/>
  <c r="M374" i="1" s="1"/>
  <c r="M375" i="1" a="1"/>
  <c r="M375" i="1" s="1"/>
  <c r="M376" i="1" a="1"/>
  <c r="M376" i="1" s="1"/>
  <c r="M377" i="1" a="1"/>
  <c r="M377" i="1" s="1"/>
  <c r="M378" i="1" a="1"/>
  <c r="M378" i="1" s="1"/>
  <c r="M379" i="1" a="1"/>
  <c r="M379" i="1" s="1"/>
  <c r="M380" i="1" a="1"/>
  <c r="M380" i="1"/>
  <c r="M381" i="1" a="1"/>
  <c r="M381" i="1"/>
  <c r="M382" i="1" a="1"/>
  <c r="M382" i="1" s="1"/>
  <c r="M383" i="1" a="1"/>
  <c r="M383" i="1" s="1"/>
  <c r="M384" i="1" a="1"/>
  <c r="M384" i="1" s="1"/>
  <c r="M385" i="1" a="1"/>
  <c r="M385" i="1" s="1"/>
  <c r="M386" i="1" a="1"/>
  <c r="M386" i="1" s="1"/>
  <c r="M387" i="1" a="1"/>
  <c r="M387" i="1"/>
  <c r="M388" i="1" a="1"/>
  <c r="M388" i="1" s="1"/>
  <c r="M389" i="1" a="1"/>
  <c r="M389" i="1"/>
  <c r="M390" i="1" a="1"/>
  <c r="M390" i="1" s="1"/>
  <c r="M391" i="1" a="1"/>
  <c r="M391" i="1" s="1"/>
  <c r="M392" i="1" a="1"/>
  <c r="M392" i="1" s="1"/>
  <c r="M393" i="1" a="1"/>
  <c r="M393" i="1" s="1"/>
  <c r="M394" i="1" a="1"/>
  <c r="M394" i="1" s="1"/>
  <c r="M395" i="1" a="1"/>
  <c r="M395" i="1"/>
  <c r="M396" i="1" a="1"/>
  <c r="M396" i="1"/>
  <c r="M397" i="1" a="1"/>
  <c r="M397" i="1" s="1"/>
  <c r="M398" i="1" a="1"/>
  <c r="M398" i="1" s="1"/>
  <c r="M399" i="1" a="1"/>
  <c r="M399" i="1" s="1"/>
  <c r="M400" i="1" a="1"/>
  <c r="M400" i="1" s="1"/>
  <c r="M401" i="1" a="1"/>
  <c r="M401" i="1" s="1"/>
  <c r="M402" i="1" a="1"/>
  <c r="M402" i="1" s="1"/>
  <c r="M403" i="1" a="1"/>
  <c r="M403" i="1"/>
  <c r="M404" i="1" a="1"/>
  <c r="M404" i="1"/>
  <c r="M405" i="1" a="1"/>
  <c r="M405" i="1"/>
  <c r="M406" i="1" a="1"/>
  <c r="M406" i="1" s="1"/>
  <c r="M407" i="1" a="1"/>
  <c r="M407" i="1" s="1"/>
  <c r="M408" i="1" a="1"/>
  <c r="M408" i="1" s="1"/>
  <c r="M409" i="1" a="1"/>
  <c r="M409" i="1" s="1"/>
  <c r="M410" i="1" a="1"/>
  <c r="M410" i="1" s="1"/>
  <c r="M411" i="1" a="1"/>
  <c r="M411" i="1" s="1"/>
  <c r="M412" i="1" a="1"/>
  <c r="M412" i="1"/>
  <c r="M413" i="1" a="1"/>
  <c r="M413" i="1"/>
  <c r="M414" i="1" a="1"/>
  <c r="M414" i="1" s="1"/>
  <c r="M415" i="1" a="1"/>
  <c r="M415" i="1" s="1"/>
  <c r="M416" i="1" a="1"/>
  <c r="M416" i="1" s="1"/>
  <c r="M417" i="1" a="1"/>
  <c r="M417" i="1" s="1"/>
  <c r="M418" i="1" a="1"/>
  <c r="M418" i="1" s="1"/>
  <c r="M419" i="1" a="1"/>
  <c r="M419" i="1"/>
  <c r="M420" i="1" a="1"/>
  <c r="M420" i="1" s="1"/>
  <c r="M421" i="1" a="1"/>
  <c r="M421" i="1"/>
  <c r="M422" i="1" a="1"/>
  <c r="M422" i="1" s="1"/>
  <c r="M423" i="1" a="1"/>
  <c r="M423" i="1" s="1"/>
  <c r="M424" i="1" a="1"/>
  <c r="M424" i="1" s="1"/>
  <c r="M425" i="1" a="1"/>
  <c r="M425" i="1" s="1"/>
  <c r="M426" i="1" a="1"/>
  <c r="M426" i="1" s="1"/>
  <c r="M427" i="1" a="1"/>
  <c r="M427" i="1"/>
  <c r="M428" i="1" a="1"/>
  <c r="M428" i="1"/>
  <c r="M429" i="1" a="1"/>
  <c r="M429" i="1" s="1"/>
  <c r="M430" i="1" a="1"/>
  <c r="M430" i="1" s="1"/>
  <c r="M431" i="1" a="1"/>
  <c r="M431" i="1" s="1"/>
  <c r="M432" i="1" a="1"/>
  <c r="M432" i="1" s="1"/>
  <c r="M433" i="1" a="1"/>
  <c r="M433" i="1" s="1"/>
  <c r="M434" i="1" a="1"/>
  <c r="M434" i="1" s="1"/>
  <c r="M435" i="1" a="1"/>
  <c r="M435" i="1"/>
  <c r="M436" i="1" a="1"/>
  <c r="M436" i="1"/>
  <c r="M437" i="1" a="1"/>
  <c r="M437" i="1"/>
  <c r="M438" i="1" a="1"/>
  <c r="M438" i="1" s="1"/>
  <c r="M439" i="1" a="1"/>
  <c r="M439" i="1" s="1"/>
  <c r="M440" i="1" a="1"/>
  <c r="M440" i="1" s="1"/>
  <c r="M441" i="1" a="1"/>
  <c r="M441" i="1" s="1"/>
  <c r="M442" i="1" a="1"/>
  <c r="M442" i="1" s="1"/>
  <c r="M443" i="1" a="1"/>
  <c r="M443" i="1" s="1"/>
  <c r="M444" i="1" a="1"/>
  <c r="M444" i="1"/>
  <c r="M445" i="1" a="1"/>
  <c r="M445" i="1"/>
  <c r="M446" i="1" a="1"/>
  <c r="M446" i="1" s="1"/>
  <c r="M447" i="1" a="1"/>
  <c r="M447" i="1" s="1"/>
  <c r="M448" i="1" a="1"/>
  <c r="M448" i="1" s="1"/>
  <c r="M449" i="1" a="1"/>
  <c r="M449" i="1" s="1"/>
  <c r="M450" i="1" a="1"/>
  <c r="M450" i="1" s="1"/>
  <c r="M451" i="1" a="1"/>
  <c r="M451" i="1"/>
  <c r="M452" i="1" a="1"/>
  <c r="M452" i="1" s="1"/>
  <c r="M453" i="1" a="1"/>
  <c r="M453" i="1"/>
  <c r="M454" i="1" a="1"/>
  <c r="M454" i="1" s="1"/>
  <c r="M455" i="1" a="1"/>
  <c r="M455" i="1" s="1"/>
  <c r="M456" i="1" a="1"/>
  <c r="M456" i="1" s="1"/>
  <c r="M457" i="1" a="1"/>
  <c r="M457" i="1" s="1"/>
  <c r="M458" i="1" a="1"/>
  <c r="M458" i="1" s="1"/>
  <c r="M459" i="1" a="1"/>
  <c r="M459" i="1"/>
  <c r="M460" i="1" a="1"/>
  <c r="M460" i="1"/>
  <c r="M461" i="1" a="1"/>
  <c r="M461" i="1" s="1"/>
  <c r="M462" i="1" a="1"/>
  <c r="M462" i="1" s="1"/>
  <c r="M463" i="1" a="1"/>
  <c r="M463" i="1" s="1"/>
  <c r="M464" i="1" a="1"/>
  <c r="M464" i="1" s="1"/>
  <c r="M465" i="1" a="1"/>
  <c r="M465" i="1" s="1"/>
  <c r="M466" i="1" a="1"/>
  <c r="M466" i="1" s="1"/>
  <c r="M467" i="1" a="1"/>
  <c r="M467" i="1"/>
  <c r="M468" i="1" a="1"/>
  <c r="M468" i="1"/>
  <c r="M469" i="1" a="1"/>
  <c r="M469" i="1"/>
  <c r="M470" i="1" a="1"/>
  <c r="M470" i="1" s="1"/>
  <c r="M471" i="1" a="1"/>
  <c r="M471" i="1" s="1"/>
  <c r="M472" i="1" a="1"/>
  <c r="M472" i="1" s="1"/>
  <c r="M473" i="1" a="1"/>
  <c r="M473" i="1" s="1"/>
  <c r="M474" i="1" a="1"/>
  <c r="M474" i="1" s="1"/>
  <c r="M475" i="1" a="1"/>
  <c r="M475" i="1" s="1"/>
  <c r="M476" i="1" a="1"/>
  <c r="M476" i="1"/>
  <c r="M477" i="1" a="1"/>
  <c r="M477" i="1"/>
  <c r="M478" i="1" a="1"/>
  <c r="M478" i="1" s="1"/>
  <c r="M479" i="1" a="1"/>
  <c r="M479" i="1" s="1"/>
  <c r="M480" i="1" a="1"/>
  <c r="M480" i="1" s="1"/>
  <c r="M481" i="1" a="1"/>
  <c r="M481" i="1" s="1"/>
  <c r="M482" i="1" a="1"/>
  <c r="M482" i="1" s="1"/>
  <c r="M483" i="1" a="1"/>
  <c r="M483" i="1"/>
  <c r="M484" i="1" a="1"/>
  <c r="M484" i="1" s="1"/>
  <c r="M485" i="1" a="1"/>
  <c r="M485" i="1"/>
  <c r="M486" i="1" a="1"/>
  <c r="M486" i="1" s="1"/>
  <c r="M487" i="1" a="1"/>
  <c r="M487" i="1" s="1"/>
  <c r="M488" i="1" a="1"/>
  <c r="M488" i="1" s="1"/>
  <c r="M489" i="1" a="1"/>
  <c r="M489" i="1" s="1"/>
  <c r="M490" i="1" a="1"/>
  <c r="M490" i="1" s="1"/>
  <c r="M491" i="1" a="1"/>
  <c r="M491" i="1"/>
  <c r="M492" i="1" a="1"/>
  <c r="M492" i="1"/>
  <c r="M493" i="1" a="1"/>
  <c r="M493" i="1" s="1"/>
  <c r="M494" i="1" a="1"/>
  <c r="M494" i="1" s="1"/>
  <c r="M495" i="1" a="1"/>
  <c r="M495" i="1" s="1"/>
  <c r="M496" i="1" a="1"/>
  <c r="M496" i="1" s="1"/>
  <c r="M497" i="1" a="1"/>
  <c r="M497" i="1" s="1"/>
  <c r="M498" i="1" a="1"/>
  <c r="M498" i="1" s="1"/>
  <c r="M499" i="1" a="1"/>
  <c r="M499" i="1"/>
  <c r="M500" i="1" a="1"/>
  <c r="M500" i="1"/>
  <c r="M501" i="1" a="1"/>
  <c r="M501" i="1"/>
  <c r="M502" i="1" a="1"/>
  <c r="M502" i="1" s="1"/>
  <c r="M503" i="1" a="1"/>
  <c r="M503" i="1" s="1"/>
  <c r="M504" i="1" a="1"/>
  <c r="M504" i="1" s="1"/>
  <c r="M505" i="1" a="1"/>
  <c r="M505" i="1" s="1"/>
  <c r="M506" i="1" a="1"/>
  <c r="M506" i="1" s="1"/>
  <c r="M507" i="1" a="1"/>
  <c r="M507" i="1" s="1"/>
  <c r="M508" i="1" a="1"/>
  <c r="M508" i="1"/>
  <c r="M509" i="1" a="1"/>
  <c r="M509" i="1"/>
  <c r="M510" i="1" a="1"/>
  <c r="M510" i="1" s="1"/>
  <c r="M511" i="1" a="1"/>
  <c r="M511" i="1" s="1"/>
  <c r="M512" i="1" a="1"/>
  <c r="M512" i="1" s="1"/>
  <c r="M513" i="1" a="1"/>
  <c r="M513" i="1" s="1"/>
  <c r="M514" i="1" a="1"/>
  <c r="M514" i="1" s="1"/>
  <c r="M515" i="1" a="1"/>
  <c r="M515" i="1"/>
  <c r="M516" i="1" a="1"/>
  <c r="M516" i="1" s="1"/>
  <c r="M517" i="1" a="1"/>
  <c r="M517" i="1"/>
  <c r="M518" i="1" a="1"/>
  <c r="M518" i="1" s="1"/>
  <c r="M519" i="1" a="1"/>
  <c r="M519" i="1" s="1"/>
  <c r="M520" i="1" a="1"/>
  <c r="M520" i="1" s="1"/>
  <c r="M521" i="1" a="1"/>
  <c r="M521" i="1" s="1"/>
  <c r="M522" i="1" a="1"/>
  <c r="M522" i="1" s="1"/>
  <c r="M523" i="1" a="1"/>
  <c r="M523" i="1"/>
  <c r="M524" i="1" a="1"/>
  <c r="M524" i="1"/>
  <c r="M525" i="1" a="1"/>
  <c r="M525" i="1" s="1"/>
  <c r="M526" i="1" a="1"/>
  <c r="M526" i="1" s="1"/>
  <c r="M527" i="1" a="1"/>
  <c r="M527" i="1" s="1"/>
  <c r="M528" i="1" a="1"/>
  <c r="M528" i="1" s="1"/>
  <c r="M529" i="1" a="1"/>
  <c r="M529" i="1" s="1"/>
  <c r="M530" i="1" a="1"/>
  <c r="M530" i="1" s="1"/>
  <c r="M531" i="1" a="1"/>
  <c r="M531" i="1"/>
  <c r="M532" i="1" a="1"/>
  <c r="M532" i="1"/>
  <c r="M533" i="1" a="1"/>
  <c r="M533" i="1"/>
  <c r="M534" i="1" a="1"/>
  <c r="M534" i="1" s="1"/>
  <c r="M535" i="1" a="1"/>
  <c r="M535" i="1" s="1"/>
  <c r="M536" i="1" a="1"/>
  <c r="M536" i="1" s="1"/>
  <c r="M537" i="1" a="1"/>
  <c r="M537" i="1" s="1"/>
  <c r="M538" i="1" a="1"/>
  <c r="M538" i="1" s="1"/>
  <c r="M539" i="1" a="1"/>
  <c r="M539" i="1" s="1"/>
  <c r="M540" i="1" a="1"/>
  <c r="M540" i="1"/>
  <c r="M541" i="1" a="1"/>
  <c r="M541" i="1"/>
  <c r="M542" i="1" a="1"/>
  <c r="M542" i="1" s="1"/>
  <c r="M543" i="1" a="1"/>
  <c r="M543" i="1" s="1"/>
  <c r="M544" i="1" a="1"/>
  <c r="M544" i="1" s="1"/>
  <c r="M545" i="1" a="1"/>
  <c r="M545" i="1" s="1"/>
  <c r="M546" i="1" a="1"/>
  <c r="M546" i="1" s="1"/>
  <c r="M547" i="1" a="1"/>
  <c r="M547" i="1"/>
  <c r="M548" i="1" a="1"/>
  <c r="M548" i="1" s="1"/>
  <c r="M549" i="1" a="1"/>
  <c r="M549" i="1"/>
  <c r="M550" i="1" a="1"/>
  <c r="M550" i="1" s="1"/>
  <c r="M551" i="1" a="1"/>
  <c r="M551" i="1" s="1"/>
  <c r="M552" i="1" a="1"/>
  <c r="M552" i="1" s="1"/>
  <c r="M553" i="1" a="1"/>
  <c r="M553" i="1" s="1"/>
  <c r="M554" i="1" a="1"/>
  <c r="M554" i="1" s="1"/>
  <c r="M555" i="1" a="1"/>
  <c r="M555" i="1"/>
  <c r="M556" i="1" a="1"/>
  <c r="M556" i="1"/>
  <c r="M557" i="1" a="1"/>
  <c r="M557" i="1"/>
  <c r="M558" i="1" a="1"/>
  <c r="M558" i="1" s="1"/>
  <c r="M559" i="1" a="1"/>
  <c r="M559" i="1" s="1"/>
  <c r="M560" i="1" a="1"/>
  <c r="M560" i="1" s="1"/>
  <c r="M561" i="1" a="1"/>
  <c r="M561" i="1" s="1"/>
  <c r="M562" i="1" a="1"/>
  <c r="M562" i="1" s="1"/>
  <c r="M563" i="1" a="1"/>
  <c r="M563" i="1"/>
  <c r="M564" i="1" a="1"/>
  <c r="M564" i="1"/>
  <c r="M565" i="1" a="1"/>
  <c r="M565" i="1"/>
  <c r="M566" i="1" a="1"/>
  <c r="M566" i="1" s="1"/>
  <c r="M567" i="1" a="1"/>
  <c r="M567" i="1" s="1"/>
  <c r="M568" i="1" a="1"/>
  <c r="M568" i="1" s="1"/>
  <c r="M569" i="1" a="1"/>
  <c r="M569" i="1" s="1"/>
  <c r="M570" i="1" a="1"/>
  <c r="M570" i="1" s="1"/>
  <c r="M571" i="1" a="1"/>
  <c r="M571" i="1"/>
  <c r="M572" i="1" a="1"/>
  <c r="M572" i="1"/>
  <c r="M573" i="1" a="1"/>
  <c r="M573" i="1"/>
  <c r="M574" i="1" a="1"/>
  <c r="M574" i="1" s="1"/>
  <c r="M575" i="1" a="1"/>
  <c r="M575" i="1" s="1"/>
  <c r="M576" i="1" a="1"/>
  <c r="M576" i="1" s="1"/>
  <c r="M577" i="1" a="1"/>
  <c r="M577" i="1" s="1"/>
  <c r="M578" i="1" a="1"/>
  <c r="M578" i="1" s="1"/>
  <c r="M579" i="1" a="1"/>
  <c r="M579" i="1"/>
  <c r="M580" i="1" a="1"/>
  <c r="M580" i="1"/>
  <c r="M581" i="1" a="1"/>
  <c r="M581" i="1"/>
  <c r="M582" i="1" a="1"/>
  <c r="M582" i="1" s="1"/>
  <c r="M583" i="1" a="1"/>
  <c r="M583" i="1" s="1"/>
  <c r="M584" i="1" a="1"/>
  <c r="M584" i="1" s="1"/>
  <c r="M585" i="1" a="1"/>
  <c r="M585" i="1" s="1"/>
  <c r="M586" i="1" a="1"/>
  <c r="M586" i="1" s="1"/>
  <c r="M587" i="1" a="1"/>
  <c r="M587" i="1"/>
  <c r="M588" i="1" a="1"/>
  <c r="M588" i="1"/>
  <c r="M589" i="1" a="1"/>
  <c r="M589" i="1"/>
  <c r="M590" i="1" a="1"/>
  <c r="M590" i="1" s="1"/>
  <c r="M591" i="1" a="1"/>
  <c r="M591" i="1" s="1"/>
  <c r="M592" i="1" a="1"/>
  <c r="M592" i="1" s="1"/>
  <c r="M593" i="1" a="1"/>
  <c r="M593" i="1" s="1"/>
  <c r="M594" i="1" a="1"/>
  <c r="M594" i="1" s="1"/>
  <c r="M595" i="1" a="1"/>
  <c r="M595" i="1"/>
  <c r="M596" i="1" a="1"/>
  <c r="M596" i="1"/>
  <c r="M597" i="1" a="1"/>
  <c r="M597" i="1"/>
  <c r="M598" i="1" a="1"/>
  <c r="M598" i="1" s="1"/>
  <c r="M599" i="1" a="1"/>
  <c r="M599" i="1" s="1"/>
  <c r="M600" i="1" a="1"/>
  <c r="M600" i="1" s="1"/>
  <c r="M601" i="1" a="1"/>
  <c r="M601" i="1" s="1"/>
  <c r="M602" i="1" a="1"/>
  <c r="M602" i="1" s="1"/>
  <c r="M603" i="1" a="1"/>
  <c r="M603" i="1"/>
  <c r="M604" i="1" a="1"/>
  <c r="M604" i="1"/>
  <c r="M605" i="1" a="1"/>
  <c r="M605" i="1"/>
  <c r="M606" i="1" a="1"/>
  <c r="M606" i="1" s="1"/>
  <c r="M607" i="1" a="1"/>
  <c r="M607" i="1" s="1"/>
  <c r="M608" i="1" a="1"/>
  <c r="M608" i="1" s="1"/>
  <c r="M609" i="1" a="1"/>
  <c r="M609" i="1" s="1"/>
  <c r="M610" i="1" a="1"/>
  <c r="M610" i="1" s="1"/>
  <c r="M611" i="1" a="1"/>
  <c r="M611" i="1"/>
  <c r="M612" i="1" a="1"/>
  <c r="M612" i="1"/>
  <c r="M613" i="1" a="1"/>
  <c r="M613" i="1"/>
  <c r="M614" i="1" a="1"/>
  <c r="M614" i="1" s="1"/>
  <c r="M615" i="1" a="1"/>
  <c r="M615" i="1" s="1"/>
  <c r="M616" i="1" a="1"/>
  <c r="M616" i="1" s="1"/>
  <c r="M617" i="1" a="1"/>
  <c r="M617" i="1" s="1"/>
  <c r="M618" i="1" a="1"/>
  <c r="M618" i="1" s="1"/>
  <c r="M619" i="1" a="1"/>
  <c r="M619" i="1"/>
  <c r="M620" i="1" a="1"/>
  <c r="M620" i="1"/>
  <c r="M621" i="1" a="1"/>
  <c r="M621" i="1"/>
  <c r="M622" i="1" a="1"/>
  <c r="M622" i="1" s="1"/>
  <c r="M623" i="1" a="1"/>
  <c r="M623" i="1"/>
  <c r="M624" i="1" a="1"/>
  <c r="M624" i="1" s="1"/>
  <c r="M625" i="1" a="1"/>
  <c r="M625" i="1" s="1"/>
  <c r="M626" i="1" a="1"/>
  <c r="M626" i="1" s="1"/>
  <c r="M627" i="1" a="1"/>
  <c r="M627" i="1"/>
  <c r="M628" i="1" a="1"/>
  <c r="M628" i="1"/>
  <c r="M629" i="1" a="1"/>
  <c r="M629" i="1"/>
  <c r="M630" i="1" a="1"/>
  <c r="M630" i="1" s="1"/>
  <c r="M631" i="1" a="1"/>
  <c r="M631" i="1" s="1"/>
  <c r="M632" i="1" a="1"/>
  <c r="M632" i="1"/>
  <c r="M633" i="1" a="1"/>
  <c r="M633" i="1" s="1"/>
  <c r="M634" i="1" a="1"/>
  <c r="M634" i="1" s="1"/>
  <c r="M635" i="1" a="1"/>
  <c r="M635" i="1"/>
  <c r="M636" i="1" a="1"/>
  <c r="M636" i="1"/>
  <c r="M637" i="1" a="1"/>
  <c r="M637" i="1"/>
  <c r="M638" i="1" a="1"/>
  <c r="M638" i="1" s="1"/>
  <c r="M639" i="1" a="1"/>
  <c r="M639" i="1" s="1"/>
  <c r="M640" i="1" a="1"/>
  <c r="M640" i="1" s="1"/>
  <c r="M641" i="1" a="1"/>
  <c r="M641" i="1"/>
  <c r="M642" i="1" a="1"/>
  <c r="M642" i="1" s="1"/>
  <c r="M643" i="1" a="1"/>
  <c r="M643" i="1"/>
  <c r="M644" i="1" a="1"/>
  <c r="M644" i="1"/>
  <c r="M645" i="1" a="1"/>
  <c r="M645" i="1"/>
  <c r="M646" i="1" a="1"/>
  <c r="M646" i="1" s="1"/>
  <c r="M647" i="1" a="1"/>
  <c r="M647" i="1" s="1"/>
  <c r="M648" i="1" a="1"/>
  <c r="M648" i="1" s="1"/>
  <c r="M649" i="1" a="1"/>
  <c r="M649" i="1" s="1"/>
  <c r="M650" i="1" a="1"/>
  <c r="M650" i="1" s="1"/>
  <c r="M651" i="1" a="1"/>
  <c r="M651" i="1"/>
  <c r="M652" i="1" a="1"/>
  <c r="M652" i="1"/>
  <c r="M653" i="1" a="1"/>
  <c r="M653" i="1"/>
  <c r="M654" i="1" a="1"/>
  <c r="M654" i="1" s="1"/>
  <c r="M655" i="1" a="1"/>
  <c r="M655" i="1"/>
  <c r="M656" i="1" a="1"/>
  <c r="M656" i="1" s="1"/>
  <c r="M657" i="1" a="1"/>
  <c r="M657" i="1" s="1"/>
  <c r="M658" i="1" a="1"/>
  <c r="M658" i="1" s="1"/>
  <c r="M659" i="1" a="1"/>
  <c r="M659" i="1"/>
  <c r="M660" i="1" a="1"/>
  <c r="M660" i="1"/>
  <c r="M661" i="1" a="1"/>
  <c r="M661" i="1"/>
  <c r="M662" i="1" a="1"/>
  <c r="M662" i="1" s="1"/>
  <c r="M663" i="1" a="1"/>
  <c r="M663" i="1" s="1"/>
  <c r="M664" i="1" a="1"/>
  <c r="M664" i="1"/>
  <c r="M665" i="1" a="1"/>
  <c r="M665" i="1" s="1"/>
  <c r="M666" i="1" a="1"/>
  <c r="M666" i="1" s="1"/>
  <c r="M667" i="1" a="1"/>
  <c r="M667" i="1" s="1"/>
  <c r="M668" i="1" a="1"/>
  <c r="M668" i="1" s="1"/>
  <c r="M669" i="1" a="1"/>
  <c r="M669" i="1" s="1"/>
  <c r="M670" i="1" a="1"/>
  <c r="M670" i="1" s="1"/>
  <c r="M671" i="1" a="1"/>
  <c r="M671" i="1" s="1"/>
  <c r="M672" i="1" a="1"/>
  <c r="M672" i="1" s="1"/>
  <c r="M673" i="1" a="1"/>
  <c r="M673" i="1" s="1"/>
  <c r="M674" i="1" a="1"/>
  <c r="M674" i="1" s="1"/>
  <c r="M675" i="1" a="1"/>
  <c r="M675" i="1" s="1"/>
  <c r="M676" i="1" a="1"/>
  <c r="M676" i="1" s="1"/>
  <c r="M677" i="1" a="1"/>
  <c r="M677" i="1" s="1"/>
  <c r="M678" i="1" a="1"/>
  <c r="M678" i="1" s="1"/>
  <c r="M679" i="1" a="1"/>
  <c r="M679" i="1" s="1"/>
  <c r="M680" i="1" a="1"/>
  <c r="M680" i="1" s="1"/>
  <c r="M681" i="1" a="1"/>
  <c r="M681" i="1" s="1"/>
  <c r="M682" i="1" a="1"/>
  <c r="M682" i="1" s="1"/>
  <c r="M683" i="1" a="1"/>
  <c r="M683" i="1" s="1"/>
  <c r="M684" i="1" a="1"/>
  <c r="M684" i="1" s="1"/>
  <c r="M685" i="1" a="1"/>
  <c r="M685" i="1" s="1"/>
  <c r="M686" i="1" a="1"/>
  <c r="M686" i="1" s="1"/>
  <c r="M687" i="1" a="1"/>
  <c r="M687" i="1" s="1"/>
  <c r="M688" i="1" a="1"/>
  <c r="M688" i="1" s="1"/>
  <c r="M689" i="1" a="1"/>
  <c r="M689" i="1" s="1"/>
  <c r="M690" i="1" a="1"/>
  <c r="M690" i="1" s="1"/>
  <c r="M691" i="1" a="1"/>
  <c r="M691" i="1" s="1"/>
  <c r="M692" i="1" a="1"/>
  <c r="M692" i="1" s="1"/>
  <c r="M693" i="1" a="1"/>
  <c r="M693" i="1" s="1"/>
  <c r="M694" i="1" a="1"/>
  <c r="M694" i="1" s="1"/>
  <c r="M695" i="1" a="1"/>
  <c r="M695" i="1" s="1"/>
  <c r="M696" i="1" a="1"/>
  <c r="M696" i="1" s="1"/>
  <c r="M697" i="1" a="1"/>
  <c r="M697" i="1" s="1"/>
  <c r="M698" i="1" a="1"/>
  <c r="M698" i="1" s="1"/>
  <c r="M699" i="1" a="1"/>
  <c r="M699" i="1" s="1"/>
  <c r="M700" i="1" a="1"/>
  <c r="M700" i="1" s="1"/>
  <c r="M701" i="1" a="1"/>
  <c r="M701" i="1" s="1"/>
  <c r="M702" i="1" a="1"/>
  <c r="M702" i="1" s="1"/>
  <c r="M703" i="1" a="1"/>
  <c r="M703" i="1" s="1"/>
  <c r="M704" i="1" a="1"/>
  <c r="M704" i="1" s="1"/>
  <c r="M705" i="1" a="1"/>
  <c r="M705" i="1" s="1"/>
  <c r="M706" i="1" a="1"/>
  <c r="M706" i="1" s="1"/>
  <c r="M707" i="1" a="1"/>
  <c r="M707" i="1" s="1"/>
  <c r="M708" i="1" a="1"/>
  <c r="M708" i="1" s="1"/>
  <c r="M709" i="1" a="1"/>
  <c r="M709" i="1" s="1"/>
  <c r="M710" i="1" a="1"/>
  <c r="M710" i="1" s="1"/>
  <c r="M711" i="1" a="1"/>
  <c r="M711" i="1" s="1"/>
  <c r="M712" i="1" a="1"/>
  <c r="M712" i="1" s="1"/>
  <c r="M713" i="1" a="1"/>
  <c r="M713" i="1" s="1"/>
  <c r="M714" i="1" a="1"/>
  <c r="M714" i="1" s="1"/>
  <c r="M715" i="1" a="1"/>
  <c r="M715" i="1" s="1"/>
  <c r="M716" i="1" a="1"/>
  <c r="M716" i="1" s="1"/>
  <c r="M2" i="1" a="1"/>
  <c r="M2" i="1"/>
  <c r="S610" i="1" a="1"/>
  <c r="S610" i="1"/>
  <c r="D596" i="1" a="1"/>
  <c r="D596" i="1"/>
  <c r="D597" i="1" a="1"/>
  <c r="D597" i="1"/>
  <c r="D598" i="1" a="1"/>
  <c r="D598" i="1"/>
  <c r="D599" i="1" a="1"/>
  <c r="D599" i="1"/>
  <c r="D600" i="1" a="1"/>
  <c r="D600" i="1"/>
  <c r="D601" i="1" a="1"/>
  <c r="D601" i="1"/>
  <c r="D602" i="1" a="1"/>
  <c r="D602" i="1"/>
  <c r="D603" i="1" a="1"/>
  <c r="D603" i="1"/>
  <c r="D604" i="1" a="1"/>
  <c r="D604" i="1"/>
  <c r="D605" i="1" a="1"/>
  <c r="D605" i="1"/>
  <c r="D606" i="1" a="1"/>
  <c r="D606" i="1"/>
  <c r="D607" i="1" a="1"/>
  <c r="D607" i="1"/>
  <c r="D608" i="1" a="1"/>
  <c r="D608" i="1"/>
  <c r="D609" i="1" a="1"/>
  <c r="D609" i="1"/>
  <c r="D610" i="1" a="1"/>
  <c r="D610" i="1"/>
  <c r="D611" i="1" a="1"/>
  <c r="D611" i="1"/>
  <c r="D612" i="1" a="1"/>
  <c r="D612" i="1"/>
  <c r="D613" i="1" a="1"/>
  <c r="D613" i="1"/>
  <c r="D614" i="1" a="1"/>
  <c r="D614" i="1"/>
  <c r="D615" i="1" a="1"/>
  <c r="D615" i="1"/>
  <c r="D616" i="1" a="1"/>
  <c r="D616" i="1"/>
  <c r="D617" i="1" a="1"/>
  <c r="D617" i="1"/>
  <c r="D618" i="1" a="1"/>
  <c r="D618" i="1"/>
  <c r="D619" i="1" a="1"/>
  <c r="D619" i="1"/>
  <c r="D620" i="1" a="1"/>
  <c r="D620" i="1"/>
  <c r="D621" i="1" a="1"/>
  <c r="D621" i="1"/>
  <c r="D622" i="1" a="1"/>
  <c r="D622" i="1"/>
  <c r="D623" i="1" a="1"/>
  <c r="D623" i="1"/>
  <c r="D624" i="1" a="1"/>
  <c r="D624" i="1"/>
  <c r="D625" i="1" a="1"/>
  <c r="D625" i="1"/>
  <c r="D626" i="1" a="1"/>
  <c r="D626" i="1"/>
  <c r="D627" i="1" a="1"/>
  <c r="D627" i="1"/>
  <c r="D628" i="1" a="1"/>
  <c r="D628" i="1"/>
  <c r="D629" i="1" a="1"/>
  <c r="D629" i="1"/>
  <c r="D630" i="1" a="1"/>
  <c r="D630" i="1"/>
  <c r="D631" i="1" a="1"/>
  <c r="D631" i="1"/>
  <c r="D632" i="1" a="1"/>
  <c r="D632" i="1"/>
  <c r="D633" i="1" a="1"/>
  <c r="D633" i="1"/>
  <c r="D634" i="1" a="1"/>
  <c r="D634" i="1"/>
  <c r="D635" i="1" a="1"/>
  <c r="D635" i="1"/>
  <c r="D636" i="1" a="1"/>
  <c r="D636" i="1"/>
  <c r="D637" i="1" a="1"/>
  <c r="D637" i="1"/>
  <c r="D638" i="1" a="1"/>
  <c r="D638" i="1"/>
  <c r="D639" i="1" a="1"/>
  <c r="D639" i="1"/>
  <c r="D640" i="1" a="1"/>
  <c r="D640" i="1"/>
  <c r="D641" i="1" a="1"/>
  <c r="D641" i="1"/>
  <c r="D642" i="1" a="1"/>
  <c r="D642" i="1"/>
  <c r="D643" i="1" a="1"/>
  <c r="D643" i="1"/>
  <c r="D644" i="1" a="1"/>
  <c r="D644" i="1"/>
  <c r="D645" i="1" a="1"/>
  <c r="D645" i="1"/>
  <c r="D646" i="1" a="1"/>
  <c r="D646" i="1"/>
  <c r="D647" i="1" a="1"/>
  <c r="D647" i="1"/>
  <c r="D648" i="1" a="1"/>
  <c r="D648" i="1"/>
  <c r="D649" i="1" a="1"/>
  <c r="D649" i="1"/>
  <c r="D650" i="1" a="1"/>
  <c r="D650" i="1"/>
  <c r="D651" i="1" a="1"/>
  <c r="D651" i="1"/>
  <c r="D652" i="1" a="1"/>
  <c r="D652" i="1"/>
  <c r="D653" i="1" a="1"/>
  <c r="D653" i="1"/>
  <c r="D654" i="1" a="1"/>
  <c r="D654" i="1"/>
  <c r="D655" i="1" a="1"/>
  <c r="D655" i="1"/>
  <c r="D656" i="1" a="1"/>
  <c r="D656" i="1"/>
  <c r="D657" i="1" a="1"/>
  <c r="D657" i="1"/>
  <c r="D658" i="1" a="1"/>
  <c r="D658" i="1"/>
  <c r="D659" i="1" a="1"/>
  <c r="D659" i="1"/>
  <c r="D660" i="1" a="1"/>
  <c r="D660" i="1"/>
  <c r="D661" i="1" a="1"/>
  <c r="D661" i="1"/>
  <c r="D662" i="1" a="1"/>
  <c r="D662" i="1"/>
  <c r="D663" i="1" a="1"/>
  <c r="D663" i="1"/>
  <c r="D664" i="1" a="1"/>
  <c r="D664" i="1"/>
  <c r="D665" i="1" a="1"/>
  <c r="D665" i="1"/>
  <c r="D666" i="1" a="1"/>
  <c r="D666" i="1"/>
  <c r="D667" i="1" a="1"/>
  <c r="D667" i="1"/>
  <c r="D668" i="1" a="1"/>
  <c r="D668" i="1"/>
  <c r="D669" i="1" a="1"/>
  <c r="D669" i="1"/>
  <c r="D670" i="1" a="1"/>
  <c r="D670" i="1"/>
  <c r="D671" i="1" a="1"/>
  <c r="D671" i="1"/>
  <c r="D672" i="1" a="1"/>
  <c r="D672" i="1"/>
  <c r="D673" i="1" a="1"/>
  <c r="D673" i="1"/>
  <c r="D674" i="1" a="1"/>
  <c r="D674" i="1"/>
  <c r="D675" i="1" a="1"/>
  <c r="D675" i="1"/>
  <c r="D676" i="1" a="1"/>
  <c r="D676" i="1"/>
  <c r="D677" i="1" a="1"/>
  <c r="D677" i="1"/>
  <c r="D678" i="1" a="1"/>
  <c r="D678" i="1"/>
  <c r="D679" i="1" a="1"/>
  <c r="D679" i="1"/>
  <c r="D680" i="1" a="1"/>
  <c r="D680" i="1"/>
  <c r="D681" i="1" a="1"/>
  <c r="D681" i="1"/>
  <c r="D682" i="1" a="1"/>
  <c r="D682" i="1"/>
  <c r="D683" i="1" a="1"/>
  <c r="D683" i="1"/>
  <c r="D684" i="1" a="1"/>
  <c r="D684" i="1"/>
  <c r="D685" i="1" a="1"/>
  <c r="D685" i="1"/>
  <c r="D686" i="1" a="1"/>
  <c r="D686" i="1"/>
  <c r="D687" i="1" a="1"/>
  <c r="D687" i="1"/>
  <c r="D688" i="1" a="1"/>
  <c r="D688" i="1"/>
  <c r="D689" i="1" a="1"/>
  <c r="D689" i="1"/>
  <c r="D690" i="1" a="1"/>
  <c r="D690" i="1"/>
  <c r="D691" i="1" a="1"/>
  <c r="D691" i="1"/>
  <c r="D692" i="1" a="1"/>
  <c r="D692" i="1"/>
  <c r="D693" i="1" a="1"/>
  <c r="D693" i="1"/>
  <c r="D694" i="1" a="1"/>
  <c r="D694" i="1"/>
  <c r="D695" i="1" a="1"/>
  <c r="D695" i="1"/>
  <c r="D696" i="1" a="1"/>
  <c r="D696" i="1"/>
  <c r="D697" i="1" a="1"/>
  <c r="D697" i="1"/>
  <c r="D698" i="1" a="1"/>
  <c r="D698" i="1"/>
  <c r="D699" i="1" a="1"/>
  <c r="D699" i="1"/>
  <c r="D700" i="1" a="1"/>
  <c r="D700" i="1"/>
  <c r="D701" i="1" a="1"/>
  <c r="D701" i="1"/>
  <c r="D702" i="1" a="1"/>
  <c r="D702" i="1"/>
  <c r="D703" i="1" a="1"/>
  <c r="D703" i="1"/>
  <c r="D704" i="1" a="1"/>
  <c r="D704" i="1"/>
  <c r="D705" i="1" a="1"/>
  <c r="D705" i="1"/>
  <c r="D706" i="1" a="1"/>
  <c r="D706" i="1"/>
  <c r="D707" i="1" a="1"/>
  <c r="D707" i="1"/>
  <c r="D708" i="1" a="1"/>
  <c r="D708" i="1"/>
  <c r="D709" i="1" a="1"/>
  <c r="D709" i="1"/>
  <c r="D710" i="1" a="1"/>
  <c r="D710" i="1"/>
  <c r="D711" i="1" a="1"/>
  <c r="D711" i="1"/>
  <c r="D712" i="1" a="1"/>
  <c r="D712" i="1"/>
  <c r="D713" i="1" a="1"/>
  <c r="D713" i="1"/>
  <c r="D714" i="1" a="1"/>
  <c r="D714" i="1"/>
  <c r="D715" i="1" a="1"/>
  <c r="D715" i="1"/>
  <c r="D716" i="1" a="1"/>
  <c r="D716" i="1"/>
  <c r="D360" i="1" a="1"/>
  <c r="D360" i="1"/>
  <c r="D361" i="1" a="1"/>
  <c r="D361" i="1"/>
  <c r="D362" i="1" a="1"/>
  <c r="D362" i="1"/>
  <c r="D363" i="1" a="1"/>
  <c r="D363" i="1"/>
  <c r="D364" i="1" a="1"/>
  <c r="D364" i="1"/>
  <c r="D365" i="1" a="1"/>
  <c r="D365" i="1"/>
  <c r="D366" i="1" a="1"/>
  <c r="D366" i="1"/>
  <c r="D367" i="1" a="1"/>
  <c r="D367" i="1"/>
  <c r="D368" i="1" a="1"/>
  <c r="D368" i="1"/>
  <c r="D369" i="1" a="1"/>
  <c r="D369" i="1"/>
  <c r="D370" i="1" a="1"/>
  <c r="D370" i="1"/>
  <c r="D371" i="1" a="1"/>
  <c r="D371" i="1"/>
  <c r="D372" i="1" a="1"/>
  <c r="D372" i="1"/>
  <c r="D373" i="1" a="1"/>
  <c r="D373" i="1"/>
  <c r="D374" i="1" a="1"/>
  <c r="D374" i="1"/>
  <c r="D375" i="1" a="1"/>
  <c r="D375" i="1"/>
  <c r="D376" i="1" a="1"/>
  <c r="D376" i="1"/>
  <c r="D377" i="1" a="1"/>
  <c r="D377" i="1"/>
  <c r="D378" i="1" a="1"/>
  <c r="D378" i="1"/>
  <c r="D379" i="1" a="1"/>
  <c r="D379" i="1"/>
  <c r="D380" i="1" a="1"/>
  <c r="D380" i="1"/>
  <c r="D381" i="1" a="1"/>
  <c r="D381" i="1"/>
  <c r="D382" i="1" a="1"/>
  <c r="D382" i="1"/>
  <c r="D383" i="1" a="1"/>
  <c r="D383" i="1"/>
  <c r="D384" i="1" a="1"/>
  <c r="D384" i="1"/>
  <c r="D385" i="1" a="1"/>
  <c r="D385" i="1"/>
  <c r="D386" i="1" a="1"/>
  <c r="D386" i="1"/>
  <c r="D387" i="1" a="1"/>
  <c r="D387" i="1"/>
  <c r="D388" i="1" a="1"/>
  <c r="D388" i="1"/>
  <c r="D389" i="1" a="1"/>
  <c r="D389" i="1"/>
  <c r="D390" i="1" a="1"/>
  <c r="D390" i="1"/>
  <c r="D391" i="1" a="1"/>
  <c r="D391" i="1"/>
  <c r="D392" i="1" a="1"/>
  <c r="D392" i="1"/>
  <c r="D393" i="1" a="1"/>
  <c r="D393" i="1"/>
  <c r="D394" i="1" a="1"/>
  <c r="D394" i="1"/>
  <c r="D395" i="1" a="1"/>
  <c r="D395" i="1"/>
  <c r="D396" i="1" a="1"/>
  <c r="D396" i="1"/>
  <c r="D397" i="1" a="1"/>
  <c r="D397" i="1"/>
  <c r="D398" i="1" a="1"/>
  <c r="D398" i="1"/>
  <c r="D399" i="1" a="1"/>
  <c r="D399" i="1"/>
  <c r="D400" i="1" a="1"/>
  <c r="D400" i="1"/>
  <c r="D401" i="1" a="1"/>
  <c r="D401" i="1"/>
  <c r="D402" i="1" a="1"/>
  <c r="D402" i="1"/>
  <c r="D403" i="1" a="1"/>
  <c r="D403" i="1"/>
  <c r="D404" i="1" a="1"/>
  <c r="D404" i="1"/>
  <c r="D405" i="1" a="1"/>
  <c r="D405" i="1"/>
  <c r="D406" i="1" a="1"/>
  <c r="D406" i="1"/>
  <c r="D407" i="1" a="1"/>
  <c r="D407" i="1"/>
  <c r="D408" i="1" a="1"/>
  <c r="D408" i="1"/>
  <c r="D409" i="1" a="1"/>
  <c r="D409" i="1"/>
  <c r="D410" i="1" a="1"/>
  <c r="D410" i="1"/>
  <c r="D411" i="1" a="1"/>
  <c r="D411" i="1"/>
  <c r="D412" i="1" a="1"/>
  <c r="D412" i="1"/>
  <c r="D413" i="1" a="1"/>
  <c r="D413" i="1"/>
  <c r="D414" i="1" a="1"/>
  <c r="D414" i="1"/>
  <c r="D415" i="1" a="1"/>
  <c r="D415" i="1"/>
  <c r="D416" i="1" a="1"/>
  <c r="D416" i="1"/>
  <c r="D417" i="1" a="1"/>
  <c r="D417" i="1"/>
  <c r="D418" i="1" a="1"/>
  <c r="D418" i="1"/>
  <c r="D419" i="1" a="1"/>
  <c r="D419" i="1"/>
  <c r="D420" i="1" a="1"/>
  <c r="D420" i="1"/>
  <c r="D421" i="1" a="1"/>
  <c r="D421" i="1"/>
  <c r="D422" i="1" a="1"/>
  <c r="D422" i="1"/>
  <c r="D423" i="1" a="1"/>
  <c r="D423" i="1"/>
  <c r="D424" i="1" a="1"/>
  <c r="D424" i="1"/>
  <c r="D425" i="1" a="1"/>
  <c r="D425" i="1"/>
  <c r="D426" i="1" a="1"/>
  <c r="D426" i="1"/>
  <c r="D427" i="1" a="1"/>
  <c r="D427" i="1"/>
  <c r="D428" i="1" a="1"/>
  <c r="D428" i="1"/>
  <c r="D429" i="1" a="1"/>
  <c r="D429" i="1"/>
  <c r="D430" i="1" a="1"/>
  <c r="D430" i="1"/>
  <c r="D431" i="1" a="1"/>
  <c r="D431" i="1"/>
  <c r="D432" i="1" a="1"/>
  <c r="D432" i="1"/>
  <c r="D433" i="1" a="1"/>
  <c r="D433" i="1"/>
  <c r="D434" i="1" a="1"/>
  <c r="D434" i="1"/>
  <c r="D435" i="1" a="1"/>
  <c r="D435" i="1"/>
  <c r="D436" i="1" a="1"/>
  <c r="D436" i="1"/>
  <c r="D437" i="1" a="1"/>
  <c r="D437" i="1"/>
  <c r="D438" i="1" a="1"/>
  <c r="D438" i="1"/>
  <c r="D439" i="1" a="1"/>
  <c r="D439" i="1"/>
  <c r="D440" i="1" a="1"/>
  <c r="D440" i="1"/>
  <c r="D441" i="1" a="1"/>
  <c r="D441" i="1"/>
  <c r="D442" i="1" a="1"/>
  <c r="D442" i="1"/>
  <c r="D443" i="1" a="1"/>
  <c r="D443" i="1"/>
  <c r="D444" i="1" a="1"/>
  <c r="D444" i="1"/>
  <c r="D445" i="1" a="1"/>
  <c r="D445" i="1"/>
  <c r="D446" i="1" a="1"/>
  <c r="D446" i="1"/>
  <c r="D447" i="1" a="1"/>
  <c r="D447" i="1" s="1"/>
  <c r="D448" i="1" a="1"/>
  <c r="D448" i="1" s="1"/>
  <c r="D449" i="1" a="1"/>
  <c r="D449" i="1" s="1"/>
  <c r="D450" i="1" a="1"/>
  <c r="D450" i="1" s="1"/>
  <c r="D451" i="1" a="1"/>
  <c r="D451" i="1" s="1"/>
  <c r="D452" i="1" a="1"/>
  <c r="D452" i="1" s="1"/>
  <c r="D453" i="1" a="1"/>
  <c r="D453" i="1" s="1"/>
  <c r="D454" i="1" a="1"/>
  <c r="D454" i="1" s="1"/>
  <c r="D455" i="1" a="1"/>
  <c r="D455" i="1" s="1"/>
  <c r="D456" i="1" a="1"/>
  <c r="D456" i="1" s="1"/>
  <c r="D457" i="1" a="1"/>
  <c r="D457" i="1" s="1"/>
  <c r="D458" i="1" a="1"/>
  <c r="D458" i="1" s="1"/>
  <c r="D459" i="1" a="1"/>
  <c r="D459" i="1" s="1"/>
  <c r="D460" i="1" a="1"/>
  <c r="D460" i="1" s="1"/>
  <c r="D461" i="1" a="1"/>
  <c r="D461" i="1" s="1"/>
  <c r="D462" i="1" a="1"/>
  <c r="D462" i="1" s="1"/>
  <c r="D463" i="1" a="1"/>
  <c r="D463" i="1" s="1"/>
  <c r="D464" i="1" a="1"/>
  <c r="D464" i="1" s="1"/>
  <c r="D465" i="1" a="1"/>
  <c r="D465" i="1" s="1"/>
  <c r="D466" i="1" a="1"/>
  <c r="D466" i="1" s="1"/>
  <c r="D467" i="1" a="1"/>
  <c r="D467" i="1" s="1"/>
  <c r="D468" i="1" a="1"/>
  <c r="D468" i="1" s="1"/>
  <c r="D469" i="1" a="1"/>
  <c r="D469" i="1" s="1"/>
  <c r="D470" i="1" a="1"/>
  <c r="D470" i="1" s="1"/>
  <c r="D471" i="1" a="1"/>
  <c r="D471" i="1" s="1"/>
  <c r="D472" i="1" a="1"/>
  <c r="D472" i="1" s="1"/>
  <c r="D473" i="1" a="1"/>
  <c r="D473" i="1" s="1"/>
  <c r="D474" i="1" a="1"/>
  <c r="D474" i="1" s="1"/>
  <c r="D475" i="1" a="1"/>
  <c r="D475" i="1" s="1"/>
  <c r="D476" i="1" a="1"/>
  <c r="D476" i="1" s="1"/>
  <c r="D477" i="1" a="1"/>
  <c r="D477" i="1" s="1"/>
  <c r="D478" i="1" a="1"/>
  <c r="D478" i="1" s="1"/>
  <c r="D479" i="1" a="1"/>
  <c r="D479" i="1" s="1"/>
  <c r="D480" i="1" a="1"/>
  <c r="D480" i="1" s="1"/>
  <c r="D481" i="1" a="1"/>
  <c r="D481" i="1" s="1"/>
  <c r="D482" i="1" a="1"/>
  <c r="D482" i="1" s="1"/>
  <c r="D483" i="1" a="1"/>
  <c r="D483" i="1" s="1"/>
  <c r="D484" i="1" a="1"/>
  <c r="D484" i="1" s="1"/>
  <c r="D485" i="1" a="1"/>
  <c r="D485" i="1" s="1"/>
  <c r="D486" i="1" a="1"/>
  <c r="D486" i="1" s="1"/>
  <c r="D487" i="1" a="1"/>
  <c r="D487" i="1" s="1"/>
  <c r="D488" i="1" a="1"/>
  <c r="D488" i="1" s="1"/>
  <c r="D489" i="1" a="1"/>
  <c r="D489" i="1" s="1"/>
  <c r="D490" i="1" a="1"/>
  <c r="D490" i="1" s="1"/>
  <c r="D491" i="1" a="1"/>
  <c r="D491" i="1" s="1"/>
  <c r="D492" i="1" a="1"/>
  <c r="D492" i="1" s="1"/>
  <c r="D493" i="1" a="1"/>
  <c r="D493" i="1" s="1"/>
  <c r="D494" i="1" a="1"/>
  <c r="D494" i="1" s="1"/>
  <c r="D495" i="1" a="1"/>
  <c r="D495" i="1" s="1"/>
  <c r="D496" i="1" a="1"/>
  <c r="D496" i="1" s="1"/>
  <c r="D497" i="1" a="1"/>
  <c r="D497" i="1" s="1"/>
  <c r="D498" i="1" a="1"/>
  <c r="D498" i="1" s="1"/>
  <c r="D499" i="1" a="1"/>
  <c r="D499" i="1" s="1"/>
  <c r="D500" i="1" a="1"/>
  <c r="D500" i="1" s="1"/>
  <c r="D501" i="1" a="1"/>
  <c r="D501" i="1" s="1"/>
  <c r="D502" i="1" a="1"/>
  <c r="D502" i="1" s="1"/>
  <c r="D503" i="1" a="1"/>
  <c r="D503" i="1" s="1"/>
  <c r="D504" i="1" a="1"/>
  <c r="D504" i="1" s="1"/>
  <c r="D505" i="1" a="1"/>
  <c r="D505" i="1" s="1"/>
  <c r="D506" i="1" a="1"/>
  <c r="D506" i="1" s="1"/>
  <c r="D507" i="1" a="1"/>
  <c r="D507" i="1" s="1"/>
  <c r="D508" i="1" a="1"/>
  <c r="D508" i="1" s="1"/>
  <c r="D509" i="1" a="1"/>
  <c r="D509" i="1" s="1"/>
  <c r="D510" i="1" a="1"/>
  <c r="D510" i="1" s="1"/>
  <c r="D511" i="1" a="1"/>
  <c r="D511" i="1" s="1"/>
  <c r="D512" i="1" a="1"/>
  <c r="D512" i="1" s="1"/>
  <c r="D513" i="1" a="1"/>
  <c r="D513" i="1" s="1"/>
  <c r="D514" i="1" a="1"/>
  <c r="D514" i="1" s="1"/>
  <c r="D515" i="1" a="1"/>
  <c r="D515" i="1" s="1"/>
  <c r="D516" i="1" a="1"/>
  <c r="D516" i="1" s="1"/>
  <c r="D517" i="1" a="1"/>
  <c r="D517" i="1" s="1"/>
  <c r="D518" i="1" a="1"/>
  <c r="D518" i="1" s="1"/>
  <c r="D519" i="1" a="1"/>
  <c r="D519" i="1" s="1"/>
  <c r="D520" i="1" a="1"/>
  <c r="D520" i="1" s="1"/>
  <c r="D521" i="1" a="1"/>
  <c r="D521" i="1" s="1"/>
  <c r="D522" i="1" a="1"/>
  <c r="D522" i="1" s="1"/>
  <c r="D523" i="1" a="1"/>
  <c r="D523" i="1" s="1"/>
  <c r="D524" i="1" a="1"/>
  <c r="D524" i="1" s="1"/>
  <c r="D525" i="1" a="1"/>
  <c r="D525" i="1" s="1"/>
  <c r="D526" i="1" a="1"/>
  <c r="D526" i="1" s="1"/>
  <c r="D527" i="1" a="1"/>
  <c r="D527" i="1" s="1"/>
  <c r="D528" i="1" a="1"/>
  <c r="D528" i="1" s="1"/>
  <c r="D529" i="1" a="1"/>
  <c r="D529" i="1" s="1"/>
  <c r="D530" i="1" a="1"/>
  <c r="D530" i="1" s="1"/>
  <c r="D531" i="1" a="1"/>
  <c r="D531" i="1" s="1"/>
  <c r="D532" i="1" a="1"/>
  <c r="D532" i="1" s="1"/>
  <c r="D533" i="1" a="1"/>
  <c r="D533" i="1" s="1"/>
  <c r="D534" i="1" a="1"/>
  <c r="D534" i="1" s="1"/>
  <c r="D535" i="1" a="1"/>
  <c r="D535" i="1" s="1"/>
  <c r="D536" i="1" a="1"/>
  <c r="D536" i="1" s="1"/>
  <c r="D537" i="1" a="1"/>
  <c r="D537" i="1" s="1"/>
  <c r="D538" i="1" a="1"/>
  <c r="D538" i="1" s="1"/>
  <c r="D539" i="1" a="1"/>
  <c r="D539" i="1" s="1"/>
  <c r="D540" i="1" a="1"/>
  <c r="D540" i="1" s="1"/>
  <c r="D541" i="1" a="1"/>
  <c r="D541" i="1" s="1"/>
  <c r="D542" i="1" a="1"/>
  <c r="D542" i="1" s="1"/>
  <c r="D543" i="1" a="1"/>
  <c r="D543" i="1" s="1"/>
  <c r="D544" i="1" a="1"/>
  <c r="D544" i="1" s="1"/>
  <c r="D545" i="1" a="1"/>
  <c r="D545" i="1" s="1"/>
  <c r="D546" i="1" a="1"/>
  <c r="D546" i="1" s="1"/>
  <c r="D547" i="1" a="1"/>
  <c r="D547" i="1" s="1"/>
  <c r="D548" i="1" a="1"/>
  <c r="D548" i="1" s="1"/>
  <c r="D549" i="1" a="1"/>
  <c r="D549" i="1" s="1"/>
  <c r="D550" i="1" a="1"/>
  <c r="D550" i="1" s="1"/>
  <c r="D551" i="1" a="1"/>
  <c r="D551" i="1" s="1"/>
  <c r="D552" i="1" a="1"/>
  <c r="D552" i="1" s="1"/>
  <c r="D553" i="1" a="1"/>
  <c r="D553" i="1" s="1"/>
  <c r="D554" i="1" a="1"/>
  <c r="D554" i="1" s="1"/>
  <c r="D555" i="1" a="1"/>
  <c r="D555" i="1" s="1"/>
  <c r="D556" i="1" a="1"/>
  <c r="D556" i="1" s="1"/>
  <c r="D557" i="1" a="1"/>
  <c r="D557" i="1" s="1"/>
  <c r="D558" i="1" a="1"/>
  <c r="D558" i="1" s="1"/>
  <c r="D559" i="1" a="1"/>
  <c r="D559" i="1" s="1"/>
  <c r="D560" i="1" a="1"/>
  <c r="D560" i="1" s="1"/>
  <c r="D561" i="1" a="1"/>
  <c r="D561" i="1" s="1"/>
  <c r="D562" i="1" a="1"/>
  <c r="D562" i="1" s="1"/>
  <c r="D563" i="1" a="1"/>
  <c r="D563" i="1" s="1"/>
  <c r="D564" i="1" a="1"/>
  <c r="D564" i="1" s="1"/>
  <c r="D565" i="1" a="1"/>
  <c r="D565" i="1" s="1"/>
  <c r="D566" i="1" a="1"/>
  <c r="D566" i="1" s="1"/>
  <c r="D567" i="1" a="1"/>
  <c r="D567" i="1" s="1"/>
  <c r="D568" i="1" a="1"/>
  <c r="D568" i="1" s="1"/>
  <c r="D569" i="1" a="1"/>
  <c r="D569" i="1" s="1"/>
  <c r="D570" i="1" a="1"/>
  <c r="D570" i="1" s="1"/>
  <c r="D571" i="1" a="1"/>
  <c r="D571" i="1" s="1"/>
  <c r="D572" i="1" a="1"/>
  <c r="D572" i="1" s="1"/>
  <c r="D573" i="1" a="1"/>
  <c r="D573" i="1" s="1"/>
  <c r="D574" i="1" a="1"/>
  <c r="D574" i="1" s="1"/>
  <c r="D575" i="1" a="1"/>
  <c r="D575" i="1" s="1"/>
  <c r="D576" i="1" a="1"/>
  <c r="D576" i="1" s="1"/>
  <c r="D577" i="1" a="1"/>
  <c r="D577" i="1" s="1"/>
  <c r="D578" i="1" a="1"/>
  <c r="D578" i="1" s="1"/>
  <c r="D579" i="1" a="1"/>
  <c r="D579" i="1" s="1"/>
  <c r="D580" i="1" a="1"/>
  <c r="D580" i="1" s="1"/>
  <c r="D581" i="1" a="1"/>
  <c r="D581" i="1" s="1"/>
  <c r="D582" i="1" a="1"/>
  <c r="D582" i="1" s="1"/>
  <c r="D583" i="1" a="1"/>
  <c r="D583" i="1" s="1"/>
  <c r="D584" i="1" a="1"/>
  <c r="D584" i="1" s="1"/>
  <c r="D585" i="1" a="1"/>
  <c r="D585" i="1" s="1"/>
  <c r="D586" i="1" a="1"/>
  <c r="D586" i="1" s="1"/>
  <c r="D587" i="1" a="1"/>
  <c r="D587" i="1" s="1"/>
  <c r="D588" i="1" a="1"/>
  <c r="D588" i="1" s="1"/>
  <c r="D589" i="1" a="1"/>
  <c r="D589" i="1" s="1"/>
  <c r="D590" i="1" a="1"/>
  <c r="D590" i="1" s="1"/>
  <c r="D591" i="1" a="1"/>
  <c r="D591" i="1" s="1"/>
  <c r="D592" i="1" a="1"/>
  <c r="D592" i="1" s="1"/>
  <c r="D593" i="1" a="1"/>
  <c r="D593" i="1" s="1"/>
  <c r="D594" i="1" a="1"/>
  <c r="D594" i="1" s="1"/>
  <c r="D595" i="1" a="1"/>
  <c r="D595" i="1" s="1"/>
  <c r="D299" i="1" a="1"/>
  <c r="D299" i="1"/>
  <c r="D300" i="1" a="1"/>
  <c r="D300" i="1"/>
  <c r="D301" i="1" a="1"/>
  <c r="D301" i="1"/>
  <c r="D302" i="1" a="1"/>
  <c r="D302" i="1"/>
  <c r="D303" i="1" a="1"/>
  <c r="D303" i="1"/>
  <c r="D304" i="1" a="1"/>
  <c r="D304" i="1"/>
  <c r="D305" i="1" a="1"/>
  <c r="D305" i="1"/>
  <c r="D306" i="1" a="1"/>
  <c r="D306" i="1"/>
  <c r="D307" i="1" a="1"/>
  <c r="D307" i="1"/>
  <c r="D308" i="1" a="1"/>
  <c r="D308" i="1"/>
  <c r="D309" i="1" a="1"/>
  <c r="D309" i="1"/>
  <c r="D310" i="1" a="1"/>
  <c r="D310" i="1"/>
  <c r="D311" i="1" a="1"/>
  <c r="D311" i="1"/>
  <c r="D312" i="1" a="1"/>
  <c r="D312" i="1"/>
  <c r="D313" i="1" a="1"/>
  <c r="D313" i="1"/>
  <c r="D314" i="1" a="1"/>
  <c r="D314" i="1"/>
  <c r="D315" i="1" a="1"/>
  <c r="D315" i="1"/>
  <c r="D316" i="1" a="1"/>
  <c r="D316" i="1"/>
  <c r="D317" i="1" a="1"/>
  <c r="D317" i="1"/>
  <c r="D318" i="1" a="1"/>
  <c r="D318" i="1"/>
  <c r="D319" i="1" a="1"/>
  <c r="D319" i="1"/>
  <c r="D320" i="1" a="1"/>
  <c r="D320" i="1"/>
  <c r="D321" i="1" a="1"/>
  <c r="D321" i="1"/>
  <c r="D322" i="1" a="1"/>
  <c r="D322" i="1"/>
  <c r="D323" i="1" a="1"/>
  <c r="D323" i="1"/>
  <c r="D324" i="1" a="1"/>
  <c r="D324" i="1"/>
  <c r="D325" i="1" a="1"/>
  <c r="D325" i="1"/>
  <c r="D326" i="1" a="1"/>
  <c r="D326" i="1"/>
  <c r="D327" i="1" a="1"/>
  <c r="D327" i="1"/>
  <c r="D328" i="1" a="1"/>
  <c r="D328" i="1"/>
  <c r="D329" i="1" a="1"/>
  <c r="D329" i="1"/>
  <c r="D330" i="1" a="1"/>
  <c r="D330" i="1"/>
  <c r="D331" i="1" a="1"/>
  <c r="D331" i="1"/>
  <c r="D332" i="1" a="1"/>
  <c r="D332" i="1"/>
  <c r="D333" i="1" a="1"/>
  <c r="D333" i="1"/>
  <c r="D334" i="1" a="1"/>
  <c r="D334" i="1"/>
  <c r="D335" i="1" a="1"/>
  <c r="D335" i="1"/>
  <c r="D336" i="1" a="1"/>
  <c r="D336" i="1"/>
  <c r="D337" i="1" a="1"/>
  <c r="D337" i="1"/>
  <c r="D338" i="1" a="1"/>
  <c r="D338" i="1"/>
  <c r="D339" i="1" a="1"/>
  <c r="D339" i="1"/>
  <c r="D340" i="1" a="1"/>
  <c r="D340" i="1"/>
  <c r="D341" i="1" a="1"/>
  <c r="D341" i="1"/>
  <c r="D342" i="1" a="1"/>
  <c r="D342" i="1"/>
  <c r="D343" i="1" a="1"/>
  <c r="D343" i="1"/>
  <c r="D344" i="1" a="1"/>
  <c r="D344" i="1"/>
  <c r="D345" i="1" a="1"/>
  <c r="D345" i="1"/>
  <c r="D346" i="1" a="1"/>
  <c r="D346" i="1"/>
  <c r="D347" i="1" a="1"/>
  <c r="D347" i="1"/>
  <c r="D348" i="1" a="1"/>
  <c r="D348" i="1"/>
  <c r="D349" i="1" a="1"/>
  <c r="D349" i="1"/>
  <c r="D350" i="1" a="1"/>
  <c r="D350" i="1"/>
  <c r="D351" i="1" a="1"/>
  <c r="D351" i="1"/>
  <c r="D352" i="1" a="1"/>
  <c r="D352" i="1"/>
  <c r="D353" i="1" a="1"/>
  <c r="D353" i="1"/>
  <c r="D354" i="1" a="1"/>
  <c r="D354" i="1"/>
  <c r="D355" i="1" a="1"/>
  <c r="D355" i="1"/>
  <c r="D356" i="1" a="1"/>
  <c r="D356" i="1"/>
  <c r="D357" i="1" a="1"/>
  <c r="D357" i="1"/>
  <c r="D358" i="1" a="1"/>
  <c r="D358" i="1"/>
  <c r="D359" i="1" a="1"/>
  <c r="D359" i="1" s="1"/>
  <c r="D267" i="1" a="1"/>
  <c r="D267" i="1" s="1"/>
  <c r="D268" i="1" a="1"/>
  <c r="D268" i="1" s="1"/>
  <c r="D269" i="1" a="1"/>
  <c r="D269" i="1" s="1"/>
  <c r="D270" i="1" a="1"/>
  <c r="D270" i="1" s="1"/>
  <c r="D271" i="1" a="1"/>
  <c r="D271" i="1" s="1"/>
  <c r="D272" i="1" a="1"/>
  <c r="D272" i="1" s="1"/>
  <c r="D273" i="1" a="1"/>
  <c r="D273" i="1" s="1"/>
  <c r="D274" i="1" a="1"/>
  <c r="D274" i="1" s="1"/>
  <c r="D275" i="1" a="1"/>
  <c r="D275" i="1" s="1"/>
  <c r="D276" i="1" a="1"/>
  <c r="D276" i="1" s="1"/>
  <c r="D277" i="1" a="1"/>
  <c r="D277" i="1" s="1"/>
  <c r="D278" i="1" a="1"/>
  <c r="D278" i="1" s="1"/>
  <c r="D279" i="1" a="1"/>
  <c r="D279" i="1" s="1"/>
  <c r="D280" i="1" a="1"/>
  <c r="D280" i="1" s="1"/>
  <c r="D281" i="1" a="1"/>
  <c r="D281" i="1" s="1"/>
  <c r="D282" i="1" a="1"/>
  <c r="D282" i="1" s="1"/>
  <c r="D283" i="1" a="1"/>
  <c r="D283" i="1" s="1"/>
  <c r="D284" i="1" a="1"/>
  <c r="D284" i="1" s="1"/>
  <c r="D285" i="1" a="1"/>
  <c r="D285" i="1" s="1"/>
  <c r="D286" i="1" a="1"/>
  <c r="D286" i="1" s="1"/>
  <c r="D287" i="1" a="1"/>
  <c r="D287" i="1" s="1"/>
  <c r="D288" i="1" a="1"/>
  <c r="D288" i="1" s="1"/>
  <c r="D289" i="1" a="1"/>
  <c r="D289" i="1" s="1"/>
  <c r="D290" i="1" a="1"/>
  <c r="D290" i="1" s="1"/>
  <c r="D291" i="1" a="1"/>
  <c r="D291" i="1" s="1"/>
  <c r="D292" i="1" a="1"/>
  <c r="D292" i="1" s="1"/>
  <c r="D293" i="1" a="1"/>
  <c r="D293" i="1" s="1"/>
  <c r="D294" i="1" a="1"/>
  <c r="D294" i="1" s="1"/>
  <c r="D295" i="1" a="1"/>
  <c r="D295" i="1" s="1"/>
  <c r="D296" i="1" a="1"/>
  <c r="D296" i="1" s="1"/>
  <c r="D297" i="1" a="1"/>
  <c r="D297" i="1" s="1"/>
  <c r="D298" i="1" a="1"/>
  <c r="D298" i="1" s="1"/>
  <c r="D241" i="1" a="1"/>
  <c r="D241" i="1"/>
  <c r="D242" i="1" a="1"/>
  <c r="D242" i="1"/>
  <c r="D243" i="1" a="1"/>
  <c r="D243" i="1"/>
  <c r="D244" i="1" a="1"/>
  <c r="D244" i="1"/>
  <c r="D245" i="1" a="1"/>
  <c r="D245" i="1"/>
  <c r="D246" i="1" a="1"/>
  <c r="D246" i="1"/>
  <c r="D247" i="1" a="1"/>
  <c r="D247" i="1"/>
  <c r="D248" i="1" a="1"/>
  <c r="D248" i="1"/>
  <c r="D249" i="1" a="1"/>
  <c r="D249" i="1"/>
  <c r="D250" i="1" a="1"/>
  <c r="D250" i="1"/>
  <c r="D251" i="1" a="1"/>
  <c r="D251" i="1"/>
  <c r="D252" i="1" a="1"/>
  <c r="D252" i="1"/>
  <c r="D253" i="1" a="1"/>
  <c r="D253" i="1"/>
  <c r="D254" i="1" a="1"/>
  <c r="D254" i="1"/>
  <c r="D255" i="1" a="1"/>
  <c r="D255" i="1"/>
  <c r="D256" i="1" a="1"/>
  <c r="D256" i="1"/>
  <c r="D257" i="1" a="1"/>
  <c r="D257" i="1"/>
  <c r="D258" i="1" a="1"/>
  <c r="D258" i="1"/>
  <c r="D259" i="1" a="1"/>
  <c r="D259" i="1"/>
  <c r="D260" i="1" a="1"/>
  <c r="D260" i="1"/>
  <c r="D261" i="1" a="1"/>
  <c r="D261" i="1"/>
  <c r="D262" i="1" a="1"/>
  <c r="D262" i="1"/>
  <c r="D263" i="1" a="1"/>
  <c r="D263" i="1"/>
  <c r="D264" i="1" a="1"/>
  <c r="D264" i="1"/>
  <c r="D265" i="1" a="1"/>
  <c r="D265" i="1"/>
  <c r="D266" i="1" a="1"/>
  <c r="D266" i="1"/>
  <c r="D215" i="1" a="1"/>
  <c r="D215" i="1"/>
  <c r="D216" i="1" a="1"/>
  <c r="D216" i="1"/>
  <c r="D217" i="1" a="1"/>
  <c r="D217" i="1"/>
  <c r="D218" i="1" a="1"/>
  <c r="D218" i="1"/>
  <c r="D219" i="1" a="1"/>
  <c r="D219" i="1"/>
  <c r="D220" i="1" a="1"/>
  <c r="D220" i="1"/>
  <c r="D221" i="1" a="1"/>
  <c r="D221" i="1"/>
  <c r="D222" i="1" a="1"/>
  <c r="D222" i="1"/>
  <c r="D223" i="1" a="1"/>
  <c r="D223" i="1"/>
  <c r="D224" i="1" a="1"/>
  <c r="D224" i="1"/>
  <c r="D225" i="1" a="1"/>
  <c r="D225" i="1"/>
  <c r="D226" i="1" a="1"/>
  <c r="D226" i="1"/>
  <c r="D227" i="1" a="1"/>
  <c r="D227" i="1"/>
  <c r="D228" i="1" a="1"/>
  <c r="D228" i="1"/>
  <c r="D229" i="1" a="1"/>
  <c r="D229" i="1"/>
  <c r="D230" i="1" a="1"/>
  <c r="D230" i="1"/>
  <c r="D231" i="1" a="1"/>
  <c r="D231" i="1"/>
  <c r="D232" i="1" a="1"/>
  <c r="D232" i="1"/>
  <c r="D233" i="1" a="1"/>
  <c r="D233" i="1"/>
  <c r="D234" i="1" a="1"/>
  <c r="D234" i="1"/>
  <c r="D235" i="1" a="1"/>
  <c r="D235" i="1"/>
  <c r="D236" i="1" a="1"/>
  <c r="D236" i="1"/>
  <c r="D237" i="1" a="1"/>
  <c r="D237" i="1"/>
  <c r="D238" i="1" a="1"/>
  <c r="D238" i="1"/>
  <c r="D239" i="1" a="1"/>
  <c r="D239" i="1"/>
  <c r="D240" i="1" a="1"/>
  <c r="D240" i="1"/>
  <c r="D203" i="1" a="1"/>
  <c r="D203" i="1"/>
  <c r="D204" i="1" a="1"/>
  <c r="D204" i="1"/>
  <c r="D205" i="1" a="1"/>
  <c r="D205" i="1"/>
  <c r="D206" i="1" a="1"/>
  <c r="D206" i="1"/>
  <c r="D207" i="1" a="1"/>
  <c r="D207" i="1"/>
  <c r="D208" i="1" a="1"/>
  <c r="D208" i="1"/>
  <c r="D209" i="1" a="1"/>
  <c r="D209" i="1"/>
  <c r="D210" i="1" a="1"/>
  <c r="D210" i="1"/>
  <c r="D211" i="1" a="1"/>
  <c r="D211" i="1"/>
  <c r="D212" i="1" a="1"/>
  <c r="D212" i="1"/>
  <c r="D213" i="1" a="1"/>
  <c r="D213" i="1"/>
  <c r="D214" i="1" a="1"/>
  <c r="D214" i="1"/>
  <c r="D48" i="1" a="1"/>
  <c r="D48" i="1"/>
  <c r="D49" i="1" a="1"/>
  <c r="D49" i="1"/>
  <c r="D50" i="1" a="1"/>
  <c r="D50" i="1"/>
  <c r="D51" i="1" a="1"/>
  <c r="D51" i="1"/>
  <c r="D52" i="1" a="1"/>
  <c r="D52" i="1"/>
  <c r="D53" i="1" a="1"/>
  <c r="D53" i="1"/>
  <c r="D54" i="1" a="1"/>
  <c r="D54" i="1"/>
  <c r="D55" i="1" a="1"/>
  <c r="D55" i="1"/>
  <c r="D56" i="1" a="1"/>
  <c r="D56" i="1"/>
  <c r="D57" i="1" a="1"/>
  <c r="D57" i="1"/>
  <c r="D58" i="1" a="1"/>
  <c r="D58" i="1"/>
  <c r="D59" i="1" a="1"/>
  <c r="D59" i="1"/>
  <c r="D60" i="1" a="1"/>
  <c r="D60" i="1"/>
  <c r="D61" i="1" a="1"/>
  <c r="D61" i="1"/>
  <c r="D62" i="1" a="1"/>
  <c r="D62" i="1"/>
  <c r="D63" i="1" a="1"/>
  <c r="D63" i="1"/>
  <c r="D64" i="1" a="1"/>
  <c r="D64" i="1"/>
  <c r="D65" i="1" a="1"/>
  <c r="D65" i="1"/>
  <c r="D66" i="1" a="1"/>
  <c r="D66" i="1"/>
  <c r="D67" i="1" a="1"/>
  <c r="D67" i="1"/>
  <c r="D68" i="1" a="1"/>
  <c r="D68" i="1"/>
  <c r="D69" i="1" a="1"/>
  <c r="D69" i="1"/>
  <c r="D70" i="1" a="1"/>
  <c r="D70" i="1"/>
  <c r="D71" i="1" a="1"/>
  <c r="D71" i="1"/>
  <c r="D72" i="1" a="1"/>
  <c r="D72" i="1"/>
  <c r="D73" i="1" a="1"/>
  <c r="D73" i="1"/>
  <c r="D74" i="1" a="1"/>
  <c r="D74" i="1"/>
  <c r="D75" i="1" a="1"/>
  <c r="D75" i="1"/>
  <c r="D76" i="1" a="1"/>
  <c r="D76" i="1"/>
  <c r="D77" i="1" a="1"/>
  <c r="D77" i="1"/>
  <c r="D78" i="1" a="1"/>
  <c r="D78" i="1"/>
  <c r="D79" i="1" a="1"/>
  <c r="D79" i="1"/>
  <c r="D80" i="1" a="1"/>
  <c r="D80" i="1"/>
  <c r="D81" i="1" a="1"/>
  <c r="D81" i="1"/>
  <c r="D82" i="1" a="1"/>
  <c r="D82" i="1"/>
  <c r="D83" i="1" a="1"/>
  <c r="D83" i="1"/>
  <c r="D84" i="1" a="1"/>
  <c r="D84" i="1"/>
  <c r="D85" i="1" a="1"/>
  <c r="D85" i="1"/>
  <c r="D86" i="1" a="1"/>
  <c r="D86" i="1"/>
  <c r="D87" i="1" a="1"/>
  <c r="D87" i="1"/>
  <c r="D88" i="1" a="1"/>
  <c r="D88" i="1"/>
  <c r="D89" i="1" a="1"/>
  <c r="D89" i="1"/>
  <c r="D90" i="1" a="1"/>
  <c r="D90" i="1"/>
  <c r="D91" i="1" a="1"/>
  <c r="D91" i="1"/>
  <c r="D92" i="1" a="1"/>
  <c r="D92" i="1"/>
  <c r="D93" i="1" a="1"/>
  <c r="D93" i="1"/>
  <c r="D94" i="1" a="1"/>
  <c r="D94" i="1"/>
  <c r="D95" i="1" a="1"/>
  <c r="D95" i="1"/>
  <c r="D96" i="1" a="1"/>
  <c r="D96" i="1"/>
  <c r="D97" i="1" a="1"/>
  <c r="D97" i="1"/>
  <c r="D98" i="1" a="1"/>
  <c r="D98" i="1"/>
  <c r="D99" i="1" a="1"/>
  <c r="D99" i="1"/>
  <c r="D100" i="1" a="1"/>
  <c r="D100" i="1"/>
  <c r="D101" i="1" a="1"/>
  <c r="D101" i="1"/>
  <c r="D102" i="1" a="1"/>
  <c r="D102" i="1"/>
  <c r="D103" i="1" a="1"/>
  <c r="D103" i="1"/>
  <c r="D104" i="1" a="1"/>
  <c r="D104" i="1"/>
  <c r="D105" i="1" a="1"/>
  <c r="D105" i="1"/>
  <c r="D106" i="1" a="1"/>
  <c r="D106" i="1"/>
  <c r="D107" i="1" a="1"/>
  <c r="D107" i="1"/>
  <c r="D108" i="1" a="1"/>
  <c r="D108" i="1"/>
  <c r="D109" i="1" a="1"/>
  <c r="D109" i="1"/>
  <c r="D110" i="1" a="1"/>
  <c r="D110" i="1"/>
  <c r="D111" i="1" a="1"/>
  <c r="D111" i="1"/>
  <c r="D112" i="1" a="1"/>
  <c r="D112" i="1"/>
  <c r="D113" i="1" a="1"/>
  <c r="D113" i="1"/>
  <c r="D114" i="1" a="1"/>
  <c r="D114" i="1"/>
  <c r="D115" i="1" a="1"/>
  <c r="D115" i="1"/>
  <c r="D116" i="1" a="1"/>
  <c r="D116" i="1"/>
  <c r="D117" i="1" a="1"/>
  <c r="D117" i="1"/>
  <c r="D118" i="1" a="1"/>
  <c r="D118" i="1"/>
  <c r="D119" i="1" a="1"/>
  <c r="D119" i="1"/>
  <c r="D120" i="1" a="1"/>
  <c r="D120" i="1"/>
  <c r="D121" i="1" a="1"/>
  <c r="D121" i="1"/>
  <c r="D122" i="1" a="1"/>
  <c r="D122" i="1"/>
  <c r="D123" i="1" a="1"/>
  <c r="D123" i="1"/>
  <c r="D124" i="1" a="1"/>
  <c r="D124" i="1"/>
  <c r="D125" i="1" a="1"/>
  <c r="D125" i="1"/>
  <c r="D126" i="1" a="1"/>
  <c r="D126" i="1"/>
  <c r="D127" i="1" a="1"/>
  <c r="D127" i="1"/>
  <c r="D128" i="1" a="1"/>
  <c r="D128" i="1"/>
  <c r="D129" i="1" a="1"/>
  <c r="D129" i="1"/>
  <c r="D130" i="1" a="1"/>
  <c r="D130" i="1"/>
  <c r="D131" i="1" a="1"/>
  <c r="D131" i="1"/>
  <c r="D132" i="1" a="1"/>
  <c r="D132" i="1"/>
  <c r="D133" i="1" a="1"/>
  <c r="D133" i="1"/>
  <c r="D134" i="1" a="1"/>
  <c r="D134" i="1"/>
  <c r="D135" i="1" a="1"/>
  <c r="D135" i="1"/>
  <c r="D136" i="1" a="1"/>
  <c r="D136" i="1"/>
  <c r="D137" i="1" a="1"/>
  <c r="D137" i="1"/>
  <c r="D138" i="1" a="1"/>
  <c r="D138" i="1"/>
  <c r="D139" i="1" a="1"/>
  <c r="D139" i="1"/>
  <c r="D140" i="1" a="1"/>
  <c r="D140" i="1"/>
  <c r="D141" i="1" a="1"/>
  <c r="D141" i="1"/>
  <c r="D142" i="1" a="1"/>
  <c r="D142" i="1"/>
  <c r="D143" i="1" a="1"/>
  <c r="D143" i="1"/>
  <c r="D144" i="1" a="1"/>
  <c r="D144" i="1"/>
  <c r="D145" i="1" a="1"/>
  <c r="D145" i="1"/>
  <c r="D146" i="1" a="1"/>
  <c r="D146" i="1"/>
  <c r="D147" i="1" a="1"/>
  <c r="D147" i="1"/>
  <c r="D148" i="1" a="1"/>
  <c r="D148" i="1"/>
  <c r="D149" i="1" a="1"/>
  <c r="D149" i="1"/>
  <c r="D150" i="1" a="1"/>
  <c r="D150" i="1"/>
  <c r="D151" i="1" a="1"/>
  <c r="D151" i="1"/>
  <c r="D152" i="1" a="1"/>
  <c r="D152" i="1"/>
  <c r="D153" i="1" a="1"/>
  <c r="D153" i="1"/>
  <c r="D154" i="1" a="1"/>
  <c r="D154" i="1"/>
  <c r="D155" i="1" a="1"/>
  <c r="D155" i="1"/>
  <c r="D156" i="1" a="1"/>
  <c r="D156" i="1"/>
  <c r="D157" i="1" a="1"/>
  <c r="D157" i="1" s="1"/>
  <c r="D158" i="1" a="1"/>
  <c r="D158" i="1"/>
  <c r="D159" i="1" a="1"/>
  <c r="D159" i="1"/>
  <c r="D160" i="1" a="1"/>
  <c r="D160" i="1"/>
  <c r="D161" i="1" a="1"/>
  <c r="D161" i="1" s="1"/>
  <c r="D162" i="1" a="1"/>
  <c r="D162" i="1"/>
  <c r="D163" i="1" a="1"/>
  <c r="D163" i="1" s="1"/>
  <c r="D164" i="1" a="1"/>
  <c r="D164" i="1" s="1"/>
  <c r="D165" i="1" a="1"/>
  <c r="D165" i="1" s="1"/>
  <c r="D166" i="1" a="1"/>
  <c r="D166" i="1"/>
  <c r="D167" i="1" a="1"/>
  <c r="D167" i="1" s="1"/>
  <c r="D168" i="1" a="1"/>
  <c r="D168" i="1"/>
  <c r="D169" i="1" a="1"/>
  <c r="D169" i="1" s="1"/>
  <c r="D170" i="1" a="1"/>
  <c r="D170" i="1" s="1"/>
  <c r="D171" i="1" a="1"/>
  <c r="D171" i="1"/>
  <c r="D172" i="1" a="1"/>
  <c r="D172" i="1" s="1"/>
  <c r="D173" i="1" a="1"/>
  <c r="D173" i="1" s="1"/>
  <c r="D174" i="1" a="1"/>
  <c r="D174" i="1" s="1"/>
  <c r="D175" i="1" a="1"/>
  <c r="D175" i="1"/>
  <c r="D176" i="1" a="1"/>
  <c r="D176" i="1" s="1"/>
  <c r="D177" i="1" a="1"/>
  <c r="D177" i="1" s="1"/>
  <c r="D178" i="1" a="1"/>
  <c r="D178" i="1" s="1"/>
  <c r="D179" i="1" a="1"/>
  <c r="D179" i="1" s="1"/>
  <c r="D180" i="1" a="1"/>
  <c r="D180" i="1"/>
  <c r="D181" i="1" a="1"/>
  <c r="D181" i="1" s="1"/>
  <c r="D182" i="1" a="1"/>
  <c r="D182" i="1"/>
  <c r="D183" i="1" a="1"/>
  <c r="D183" i="1" s="1"/>
  <c r="D184" i="1" a="1"/>
  <c r="D184" i="1"/>
  <c r="D185" i="1" a="1"/>
  <c r="D185" i="1" s="1"/>
  <c r="D186" i="1" a="1"/>
  <c r="D186" i="1" s="1"/>
  <c r="D187" i="1" a="1"/>
  <c r="D187" i="1" s="1"/>
  <c r="D188" i="1" a="1"/>
  <c r="D188" i="1" s="1"/>
  <c r="D189" i="1" a="1"/>
  <c r="D189" i="1" s="1"/>
  <c r="D190" i="1" a="1"/>
  <c r="D190" i="1" s="1"/>
  <c r="D191" i="1" a="1"/>
  <c r="D191" i="1"/>
  <c r="D192" i="1" a="1"/>
  <c r="D192" i="1" s="1"/>
  <c r="D193" i="1" a="1"/>
  <c r="D193" i="1" s="1"/>
  <c r="D194" i="1" a="1"/>
  <c r="D194" i="1"/>
  <c r="D195" i="1" a="1"/>
  <c r="D195" i="1" s="1"/>
  <c r="D196" i="1" a="1"/>
  <c r="D196" i="1" s="1"/>
  <c r="D197" i="1" a="1"/>
  <c r="D197" i="1" s="1"/>
  <c r="D198" i="1" a="1"/>
  <c r="D198" i="1"/>
  <c r="D199" i="1" a="1"/>
  <c r="D199" i="1" s="1"/>
  <c r="D200" i="1" a="1"/>
  <c r="D200" i="1"/>
  <c r="D201" i="1" a="1"/>
  <c r="D201" i="1" s="1"/>
  <c r="D202" i="1" a="1"/>
  <c r="D202" i="1" s="1"/>
  <c r="D3" i="1" a="1"/>
  <c r="D3" i="1"/>
  <c r="D4" i="1" a="1"/>
  <c r="D4" i="1" s="1"/>
  <c r="D5" i="1" a="1"/>
  <c r="D5" i="1" s="1"/>
  <c r="D6" i="1" a="1"/>
  <c r="D6" i="1" s="1"/>
  <c r="D7" i="1" a="1"/>
  <c r="D7" i="1"/>
  <c r="D8" i="1" a="1"/>
  <c r="D8" i="1" s="1"/>
  <c r="D9" i="1" a="1"/>
  <c r="D9" i="1" s="1"/>
  <c r="D10" i="1" a="1"/>
  <c r="D10" i="1" s="1"/>
  <c r="D11" i="1" a="1"/>
  <c r="D11" i="1" s="1"/>
  <c r="D12" i="1" a="1"/>
  <c r="D12" i="1"/>
  <c r="D13" i="1" a="1"/>
  <c r="D13" i="1" s="1"/>
  <c r="D14" i="1" a="1"/>
  <c r="D14" i="1"/>
  <c r="D15" i="1" a="1"/>
  <c r="D15" i="1" s="1"/>
  <c r="D16" i="1" a="1"/>
  <c r="D16" i="1"/>
  <c r="D17" i="1" a="1"/>
  <c r="D17" i="1" s="1"/>
  <c r="D18" i="1" a="1"/>
  <c r="D18" i="1" s="1"/>
  <c r="D19" i="1" a="1"/>
  <c r="D19" i="1" s="1"/>
  <c r="D20" i="1" a="1"/>
  <c r="D20" i="1" s="1"/>
  <c r="D21" i="1" a="1"/>
  <c r="D21" i="1" s="1"/>
  <c r="D22" i="1" a="1"/>
  <c r="D22" i="1" s="1"/>
  <c r="D23" i="1" a="1"/>
  <c r="D23" i="1"/>
  <c r="D24" i="1" a="1"/>
  <c r="D24" i="1" s="1"/>
  <c r="D25" i="1" a="1"/>
  <c r="D25" i="1" s="1"/>
  <c r="D26" i="1" a="1"/>
  <c r="D26" i="1"/>
  <c r="D27" i="1" a="1"/>
  <c r="D27" i="1" s="1"/>
  <c r="D28" i="1" a="1"/>
  <c r="D28" i="1" s="1"/>
  <c r="D29" i="1" a="1"/>
  <c r="D29" i="1" s="1"/>
  <c r="D30" i="1" a="1"/>
  <c r="D30" i="1"/>
  <c r="D31" i="1" a="1"/>
  <c r="D31" i="1" s="1"/>
  <c r="D32" i="1" a="1"/>
  <c r="D32" i="1"/>
  <c r="D33" i="1" a="1"/>
  <c r="D33" i="1" s="1"/>
  <c r="D34" i="1" a="1"/>
  <c r="D34" i="1" s="1"/>
  <c r="D35" i="1" a="1"/>
  <c r="D35" i="1"/>
  <c r="D36" i="1" a="1"/>
  <c r="D36" i="1" s="1"/>
  <c r="D37" i="1" a="1"/>
  <c r="D37" i="1" s="1"/>
  <c r="D38" i="1" a="1"/>
  <c r="D38" i="1" s="1"/>
  <c r="D39" i="1" a="1"/>
  <c r="D39" i="1"/>
  <c r="D40" i="1" a="1"/>
  <c r="D40" i="1" s="1"/>
  <c r="D41" i="1" a="1"/>
  <c r="D41" i="1" s="1"/>
  <c r="D42" i="1" a="1"/>
  <c r="D42" i="1" s="1"/>
  <c r="D43" i="1" a="1"/>
  <c r="D43" i="1" s="1"/>
  <c r="D44" i="1" a="1"/>
  <c r="D44" i="1"/>
  <c r="D45" i="1" a="1"/>
  <c r="D45" i="1" s="1"/>
  <c r="D46" i="1" a="1"/>
  <c r="D46" i="1"/>
  <c r="D47" i="1" a="1"/>
  <c r="D47" i="1" s="1"/>
  <c r="O17" i="1" a="1"/>
  <c r="O17" i="1"/>
  <c r="O18" i="1" a="1"/>
  <c r="O18" i="1" s="1"/>
  <c r="N3" i="1" a="1"/>
  <c r="N3" i="1" s="1"/>
  <c r="O3" i="1" a="1"/>
  <c r="O3" i="1" s="1"/>
  <c r="P3" i="1" a="1"/>
  <c r="P3" i="1" s="1"/>
  <c r="Q3" i="1" a="1"/>
  <c r="Q3" i="1" s="1"/>
  <c r="R3" i="1" a="1"/>
  <c r="R3" i="1" s="1"/>
  <c r="S3" i="1" a="1"/>
  <c r="S3" i="1"/>
  <c r="N4" i="1" a="1"/>
  <c r="N4" i="1" s="1"/>
  <c r="O4" i="1" a="1"/>
  <c r="O4" i="1" s="1"/>
  <c r="P4" i="1" a="1"/>
  <c r="P4" i="1"/>
  <c r="Q4" i="1" a="1"/>
  <c r="Q4" i="1" s="1"/>
  <c r="R4" i="1" a="1"/>
  <c r="R4" i="1" s="1"/>
  <c r="S4" i="1" a="1"/>
  <c r="S4" i="1" s="1"/>
  <c r="N5" i="1" a="1"/>
  <c r="N5" i="1"/>
  <c r="O5" i="1" a="1"/>
  <c r="O5" i="1" s="1"/>
  <c r="P5" i="1" a="1"/>
  <c r="P5" i="1"/>
  <c r="Q5" i="1" a="1"/>
  <c r="Q5" i="1" s="1"/>
  <c r="R5" i="1" a="1"/>
  <c r="R5" i="1" s="1"/>
  <c r="S5" i="1" a="1"/>
  <c r="S5" i="1"/>
  <c r="N6" i="1" a="1"/>
  <c r="N6" i="1" s="1"/>
  <c r="O6" i="1" a="1"/>
  <c r="O6" i="1" s="1"/>
  <c r="P6" i="1" a="1"/>
  <c r="P6" i="1" s="1"/>
  <c r="Q6" i="1" a="1"/>
  <c r="Q6" i="1"/>
  <c r="R6" i="1" a="1"/>
  <c r="R6" i="1" s="1"/>
  <c r="S6" i="1" a="1"/>
  <c r="S6" i="1" s="1"/>
  <c r="N7" i="1" a="1"/>
  <c r="N7" i="1" s="1"/>
  <c r="O7" i="1" a="1"/>
  <c r="O7" i="1" s="1"/>
  <c r="P7" i="1" a="1"/>
  <c r="P7" i="1"/>
  <c r="Q7" i="1" a="1"/>
  <c r="Q7" i="1" s="1"/>
  <c r="R7" i="1" a="1"/>
  <c r="R7" i="1"/>
  <c r="S7" i="1" a="1"/>
  <c r="S7" i="1" s="1"/>
  <c r="N8" i="1" a="1"/>
  <c r="N8" i="1"/>
  <c r="O8" i="1" a="1"/>
  <c r="O8" i="1" s="1"/>
  <c r="P8" i="1" a="1"/>
  <c r="P8" i="1" s="1"/>
  <c r="Q8" i="1" a="1"/>
  <c r="Q8" i="1" s="1"/>
  <c r="R8" i="1" a="1"/>
  <c r="R8" i="1" s="1"/>
  <c r="S8" i="1" a="1"/>
  <c r="S8" i="1" s="1"/>
  <c r="N9" i="1" a="1"/>
  <c r="N9" i="1" s="1"/>
  <c r="O9" i="1" a="1"/>
  <c r="O9" i="1"/>
  <c r="P9" i="1" a="1"/>
  <c r="P9" i="1" s="1"/>
  <c r="Q9" i="1" a="1"/>
  <c r="Q9" i="1" s="1"/>
  <c r="R9" i="1" a="1"/>
  <c r="R9" i="1"/>
  <c r="S9" i="1" a="1"/>
  <c r="S9" i="1" s="1"/>
  <c r="N10" i="1" a="1"/>
  <c r="N10" i="1" s="1"/>
  <c r="O10" i="1" a="1"/>
  <c r="O10" i="1" s="1"/>
  <c r="P10" i="1" a="1"/>
  <c r="P10" i="1"/>
  <c r="Q10" i="1" a="1"/>
  <c r="Q10" i="1" s="1"/>
  <c r="R10" i="1" a="1"/>
  <c r="R10" i="1"/>
  <c r="S10" i="1" a="1"/>
  <c r="S10" i="1" s="1"/>
  <c r="N11" i="1" a="1"/>
  <c r="N11" i="1" s="1"/>
  <c r="O11" i="1" a="1"/>
  <c r="O11" i="1"/>
  <c r="P11" i="1" a="1"/>
  <c r="P11" i="1" s="1"/>
  <c r="Q11" i="1" a="1"/>
  <c r="Q11" i="1" s="1"/>
  <c r="R11" i="1" a="1"/>
  <c r="R11" i="1" s="1"/>
  <c r="S11" i="1" a="1"/>
  <c r="S11" i="1"/>
  <c r="N12" i="1" a="1"/>
  <c r="N12" i="1" s="1"/>
  <c r="O12" i="1" a="1"/>
  <c r="O12" i="1" s="1"/>
  <c r="P12" i="1" a="1"/>
  <c r="P12" i="1" s="1"/>
  <c r="Q12" i="1" a="1"/>
  <c r="Q12" i="1" s="1"/>
  <c r="R12" i="1" a="1"/>
  <c r="R12" i="1"/>
  <c r="S12" i="1" a="1"/>
  <c r="S12" i="1" s="1"/>
  <c r="N13" i="1" a="1"/>
  <c r="N13" i="1"/>
  <c r="O13" i="1" a="1"/>
  <c r="O13" i="1" s="1"/>
  <c r="P13" i="1" a="1"/>
  <c r="P13" i="1" s="1"/>
  <c r="Q13" i="1" a="1"/>
  <c r="Q13" i="1" s="1"/>
  <c r="R13" i="1" a="1"/>
  <c r="R13" i="1" s="1"/>
  <c r="S13" i="1" a="1"/>
  <c r="S13" i="1" s="1"/>
  <c r="N14" i="1" a="1"/>
  <c r="N14" i="1" s="1"/>
  <c r="O14" i="1" a="1"/>
  <c r="O14" i="1" s="1"/>
  <c r="P14" i="1" a="1"/>
  <c r="P14" i="1" s="1"/>
  <c r="Q14" i="1" a="1"/>
  <c r="Q14" i="1"/>
  <c r="R14" i="1" a="1"/>
  <c r="R14" i="1" s="1"/>
  <c r="S14" i="1" a="1"/>
  <c r="S14" i="1" s="1"/>
  <c r="N15" i="1" a="1"/>
  <c r="N15" i="1"/>
  <c r="O15" i="1" a="1"/>
  <c r="O15" i="1" s="1"/>
  <c r="P15" i="1" a="1"/>
  <c r="P15" i="1" s="1"/>
  <c r="Q15" i="1" a="1"/>
  <c r="Q15" i="1" s="1"/>
  <c r="R15" i="1" a="1"/>
  <c r="R15" i="1" s="1"/>
  <c r="S15" i="1" a="1"/>
  <c r="S15" i="1" s="1"/>
  <c r="N16" i="1" a="1"/>
  <c r="N16" i="1"/>
  <c r="O16" i="1" a="1"/>
  <c r="O16" i="1" s="1"/>
  <c r="P16" i="1" a="1"/>
  <c r="P16" i="1" s="1"/>
  <c r="Q16" i="1" a="1"/>
  <c r="Q16" i="1"/>
  <c r="R16" i="1" a="1"/>
  <c r="R16" i="1" s="1"/>
  <c r="S16" i="1" a="1"/>
  <c r="S16" i="1" s="1"/>
  <c r="N17" i="1" a="1"/>
  <c r="N17" i="1" s="1"/>
  <c r="P17" i="1" a="1"/>
  <c r="P17" i="1" s="1"/>
  <c r="Q17" i="1" a="1"/>
  <c r="Q17" i="1" s="1"/>
  <c r="R17" i="1" a="1"/>
  <c r="R17" i="1" s="1"/>
  <c r="S17" i="1" a="1"/>
  <c r="S17" i="1" s="1"/>
  <c r="N18" i="1" a="1"/>
  <c r="N18" i="1" s="1"/>
  <c r="P18" i="1" a="1"/>
  <c r="P18" i="1"/>
  <c r="Q18" i="1" a="1"/>
  <c r="Q18" i="1" s="1"/>
  <c r="R18" i="1" a="1"/>
  <c r="R18" i="1"/>
  <c r="S18" i="1" a="1"/>
  <c r="S18" i="1" s="1"/>
  <c r="N19" i="1" a="1"/>
  <c r="N19" i="1" s="1"/>
  <c r="O19" i="1" a="1"/>
  <c r="O19" i="1" s="1"/>
  <c r="P19" i="1" a="1"/>
  <c r="P19" i="1" s="1"/>
  <c r="Q19" i="1" a="1"/>
  <c r="Q19" i="1" s="1"/>
  <c r="R19" i="1" a="1"/>
  <c r="R19" i="1" s="1"/>
  <c r="S19" i="1" a="1"/>
  <c r="S19" i="1" s="1"/>
  <c r="N20" i="1" a="1"/>
  <c r="N20" i="1" s="1"/>
  <c r="O20" i="1" a="1"/>
  <c r="O20" i="1"/>
  <c r="P20" i="1" a="1"/>
  <c r="P20" i="1"/>
  <c r="Q20" i="1" a="1"/>
  <c r="Q20" i="1" s="1"/>
  <c r="R20" i="1" a="1"/>
  <c r="R20" i="1"/>
  <c r="S20" i="1" a="1"/>
  <c r="S20" i="1" s="1"/>
  <c r="N21" i="1" a="1"/>
  <c r="N21" i="1" s="1"/>
  <c r="O21" i="1" a="1"/>
  <c r="O21" i="1" s="1"/>
  <c r="P21" i="1" a="1"/>
  <c r="P21" i="1" s="1"/>
  <c r="Q21" i="1" a="1"/>
  <c r="Q21" i="1" s="1"/>
  <c r="R21" i="1" a="1"/>
  <c r="R21" i="1"/>
  <c r="S21" i="1" a="1"/>
  <c r="S21" i="1" s="1"/>
  <c r="N22" i="1" a="1"/>
  <c r="N22" i="1" s="1"/>
  <c r="O22" i="1" a="1"/>
  <c r="O22" i="1"/>
  <c r="P22" i="1" a="1"/>
  <c r="P22" i="1" s="1"/>
  <c r="Q22" i="1" a="1"/>
  <c r="Q22" i="1" s="1"/>
  <c r="R22" i="1" a="1"/>
  <c r="R22" i="1"/>
  <c r="S22" i="1" a="1"/>
  <c r="S22" i="1" s="1"/>
  <c r="N23" i="1" a="1"/>
  <c r="N23" i="1" s="1"/>
  <c r="O23" i="1" a="1"/>
  <c r="O23" i="1" s="1"/>
  <c r="P23" i="1" a="1"/>
  <c r="P23" i="1" s="1"/>
  <c r="Q23" i="1" a="1"/>
  <c r="Q23" i="1" s="1"/>
  <c r="R23" i="1" a="1"/>
  <c r="R23" i="1"/>
  <c r="S23" i="1" a="1"/>
  <c r="S23" i="1" s="1"/>
  <c r="N24" i="1" a="1"/>
  <c r="N24" i="1"/>
  <c r="O24" i="1" a="1"/>
  <c r="O24" i="1"/>
  <c r="P24" i="1" a="1"/>
  <c r="P24" i="1" s="1"/>
  <c r="Q24" i="1" a="1"/>
  <c r="Q24" i="1" s="1"/>
  <c r="R24" i="1" a="1"/>
  <c r="R24" i="1" s="1"/>
  <c r="S24" i="1" a="1"/>
  <c r="S24" i="1" s="1"/>
  <c r="N25" i="1" a="1"/>
  <c r="N25" i="1" s="1"/>
  <c r="O25" i="1" a="1"/>
  <c r="O25" i="1" s="1"/>
  <c r="P25" i="1" a="1"/>
  <c r="P25" i="1" s="1"/>
  <c r="Q25" i="1" a="1"/>
  <c r="Q25" i="1"/>
  <c r="R25" i="1" a="1"/>
  <c r="R25" i="1"/>
  <c r="S25" i="1" a="1"/>
  <c r="S25" i="1" s="1"/>
  <c r="N26" i="1" a="1"/>
  <c r="N26" i="1"/>
  <c r="O26" i="1" a="1"/>
  <c r="O26" i="1" s="1"/>
  <c r="P26" i="1" a="1"/>
  <c r="P26" i="1" s="1"/>
  <c r="Q26" i="1" a="1"/>
  <c r="Q26" i="1" s="1"/>
  <c r="R26" i="1" a="1"/>
  <c r="R26" i="1" s="1"/>
  <c r="S26" i="1" a="1"/>
  <c r="S26" i="1" s="1"/>
  <c r="N27" i="1" a="1"/>
  <c r="N27" i="1"/>
  <c r="O27" i="1" a="1"/>
  <c r="O27" i="1" s="1"/>
  <c r="P27" i="1" a="1"/>
  <c r="P27" i="1" s="1"/>
  <c r="Q27" i="1" a="1"/>
  <c r="Q27" i="1"/>
  <c r="R27" i="1" a="1"/>
  <c r="R27" i="1" s="1"/>
  <c r="S27" i="1" a="1"/>
  <c r="S27" i="1" s="1"/>
  <c r="N28" i="1" a="1"/>
  <c r="N28" i="1"/>
  <c r="O28" i="1" a="1"/>
  <c r="O28" i="1" s="1"/>
  <c r="P28" i="1" a="1"/>
  <c r="P28" i="1" s="1"/>
  <c r="Q28" i="1" a="1"/>
  <c r="Q28" i="1" s="1"/>
  <c r="R28" i="1" a="1"/>
  <c r="R28" i="1" s="1"/>
  <c r="S28" i="1" a="1"/>
  <c r="S28" i="1" s="1"/>
  <c r="N29" i="1" a="1"/>
  <c r="N29" i="1"/>
  <c r="O29" i="1" a="1"/>
  <c r="O29" i="1" s="1"/>
  <c r="P29" i="1" a="1"/>
  <c r="P29" i="1"/>
  <c r="Q29" i="1" a="1"/>
  <c r="Q29" i="1"/>
  <c r="R29" i="1" a="1"/>
  <c r="R29" i="1" s="1"/>
  <c r="S29" i="1" a="1"/>
  <c r="S29" i="1" s="1"/>
  <c r="N30" i="1" a="1"/>
  <c r="N30" i="1" s="1"/>
  <c r="O30" i="1" a="1"/>
  <c r="O30" i="1" s="1"/>
  <c r="P30" i="1" a="1"/>
  <c r="P30" i="1" s="1"/>
  <c r="Q30" i="1" a="1"/>
  <c r="Q30" i="1" s="1"/>
  <c r="R30" i="1" a="1"/>
  <c r="R30" i="1" s="1"/>
  <c r="S30" i="1" a="1"/>
  <c r="S30" i="1"/>
  <c r="N31" i="1" a="1"/>
  <c r="N31" i="1"/>
  <c r="O31" i="1" a="1"/>
  <c r="O31" i="1" s="1"/>
  <c r="P31" i="1" a="1"/>
  <c r="P31" i="1"/>
  <c r="Q31" i="1" a="1"/>
  <c r="Q31" i="1" s="1"/>
  <c r="R31" i="1" a="1"/>
  <c r="R31" i="1" s="1"/>
  <c r="S31" i="1" a="1"/>
  <c r="S31" i="1" s="1"/>
  <c r="N32" i="1" a="1"/>
  <c r="N32" i="1" s="1"/>
  <c r="O32" i="1" a="1"/>
  <c r="O32" i="1" s="1"/>
  <c r="P32" i="1" a="1"/>
  <c r="P32" i="1"/>
  <c r="Q32" i="1" a="1"/>
  <c r="Q32" i="1" s="1"/>
  <c r="R32" i="1" a="1"/>
  <c r="R32" i="1" s="1"/>
  <c r="S32" i="1" a="1"/>
  <c r="S32" i="1"/>
  <c r="N33" i="1" a="1"/>
  <c r="N33" i="1" s="1"/>
  <c r="O33" i="1" a="1"/>
  <c r="O33" i="1" s="1"/>
  <c r="P33" i="1" a="1"/>
  <c r="P33" i="1"/>
  <c r="Q33" i="1" a="1"/>
  <c r="Q33" i="1" s="1"/>
  <c r="R33" i="1" a="1"/>
  <c r="R33" i="1" s="1"/>
  <c r="S33" i="1" a="1"/>
  <c r="S33" i="1" s="1"/>
  <c r="N34" i="1" a="1"/>
  <c r="N34" i="1" s="1"/>
  <c r="O34" i="1" a="1"/>
  <c r="O34" i="1" s="1"/>
  <c r="P34" i="1" a="1"/>
  <c r="P34" i="1"/>
  <c r="Q34" i="1" a="1"/>
  <c r="Q34" i="1" s="1"/>
  <c r="R34" i="1" a="1"/>
  <c r="R34" i="1"/>
  <c r="S34" i="1" a="1"/>
  <c r="S34" i="1"/>
  <c r="N35" i="1" a="1"/>
  <c r="N35" i="1" s="1"/>
  <c r="O35" i="1" a="1"/>
  <c r="O35" i="1" s="1"/>
  <c r="P35" i="1" a="1"/>
  <c r="P35" i="1" s="1"/>
  <c r="Q35" i="1" a="1"/>
  <c r="Q35" i="1" s="1"/>
  <c r="R35" i="1" a="1"/>
  <c r="R35" i="1" s="1"/>
  <c r="S35" i="1" a="1"/>
  <c r="S35" i="1" s="1"/>
  <c r="N36" i="1" a="1"/>
  <c r="N36" i="1" s="1"/>
  <c r="O36" i="1" a="1"/>
  <c r="O36" i="1"/>
  <c r="P36" i="1" a="1"/>
  <c r="P36" i="1"/>
  <c r="Q36" i="1" a="1"/>
  <c r="Q36" i="1" s="1"/>
  <c r="R36" i="1" a="1"/>
  <c r="R36" i="1"/>
  <c r="S36" i="1" a="1"/>
  <c r="S36" i="1" s="1"/>
  <c r="N37" i="1" a="1"/>
  <c r="N37" i="1" s="1"/>
  <c r="O37" i="1" a="1"/>
  <c r="O37" i="1" s="1"/>
  <c r="P37" i="1" a="1"/>
  <c r="P37" i="1" s="1"/>
  <c r="Q37" i="1" a="1"/>
  <c r="Q37" i="1" s="1"/>
  <c r="R37" i="1" a="1"/>
  <c r="R37" i="1"/>
  <c r="S37" i="1" a="1"/>
  <c r="S37" i="1" s="1"/>
  <c r="N38" i="1" a="1"/>
  <c r="N38" i="1" s="1"/>
  <c r="O38" i="1" a="1"/>
  <c r="O38" i="1"/>
  <c r="P38" i="1" a="1"/>
  <c r="P38" i="1" s="1"/>
  <c r="Q38" i="1" a="1"/>
  <c r="Q38" i="1" s="1"/>
  <c r="R38" i="1" a="1"/>
  <c r="R38" i="1"/>
  <c r="S38" i="1" a="1"/>
  <c r="S38" i="1" s="1"/>
  <c r="N39" i="1" a="1"/>
  <c r="N39" i="1" s="1"/>
  <c r="O39" i="1" a="1"/>
  <c r="O39" i="1" s="1"/>
  <c r="P39" i="1" a="1"/>
  <c r="P39" i="1" s="1"/>
  <c r="Q39" i="1" a="1"/>
  <c r="Q39" i="1" s="1"/>
  <c r="R39" i="1" a="1"/>
  <c r="R39" i="1"/>
  <c r="S39" i="1" a="1"/>
  <c r="S39" i="1" s="1"/>
  <c r="N40" i="1" a="1"/>
  <c r="N40" i="1"/>
  <c r="O40" i="1" a="1"/>
  <c r="O40" i="1"/>
  <c r="P40" i="1" a="1"/>
  <c r="P40" i="1" s="1"/>
  <c r="Q40" i="1" a="1"/>
  <c r="Q40" i="1" s="1"/>
  <c r="R40" i="1" a="1"/>
  <c r="R40" i="1" s="1"/>
  <c r="S40" i="1" a="1"/>
  <c r="S40" i="1" s="1"/>
  <c r="N41" i="1" a="1"/>
  <c r="N41" i="1" s="1"/>
  <c r="O41" i="1" a="1"/>
  <c r="O41" i="1" s="1"/>
  <c r="P41" i="1" a="1"/>
  <c r="P41" i="1" s="1"/>
  <c r="Q41" i="1" a="1"/>
  <c r="Q41" i="1"/>
  <c r="R41" i="1" a="1"/>
  <c r="R41" i="1"/>
  <c r="S41" i="1" a="1"/>
  <c r="S41" i="1" s="1"/>
  <c r="N42" i="1" a="1"/>
  <c r="N42" i="1"/>
  <c r="O42" i="1" a="1"/>
  <c r="O42" i="1" s="1"/>
  <c r="P42" i="1" a="1"/>
  <c r="P42" i="1" s="1"/>
  <c r="Q42" i="1" a="1"/>
  <c r="Q42" i="1" s="1"/>
  <c r="R42" i="1" a="1"/>
  <c r="R42" i="1" s="1"/>
  <c r="S42" i="1" a="1"/>
  <c r="S42" i="1" s="1"/>
  <c r="N43" i="1" a="1"/>
  <c r="N43" i="1"/>
  <c r="O43" i="1" a="1"/>
  <c r="O43" i="1" s="1"/>
  <c r="P43" i="1" a="1"/>
  <c r="P43" i="1" s="1"/>
  <c r="Q43" i="1" a="1"/>
  <c r="Q43" i="1"/>
  <c r="R43" i="1" a="1"/>
  <c r="R43" i="1" s="1"/>
  <c r="S43" i="1" a="1"/>
  <c r="S43" i="1" s="1"/>
  <c r="N44" i="1" a="1"/>
  <c r="N44" i="1"/>
  <c r="O44" i="1" a="1"/>
  <c r="O44" i="1" s="1"/>
  <c r="P44" i="1" a="1"/>
  <c r="P44" i="1"/>
  <c r="Q44" i="1" a="1"/>
  <c r="Q44" i="1"/>
  <c r="R44" i="1" a="1"/>
  <c r="R44" i="1"/>
  <c r="S44" i="1" a="1"/>
  <c r="S44" i="1" s="1"/>
  <c r="N45" i="1" a="1"/>
  <c r="N45" i="1"/>
  <c r="O45" i="1" a="1"/>
  <c r="O45" i="1"/>
  <c r="P45" i="1" a="1"/>
  <c r="P45" i="1"/>
  <c r="Q45" i="1" a="1"/>
  <c r="Q45" i="1" s="1"/>
  <c r="R45" i="1" a="1"/>
  <c r="R45" i="1"/>
  <c r="S45" i="1" a="1"/>
  <c r="S45" i="1"/>
  <c r="N46" i="1" a="1"/>
  <c r="N46" i="1"/>
  <c r="O46" i="1" a="1"/>
  <c r="O46" i="1" s="1"/>
  <c r="P46" i="1" a="1"/>
  <c r="P46" i="1"/>
  <c r="Q46" i="1" a="1"/>
  <c r="Q46" i="1"/>
  <c r="R46" i="1" a="1"/>
  <c r="R46" i="1"/>
  <c r="S46" i="1" a="1"/>
  <c r="S46" i="1" s="1"/>
  <c r="N47" i="1" a="1"/>
  <c r="N47" i="1"/>
  <c r="O47" i="1" a="1"/>
  <c r="O47" i="1"/>
  <c r="P47" i="1" a="1"/>
  <c r="P47" i="1"/>
  <c r="Q47" i="1" a="1"/>
  <c r="Q47" i="1" s="1"/>
  <c r="R47" i="1" a="1"/>
  <c r="R47" i="1"/>
  <c r="S47" i="1" a="1"/>
  <c r="S47" i="1"/>
  <c r="N48" i="1" a="1"/>
  <c r="N48" i="1"/>
  <c r="O48" i="1" a="1"/>
  <c r="O48" i="1" s="1"/>
  <c r="P48" i="1" a="1"/>
  <c r="P48" i="1"/>
  <c r="Q48" i="1" a="1"/>
  <c r="Q48" i="1"/>
  <c r="R48" i="1" a="1"/>
  <c r="R48" i="1"/>
  <c r="S48" i="1" a="1"/>
  <c r="S48" i="1" s="1"/>
  <c r="N49" i="1" a="1"/>
  <c r="N49" i="1"/>
  <c r="O49" i="1" a="1"/>
  <c r="O49" i="1"/>
  <c r="P49" i="1" a="1"/>
  <c r="P49" i="1"/>
  <c r="Q49" i="1" a="1"/>
  <c r="Q49" i="1" s="1"/>
  <c r="R49" i="1" a="1"/>
  <c r="R49" i="1"/>
  <c r="S49" i="1" a="1"/>
  <c r="S49" i="1"/>
  <c r="N50" i="1" a="1"/>
  <c r="N50" i="1"/>
  <c r="O50" i="1" a="1"/>
  <c r="O50" i="1" s="1"/>
  <c r="P50" i="1" a="1"/>
  <c r="P50" i="1"/>
  <c r="Q50" i="1" a="1"/>
  <c r="Q50" i="1"/>
  <c r="R50" i="1" a="1"/>
  <c r="R50" i="1"/>
  <c r="S50" i="1" a="1"/>
  <c r="S50" i="1" s="1"/>
  <c r="N51" i="1" a="1"/>
  <c r="N51" i="1"/>
  <c r="O51" i="1" a="1"/>
  <c r="O51" i="1"/>
  <c r="P51" i="1" a="1"/>
  <c r="P51" i="1"/>
  <c r="Q51" i="1" a="1"/>
  <c r="Q51" i="1" s="1"/>
  <c r="R51" i="1" a="1"/>
  <c r="R51" i="1"/>
  <c r="S51" i="1" a="1"/>
  <c r="S51" i="1"/>
  <c r="N52" i="1" a="1"/>
  <c r="N52" i="1"/>
  <c r="O52" i="1" a="1"/>
  <c r="O52" i="1" s="1"/>
  <c r="P52" i="1" a="1"/>
  <c r="P52" i="1"/>
  <c r="Q52" i="1" a="1"/>
  <c r="Q52" i="1"/>
  <c r="R52" i="1" a="1"/>
  <c r="R52" i="1"/>
  <c r="S52" i="1" a="1"/>
  <c r="S52" i="1" s="1"/>
  <c r="N53" i="1" a="1"/>
  <c r="N53" i="1"/>
  <c r="O53" i="1" a="1"/>
  <c r="O53" i="1"/>
  <c r="P53" i="1" a="1"/>
  <c r="P53" i="1"/>
  <c r="Q53" i="1" a="1"/>
  <c r="Q53" i="1" s="1"/>
  <c r="R53" i="1" a="1"/>
  <c r="R53" i="1"/>
  <c r="S53" i="1" a="1"/>
  <c r="S53" i="1"/>
  <c r="N54" i="1" a="1"/>
  <c r="N54" i="1"/>
  <c r="O54" i="1" a="1"/>
  <c r="O54" i="1" s="1"/>
  <c r="P54" i="1" a="1"/>
  <c r="P54" i="1"/>
  <c r="Q54" i="1" a="1"/>
  <c r="Q54" i="1"/>
  <c r="R54" i="1" a="1"/>
  <c r="R54" i="1"/>
  <c r="S54" i="1" a="1"/>
  <c r="S54" i="1" s="1"/>
  <c r="N55" i="1" a="1"/>
  <c r="N55" i="1"/>
  <c r="O55" i="1" a="1"/>
  <c r="O55" i="1"/>
  <c r="P55" i="1" a="1"/>
  <c r="P55" i="1"/>
  <c r="Q55" i="1" a="1"/>
  <c r="Q55" i="1" s="1"/>
  <c r="R55" i="1" a="1"/>
  <c r="R55" i="1"/>
  <c r="S55" i="1" a="1"/>
  <c r="S55" i="1"/>
  <c r="N56" i="1" a="1"/>
  <c r="N56" i="1"/>
  <c r="O56" i="1" a="1"/>
  <c r="O56" i="1" s="1"/>
  <c r="P56" i="1" a="1"/>
  <c r="P56" i="1"/>
  <c r="Q56" i="1" a="1"/>
  <c r="Q56" i="1"/>
  <c r="R56" i="1" a="1"/>
  <c r="R56" i="1"/>
  <c r="S56" i="1" a="1"/>
  <c r="S56" i="1" s="1"/>
  <c r="N57" i="1" a="1"/>
  <c r="N57" i="1"/>
  <c r="O57" i="1" a="1"/>
  <c r="O57" i="1"/>
  <c r="P57" i="1" a="1"/>
  <c r="P57" i="1"/>
  <c r="Q57" i="1" a="1"/>
  <c r="Q57" i="1" s="1"/>
  <c r="R57" i="1" a="1"/>
  <c r="R57" i="1"/>
  <c r="S57" i="1" a="1"/>
  <c r="S57" i="1"/>
  <c r="N58" i="1" a="1"/>
  <c r="N58" i="1"/>
  <c r="O58" i="1" a="1"/>
  <c r="O58" i="1" s="1"/>
  <c r="P58" i="1" a="1"/>
  <c r="P58" i="1"/>
  <c r="Q58" i="1" a="1"/>
  <c r="Q58" i="1"/>
  <c r="R58" i="1" a="1"/>
  <c r="R58" i="1"/>
  <c r="S58" i="1" a="1"/>
  <c r="S58" i="1" s="1"/>
  <c r="N59" i="1" a="1"/>
  <c r="N59" i="1"/>
  <c r="O59" i="1" a="1"/>
  <c r="O59" i="1"/>
  <c r="P59" i="1" a="1"/>
  <c r="P59" i="1"/>
  <c r="Q59" i="1" a="1"/>
  <c r="Q59" i="1" s="1"/>
  <c r="R59" i="1" a="1"/>
  <c r="R59" i="1"/>
  <c r="S59" i="1" a="1"/>
  <c r="S59" i="1"/>
  <c r="N60" i="1" a="1"/>
  <c r="N60" i="1"/>
  <c r="O60" i="1" a="1"/>
  <c r="O60" i="1" s="1"/>
  <c r="P60" i="1" a="1"/>
  <c r="P60" i="1"/>
  <c r="Q60" i="1" a="1"/>
  <c r="Q60" i="1"/>
  <c r="R60" i="1" a="1"/>
  <c r="R60" i="1"/>
  <c r="S60" i="1" a="1"/>
  <c r="S60" i="1" s="1"/>
  <c r="N61" i="1" a="1"/>
  <c r="N61" i="1"/>
  <c r="O61" i="1" a="1"/>
  <c r="O61" i="1"/>
  <c r="P61" i="1" a="1"/>
  <c r="P61" i="1"/>
  <c r="Q61" i="1" a="1"/>
  <c r="Q61" i="1" s="1"/>
  <c r="R61" i="1" a="1"/>
  <c r="R61" i="1"/>
  <c r="S61" i="1" a="1"/>
  <c r="S61" i="1"/>
  <c r="N62" i="1" a="1"/>
  <c r="N62" i="1"/>
  <c r="O62" i="1" a="1"/>
  <c r="O62" i="1" s="1"/>
  <c r="P62" i="1" a="1"/>
  <c r="P62" i="1"/>
  <c r="Q62" i="1" a="1"/>
  <c r="Q62" i="1"/>
  <c r="R62" i="1" a="1"/>
  <c r="R62" i="1"/>
  <c r="S62" i="1" a="1"/>
  <c r="S62" i="1" s="1"/>
  <c r="N63" i="1" a="1"/>
  <c r="N63" i="1"/>
  <c r="O63" i="1" a="1"/>
  <c r="O63" i="1"/>
  <c r="P63" i="1" a="1"/>
  <c r="P63" i="1"/>
  <c r="Q63" i="1" a="1"/>
  <c r="Q63" i="1" s="1"/>
  <c r="R63" i="1" a="1"/>
  <c r="R63" i="1"/>
  <c r="S63" i="1" a="1"/>
  <c r="S63" i="1"/>
  <c r="N64" i="1" a="1"/>
  <c r="N64" i="1"/>
  <c r="O64" i="1" a="1"/>
  <c r="O64" i="1" s="1"/>
  <c r="P64" i="1" a="1"/>
  <c r="P64" i="1"/>
  <c r="Q64" i="1" a="1"/>
  <c r="Q64" i="1"/>
  <c r="R64" i="1" a="1"/>
  <c r="R64" i="1"/>
  <c r="S64" i="1" a="1"/>
  <c r="S64" i="1" s="1"/>
  <c r="N65" i="1" a="1"/>
  <c r="N65" i="1"/>
  <c r="O65" i="1" a="1"/>
  <c r="O65" i="1"/>
  <c r="P65" i="1" a="1"/>
  <c r="P65" i="1"/>
  <c r="Q65" i="1" a="1"/>
  <c r="Q65" i="1" s="1"/>
  <c r="R65" i="1" a="1"/>
  <c r="R65" i="1"/>
  <c r="S65" i="1" a="1"/>
  <c r="S65" i="1"/>
  <c r="N66" i="1" a="1"/>
  <c r="N66" i="1"/>
  <c r="O66" i="1" a="1"/>
  <c r="O66" i="1" s="1"/>
  <c r="P66" i="1" a="1"/>
  <c r="P66" i="1"/>
  <c r="Q66" i="1" a="1"/>
  <c r="Q66" i="1"/>
  <c r="R66" i="1" a="1"/>
  <c r="R66" i="1"/>
  <c r="S66" i="1" a="1"/>
  <c r="S66" i="1" s="1"/>
  <c r="N67" i="1" a="1"/>
  <c r="N67" i="1"/>
  <c r="O67" i="1" a="1"/>
  <c r="O67" i="1"/>
  <c r="P67" i="1" a="1"/>
  <c r="P67" i="1"/>
  <c r="Q67" i="1" a="1"/>
  <c r="Q67" i="1" s="1"/>
  <c r="R67" i="1" a="1"/>
  <c r="R67" i="1"/>
  <c r="S67" i="1" a="1"/>
  <c r="S67" i="1"/>
  <c r="N68" i="1" a="1"/>
  <c r="N68" i="1"/>
  <c r="O68" i="1" a="1"/>
  <c r="O68" i="1" s="1"/>
  <c r="P68" i="1" a="1"/>
  <c r="P68" i="1"/>
  <c r="Q68" i="1" a="1"/>
  <c r="Q68" i="1"/>
  <c r="R68" i="1" a="1"/>
  <c r="R68" i="1"/>
  <c r="S68" i="1" a="1"/>
  <c r="S68" i="1" s="1"/>
  <c r="N69" i="1" a="1"/>
  <c r="N69" i="1"/>
  <c r="O69" i="1" a="1"/>
  <c r="O69" i="1"/>
  <c r="P69" i="1" a="1"/>
  <c r="P69" i="1"/>
  <c r="Q69" i="1" a="1"/>
  <c r="Q69" i="1" s="1"/>
  <c r="R69" i="1" a="1"/>
  <c r="R69" i="1"/>
  <c r="S69" i="1" a="1"/>
  <c r="S69" i="1"/>
  <c r="N70" i="1" a="1"/>
  <c r="N70" i="1"/>
  <c r="O70" i="1" a="1"/>
  <c r="O70" i="1" s="1"/>
  <c r="P70" i="1" a="1"/>
  <c r="P70" i="1"/>
  <c r="Q70" i="1" a="1"/>
  <c r="Q70" i="1"/>
  <c r="R70" i="1" a="1"/>
  <c r="R70" i="1"/>
  <c r="S70" i="1" a="1"/>
  <c r="S70" i="1" s="1"/>
  <c r="N71" i="1" a="1"/>
  <c r="N71" i="1"/>
  <c r="O71" i="1" a="1"/>
  <c r="O71" i="1"/>
  <c r="P71" i="1" a="1"/>
  <c r="P71" i="1"/>
  <c r="Q71" i="1" a="1"/>
  <c r="Q71" i="1" s="1"/>
  <c r="R71" i="1" a="1"/>
  <c r="R71" i="1"/>
  <c r="S71" i="1" a="1"/>
  <c r="S71" i="1"/>
  <c r="N72" i="1" a="1"/>
  <c r="N72" i="1"/>
  <c r="O72" i="1" a="1"/>
  <c r="O72" i="1" s="1"/>
  <c r="P72" i="1" a="1"/>
  <c r="P72" i="1"/>
  <c r="Q72" i="1" a="1"/>
  <c r="Q72" i="1"/>
  <c r="R72" i="1" a="1"/>
  <c r="R72" i="1"/>
  <c r="S72" i="1" a="1"/>
  <c r="S72" i="1" s="1"/>
  <c r="N73" i="1" a="1"/>
  <c r="N73" i="1"/>
  <c r="O73" i="1" a="1"/>
  <c r="O73" i="1"/>
  <c r="P73" i="1" a="1"/>
  <c r="P73" i="1"/>
  <c r="Q73" i="1" a="1"/>
  <c r="Q73" i="1" s="1"/>
  <c r="R73" i="1" a="1"/>
  <c r="R73" i="1"/>
  <c r="S73" i="1" a="1"/>
  <c r="S73" i="1"/>
  <c r="N74" i="1" a="1"/>
  <c r="N74" i="1"/>
  <c r="O74" i="1" a="1"/>
  <c r="O74" i="1" s="1"/>
  <c r="P74" i="1" a="1"/>
  <c r="P74" i="1"/>
  <c r="Q74" i="1" a="1"/>
  <c r="Q74" i="1"/>
  <c r="R74" i="1" a="1"/>
  <c r="R74" i="1"/>
  <c r="S74" i="1" a="1"/>
  <c r="S74" i="1" s="1"/>
  <c r="N75" i="1" a="1"/>
  <c r="N75" i="1"/>
  <c r="O75" i="1" a="1"/>
  <c r="O75" i="1"/>
  <c r="P75" i="1" a="1"/>
  <c r="P75" i="1"/>
  <c r="Q75" i="1" a="1"/>
  <c r="Q75" i="1" s="1"/>
  <c r="R75" i="1" a="1"/>
  <c r="R75" i="1"/>
  <c r="S75" i="1" a="1"/>
  <c r="S75" i="1"/>
  <c r="N76" i="1" a="1"/>
  <c r="N76" i="1"/>
  <c r="O76" i="1" a="1"/>
  <c r="O76" i="1" s="1"/>
  <c r="P76" i="1" a="1"/>
  <c r="P76" i="1"/>
  <c r="Q76" i="1" a="1"/>
  <c r="Q76" i="1"/>
  <c r="R76" i="1" a="1"/>
  <c r="R76" i="1"/>
  <c r="S76" i="1" a="1"/>
  <c r="S76" i="1" s="1"/>
  <c r="N77" i="1" a="1"/>
  <c r="N77" i="1"/>
  <c r="O77" i="1" a="1"/>
  <c r="O77" i="1"/>
  <c r="P77" i="1" a="1"/>
  <c r="P77" i="1"/>
  <c r="Q77" i="1" a="1"/>
  <c r="Q77" i="1" s="1"/>
  <c r="R77" i="1" a="1"/>
  <c r="R77" i="1"/>
  <c r="S77" i="1" a="1"/>
  <c r="S77" i="1"/>
  <c r="N78" i="1" a="1"/>
  <c r="N78" i="1"/>
  <c r="O78" i="1" a="1"/>
  <c r="O78" i="1" s="1"/>
  <c r="P78" i="1" a="1"/>
  <c r="P78" i="1"/>
  <c r="Q78" i="1" a="1"/>
  <c r="Q78" i="1"/>
  <c r="R78" i="1" a="1"/>
  <c r="R78" i="1"/>
  <c r="S78" i="1" a="1"/>
  <c r="S78" i="1" s="1"/>
  <c r="N79" i="1" a="1"/>
  <c r="N79" i="1"/>
  <c r="O79" i="1" a="1"/>
  <c r="O79" i="1"/>
  <c r="P79" i="1" a="1"/>
  <c r="P79" i="1"/>
  <c r="Q79" i="1" a="1"/>
  <c r="Q79" i="1" s="1"/>
  <c r="R79" i="1" a="1"/>
  <c r="R79" i="1"/>
  <c r="S79" i="1" a="1"/>
  <c r="S79" i="1"/>
  <c r="N80" i="1" a="1"/>
  <c r="N80" i="1"/>
  <c r="O80" i="1" a="1"/>
  <c r="O80" i="1" s="1"/>
  <c r="P80" i="1" a="1"/>
  <c r="P80" i="1"/>
  <c r="Q80" i="1" a="1"/>
  <c r="Q80" i="1"/>
  <c r="R80" i="1" a="1"/>
  <c r="R80" i="1"/>
  <c r="S80" i="1" a="1"/>
  <c r="S80" i="1" s="1"/>
  <c r="N81" i="1" a="1"/>
  <c r="N81" i="1"/>
  <c r="O81" i="1" a="1"/>
  <c r="O81" i="1"/>
  <c r="P81" i="1" a="1"/>
  <c r="P81" i="1"/>
  <c r="Q81" i="1" a="1"/>
  <c r="Q81" i="1" s="1"/>
  <c r="R81" i="1" a="1"/>
  <c r="R81" i="1"/>
  <c r="S81" i="1" a="1"/>
  <c r="S81" i="1"/>
  <c r="N82" i="1" a="1"/>
  <c r="N82" i="1"/>
  <c r="O82" i="1" a="1"/>
  <c r="O82" i="1" s="1"/>
  <c r="P82" i="1" a="1"/>
  <c r="P82" i="1"/>
  <c r="Q82" i="1" a="1"/>
  <c r="Q82" i="1"/>
  <c r="R82" i="1" a="1"/>
  <c r="R82" i="1"/>
  <c r="S82" i="1" a="1"/>
  <c r="S82" i="1" s="1"/>
  <c r="N83" i="1" a="1"/>
  <c r="N83" i="1"/>
  <c r="O83" i="1" a="1"/>
  <c r="O83" i="1"/>
  <c r="P83" i="1" a="1"/>
  <c r="P83" i="1"/>
  <c r="Q83" i="1" a="1"/>
  <c r="Q83" i="1" s="1"/>
  <c r="R83" i="1" a="1"/>
  <c r="R83" i="1"/>
  <c r="S83" i="1" a="1"/>
  <c r="S83" i="1"/>
  <c r="N84" i="1" a="1"/>
  <c r="N84" i="1"/>
  <c r="O84" i="1" a="1"/>
  <c r="O84" i="1" s="1"/>
  <c r="P84" i="1" a="1"/>
  <c r="P84" i="1"/>
  <c r="Q84" i="1" a="1"/>
  <c r="Q84" i="1"/>
  <c r="R84" i="1" a="1"/>
  <c r="R84" i="1"/>
  <c r="S84" i="1" a="1"/>
  <c r="S84" i="1" s="1"/>
  <c r="N85" i="1" a="1"/>
  <c r="N85" i="1"/>
  <c r="O85" i="1" a="1"/>
  <c r="O85" i="1"/>
  <c r="P85" i="1" a="1"/>
  <c r="P85" i="1"/>
  <c r="Q85" i="1" a="1"/>
  <c r="Q85" i="1" s="1"/>
  <c r="R85" i="1" a="1"/>
  <c r="R85" i="1"/>
  <c r="S85" i="1" a="1"/>
  <c r="S85" i="1"/>
  <c r="N86" i="1" a="1"/>
  <c r="N86" i="1"/>
  <c r="O86" i="1" a="1"/>
  <c r="O86" i="1" s="1"/>
  <c r="P86" i="1" a="1"/>
  <c r="P86" i="1"/>
  <c r="Q86" i="1" a="1"/>
  <c r="Q86" i="1"/>
  <c r="R86" i="1" a="1"/>
  <c r="R86" i="1"/>
  <c r="S86" i="1" a="1"/>
  <c r="S86" i="1" s="1"/>
  <c r="N87" i="1" a="1"/>
  <c r="N87" i="1"/>
  <c r="O87" i="1" a="1"/>
  <c r="O87" i="1"/>
  <c r="P87" i="1" a="1"/>
  <c r="P87" i="1"/>
  <c r="Q87" i="1" a="1"/>
  <c r="Q87" i="1" s="1"/>
  <c r="R87" i="1" a="1"/>
  <c r="R87" i="1"/>
  <c r="S87" i="1" a="1"/>
  <c r="S87" i="1"/>
  <c r="N88" i="1" a="1"/>
  <c r="N88" i="1"/>
  <c r="O88" i="1" a="1"/>
  <c r="O88" i="1" s="1"/>
  <c r="P88" i="1" a="1"/>
  <c r="P88" i="1"/>
  <c r="Q88" i="1" a="1"/>
  <c r="Q88" i="1"/>
  <c r="R88" i="1" a="1"/>
  <c r="R88" i="1"/>
  <c r="S88" i="1" a="1"/>
  <c r="S88" i="1" s="1"/>
  <c r="N89" i="1" a="1"/>
  <c r="N89" i="1"/>
  <c r="O89" i="1" a="1"/>
  <c r="O89" i="1"/>
  <c r="P89" i="1" a="1"/>
  <c r="P89" i="1"/>
  <c r="Q89" i="1" a="1"/>
  <c r="Q89" i="1"/>
  <c r="R89" i="1" a="1"/>
  <c r="R89" i="1"/>
  <c r="S89" i="1" a="1"/>
  <c r="S89" i="1"/>
  <c r="N90" i="1" a="1"/>
  <c r="N90" i="1"/>
  <c r="O90" i="1" a="1"/>
  <c r="O90" i="1"/>
  <c r="P90" i="1" a="1"/>
  <c r="P90" i="1"/>
  <c r="Q90" i="1" a="1"/>
  <c r="Q90" i="1"/>
  <c r="R90" i="1" a="1"/>
  <c r="R90" i="1"/>
  <c r="S90" i="1" a="1"/>
  <c r="S90" i="1"/>
  <c r="N91" i="1" a="1"/>
  <c r="N91" i="1"/>
  <c r="O91" i="1" a="1"/>
  <c r="O91" i="1"/>
  <c r="P91" i="1" a="1"/>
  <c r="P91" i="1"/>
  <c r="Q91" i="1" a="1"/>
  <c r="Q91" i="1"/>
  <c r="R91" i="1" a="1"/>
  <c r="R91" i="1"/>
  <c r="S91" i="1" a="1"/>
  <c r="S91" i="1"/>
  <c r="N92" i="1" a="1"/>
  <c r="N92" i="1"/>
  <c r="O92" i="1" a="1"/>
  <c r="O92" i="1"/>
  <c r="P92" i="1" a="1"/>
  <c r="P92" i="1"/>
  <c r="Q92" i="1" a="1"/>
  <c r="Q92" i="1"/>
  <c r="R92" i="1" a="1"/>
  <c r="R92" i="1"/>
  <c r="S92" i="1" a="1"/>
  <c r="S92" i="1"/>
  <c r="N93" i="1" a="1"/>
  <c r="N93" i="1"/>
  <c r="O93" i="1" a="1"/>
  <c r="O93" i="1"/>
  <c r="P93" i="1" a="1"/>
  <c r="P93" i="1"/>
  <c r="Q93" i="1" a="1"/>
  <c r="Q93" i="1"/>
  <c r="R93" i="1" a="1"/>
  <c r="R93" i="1"/>
  <c r="S93" i="1" a="1"/>
  <c r="S93" i="1"/>
  <c r="N94" i="1" a="1"/>
  <c r="N94" i="1"/>
  <c r="O94" i="1" a="1"/>
  <c r="O94" i="1"/>
  <c r="P94" i="1" a="1"/>
  <c r="P94" i="1"/>
  <c r="Q94" i="1" a="1"/>
  <c r="Q94" i="1"/>
  <c r="R94" i="1" a="1"/>
  <c r="R94" i="1"/>
  <c r="S94" i="1" a="1"/>
  <c r="S94" i="1"/>
  <c r="N95" i="1" a="1"/>
  <c r="N95" i="1"/>
  <c r="O95" i="1" a="1"/>
  <c r="O95" i="1"/>
  <c r="P95" i="1" a="1"/>
  <c r="P95" i="1"/>
  <c r="Q95" i="1" a="1"/>
  <c r="Q95" i="1"/>
  <c r="R95" i="1" a="1"/>
  <c r="R95" i="1"/>
  <c r="S95" i="1" a="1"/>
  <c r="S95" i="1"/>
  <c r="N96" i="1" a="1"/>
  <c r="N96" i="1"/>
  <c r="O96" i="1" a="1"/>
  <c r="O96" i="1"/>
  <c r="P96" i="1" a="1"/>
  <c r="P96" i="1"/>
  <c r="Q96" i="1" a="1"/>
  <c r="Q96" i="1"/>
  <c r="R96" i="1" a="1"/>
  <c r="R96" i="1"/>
  <c r="S96" i="1" a="1"/>
  <c r="S96" i="1"/>
  <c r="N97" i="1" a="1"/>
  <c r="N97" i="1"/>
  <c r="O97" i="1" a="1"/>
  <c r="O97" i="1"/>
  <c r="P97" i="1" a="1"/>
  <c r="P97" i="1"/>
  <c r="Q97" i="1" a="1"/>
  <c r="Q97" i="1"/>
  <c r="R97" i="1" a="1"/>
  <c r="R97" i="1"/>
  <c r="S97" i="1" a="1"/>
  <c r="S97" i="1"/>
  <c r="N98" i="1" a="1"/>
  <c r="N98" i="1"/>
  <c r="O98" i="1" a="1"/>
  <c r="O98" i="1"/>
  <c r="P98" i="1" a="1"/>
  <c r="P98" i="1"/>
  <c r="Q98" i="1" a="1"/>
  <c r="Q98" i="1"/>
  <c r="R98" i="1" a="1"/>
  <c r="R98" i="1"/>
  <c r="S98" i="1" a="1"/>
  <c r="S98" i="1"/>
  <c r="N99" i="1" a="1"/>
  <c r="N99" i="1"/>
  <c r="O99" i="1" a="1"/>
  <c r="O99" i="1"/>
  <c r="P99" i="1" a="1"/>
  <c r="P99" i="1"/>
  <c r="Q99" i="1" a="1"/>
  <c r="Q99" i="1"/>
  <c r="R99" i="1" a="1"/>
  <c r="R99" i="1"/>
  <c r="S99" i="1" a="1"/>
  <c r="S99" i="1"/>
  <c r="N100" i="1" a="1"/>
  <c r="N100" i="1"/>
  <c r="O100" i="1" a="1"/>
  <c r="O100" i="1"/>
  <c r="P100" i="1" a="1"/>
  <c r="P100" i="1"/>
  <c r="Q100" i="1" a="1"/>
  <c r="Q100" i="1"/>
  <c r="R100" i="1" a="1"/>
  <c r="R100" i="1"/>
  <c r="S100" i="1" a="1"/>
  <c r="S100" i="1"/>
  <c r="N101" i="1" a="1"/>
  <c r="N101" i="1"/>
  <c r="O101" i="1" a="1"/>
  <c r="O101" i="1"/>
  <c r="P101" i="1" a="1"/>
  <c r="P101" i="1"/>
  <c r="Q101" i="1" a="1"/>
  <c r="Q101" i="1"/>
  <c r="R101" i="1" a="1"/>
  <c r="R101" i="1"/>
  <c r="S101" i="1" a="1"/>
  <c r="S101" i="1"/>
  <c r="N102" i="1" a="1"/>
  <c r="N102" i="1"/>
  <c r="O102" i="1" a="1"/>
  <c r="O102" i="1" s="1"/>
  <c r="P102" i="1" a="1"/>
  <c r="P102" i="1" s="1"/>
  <c r="Q102" i="1" a="1"/>
  <c r="Q102" i="1" s="1"/>
  <c r="R102" i="1" a="1"/>
  <c r="R102" i="1" s="1"/>
  <c r="S102" i="1" a="1"/>
  <c r="S102" i="1" s="1"/>
  <c r="N103" i="1" a="1"/>
  <c r="N103" i="1" s="1"/>
  <c r="O103" i="1" a="1"/>
  <c r="O103" i="1" s="1"/>
  <c r="P103" i="1" a="1"/>
  <c r="P103" i="1" s="1"/>
  <c r="Q103" i="1" a="1"/>
  <c r="Q103" i="1" s="1"/>
  <c r="R103" i="1" a="1"/>
  <c r="R103" i="1" s="1"/>
  <c r="S103" i="1" a="1"/>
  <c r="S103" i="1" s="1"/>
  <c r="N104" i="1" a="1"/>
  <c r="N104" i="1" s="1"/>
  <c r="O104" i="1" a="1"/>
  <c r="O104" i="1" s="1"/>
  <c r="P104" i="1" a="1"/>
  <c r="P104" i="1" s="1"/>
  <c r="Q104" i="1" a="1"/>
  <c r="Q104" i="1" s="1"/>
  <c r="R104" i="1" a="1"/>
  <c r="R104" i="1" s="1"/>
  <c r="S104" i="1" a="1"/>
  <c r="S104" i="1" s="1"/>
  <c r="N105" i="1" a="1"/>
  <c r="N105" i="1" s="1"/>
  <c r="O105" i="1" a="1"/>
  <c r="O105" i="1" s="1"/>
  <c r="P105" i="1" a="1"/>
  <c r="P105" i="1" s="1"/>
  <c r="Q105" i="1" a="1"/>
  <c r="Q105" i="1" s="1"/>
  <c r="R105" i="1" a="1"/>
  <c r="R105" i="1" s="1"/>
  <c r="S105" i="1" a="1"/>
  <c r="S105" i="1" s="1"/>
  <c r="N106" i="1" a="1"/>
  <c r="N106" i="1" s="1"/>
  <c r="O106" i="1" a="1"/>
  <c r="O106" i="1" s="1"/>
  <c r="P106" i="1" a="1"/>
  <c r="P106" i="1" s="1"/>
  <c r="Q106" i="1" a="1"/>
  <c r="Q106" i="1" s="1"/>
  <c r="R106" i="1" a="1"/>
  <c r="R106" i="1" s="1"/>
  <c r="S106" i="1" a="1"/>
  <c r="S106" i="1" s="1"/>
  <c r="N107" i="1" a="1"/>
  <c r="N107" i="1" s="1"/>
  <c r="O107" i="1" a="1"/>
  <c r="O107" i="1" s="1"/>
  <c r="P107" i="1" a="1"/>
  <c r="P107" i="1" s="1"/>
  <c r="Q107" i="1" a="1"/>
  <c r="Q107" i="1"/>
  <c r="R107" i="1" a="1"/>
  <c r="R107" i="1"/>
  <c r="S107" i="1" a="1"/>
  <c r="S107" i="1"/>
  <c r="N108" i="1" a="1"/>
  <c r="N108" i="1"/>
  <c r="O108" i="1" a="1"/>
  <c r="O108" i="1"/>
  <c r="P108" i="1" a="1"/>
  <c r="P108" i="1"/>
  <c r="Q108" i="1" a="1"/>
  <c r="Q108" i="1"/>
  <c r="R108" i="1" a="1"/>
  <c r="R108" i="1"/>
  <c r="S108" i="1" a="1"/>
  <c r="S108" i="1"/>
  <c r="N109" i="1" a="1"/>
  <c r="N109" i="1"/>
  <c r="O109" i="1" a="1"/>
  <c r="O109" i="1"/>
  <c r="P109" i="1" a="1"/>
  <c r="P109" i="1"/>
  <c r="Q109" i="1" a="1"/>
  <c r="Q109" i="1"/>
  <c r="R109" i="1" a="1"/>
  <c r="R109" i="1"/>
  <c r="S109" i="1" a="1"/>
  <c r="S109" i="1"/>
  <c r="N110" i="1" a="1"/>
  <c r="N110" i="1"/>
  <c r="O110" i="1" a="1"/>
  <c r="O110" i="1"/>
  <c r="P110" i="1" a="1"/>
  <c r="P110" i="1"/>
  <c r="Q110" i="1" a="1"/>
  <c r="Q110" i="1"/>
  <c r="R110" i="1" a="1"/>
  <c r="R110" i="1"/>
  <c r="S110" i="1" a="1"/>
  <c r="S110" i="1"/>
  <c r="N111" i="1" a="1"/>
  <c r="N111" i="1"/>
  <c r="O111" i="1" a="1"/>
  <c r="O111" i="1"/>
  <c r="P111" i="1" a="1"/>
  <c r="P111" i="1"/>
  <c r="Q111" i="1" a="1"/>
  <c r="Q111" i="1"/>
  <c r="R111" i="1" a="1"/>
  <c r="R111" i="1"/>
  <c r="S111" i="1" a="1"/>
  <c r="S111" i="1"/>
  <c r="N112" i="1" a="1"/>
  <c r="N112" i="1"/>
  <c r="O112" i="1" a="1"/>
  <c r="O112" i="1"/>
  <c r="P112" i="1" a="1"/>
  <c r="P112" i="1"/>
  <c r="Q112" i="1" a="1"/>
  <c r="Q112" i="1"/>
  <c r="R112" i="1" a="1"/>
  <c r="R112" i="1"/>
  <c r="S112" i="1" a="1"/>
  <c r="S112" i="1"/>
  <c r="N113" i="1" a="1"/>
  <c r="N113" i="1"/>
  <c r="O113" i="1" a="1"/>
  <c r="O113" i="1"/>
  <c r="P113" i="1" a="1"/>
  <c r="P113" i="1"/>
  <c r="Q113" i="1" a="1"/>
  <c r="Q113" i="1"/>
  <c r="R113" i="1" a="1"/>
  <c r="R113" i="1"/>
  <c r="S113" i="1" a="1"/>
  <c r="S113" i="1"/>
  <c r="N114" i="1" a="1"/>
  <c r="N114" i="1"/>
  <c r="O114" i="1" a="1"/>
  <c r="O114" i="1"/>
  <c r="P114" i="1" a="1"/>
  <c r="P114" i="1"/>
  <c r="Q114" i="1" a="1"/>
  <c r="Q114" i="1"/>
  <c r="R114" i="1" a="1"/>
  <c r="R114" i="1"/>
  <c r="S114" i="1" a="1"/>
  <c r="S114" i="1"/>
  <c r="N115" i="1" a="1"/>
  <c r="N115" i="1"/>
  <c r="O115" i="1" a="1"/>
  <c r="O115" i="1"/>
  <c r="P115" i="1" a="1"/>
  <c r="P115" i="1"/>
  <c r="Q115" i="1" a="1"/>
  <c r="Q115" i="1"/>
  <c r="R115" i="1" a="1"/>
  <c r="R115" i="1"/>
  <c r="S115" i="1" a="1"/>
  <c r="S115" i="1"/>
  <c r="N116" i="1" a="1"/>
  <c r="N116" i="1"/>
  <c r="O116" i="1" a="1"/>
  <c r="O116" i="1"/>
  <c r="P116" i="1" a="1"/>
  <c r="P116" i="1"/>
  <c r="Q116" i="1" a="1"/>
  <c r="Q116" i="1"/>
  <c r="R116" i="1" a="1"/>
  <c r="R116" i="1"/>
  <c r="S116" i="1" a="1"/>
  <c r="S116" i="1"/>
  <c r="N117" i="1" a="1"/>
  <c r="N117" i="1"/>
  <c r="O117" i="1" a="1"/>
  <c r="O117" i="1"/>
  <c r="P117" i="1" a="1"/>
  <c r="P117" i="1"/>
  <c r="Q117" i="1" a="1"/>
  <c r="Q117" i="1"/>
  <c r="R117" i="1" a="1"/>
  <c r="R117" i="1"/>
  <c r="S117" i="1" a="1"/>
  <c r="S117" i="1"/>
  <c r="N118" i="1" a="1"/>
  <c r="N118" i="1"/>
  <c r="O118" i="1" a="1"/>
  <c r="O118" i="1"/>
  <c r="P118" i="1" a="1"/>
  <c r="P118" i="1"/>
  <c r="Q118" i="1" a="1"/>
  <c r="Q118" i="1"/>
  <c r="R118" i="1" a="1"/>
  <c r="R118" i="1"/>
  <c r="S118" i="1" a="1"/>
  <c r="S118" i="1"/>
  <c r="N119" i="1" a="1"/>
  <c r="N119" i="1" s="1"/>
  <c r="O119" i="1" a="1"/>
  <c r="O119" i="1" s="1"/>
  <c r="P119" i="1" a="1"/>
  <c r="P119" i="1" s="1"/>
  <c r="Q119" i="1" a="1"/>
  <c r="Q119" i="1" s="1"/>
  <c r="R119" i="1" a="1"/>
  <c r="R119" i="1" s="1"/>
  <c r="S119" i="1" a="1"/>
  <c r="S119" i="1" s="1"/>
  <c r="N120" i="1" a="1"/>
  <c r="N120" i="1" s="1"/>
  <c r="O120" i="1" a="1"/>
  <c r="O120" i="1" s="1"/>
  <c r="P120" i="1" a="1"/>
  <c r="P120" i="1" s="1"/>
  <c r="Q120" i="1" a="1"/>
  <c r="Q120" i="1" s="1"/>
  <c r="R120" i="1" a="1"/>
  <c r="R120" i="1" s="1"/>
  <c r="S120" i="1" a="1"/>
  <c r="S120" i="1" s="1"/>
  <c r="N121" i="1" a="1"/>
  <c r="N121" i="1" s="1"/>
  <c r="O121" i="1" a="1"/>
  <c r="O121" i="1" s="1"/>
  <c r="P121" i="1" a="1"/>
  <c r="P121" i="1" s="1"/>
  <c r="Q121" i="1" a="1"/>
  <c r="Q121" i="1" s="1"/>
  <c r="R121" i="1" a="1"/>
  <c r="R121" i="1" s="1"/>
  <c r="S121" i="1" a="1"/>
  <c r="S121" i="1" s="1"/>
  <c r="N122" i="1" a="1"/>
  <c r="N122" i="1" s="1"/>
  <c r="O122" i="1" a="1"/>
  <c r="O122" i="1" s="1"/>
  <c r="P122" i="1" a="1"/>
  <c r="P122" i="1" s="1"/>
  <c r="Q122" i="1" a="1"/>
  <c r="Q122" i="1" s="1"/>
  <c r="R122" i="1" a="1"/>
  <c r="R122" i="1" s="1"/>
  <c r="S122" i="1" a="1"/>
  <c r="S122" i="1" s="1"/>
  <c r="N123" i="1" a="1"/>
  <c r="N123" i="1" s="1"/>
  <c r="O123" i="1" a="1"/>
  <c r="O123" i="1" s="1"/>
  <c r="P123" i="1" a="1"/>
  <c r="P123" i="1" s="1"/>
  <c r="Q123" i="1" a="1"/>
  <c r="Q123" i="1" s="1"/>
  <c r="R123" i="1" a="1"/>
  <c r="R123" i="1" s="1"/>
  <c r="S123" i="1" a="1"/>
  <c r="S123" i="1" s="1"/>
  <c r="N124" i="1" a="1"/>
  <c r="N124" i="1" s="1"/>
  <c r="O124" i="1" a="1"/>
  <c r="O124" i="1" s="1"/>
  <c r="P124" i="1" a="1"/>
  <c r="P124" i="1" s="1"/>
  <c r="Q124" i="1" a="1"/>
  <c r="Q124" i="1" s="1"/>
  <c r="R124" i="1" a="1"/>
  <c r="R124" i="1" s="1"/>
  <c r="S124" i="1" a="1"/>
  <c r="S124" i="1" s="1"/>
  <c r="N125" i="1" a="1"/>
  <c r="N125" i="1" s="1"/>
  <c r="O125" i="1" a="1"/>
  <c r="O125" i="1"/>
  <c r="P125" i="1" a="1"/>
  <c r="P125" i="1"/>
  <c r="Q125" i="1" a="1"/>
  <c r="Q125" i="1"/>
  <c r="R125" i="1" a="1"/>
  <c r="R125" i="1"/>
  <c r="S125" i="1" a="1"/>
  <c r="S125" i="1"/>
  <c r="N126" i="1" a="1"/>
  <c r="N126" i="1"/>
  <c r="O126" i="1" a="1"/>
  <c r="O126" i="1"/>
  <c r="P126" i="1" a="1"/>
  <c r="P126" i="1"/>
  <c r="Q126" i="1" a="1"/>
  <c r="Q126" i="1"/>
  <c r="R126" i="1" a="1"/>
  <c r="R126" i="1" s="1"/>
  <c r="S126" i="1" a="1"/>
  <c r="S126" i="1" s="1"/>
  <c r="N127" i="1" a="1"/>
  <c r="N127" i="1" s="1"/>
  <c r="O127" i="1" a="1"/>
  <c r="O127" i="1" s="1"/>
  <c r="P127" i="1" a="1"/>
  <c r="P127" i="1" s="1"/>
  <c r="Q127" i="1" a="1"/>
  <c r="Q127" i="1" s="1"/>
  <c r="R127" i="1" a="1"/>
  <c r="R127" i="1" s="1"/>
  <c r="S127" i="1" a="1"/>
  <c r="S127" i="1" s="1"/>
  <c r="N128" i="1" a="1"/>
  <c r="N128" i="1" s="1"/>
  <c r="O128" i="1" a="1"/>
  <c r="O128" i="1" s="1"/>
  <c r="P128" i="1" a="1"/>
  <c r="P128" i="1" s="1"/>
  <c r="Q128" i="1" a="1"/>
  <c r="Q128" i="1" s="1"/>
  <c r="R128" i="1" a="1"/>
  <c r="R128" i="1" s="1"/>
  <c r="S128" i="1" a="1"/>
  <c r="S128" i="1" s="1"/>
  <c r="N129" i="1" a="1"/>
  <c r="N129" i="1" s="1"/>
  <c r="O129" i="1" a="1"/>
  <c r="O129" i="1" s="1"/>
  <c r="P129" i="1" a="1"/>
  <c r="P129" i="1" s="1"/>
  <c r="Q129" i="1" a="1"/>
  <c r="Q129" i="1" s="1"/>
  <c r="R129" i="1" a="1"/>
  <c r="R129" i="1" s="1"/>
  <c r="S129" i="1" a="1"/>
  <c r="S129" i="1" s="1"/>
  <c r="N130" i="1" a="1"/>
  <c r="N130" i="1" s="1"/>
  <c r="O130" i="1" a="1"/>
  <c r="O130" i="1" s="1"/>
  <c r="P130" i="1" a="1"/>
  <c r="P130" i="1" s="1"/>
  <c r="Q130" i="1" a="1"/>
  <c r="Q130" i="1" s="1"/>
  <c r="R130" i="1" a="1"/>
  <c r="R130" i="1" s="1"/>
  <c r="S130" i="1" a="1"/>
  <c r="S130" i="1" s="1"/>
  <c r="N131" i="1" a="1"/>
  <c r="N131" i="1" s="1"/>
  <c r="O131" i="1" a="1"/>
  <c r="O131" i="1" s="1"/>
  <c r="P131" i="1" a="1"/>
  <c r="P131" i="1" s="1"/>
  <c r="Q131" i="1" a="1"/>
  <c r="Q131" i="1" s="1"/>
  <c r="R131" i="1" a="1"/>
  <c r="R131" i="1" s="1"/>
  <c r="S131" i="1" a="1"/>
  <c r="S131" i="1" s="1"/>
  <c r="N132" i="1" a="1"/>
  <c r="N132" i="1" s="1"/>
  <c r="O132" i="1" a="1"/>
  <c r="O132" i="1" s="1"/>
  <c r="P132" i="1" a="1"/>
  <c r="P132" i="1" s="1"/>
  <c r="Q132" i="1" a="1"/>
  <c r="Q132" i="1" s="1"/>
  <c r="R132" i="1" a="1"/>
  <c r="R132" i="1" s="1"/>
  <c r="S132" i="1" a="1"/>
  <c r="S132" i="1" s="1"/>
  <c r="N133" i="1" a="1"/>
  <c r="N133" i="1" s="1"/>
  <c r="O133" i="1" a="1"/>
  <c r="O133" i="1" s="1"/>
  <c r="P133" i="1" a="1"/>
  <c r="P133" i="1" s="1"/>
  <c r="Q133" i="1" a="1"/>
  <c r="Q133" i="1" s="1"/>
  <c r="R133" i="1" a="1"/>
  <c r="R133" i="1" s="1"/>
  <c r="S133" i="1" a="1"/>
  <c r="S133" i="1" s="1"/>
  <c r="N134" i="1" a="1"/>
  <c r="N134" i="1" s="1"/>
  <c r="O134" i="1" a="1"/>
  <c r="O134" i="1" s="1"/>
  <c r="P134" i="1" a="1"/>
  <c r="P134" i="1" s="1"/>
  <c r="Q134" i="1" a="1"/>
  <c r="Q134" i="1" s="1"/>
  <c r="R134" i="1" a="1"/>
  <c r="R134" i="1" s="1"/>
  <c r="S134" i="1" a="1"/>
  <c r="S134" i="1" s="1"/>
  <c r="N135" i="1" a="1"/>
  <c r="N135" i="1" s="1"/>
  <c r="O135" i="1" a="1"/>
  <c r="O135" i="1" s="1"/>
  <c r="P135" i="1" a="1"/>
  <c r="P135" i="1" s="1"/>
  <c r="Q135" i="1" a="1"/>
  <c r="Q135" i="1" s="1"/>
  <c r="R135" i="1" a="1"/>
  <c r="R135" i="1" s="1"/>
  <c r="S135" i="1" a="1"/>
  <c r="S135" i="1" s="1"/>
  <c r="N136" i="1" a="1"/>
  <c r="N136" i="1" s="1"/>
  <c r="O136" i="1" a="1"/>
  <c r="O136" i="1" s="1"/>
  <c r="P136" i="1" a="1"/>
  <c r="P136" i="1" s="1"/>
  <c r="Q136" i="1" a="1"/>
  <c r="Q136" i="1" s="1"/>
  <c r="R136" i="1" a="1"/>
  <c r="R136" i="1" s="1"/>
  <c r="S136" i="1" a="1"/>
  <c r="S136" i="1" s="1"/>
  <c r="N137" i="1" a="1"/>
  <c r="N137" i="1" s="1"/>
  <c r="O137" i="1" a="1"/>
  <c r="O137" i="1" s="1"/>
  <c r="P137" i="1" a="1"/>
  <c r="P137" i="1" s="1"/>
  <c r="Q137" i="1" a="1"/>
  <c r="Q137" i="1" s="1"/>
  <c r="R137" i="1" a="1"/>
  <c r="R137" i="1" s="1"/>
  <c r="S137" i="1" a="1"/>
  <c r="S137" i="1" s="1"/>
  <c r="N138" i="1" a="1"/>
  <c r="N138" i="1" s="1"/>
  <c r="O138" i="1" a="1"/>
  <c r="O138" i="1" s="1"/>
  <c r="P138" i="1" a="1"/>
  <c r="P138" i="1" s="1"/>
  <c r="Q138" i="1" a="1"/>
  <c r="Q138" i="1" s="1"/>
  <c r="R138" i="1" a="1"/>
  <c r="R138" i="1" s="1"/>
  <c r="S138" i="1" a="1"/>
  <c r="S138" i="1" s="1"/>
  <c r="N139" i="1" a="1"/>
  <c r="N139" i="1" s="1"/>
  <c r="O139" i="1" a="1"/>
  <c r="O139" i="1" s="1"/>
  <c r="P139" i="1" a="1"/>
  <c r="P139" i="1" s="1"/>
  <c r="Q139" i="1" a="1"/>
  <c r="Q139" i="1" s="1"/>
  <c r="R139" i="1" a="1"/>
  <c r="R139" i="1" s="1"/>
  <c r="S139" i="1" a="1"/>
  <c r="S139" i="1" s="1"/>
  <c r="N140" i="1" a="1"/>
  <c r="N140" i="1" s="1"/>
  <c r="O140" i="1" a="1"/>
  <c r="O140" i="1" s="1"/>
  <c r="P140" i="1" a="1"/>
  <c r="P140" i="1" s="1"/>
  <c r="Q140" i="1" a="1"/>
  <c r="Q140" i="1" s="1"/>
  <c r="R140" i="1" a="1"/>
  <c r="R140" i="1" s="1"/>
  <c r="S140" i="1" a="1"/>
  <c r="S140" i="1" s="1"/>
  <c r="N141" i="1" a="1"/>
  <c r="N141" i="1" s="1"/>
  <c r="O141" i="1" a="1"/>
  <c r="O141" i="1" s="1"/>
  <c r="P141" i="1" a="1"/>
  <c r="P141" i="1" s="1"/>
  <c r="Q141" i="1" a="1"/>
  <c r="Q141" i="1" s="1"/>
  <c r="R141" i="1" a="1"/>
  <c r="R141" i="1" s="1"/>
  <c r="S141" i="1" a="1"/>
  <c r="S141" i="1" s="1"/>
  <c r="N142" i="1" a="1"/>
  <c r="N142" i="1" s="1"/>
  <c r="O142" i="1" a="1"/>
  <c r="O142" i="1" s="1"/>
  <c r="P142" i="1" a="1"/>
  <c r="P142" i="1" s="1"/>
  <c r="Q142" i="1" a="1"/>
  <c r="Q142" i="1" s="1"/>
  <c r="R142" i="1" a="1"/>
  <c r="R142" i="1" s="1"/>
  <c r="S142" i="1" a="1"/>
  <c r="S142" i="1" s="1"/>
  <c r="N143" i="1" a="1"/>
  <c r="N143" i="1" s="1"/>
  <c r="O143" i="1" a="1"/>
  <c r="O143" i="1" s="1"/>
  <c r="P143" i="1" a="1"/>
  <c r="P143" i="1" s="1"/>
  <c r="Q143" i="1" a="1"/>
  <c r="Q143" i="1" s="1"/>
  <c r="R143" i="1" a="1"/>
  <c r="R143" i="1" s="1"/>
  <c r="S143" i="1" a="1"/>
  <c r="S143" i="1" s="1"/>
  <c r="N144" i="1" a="1"/>
  <c r="N144" i="1" s="1"/>
  <c r="O144" i="1" a="1"/>
  <c r="O144" i="1" s="1"/>
  <c r="P144" i="1" a="1"/>
  <c r="P144" i="1" s="1"/>
  <c r="Q144" i="1" a="1"/>
  <c r="Q144" i="1" s="1"/>
  <c r="R144" i="1" a="1"/>
  <c r="R144" i="1" s="1"/>
  <c r="S144" i="1" a="1"/>
  <c r="S144" i="1" s="1"/>
  <c r="N145" i="1" a="1"/>
  <c r="N145" i="1" s="1"/>
  <c r="O145" i="1" a="1"/>
  <c r="O145" i="1" s="1"/>
  <c r="P145" i="1" a="1"/>
  <c r="P145" i="1" s="1"/>
  <c r="Q145" i="1" a="1"/>
  <c r="Q145" i="1" s="1"/>
  <c r="R145" i="1" a="1"/>
  <c r="R145" i="1" s="1"/>
  <c r="S145" i="1" a="1"/>
  <c r="S145" i="1" s="1"/>
  <c r="N146" i="1" a="1"/>
  <c r="N146" i="1" s="1"/>
  <c r="O146" i="1" a="1"/>
  <c r="O146" i="1" s="1"/>
  <c r="P146" i="1" a="1"/>
  <c r="P146" i="1" s="1"/>
  <c r="Q146" i="1" a="1"/>
  <c r="Q146" i="1" s="1"/>
  <c r="R146" i="1" a="1"/>
  <c r="R146" i="1" s="1"/>
  <c r="S146" i="1" a="1"/>
  <c r="S146" i="1" s="1"/>
  <c r="N147" i="1" a="1"/>
  <c r="N147" i="1" s="1"/>
  <c r="O147" i="1" a="1"/>
  <c r="O147" i="1" s="1"/>
  <c r="P147" i="1" a="1"/>
  <c r="P147" i="1" s="1"/>
  <c r="Q147" i="1" a="1"/>
  <c r="Q147" i="1" s="1"/>
  <c r="R147" i="1" a="1"/>
  <c r="R147" i="1" s="1"/>
  <c r="S147" i="1" a="1"/>
  <c r="S147" i="1" s="1"/>
  <c r="N148" i="1" a="1"/>
  <c r="N148" i="1" s="1"/>
  <c r="O148" i="1" a="1"/>
  <c r="O148" i="1" s="1"/>
  <c r="P148" i="1" a="1"/>
  <c r="P148" i="1" s="1"/>
  <c r="Q148" i="1" a="1"/>
  <c r="Q148" i="1" s="1"/>
  <c r="R148" i="1" a="1"/>
  <c r="R148" i="1" s="1"/>
  <c r="S148" i="1" a="1"/>
  <c r="S148" i="1" s="1"/>
  <c r="N149" i="1" a="1"/>
  <c r="N149" i="1" s="1"/>
  <c r="O149" i="1" a="1"/>
  <c r="O149" i="1" s="1"/>
  <c r="P149" i="1" a="1"/>
  <c r="P149" i="1" s="1"/>
  <c r="Q149" i="1" a="1"/>
  <c r="Q149" i="1" s="1"/>
  <c r="R149" i="1" a="1"/>
  <c r="R149" i="1" s="1"/>
  <c r="S149" i="1" a="1"/>
  <c r="S149" i="1" s="1"/>
  <c r="N150" i="1" a="1"/>
  <c r="N150" i="1" s="1"/>
  <c r="O150" i="1" a="1"/>
  <c r="O150" i="1" s="1"/>
  <c r="P150" i="1" a="1"/>
  <c r="P150" i="1" s="1"/>
  <c r="Q150" i="1" a="1"/>
  <c r="Q150" i="1" s="1"/>
  <c r="R150" i="1" a="1"/>
  <c r="R150" i="1" s="1"/>
  <c r="S150" i="1" a="1"/>
  <c r="S150" i="1" s="1"/>
  <c r="N151" i="1" a="1"/>
  <c r="N151" i="1" s="1"/>
  <c r="O151" i="1" a="1"/>
  <c r="O151" i="1" s="1"/>
  <c r="P151" i="1" a="1"/>
  <c r="P151" i="1" s="1"/>
  <c r="Q151" i="1" a="1"/>
  <c r="Q151" i="1" s="1"/>
  <c r="R151" i="1" a="1"/>
  <c r="R151" i="1" s="1"/>
  <c r="S151" i="1" a="1"/>
  <c r="S151" i="1" s="1"/>
  <c r="N152" i="1" a="1"/>
  <c r="N152" i="1" s="1"/>
  <c r="O152" i="1" a="1"/>
  <c r="O152" i="1" s="1"/>
  <c r="P152" i="1" a="1"/>
  <c r="P152" i="1" s="1"/>
  <c r="Q152" i="1" a="1"/>
  <c r="Q152" i="1" s="1"/>
  <c r="R152" i="1" a="1"/>
  <c r="R152" i="1" s="1"/>
  <c r="S152" i="1" a="1"/>
  <c r="S152" i="1" s="1"/>
  <c r="N153" i="1" a="1"/>
  <c r="N153" i="1" s="1"/>
  <c r="O153" i="1" a="1"/>
  <c r="O153" i="1" s="1"/>
  <c r="P153" i="1" a="1"/>
  <c r="P153" i="1" s="1"/>
  <c r="Q153" i="1" a="1"/>
  <c r="Q153" i="1" s="1"/>
  <c r="R153" i="1" a="1"/>
  <c r="R153" i="1" s="1"/>
  <c r="S153" i="1" a="1"/>
  <c r="S153" i="1" s="1"/>
  <c r="N154" i="1" a="1"/>
  <c r="N154" i="1" s="1"/>
  <c r="O154" i="1" a="1"/>
  <c r="O154" i="1" s="1"/>
  <c r="P154" i="1" a="1"/>
  <c r="P154" i="1" s="1"/>
  <c r="Q154" i="1" a="1"/>
  <c r="Q154" i="1" s="1"/>
  <c r="R154" i="1" a="1"/>
  <c r="R154" i="1" s="1"/>
  <c r="S154" i="1" a="1"/>
  <c r="S154" i="1" s="1"/>
  <c r="N155" i="1" a="1"/>
  <c r="N155" i="1" s="1"/>
  <c r="O155" i="1" a="1"/>
  <c r="O155" i="1" s="1"/>
  <c r="P155" i="1" a="1"/>
  <c r="P155" i="1" s="1"/>
  <c r="Q155" i="1" a="1"/>
  <c r="Q155" i="1" s="1"/>
  <c r="R155" i="1" a="1"/>
  <c r="R155" i="1" s="1"/>
  <c r="S155" i="1" a="1"/>
  <c r="S155" i="1" s="1"/>
  <c r="N156" i="1" a="1"/>
  <c r="N156" i="1" s="1"/>
  <c r="O156" i="1" a="1"/>
  <c r="O156" i="1" s="1"/>
  <c r="P156" i="1" a="1"/>
  <c r="P156" i="1" s="1"/>
  <c r="Q156" i="1" a="1"/>
  <c r="Q156" i="1" s="1"/>
  <c r="R156" i="1" a="1"/>
  <c r="R156" i="1" s="1"/>
  <c r="S156" i="1" a="1"/>
  <c r="S156" i="1" s="1"/>
  <c r="N157" i="1" a="1"/>
  <c r="N157" i="1" s="1"/>
  <c r="O157" i="1" a="1"/>
  <c r="O157" i="1" s="1"/>
  <c r="P157" i="1" a="1"/>
  <c r="P157" i="1" s="1"/>
  <c r="Q157" i="1" a="1"/>
  <c r="Q157" i="1" s="1"/>
  <c r="R157" i="1" a="1"/>
  <c r="R157" i="1" s="1"/>
  <c r="S157" i="1" a="1"/>
  <c r="S157" i="1" s="1"/>
  <c r="N158" i="1" a="1"/>
  <c r="N158" i="1" s="1"/>
  <c r="O158" i="1" a="1"/>
  <c r="O158" i="1" s="1"/>
  <c r="P158" i="1" a="1"/>
  <c r="P158" i="1" s="1"/>
  <c r="Q158" i="1" a="1"/>
  <c r="Q158" i="1" s="1"/>
  <c r="R158" i="1" a="1"/>
  <c r="R158" i="1" s="1"/>
  <c r="S158" i="1" a="1"/>
  <c r="S158" i="1" s="1"/>
  <c r="N159" i="1" a="1"/>
  <c r="N159" i="1" s="1"/>
  <c r="O159" i="1" a="1"/>
  <c r="O159" i="1" s="1"/>
  <c r="P159" i="1" a="1"/>
  <c r="P159" i="1" s="1"/>
  <c r="Q159" i="1" a="1"/>
  <c r="Q159" i="1" s="1"/>
  <c r="R159" i="1" a="1"/>
  <c r="R159" i="1" s="1"/>
  <c r="S159" i="1" a="1"/>
  <c r="S159" i="1" s="1"/>
  <c r="N160" i="1" a="1"/>
  <c r="N160" i="1" s="1"/>
  <c r="O160" i="1" a="1"/>
  <c r="O160" i="1" s="1"/>
  <c r="P160" i="1" a="1"/>
  <c r="P160" i="1" s="1"/>
  <c r="Q160" i="1" a="1"/>
  <c r="Q160" i="1" s="1"/>
  <c r="R160" i="1" a="1"/>
  <c r="R160" i="1" s="1"/>
  <c r="S160" i="1" a="1"/>
  <c r="S160" i="1" s="1"/>
  <c r="N161" i="1" a="1"/>
  <c r="N161" i="1" s="1"/>
  <c r="O161" i="1" a="1"/>
  <c r="O161" i="1" s="1"/>
  <c r="P161" i="1" a="1"/>
  <c r="P161" i="1" s="1"/>
  <c r="Q161" i="1" a="1"/>
  <c r="Q161" i="1" s="1"/>
  <c r="R161" i="1" a="1"/>
  <c r="R161" i="1" s="1"/>
  <c r="S161" i="1" a="1"/>
  <c r="S161" i="1" s="1"/>
  <c r="N162" i="1" a="1"/>
  <c r="N162" i="1" s="1"/>
  <c r="O162" i="1" a="1"/>
  <c r="O162" i="1" s="1"/>
  <c r="P162" i="1" a="1"/>
  <c r="P162" i="1" s="1"/>
  <c r="Q162" i="1" a="1"/>
  <c r="Q162" i="1" s="1"/>
  <c r="R162" i="1" a="1"/>
  <c r="R162" i="1" s="1"/>
  <c r="S162" i="1" a="1"/>
  <c r="S162" i="1" s="1"/>
  <c r="N163" i="1" a="1"/>
  <c r="N163" i="1" s="1"/>
  <c r="O163" i="1" a="1"/>
  <c r="O163" i="1" s="1"/>
  <c r="P163" i="1" a="1"/>
  <c r="P163" i="1" s="1"/>
  <c r="Q163" i="1" a="1"/>
  <c r="Q163" i="1" s="1"/>
  <c r="R163" i="1" a="1"/>
  <c r="R163" i="1" s="1"/>
  <c r="S163" i="1" a="1"/>
  <c r="S163" i="1" s="1"/>
  <c r="N164" i="1" a="1"/>
  <c r="N164" i="1" s="1"/>
  <c r="O164" i="1" a="1"/>
  <c r="O164" i="1" s="1"/>
  <c r="P164" i="1" a="1"/>
  <c r="P164" i="1" s="1"/>
  <c r="Q164" i="1" a="1"/>
  <c r="Q164" i="1" s="1"/>
  <c r="R164" i="1" a="1"/>
  <c r="R164" i="1" s="1"/>
  <c r="S164" i="1" a="1"/>
  <c r="S164" i="1" s="1"/>
  <c r="N165" i="1" a="1"/>
  <c r="N165" i="1" s="1"/>
  <c r="O165" i="1" a="1"/>
  <c r="O165" i="1" s="1"/>
  <c r="P165" i="1" a="1"/>
  <c r="P165" i="1" s="1"/>
  <c r="Q165" i="1" a="1"/>
  <c r="Q165" i="1" s="1"/>
  <c r="R165" i="1" a="1"/>
  <c r="R165" i="1" s="1"/>
  <c r="S165" i="1" a="1"/>
  <c r="S165" i="1" s="1"/>
  <c r="N166" i="1" a="1"/>
  <c r="N166" i="1" s="1"/>
  <c r="O166" i="1" a="1"/>
  <c r="O166" i="1" s="1"/>
  <c r="P166" i="1" a="1"/>
  <c r="P166" i="1" s="1"/>
  <c r="Q166" i="1" a="1"/>
  <c r="Q166" i="1" s="1"/>
  <c r="R166" i="1" a="1"/>
  <c r="R166" i="1" s="1"/>
  <c r="S166" i="1" a="1"/>
  <c r="S166" i="1" s="1"/>
  <c r="N167" i="1" a="1"/>
  <c r="N167" i="1" s="1"/>
  <c r="O167" i="1" a="1"/>
  <c r="O167" i="1"/>
  <c r="P167" i="1" a="1"/>
  <c r="P167" i="1"/>
  <c r="Q167" i="1" a="1"/>
  <c r="Q167" i="1"/>
  <c r="R167" i="1" a="1"/>
  <c r="R167" i="1"/>
  <c r="S167" i="1" a="1"/>
  <c r="S167" i="1"/>
  <c r="N168" i="1" a="1"/>
  <c r="N168" i="1"/>
  <c r="O168" i="1" a="1"/>
  <c r="O168" i="1" s="1"/>
  <c r="P168" i="1" a="1"/>
  <c r="P168" i="1" s="1"/>
  <c r="Q168" i="1" a="1"/>
  <c r="Q168" i="1" s="1"/>
  <c r="R168" i="1" a="1"/>
  <c r="R168" i="1" s="1"/>
  <c r="S168" i="1" a="1"/>
  <c r="S168" i="1" s="1"/>
  <c r="N169" i="1" a="1"/>
  <c r="N169" i="1" s="1"/>
  <c r="O169" i="1" a="1"/>
  <c r="O169" i="1" s="1"/>
  <c r="P169" i="1" a="1"/>
  <c r="P169" i="1" s="1"/>
  <c r="Q169" i="1" a="1"/>
  <c r="Q169" i="1" s="1"/>
  <c r="R169" i="1" a="1"/>
  <c r="R169" i="1" s="1"/>
  <c r="S169" i="1" a="1"/>
  <c r="S169" i="1" s="1"/>
  <c r="N170" i="1" a="1"/>
  <c r="N170" i="1" s="1"/>
  <c r="O170" i="1" a="1"/>
  <c r="O170" i="1" s="1"/>
  <c r="P170" i="1" a="1"/>
  <c r="P170" i="1" s="1"/>
  <c r="Q170" i="1" a="1"/>
  <c r="Q170" i="1" s="1"/>
  <c r="R170" i="1" a="1"/>
  <c r="R170" i="1" s="1"/>
  <c r="S170" i="1" a="1"/>
  <c r="S170" i="1" s="1"/>
  <c r="N171" i="1" a="1"/>
  <c r="N171" i="1" s="1"/>
  <c r="O171" i="1" a="1"/>
  <c r="O171" i="1" s="1"/>
  <c r="P171" i="1" a="1"/>
  <c r="P171" i="1" s="1"/>
  <c r="Q171" i="1" a="1"/>
  <c r="Q171" i="1" s="1"/>
  <c r="R171" i="1" a="1"/>
  <c r="R171" i="1" s="1"/>
  <c r="S171" i="1" a="1"/>
  <c r="S171" i="1" s="1"/>
  <c r="N172" i="1" a="1"/>
  <c r="N172" i="1" s="1"/>
  <c r="O172" i="1" a="1"/>
  <c r="O172" i="1" s="1"/>
  <c r="P172" i="1" a="1"/>
  <c r="P172" i="1" s="1"/>
  <c r="Q172" i="1" a="1"/>
  <c r="Q172" i="1" s="1"/>
  <c r="R172" i="1" a="1"/>
  <c r="R172" i="1" s="1"/>
  <c r="S172" i="1" a="1"/>
  <c r="S172" i="1" s="1"/>
  <c r="N173" i="1" a="1"/>
  <c r="N173" i="1" s="1"/>
  <c r="O173" i="1" a="1"/>
  <c r="O173" i="1" s="1"/>
  <c r="P173" i="1" a="1"/>
  <c r="P173" i="1" s="1"/>
  <c r="Q173" i="1" a="1"/>
  <c r="Q173" i="1" s="1"/>
  <c r="R173" i="1" a="1"/>
  <c r="R173" i="1" s="1"/>
  <c r="S173" i="1" a="1"/>
  <c r="S173" i="1" s="1"/>
  <c r="N174" i="1" a="1"/>
  <c r="N174" i="1" s="1"/>
  <c r="O174" i="1" a="1"/>
  <c r="O174" i="1" s="1"/>
  <c r="P174" i="1" a="1"/>
  <c r="P174" i="1" s="1"/>
  <c r="Q174" i="1" a="1"/>
  <c r="Q174" i="1" s="1"/>
  <c r="R174" i="1" a="1"/>
  <c r="R174" i="1" s="1"/>
  <c r="S174" i="1" a="1"/>
  <c r="S174" i="1" s="1"/>
  <c r="N175" i="1" a="1"/>
  <c r="N175" i="1" s="1"/>
  <c r="O175" i="1" a="1"/>
  <c r="O175" i="1" s="1"/>
  <c r="P175" i="1" a="1"/>
  <c r="P175" i="1" s="1"/>
  <c r="Q175" i="1" a="1"/>
  <c r="Q175" i="1" s="1"/>
  <c r="R175" i="1" a="1"/>
  <c r="R175" i="1" s="1"/>
  <c r="S175" i="1" a="1"/>
  <c r="S175" i="1" s="1"/>
  <c r="N176" i="1" a="1"/>
  <c r="N176" i="1" s="1"/>
  <c r="O176" i="1" a="1"/>
  <c r="O176" i="1" s="1"/>
  <c r="P176" i="1" a="1"/>
  <c r="P176" i="1" s="1"/>
  <c r="Q176" i="1" a="1"/>
  <c r="Q176" i="1" s="1"/>
  <c r="R176" i="1" a="1"/>
  <c r="R176" i="1" s="1"/>
  <c r="S176" i="1" a="1"/>
  <c r="S176" i="1" s="1"/>
  <c r="N177" i="1" a="1"/>
  <c r="N177" i="1" s="1"/>
  <c r="O177" i="1" a="1"/>
  <c r="O177" i="1" s="1"/>
  <c r="P177" i="1" a="1"/>
  <c r="P177" i="1" s="1"/>
  <c r="Q177" i="1" a="1"/>
  <c r="Q177" i="1" s="1"/>
  <c r="R177" i="1" a="1"/>
  <c r="R177" i="1" s="1"/>
  <c r="S177" i="1" a="1"/>
  <c r="S177" i="1" s="1"/>
  <c r="N178" i="1" a="1"/>
  <c r="N178" i="1" s="1"/>
  <c r="O178" i="1" a="1"/>
  <c r="O178" i="1" s="1"/>
  <c r="P178" i="1" a="1"/>
  <c r="P178" i="1" s="1"/>
  <c r="Q178" i="1" a="1"/>
  <c r="Q178" i="1" s="1"/>
  <c r="R178" i="1" a="1"/>
  <c r="R178" i="1" s="1"/>
  <c r="S178" i="1" a="1"/>
  <c r="S178" i="1" s="1"/>
  <c r="N179" i="1" a="1"/>
  <c r="N179" i="1" s="1"/>
  <c r="O179" i="1" a="1"/>
  <c r="O179" i="1" s="1"/>
  <c r="P179" i="1" a="1"/>
  <c r="P179" i="1" s="1"/>
  <c r="Q179" i="1" a="1"/>
  <c r="Q179" i="1" s="1"/>
  <c r="R179" i="1" a="1"/>
  <c r="R179" i="1" s="1"/>
  <c r="S179" i="1" a="1"/>
  <c r="S179" i="1" s="1"/>
  <c r="N180" i="1" a="1"/>
  <c r="N180" i="1" s="1"/>
  <c r="O180" i="1" a="1"/>
  <c r="O180" i="1" s="1"/>
  <c r="P180" i="1" a="1"/>
  <c r="P180" i="1" s="1"/>
  <c r="Q180" i="1" a="1"/>
  <c r="Q180" i="1" s="1"/>
  <c r="R180" i="1" a="1"/>
  <c r="R180" i="1" s="1"/>
  <c r="S180" i="1" a="1"/>
  <c r="S180" i="1" s="1"/>
  <c r="N181" i="1" a="1"/>
  <c r="N181" i="1" s="1"/>
  <c r="O181" i="1" a="1"/>
  <c r="O181" i="1" s="1"/>
  <c r="P181" i="1" a="1"/>
  <c r="P181" i="1" s="1"/>
  <c r="Q181" i="1" a="1"/>
  <c r="Q181" i="1" s="1"/>
  <c r="R181" i="1" a="1"/>
  <c r="R181" i="1" s="1"/>
  <c r="S181" i="1" a="1"/>
  <c r="S181" i="1" s="1"/>
  <c r="N182" i="1" a="1"/>
  <c r="N182" i="1" s="1"/>
  <c r="O182" i="1" a="1"/>
  <c r="O182" i="1" s="1"/>
  <c r="P182" i="1" a="1"/>
  <c r="P182" i="1" s="1"/>
  <c r="Q182" i="1" a="1"/>
  <c r="Q182" i="1" s="1"/>
  <c r="R182" i="1" a="1"/>
  <c r="R182" i="1" s="1"/>
  <c r="S182" i="1" a="1"/>
  <c r="S182" i="1" s="1"/>
  <c r="N183" i="1" a="1"/>
  <c r="N183" i="1" s="1"/>
  <c r="O183" i="1" a="1"/>
  <c r="O183" i="1" s="1"/>
  <c r="P183" i="1" a="1"/>
  <c r="P183" i="1" s="1"/>
  <c r="Q183" i="1" a="1"/>
  <c r="Q183" i="1" s="1"/>
  <c r="R183" i="1" a="1"/>
  <c r="R183" i="1" s="1"/>
  <c r="S183" i="1" a="1"/>
  <c r="S183" i="1" s="1"/>
  <c r="N184" i="1" a="1"/>
  <c r="N184" i="1" s="1"/>
  <c r="O184" i="1" a="1"/>
  <c r="O184" i="1" s="1"/>
  <c r="P184" i="1" a="1"/>
  <c r="P184" i="1" s="1"/>
  <c r="Q184" i="1" a="1"/>
  <c r="Q184" i="1" s="1"/>
  <c r="R184" i="1" a="1"/>
  <c r="R184" i="1" s="1"/>
  <c r="S184" i="1" a="1"/>
  <c r="S184" i="1" s="1"/>
  <c r="N185" i="1" a="1"/>
  <c r="N185" i="1" s="1"/>
  <c r="O185" i="1" a="1"/>
  <c r="O185" i="1" s="1"/>
  <c r="P185" i="1" a="1"/>
  <c r="P185" i="1" s="1"/>
  <c r="Q185" i="1" a="1"/>
  <c r="Q185" i="1" s="1"/>
  <c r="R185" i="1" a="1"/>
  <c r="R185" i="1" s="1"/>
  <c r="S185" i="1" a="1"/>
  <c r="S185" i="1" s="1"/>
  <c r="N186" i="1" a="1"/>
  <c r="N186" i="1" s="1"/>
  <c r="O186" i="1" a="1"/>
  <c r="O186" i="1" s="1"/>
  <c r="P186" i="1" a="1"/>
  <c r="P186" i="1" s="1"/>
  <c r="Q186" i="1" a="1"/>
  <c r="Q186" i="1" s="1"/>
  <c r="R186" i="1" a="1"/>
  <c r="R186" i="1" s="1"/>
  <c r="S186" i="1" a="1"/>
  <c r="S186" i="1" s="1"/>
  <c r="N187" i="1" a="1"/>
  <c r="N187" i="1" s="1"/>
  <c r="O187" i="1" a="1"/>
  <c r="O187" i="1" s="1"/>
  <c r="P187" i="1" a="1"/>
  <c r="P187" i="1" s="1"/>
  <c r="Q187" i="1" a="1"/>
  <c r="Q187" i="1" s="1"/>
  <c r="R187" i="1" a="1"/>
  <c r="R187" i="1" s="1"/>
  <c r="S187" i="1" a="1"/>
  <c r="S187" i="1" s="1"/>
  <c r="N188" i="1" a="1"/>
  <c r="N188" i="1" s="1"/>
  <c r="O188" i="1" a="1"/>
  <c r="O188" i="1" s="1"/>
  <c r="P188" i="1" a="1"/>
  <c r="P188" i="1" s="1"/>
  <c r="Q188" i="1" a="1"/>
  <c r="Q188" i="1" s="1"/>
  <c r="R188" i="1" a="1"/>
  <c r="R188" i="1" s="1"/>
  <c r="S188" i="1" a="1"/>
  <c r="S188" i="1" s="1"/>
  <c r="N189" i="1" a="1"/>
  <c r="N189" i="1" s="1"/>
  <c r="O189" i="1" a="1"/>
  <c r="O189" i="1" s="1"/>
  <c r="P189" i="1" a="1"/>
  <c r="P189" i="1" s="1"/>
  <c r="Q189" i="1" a="1"/>
  <c r="Q189" i="1" s="1"/>
  <c r="R189" i="1" a="1"/>
  <c r="R189" i="1" s="1"/>
  <c r="S189" i="1" a="1"/>
  <c r="S189" i="1" s="1"/>
  <c r="N190" i="1" a="1"/>
  <c r="N190" i="1" s="1"/>
  <c r="O190" i="1" a="1"/>
  <c r="O190" i="1" s="1"/>
  <c r="P190" i="1" a="1"/>
  <c r="P190" i="1" s="1"/>
  <c r="Q190" i="1" a="1"/>
  <c r="Q190" i="1" s="1"/>
  <c r="R190" i="1" a="1"/>
  <c r="R190" i="1" s="1"/>
  <c r="S190" i="1" a="1"/>
  <c r="S190" i="1" s="1"/>
  <c r="N191" i="1" a="1"/>
  <c r="N191" i="1" s="1"/>
  <c r="O191" i="1" a="1"/>
  <c r="O191" i="1" s="1"/>
  <c r="P191" i="1" a="1"/>
  <c r="P191" i="1" s="1"/>
  <c r="Q191" i="1" a="1"/>
  <c r="Q191" i="1" s="1"/>
  <c r="R191" i="1" a="1"/>
  <c r="R191" i="1" s="1"/>
  <c r="S191" i="1" a="1"/>
  <c r="S191" i="1" s="1"/>
  <c r="N192" i="1" a="1"/>
  <c r="N192" i="1" s="1"/>
  <c r="O192" i="1" a="1"/>
  <c r="O192" i="1" s="1"/>
  <c r="P192" i="1" a="1"/>
  <c r="P192" i="1" s="1"/>
  <c r="Q192" i="1" a="1"/>
  <c r="Q192" i="1" s="1"/>
  <c r="R192" i="1" a="1"/>
  <c r="R192" i="1" s="1"/>
  <c r="S192" i="1" a="1"/>
  <c r="S192" i="1" s="1"/>
  <c r="N193" i="1" a="1"/>
  <c r="N193" i="1" s="1"/>
  <c r="O193" i="1" a="1"/>
  <c r="O193" i="1" s="1"/>
  <c r="P193" i="1" a="1"/>
  <c r="P193" i="1" s="1"/>
  <c r="Q193" i="1" a="1"/>
  <c r="Q193" i="1" s="1"/>
  <c r="R193" i="1" a="1"/>
  <c r="R193" i="1" s="1"/>
  <c r="S193" i="1" a="1"/>
  <c r="S193" i="1" s="1"/>
  <c r="N194" i="1" a="1"/>
  <c r="N194" i="1" s="1"/>
  <c r="O194" i="1" a="1"/>
  <c r="O194" i="1" s="1"/>
  <c r="P194" i="1" a="1"/>
  <c r="P194" i="1" s="1"/>
  <c r="Q194" i="1" a="1"/>
  <c r="Q194" i="1" s="1"/>
  <c r="R194" i="1" a="1"/>
  <c r="R194" i="1" s="1"/>
  <c r="S194" i="1" a="1"/>
  <c r="S194" i="1" s="1"/>
  <c r="N195" i="1" a="1"/>
  <c r="N195" i="1" s="1"/>
  <c r="O195" i="1" a="1"/>
  <c r="O195" i="1" s="1"/>
  <c r="P195" i="1" a="1"/>
  <c r="P195" i="1" s="1"/>
  <c r="Q195" i="1" a="1"/>
  <c r="Q195" i="1" s="1"/>
  <c r="R195" i="1" a="1"/>
  <c r="R195" i="1" s="1"/>
  <c r="S195" i="1" a="1"/>
  <c r="S195" i="1" s="1"/>
  <c r="N196" i="1" a="1"/>
  <c r="N196" i="1" s="1"/>
  <c r="O196" i="1" a="1"/>
  <c r="O196" i="1" s="1"/>
  <c r="P196" i="1" a="1"/>
  <c r="P196" i="1" s="1"/>
  <c r="Q196" i="1" a="1"/>
  <c r="Q196" i="1" s="1"/>
  <c r="R196" i="1" a="1"/>
  <c r="R196" i="1" s="1"/>
  <c r="S196" i="1" a="1"/>
  <c r="S196" i="1" s="1"/>
  <c r="N197" i="1" a="1"/>
  <c r="N197" i="1" s="1"/>
  <c r="O197" i="1" a="1"/>
  <c r="O197" i="1" s="1"/>
  <c r="P197" i="1" a="1"/>
  <c r="P197" i="1" s="1"/>
  <c r="Q197" i="1" a="1"/>
  <c r="Q197" i="1" s="1"/>
  <c r="R197" i="1" a="1"/>
  <c r="R197" i="1" s="1"/>
  <c r="S197" i="1" a="1"/>
  <c r="S197" i="1" s="1"/>
  <c r="N198" i="1" a="1"/>
  <c r="N198" i="1" s="1"/>
  <c r="O198" i="1" a="1"/>
  <c r="O198" i="1" s="1"/>
  <c r="P198" i="1" a="1"/>
  <c r="P198" i="1" s="1"/>
  <c r="Q198" i="1" a="1"/>
  <c r="Q198" i="1" s="1"/>
  <c r="R198" i="1" a="1"/>
  <c r="R198" i="1" s="1"/>
  <c r="S198" i="1" a="1"/>
  <c r="S198" i="1" s="1"/>
  <c r="N199" i="1" a="1"/>
  <c r="N199" i="1" s="1"/>
  <c r="O199" i="1" a="1"/>
  <c r="O199" i="1" s="1"/>
  <c r="P199" i="1" a="1"/>
  <c r="P199" i="1" s="1"/>
  <c r="Q199" i="1" a="1"/>
  <c r="Q199" i="1" s="1"/>
  <c r="R199" i="1" a="1"/>
  <c r="R199" i="1" s="1"/>
  <c r="S199" i="1" a="1"/>
  <c r="S199" i="1" s="1"/>
  <c r="N200" i="1" a="1"/>
  <c r="N200" i="1" s="1"/>
  <c r="O200" i="1" a="1"/>
  <c r="O200" i="1" s="1"/>
  <c r="P200" i="1" a="1"/>
  <c r="P200" i="1" s="1"/>
  <c r="Q200" i="1" a="1"/>
  <c r="Q200" i="1" s="1"/>
  <c r="R200" i="1" a="1"/>
  <c r="R200" i="1" s="1"/>
  <c r="S200" i="1" a="1"/>
  <c r="S200" i="1" s="1"/>
  <c r="N201" i="1" a="1"/>
  <c r="N201" i="1" s="1"/>
  <c r="O201" i="1" a="1"/>
  <c r="O201" i="1" s="1"/>
  <c r="P201" i="1" a="1"/>
  <c r="P201" i="1" s="1"/>
  <c r="Q201" i="1" a="1"/>
  <c r="Q201" i="1" s="1"/>
  <c r="R201" i="1" a="1"/>
  <c r="R201" i="1" s="1"/>
  <c r="S201" i="1" a="1"/>
  <c r="S201" i="1" s="1"/>
  <c r="N202" i="1" a="1"/>
  <c r="N202" i="1" s="1"/>
  <c r="O202" i="1" a="1"/>
  <c r="O202" i="1" s="1"/>
  <c r="P202" i="1" a="1"/>
  <c r="P202" i="1" s="1"/>
  <c r="Q202" i="1" a="1"/>
  <c r="Q202" i="1" s="1"/>
  <c r="R202" i="1" a="1"/>
  <c r="R202" i="1" s="1"/>
  <c r="S202" i="1" a="1"/>
  <c r="S202" i="1" s="1"/>
  <c r="N203" i="1" a="1"/>
  <c r="N203" i="1" s="1"/>
  <c r="O203" i="1" a="1"/>
  <c r="O203" i="1" s="1"/>
  <c r="P203" i="1" a="1"/>
  <c r="P203" i="1" s="1"/>
  <c r="Q203" i="1" a="1"/>
  <c r="Q203" i="1" s="1"/>
  <c r="R203" i="1" a="1"/>
  <c r="R203" i="1" s="1"/>
  <c r="S203" i="1" a="1"/>
  <c r="S203" i="1" s="1"/>
  <c r="N204" i="1" a="1"/>
  <c r="N204" i="1" s="1"/>
  <c r="O204" i="1" a="1"/>
  <c r="O204" i="1" s="1"/>
  <c r="P204" i="1" a="1"/>
  <c r="P204" i="1" s="1"/>
  <c r="Q204" i="1" a="1"/>
  <c r="Q204" i="1" s="1"/>
  <c r="R204" i="1" a="1"/>
  <c r="R204" i="1" s="1"/>
  <c r="S204" i="1" a="1"/>
  <c r="S204" i="1" s="1"/>
  <c r="N205" i="1" a="1"/>
  <c r="N205" i="1" s="1"/>
  <c r="O205" i="1" a="1"/>
  <c r="O205" i="1" s="1"/>
  <c r="P205" i="1" a="1"/>
  <c r="P205" i="1" s="1"/>
  <c r="Q205" i="1" a="1"/>
  <c r="Q205" i="1" s="1"/>
  <c r="R205" i="1" a="1"/>
  <c r="R205" i="1" s="1"/>
  <c r="S205" i="1" a="1"/>
  <c r="S205" i="1" s="1"/>
  <c r="N206" i="1" a="1"/>
  <c r="N206" i="1" s="1"/>
  <c r="O206" i="1" a="1"/>
  <c r="O206" i="1" s="1"/>
  <c r="P206" i="1" a="1"/>
  <c r="P206" i="1" s="1"/>
  <c r="Q206" i="1" a="1"/>
  <c r="Q206" i="1" s="1"/>
  <c r="R206" i="1" a="1"/>
  <c r="R206" i="1" s="1"/>
  <c r="S206" i="1" a="1"/>
  <c r="S206" i="1" s="1"/>
  <c r="N207" i="1" a="1"/>
  <c r="N207" i="1" s="1"/>
  <c r="O207" i="1" a="1"/>
  <c r="O207" i="1" s="1"/>
  <c r="P207" i="1" a="1"/>
  <c r="P207" i="1" s="1"/>
  <c r="Q207" i="1" a="1"/>
  <c r="Q207" i="1" s="1"/>
  <c r="R207" i="1" a="1"/>
  <c r="R207" i="1" s="1"/>
  <c r="S207" i="1" a="1"/>
  <c r="S207" i="1" s="1"/>
  <c r="N208" i="1" a="1"/>
  <c r="N208" i="1" s="1"/>
  <c r="O208" i="1" a="1"/>
  <c r="O208" i="1" s="1"/>
  <c r="P208" i="1" a="1"/>
  <c r="P208" i="1" s="1"/>
  <c r="Q208" i="1" a="1"/>
  <c r="Q208" i="1" s="1"/>
  <c r="R208" i="1" a="1"/>
  <c r="R208" i="1" s="1"/>
  <c r="S208" i="1" a="1"/>
  <c r="S208" i="1" s="1"/>
  <c r="N209" i="1" a="1"/>
  <c r="N209" i="1" s="1"/>
  <c r="O209" i="1" a="1"/>
  <c r="O209" i="1" s="1"/>
  <c r="P209" i="1" a="1"/>
  <c r="P209" i="1" s="1"/>
  <c r="Q209" i="1" a="1"/>
  <c r="Q209" i="1" s="1"/>
  <c r="R209" i="1" a="1"/>
  <c r="R209" i="1" s="1"/>
  <c r="S209" i="1" a="1"/>
  <c r="S209" i="1" s="1"/>
  <c r="N210" i="1" a="1"/>
  <c r="N210" i="1" s="1"/>
  <c r="O210" i="1" a="1"/>
  <c r="O210" i="1" s="1"/>
  <c r="P210" i="1" a="1"/>
  <c r="P210" i="1" s="1"/>
  <c r="Q210" i="1" a="1"/>
  <c r="Q210" i="1" s="1"/>
  <c r="R210" i="1" a="1"/>
  <c r="R210" i="1" s="1"/>
  <c r="S210" i="1" a="1"/>
  <c r="S210" i="1" s="1"/>
  <c r="N211" i="1" a="1"/>
  <c r="N211" i="1" s="1"/>
  <c r="O211" i="1" a="1"/>
  <c r="O211" i="1" s="1"/>
  <c r="P211" i="1" a="1"/>
  <c r="P211" i="1" s="1"/>
  <c r="Q211" i="1" a="1"/>
  <c r="Q211" i="1" s="1"/>
  <c r="R211" i="1" a="1"/>
  <c r="R211" i="1" s="1"/>
  <c r="S211" i="1" a="1"/>
  <c r="S211" i="1"/>
  <c r="N212" i="1" a="1"/>
  <c r="N212" i="1"/>
  <c r="O212" i="1" a="1"/>
  <c r="O212" i="1" s="1"/>
  <c r="P212" i="1" a="1"/>
  <c r="P212" i="1"/>
  <c r="Q212" i="1" a="1"/>
  <c r="Q212" i="1"/>
  <c r="R212" i="1" a="1"/>
  <c r="R212" i="1"/>
  <c r="S212" i="1" a="1"/>
  <c r="S212" i="1" s="1"/>
  <c r="N213" i="1" a="1"/>
  <c r="N213" i="1"/>
  <c r="O213" i="1" a="1"/>
  <c r="O213" i="1"/>
  <c r="P213" i="1" a="1"/>
  <c r="P213" i="1"/>
  <c r="Q213" i="1" a="1"/>
  <c r="Q213" i="1" s="1"/>
  <c r="R213" i="1" a="1"/>
  <c r="R213" i="1"/>
  <c r="S213" i="1" a="1"/>
  <c r="S213" i="1"/>
  <c r="N214" i="1" a="1"/>
  <c r="N214" i="1"/>
  <c r="O214" i="1" a="1"/>
  <c r="O214" i="1"/>
  <c r="P214" i="1" a="1"/>
  <c r="P214" i="1"/>
  <c r="Q214" i="1" a="1"/>
  <c r="Q214" i="1"/>
  <c r="R214" i="1" a="1"/>
  <c r="R214" i="1"/>
  <c r="S214" i="1" a="1"/>
  <c r="S214" i="1"/>
  <c r="N215" i="1" a="1"/>
  <c r="N215" i="1"/>
  <c r="O215" i="1" a="1"/>
  <c r="O215" i="1"/>
  <c r="P215" i="1" a="1"/>
  <c r="P215" i="1"/>
  <c r="Q215" i="1" a="1"/>
  <c r="Q215" i="1"/>
  <c r="R215" i="1" a="1"/>
  <c r="R215" i="1"/>
  <c r="S215" i="1" a="1"/>
  <c r="S215" i="1"/>
  <c r="N216" i="1" a="1"/>
  <c r="N216" i="1"/>
  <c r="O216" i="1" a="1"/>
  <c r="O216" i="1"/>
  <c r="P216" i="1" a="1"/>
  <c r="P216" i="1"/>
  <c r="Q216" i="1" a="1"/>
  <c r="Q216" i="1"/>
  <c r="R216" i="1" a="1"/>
  <c r="R216" i="1"/>
  <c r="S216" i="1" a="1"/>
  <c r="S216" i="1"/>
  <c r="N217" i="1" a="1"/>
  <c r="N217" i="1"/>
  <c r="O217" i="1" a="1"/>
  <c r="O217" i="1"/>
  <c r="P217" i="1" a="1"/>
  <c r="P217" i="1"/>
  <c r="Q217" i="1" a="1"/>
  <c r="Q217" i="1"/>
  <c r="R217" i="1" a="1"/>
  <c r="R217" i="1" s="1"/>
  <c r="S217" i="1" a="1"/>
  <c r="S217" i="1" s="1"/>
  <c r="N218" i="1" a="1"/>
  <c r="N218" i="1" s="1"/>
  <c r="O218" i="1" a="1"/>
  <c r="O218" i="1" s="1"/>
  <c r="P218" i="1" a="1"/>
  <c r="P218" i="1" s="1"/>
  <c r="Q218" i="1" a="1"/>
  <c r="Q218" i="1" s="1"/>
  <c r="R218" i="1" a="1"/>
  <c r="R218" i="1" s="1"/>
  <c r="S218" i="1" a="1"/>
  <c r="S218" i="1" s="1"/>
  <c r="N219" i="1" a="1"/>
  <c r="N219" i="1" s="1"/>
  <c r="O219" i="1" a="1"/>
  <c r="O219" i="1" s="1"/>
  <c r="P219" i="1" a="1"/>
  <c r="P219" i="1" s="1"/>
  <c r="Q219" i="1" a="1"/>
  <c r="Q219" i="1" s="1"/>
  <c r="R219" i="1" a="1"/>
  <c r="R219" i="1" s="1"/>
  <c r="S219" i="1" a="1"/>
  <c r="S219" i="1" s="1"/>
  <c r="N220" i="1" a="1"/>
  <c r="N220" i="1" s="1"/>
  <c r="O220" i="1" a="1"/>
  <c r="O220" i="1" s="1"/>
  <c r="P220" i="1" a="1"/>
  <c r="P220" i="1" s="1"/>
  <c r="Q220" i="1" a="1"/>
  <c r="Q220" i="1" s="1"/>
  <c r="R220" i="1" a="1"/>
  <c r="R220" i="1" s="1"/>
  <c r="S220" i="1" a="1"/>
  <c r="S220" i="1" s="1"/>
  <c r="N221" i="1" a="1"/>
  <c r="N221" i="1" s="1"/>
  <c r="O221" i="1" a="1"/>
  <c r="O221" i="1" s="1"/>
  <c r="P221" i="1" a="1"/>
  <c r="P221" i="1" s="1"/>
  <c r="Q221" i="1" a="1"/>
  <c r="Q221" i="1" s="1"/>
  <c r="R221" i="1" a="1"/>
  <c r="R221" i="1" s="1"/>
  <c r="S221" i="1" a="1"/>
  <c r="S221" i="1" s="1"/>
  <c r="N222" i="1" a="1"/>
  <c r="N222" i="1" s="1"/>
  <c r="O222" i="1" a="1"/>
  <c r="O222" i="1" s="1"/>
  <c r="P222" i="1" a="1"/>
  <c r="P222" i="1" s="1"/>
  <c r="Q222" i="1" a="1"/>
  <c r="Q222" i="1" s="1"/>
  <c r="R222" i="1" a="1"/>
  <c r="R222" i="1" s="1"/>
  <c r="S222" i="1" a="1"/>
  <c r="S222" i="1" s="1"/>
  <c r="N223" i="1" a="1"/>
  <c r="N223" i="1" s="1"/>
  <c r="O223" i="1" a="1"/>
  <c r="O223" i="1" s="1"/>
  <c r="P223" i="1" a="1"/>
  <c r="P223" i="1" s="1"/>
  <c r="Q223" i="1" a="1"/>
  <c r="Q223" i="1" s="1"/>
  <c r="R223" i="1" a="1"/>
  <c r="R223" i="1" s="1"/>
  <c r="S223" i="1" a="1"/>
  <c r="S223" i="1" s="1"/>
  <c r="N224" i="1" a="1"/>
  <c r="N224" i="1" s="1"/>
  <c r="O224" i="1" a="1"/>
  <c r="O224" i="1" s="1"/>
  <c r="P224" i="1" a="1"/>
  <c r="P224" i="1" s="1"/>
  <c r="Q224" i="1" a="1"/>
  <c r="Q224" i="1" s="1"/>
  <c r="R224" i="1" a="1"/>
  <c r="R224" i="1" s="1"/>
  <c r="S224" i="1" a="1"/>
  <c r="S224" i="1" s="1"/>
  <c r="N225" i="1" a="1"/>
  <c r="N225" i="1" s="1"/>
  <c r="O225" i="1" a="1"/>
  <c r="O225" i="1" s="1"/>
  <c r="P225" i="1" a="1"/>
  <c r="P225" i="1" s="1"/>
  <c r="Q225" i="1" a="1"/>
  <c r="Q225" i="1" s="1"/>
  <c r="R225" i="1" a="1"/>
  <c r="R225" i="1" s="1"/>
  <c r="S225" i="1" a="1"/>
  <c r="S225" i="1" s="1"/>
  <c r="N226" i="1" a="1"/>
  <c r="N226" i="1" s="1"/>
  <c r="O226" i="1" a="1"/>
  <c r="O226" i="1" s="1"/>
  <c r="P226" i="1" a="1"/>
  <c r="P226" i="1" s="1"/>
  <c r="Q226" i="1" a="1"/>
  <c r="Q226" i="1" s="1"/>
  <c r="R226" i="1" a="1"/>
  <c r="R226" i="1" s="1"/>
  <c r="S226" i="1" a="1"/>
  <c r="S226" i="1" s="1"/>
  <c r="N227" i="1" a="1"/>
  <c r="N227" i="1" s="1"/>
  <c r="O227" i="1" a="1"/>
  <c r="O227" i="1" s="1"/>
  <c r="P227" i="1" a="1"/>
  <c r="P227" i="1" s="1"/>
  <c r="Q227" i="1" a="1"/>
  <c r="Q227" i="1" s="1"/>
  <c r="R227" i="1" a="1"/>
  <c r="R227" i="1" s="1"/>
  <c r="S227" i="1" a="1"/>
  <c r="S227" i="1" s="1"/>
  <c r="N228" i="1" a="1"/>
  <c r="N228" i="1" s="1"/>
  <c r="O228" i="1" a="1"/>
  <c r="O228" i="1" s="1"/>
  <c r="P228" i="1" a="1"/>
  <c r="P228" i="1" s="1"/>
  <c r="Q228" i="1" a="1"/>
  <c r="Q228" i="1" s="1"/>
  <c r="R228" i="1" a="1"/>
  <c r="R228" i="1" s="1"/>
  <c r="S228" i="1" a="1"/>
  <c r="S228" i="1" s="1"/>
  <c r="N229" i="1" a="1"/>
  <c r="N229" i="1" s="1"/>
  <c r="O229" i="1" a="1"/>
  <c r="O229" i="1" s="1"/>
  <c r="P229" i="1" a="1"/>
  <c r="P229" i="1" s="1"/>
  <c r="Q229" i="1" a="1"/>
  <c r="Q229" i="1" s="1"/>
  <c r="R229" i="1" a="1"/>
  <c r="R229" i="1" s="1"/>
  <c r="S229" i="1" a="1"/>
  <c r="S229" i="1" s="1"/>
  <c r="N230" i="1" a="1"/>
  <c r="N230" i="1" s="1"/>
  <c r="O230" i="1" a="1"/>
  <c r="O230" i="1" s="1"/>
  <c r="P230" i="1" a="1"/>
  <c r="P230" i="1" s="1"/>
  <c r="Q230" i="1" a="1"/>
  <c r="Q230" i="1" s="1"/>
  <c r="R230" i="1" a="1"/>
  <c r="R230" i="1" s="1"/>
  <c r="S230" i="1" a="1"/>
  <c r="S230" i="1" s="1"/>
  <c r="N231" i="1" a="1"/>
  <c r="N231" i="1" s="1"/>
  <c r="O231" i="1" a="1"/>
  <c r="O231" i="1" s="1"/>
  <c r="P231" i="1" a="1"/>
  <c r="P231" i="1" s="1"/>
  <c r="Q231" i="1" a="1"/>
  <c r="Q231" i="1" s="1"/>
  <c r="R231" i="1" a="1"/>
  <c r="R231" i="1" s="1"/>
  <c r="S231" i="1" a="1"/>
  <c r="S231" i="1" s="1"/>
  <c r="N232" i="1" a="1"/>
  <c r="N232" i="1" s="1"/>
  <c r="O232" i="1" a="1"/>
  <c r="O232" i="1" s="1"/>
  <c r="P232" i="1" a="1"/>
  <c r="P232" i="1" s="1"/>
  <c r="Q232" i="1" a="1"/>
  <c r="Q232" i="1" s="1"/>
  <c r="R232" i="1" a="1"/>
  <c r="R232" i="1" s="1"/>
  <c r="S232" i="1" a="1"/>
  <c r="S232" i="1" s="1"/>
  <c r="N233" i="1" a="1"/>
  <c r="N233" i="1" s="1"/>
  <c r="O233" i="1" a="1"/>
  <c r="O233" i="1" s="1"/>
  <c r="P233" i="1" a="1"/>
  <c r="P233" i="1" s="1"/>
  <c r="Q233" i="1" a="1"/>
  <c r="Q233" i="1" s="1"/>
  <c r="R233" i="1" a="1"/>
  <c r="R233" i="1" s="1"/>
  <c r="S233" i="1" a="1"/>
  <c r="S233" i="1" s="1"/>
  <c r="N234" i="1" a="1"/>
  <c r="N234" i="1" s="1"/>
  <c r="O234" i="1" a="1"/>
  <c r="O234" i="1" s="1"/>
  <c r="P234" i="1" a="1"/>
  <c r="P234" i="1" s="1"/>
  <c r="Q234" i="1" a="1"/>
  <c r="Q234" i="1" s="1"/>
  <c r="R234" i="1" a="1"/>
  <c r="R234" i="1" s="1"/>
  <c r="S234" i="1" a="1"/>
  <c r="S234" i="1" s="1"/>
  <c r="N235" i="1" a="1"/>
  <c r="N235" i="1" s="1"/>
  <c r="O235" i="1" a="1"/>
  <c r="O235" i="1" s="1"/>
  <c r="P235" i="1" a="1"/>
  <c r="P235" i="1" s="1"/>
  <c r="Q235" i="1" a="1"/>
  <c r="Q235" i="1" s="1"/>
  <c r="R235" i="1" a="1"/>
  <c r="R235" i="1" s="1"/>
  <c r="S235" i="1" a="1"/>
  <c r="S235" i="1" s="1"/>
  <c r="N236" i="1" a="1"/>
  <c r="N236" i="1" s="1"/>
  <c r="O236" i="1" a="1"/>
  <c r="O236" i="1" s="1"/>
  <c r="P236" i="1" a="1"/>
  <c r="P236" i="1" s="1"/>
  <c r="Q236" i="1" a="1"/>
  <c r="Q236" i="1" s="1"/>
  <c r="R236" i="1" a="1"/>
  <c r="R236" i="1" s="1"/>
  <c r="S236" i="1" a="1"/>
  <c r="S236" i="1" s="1"/>
  <c r="N237" i="1" a="1"/>
  <c r="N237" i="1" s="1"/>
  <c r="O237" i="1" a="1"/>
  <c r="O237" i="1" s="1"/>
  <c r="P237" i="1" a="1"/>
  <c r="P237" i="1" s="1"/>
  <c r="Q237" i="1" a="1"/>
  <c r="Q237" i="1" s="1"/>
  <c r="R237" i="1" a="1"/>
  <c r="R237" i="1" s="1"/>
  <c r="S237" i="1" a="1"/>
  <c r="S237" i="1" s="1"/>
  <c r="N238" i="1" a="1"/>
  <c r="N238" i="1" s="1"/>
  <c r="O238" i="1" a="1"/>
  <c r="O238" i="1" s="1"/>
  <c r="P238" i="1" a="1"/>
  <c r="P238" i="1" s="1"/>
  <c r="Q238" i="1" a="1"/>
  <c r="Q238" i="1" s="1"/>
  <c r="R238" i="1" a="1"/>
  <c r="R238" i="1" s="1"/>
  <c r="S238" i="1" a="1"/>
  <c r="S238" i="1" s="1"/>
  <c r="N239" i="1" a="1"/>
  <c r="N239" i="1" s="1"/>
  <c r="O239" i="1" a="1"/>
  <c r="O239" i="1" s="1"/>
  <c r="P239" i="1" a="1"/>
  <c r="P239" i="1" s="1"/>
  <c r="Q239" i="1" a="1"/>
  <c r="Q239" i="1" s="1"/>
  <c r="R239" i="1" a="1"/>
  <c r="R239" i="1" s="1"/>
  <c r="S239" i="1" a="1"/>
  <c r="S239" i="1" s="1"/>
  <c r="N240" i="1" a="1"/>
  <c r="N240" i="1" s="1"/>
  <c r="O240" i="1" a="1"/>
  <c r="O240" i="1" s="1"/>
  <c r="P240" i="1" a="1"/>
  <c r="P240" i="1" s="1"/>
  <c r="Q240" i="1" a="1"/>
  <c r="Q240" i="1" s="1"/>
  <c r="R240" i="1" a="1"/>
  <c r="R240" i="1" s="1"/>
  <c r="S240" i="1" a="1"/>
  <c r="S240" i="1" s="1"/>
  <c r="N241" i="1" a="1"/>
  <c r="N241" i="1" s="1"/>
  <c r="O241" i="1" a="1"/>
  <c r="O241" i="1" s="1"/>
  <c r="P241" i="1" a="1"/>
  <c r="P241" i="1" s="1"/>
  <c r="Q241" i="1" a="1"/>
  <c r="Q241" i="1" s="1"/>
  <c r="R241" i="1" a="1"/>
  <c r="R241" i="1" s="1"/>
  <c r="S241" i="1" a="1"/>
  <c r="S241" i="1" s="1"/>
  <c r="N242" i="1" a="1"/>
  <c r="N242" i="1" s="1"/>
  <c r="O242" i="1" a="1"/>
  <c r="O242" i="1" s="1"/>
  <c r="P242" i="1" a="1"/>
  <c r="P242" i="1" s="1"/>
  <c r="Q242" i="1" a="1"/>
  <c r="Q242" i="1" s="1"/>
  <c r="R242" i="1" a="1"/>
  <c r="R242" i="1" s="1"/>
  <c r="S242" i="1" a="1"/>
  <c r="S242" i="1" s="1"/>
  <c r="N243" i="1" a="1"/>
  <c r="N243" i="1" s="1"/>
  <c r="O243" i="1" a="1"/>
  <c r="O243" i="1" s="1"/>
  <c r="P243" i="1" a="1"/>
  <c r="P243" i="1" s="1"/>
  <c r="Q243" i="1" a="1"/>
  <c r="Q243" i="1" s="1"/>
  <c r="R243" i="1" a="1"/>
  <c r="R243" i="1" s="1"/>
  <c r="S243" i="1" a="1"/>
  <c r="S243" i="1" s="1"/>
  <c r="N244" i="1" a="1"/>
  <c r="N244" i="1" s="1"/>
  <c r="O244" i="1" a="1"/>
  <c r="O244" i="1" s="1"/>
  <c r="P244" i="1" a="1"/>
  <c r="P244" i="1" s="1"/>
  <c r="Q244" i="1" a="1"/>
  <c r="Q244" i="1" s="1"/>
  <c r="R244" i="1" a="1"/>
  <c r="R244" i="1" s="1"/>
  <c r="S244" i="1" a="1"/>
  <c r="S244" i="1" s="1"/>
  <c r="N245" i="1" a="1"/>
  <c r="N245" i="1" s="1"/>
  <c r="O245" i="1" a="1"/>
  <c r="O245" i="1" s="1"/>
  <c r="P245" i="1" a="1"/>
  <c r="P245" i="1" s="1"/>
  <c r="Q245" i="1" a="1"/>
  <c r="Q245" i="1" s="1"/>
  <c r="R245" i="1" a="1"/>
  <c r="R245" i="1" s="1"/>
  <c r="S245" i="1" a="1"/>
  <c r="S245" i="1" s="1"/>
  <c r="N246" i="1" a="1"/>
  <c r="N246" i="1" s="1"/>
  <c r="O246" i="1" a="1"/>
  <c r="O246" i="1" s="1"/>
  <c r="P246" i="1" a="1"/>
  <c r="P246" i="1" s="1"/>
  <c r="Q246" i="1" a="1"/>
  <c r="Q246" i="1" s="1"/>
  <c r="R246" i="1" a="1"/>
  <c r="R246" i="1" s="1"/>
  <c r="S246" i="1" a="1"/>
  <c r="S246" i="1" s="1"/>
  <c r="N247" i="1" a="1"/>
  <c r="N247" i="1" s="1"/>
  <c r="O247" i="1" a="1"/>
  <c r="O247" i="1" s="1"/>
  <c r="P247" i="1" a="1"/>
  <c r="P247" i="1" s="1"/>
  <c r="Q247" i="1" a="1"/>
  <c r="Q247" i="1" s="1"/>
  <c r="R247" i="1" a="1"/>
  <c r="R247" i="1" s="1"/>
  <c r="S247" i="1" a="1"/>
  <c r="S247" i="1" s="1"/>
  <c r="N248" i="1" a="1"/>
  <c r="N248" i="1" s="1"/>
  <c r="O248" i="1" a="1"/>
  <c r="O248" i="1" s="1"/>
  <c r="P248" i="1" a="1"/>
  <c r="P248" i="1" s="1"/>
  <c r="Q248" i="1" a="1"/>
  <c r="Q248" i="1" s="1"/>
  <c r="R248" i="1" a="1"/>
  <c r="R248" i="1" s="1"/>
  <c r="S248" i="1" a="1"/>
  <c r="S248" i="1" s="1"/>
  <c r="N249" i="1" a="1"/>
  <c r="N249" i="1" s="1"/>
  <c r="O249" i="1" a="1"/>
  <c r="O249" i="1" s="1"/>
  <c r="P249" i="1" a="1"/>
  <c r="P249" i="1" s="1"/>
  <c r="Q249" i="1" a="1"/>
  <c r="Q249" i="1" s="1"/>
  <c r="R249" i="1" a="1"/>
  <c r="R249" i="1" s="1"/>
  <c r="S249" i="1" a="1"/>
  <c r="S249" i="1" s="1"/>
  <c r="N250" i="1" a="1"/>
  <c r="N250" i="1" s="1"/>
  <c r="O250" i="1" a="1"/>
  <c r="O250" i="1" s="1"/>
  <c r="P250" i="1" a="1"/>
  <c r="P250" i="1" s="1"/>
  <c r="Q250" i="1" a="1"/>
  <c r="Q250" i="1" s="1"/>
  <c r="R250" i="1" a="1"/>
  <c r="R250" i="1" s="1"/>
  <c r="S250" i="1" a="1"/>
  <c r="S250" i="1" s="1"/>
  <c r="N251" i="1" a="1"/>
  <c r="N251" i="1" s="1"/>
  <c r="O251" i="1" a="1"/>
  <c r="O251" i="1" s="1"/>
  <c r="P251" i="1" a="1"/>
  <c r="P251" i="1" s="1"/>
  <c r="Q251" i="1" a="1"/>
  <c r="Q251" i="1" s="1"/>
  <c r="R251" i="1" a="1"/>
  <c r="R251" i="1" s="1"/>
  <c r="S251" i="1" a="1"/>
  <c r="S251" i="1" s="1"/>
  <c r="N252" i="1" a="1"/>
  <c r="N252" i="1" s="1"/>
  <c r="O252" i="1" a="1"/>
  <c r="O252" i="1" s="1"/>
  <c r="P252" i="1" a="1"/>
  <c r="P252" i="1" s="1"/>
  <c r="Q252" i="1" a="1"/>
  <c r="Q252" i="1" s="1"/>
  <c r="R252" i="1" a="1"/>
  <c r="R252" i="1" s="1"/>
  <c r="S252" i="1" a="1"/>
  <c r="S252" i="1" s="1"/>
  <c r="N253" i="1" a="1"/>
  <c r="N253" i="1" s="1"/>
  <c r="O253" i="1" a="1"/>
  <c r="O253" i="1" s="1"/>
  <c r="P253" i="1" a="1"/>
  <c r="P253" i="1" s="1"/>
  <c r="Q253" i="1" a="1"/>
  <c r="Q253" i="1" s="1"/>
  <c r="R253" i="1" a="1"/>
  <c r="R253" i="1" s="1"/>
  <c r="S253" i="1" a="1"/>
  <c r="S253" i="1" s="1"/>
  <c r="N254" i="1" a="1"/>
  <c r="N254" i="1" s="1"/>
  <c r="O254" i="1" a="1"/>
  <c r="O254" i="1" s="1"/>
  <c r="P254" i="1" a="1"/>
  <c r="P254" i="1" s="1"/>
  <c r="Q254" i="1" a="1"/>
  <c r="Q254" i="1" s="1"/>
  <c r="R254" i="1" a="1"/>
  <c r="R254" i="1" s="1"/>
  <c r="S254" i="1" a="1"/>
  <c r="S254" i="1" s="1"/>
  <c r="N255" i="1" a="1"/>
  <c r="N255" i="1" s="1"/>
  <c r="O255" i="1" a="1"/>
  <c r="O255" i="1" s="1"/>
  <c r="P255" i="1" a="1"/>
  <c r="P255" i="1" s="1"/>
  <c r="Q255" i="1" a="1"/>
  <c r="Q255" i="1" s="1"/>
  <c r="R255" i="1" a="1"/>
  <c r="R255" i="1" s="1"/>
  <c r="S255" i="1" a="1"/>
  <c r="S255" i="1" s="1"/>
  <c r="N256" i="1" a="1"/>
  <c r="N256" i="1" s="1"/>
  <c r="O256" i="1" a="1"/>
  <c r="O256" i="1" s="1"/>
  <c r="P256" i="1" a="1"/>
  <c r="P256" i="1" s="1"/>
  <c r="Q256" i="1" a="1"/>
  <c r="Q256" i="1" s="1"/>
  <c r="R256" i="1" a="1"/>
  <c r="R256" i="1" s="1"/>
  <c r="S256" i="1" a="1"/>
  <c r="S256" i="1" s="1"/>
  <c r="N257" i="1" a="1"/>
  <c r="N257" i="1" s="1"/>
  <c r="O257" i="1" a="1"/>
  <c r="O257" i="1" s="1"/>
  <c r="P257" i="1" a="1"/>
  <c r="P257" i="1" s="1"/>
  <c r="Q257" i="1" a="1"/>
  <c r="Q257" i="1" s="1"/>
  <c r="R257" i="1" a="1"/>
  <c r="R257" i="1" s="1"/>
  <c r="S257" i="1" a="1"/>
  <c r="S257" i="1" s="1"/>
  <c r="N258" i="1" a="1"/>
  <c r="N258" i="1" s="1"/>
  <c r="O258" i="1" a="1"/>
  <c r="O258" i="1" s="1"/>
  <c r="P258" i="1" a="1"/>
  <c r="P258" i="1" s="1"/>
  <c r="Q258" i="1" a="1"/>
  <c r="Q258" i="1" s="1"/>
  <c r="R258" i="1" a="1"/>
  <c r="R258" i="1" s="1"/>
  <c r="S258" i="1" a="1"/>
  <c r="S258" i="1" s="1"/>
  <c r="N259" i="1" a="1"/>
  <c r="N259" i="1" s="1"/>
  <c r="O259" i="1" a="1"/>
  <c r="O259" i="1" s="1"/>
  <c r="P259" i="1" a="1"/>
  <c r="P259" i="1" s="1"/>
  <c r="Q259" i="1" a="1"/>
  <c r="Q259" i="1" s="1"/>
  <c r="R259" i="1" a="1"/>
  <c r="R259" i="1" s="1"/>
  <c r="S259" i="1" a="1"/>
  <c r="S259" i="1" s="1"/>
  <c r="N260" i="1" a="1"/>
  <c r="N260" i="1" s="1"/>
  <c r="O260" i="1" a="1"/>
  <c r="O260" i="1" s="1"/>
  <c r="P260" i="1" a="1"/>
  <c r="P260" i="1" s="1"/>
  <c r="Q260" i="1" a="1"/>
  <c r="Q260" i="1" s="1"/>
  <c r="R260" i="1" a="1"/>
  <c r="R260" i="1" s="1"/>
  <c r="S260" i="1" a="1"/>
  <c r="S260" i="1" s="1"/>
  <c r="N261" i="1" a="1"/>
  <c r="N261" i="1" s="1"/>
  <c r="O261" i="1" a="1"/>
  <c r="O261" i="1" s="1"/>
  <c r="P261" i="1" a="1"/>
  <c r="P261" i="1" s="1"/>
  <c r="Q261" i="1" a="1"/>
  <c r="Q261" i="1" s="1"/>
  <c r="R261" i="1" a="1"/>
  <c r="R261" i="1" s="1"/>
  <c r="S261" i="1" a="1"/>
  <c r="S261" i="1" s="1"/>
  <c r="N262" i="1" a="1"/>
  <c r="N262" i="1" s="1"/>
  <c r="O262" i="1" a="1"/>
  <c r="O262" i="1" s="1"/>
  <c r="P262" i="1" a="1"/>
  <c r="P262" i="1" s="1"/>
  <c r="Q262" i="1" a="1"/>
  <c r="Q262" i="1" s="1"/>
  <c r="R262" i="1" a="1"/>
  <c r="R262" i="1" s="1"/>
  <c r="S262" i="1" a="1"/>
  <c r="S262" i="1" s="1"/>
  <c r="N263" i="1" a="1"/>
  <c r="N263" i="1" s="1"/>
  <c r="O263" i="1" a="1"/>
  <c r="O263" i="1" s="1"/>
  <c r="P263" i="1" a="1"/>
  <c r="P263" i="1" s="1"/>
  <c r="Q263" i="1" a="1"/>
  <c r="Q263" i="1" s="1"/>
  <c r="R263" i="1" a="1"/>
  <c r="R263" i="1" s="1"/>
  <c r="S263" i="1" a="1"/>
  <c r="S263" i="1" s="1"/>
  <c r="N264" i="1" a="1"/>
  <c r="N264" i="1" s="1"/>
  <c r="O264" i="1" a="1"/>
  <c r="O264" i="1" s="1"/>
  <c r="P264" i="1" a="1"/>
  <c r="P264" i="1" s="1"/>
  <c r="Q264" i="1" a="1"/>
  <c r="Q264" i="1" s="1"/>
  <c r="R264" i="1" a="1"/>
  <c r="R264" i="1" s="1"/>
  <c r="S264" i="1" a="1"/>
  <c r="S264" i="1" s="1"/>
  <c r="N265" i="1" a="1"/>
  <c r="N265" i="1" s="1"/>
  <c r="O265" i="1" a="1"/>
  <c r="O265" i="1" s="1"/>
  <c r="P265" i="1" a="1"/>
  <c r="P265" i="1" s="1"/>
  <c r="Q265" i="1" a="1"/>
  <c r="Q265" i="1" s="1"/>
  <c r="R265" i="1" a="1"/>
  <c r="R265" i="1" s="1"/>
  <c r="S265" i="1" a="1"/>
  <c r="S265" i="1" s="1"/>
  <c r="N266" i="1" a="1"/>
  <c r="N266" i="1" s="1"/>
  <c r="O266" i="1" a="1"/>
  <c r="O266" i="1" s="1"/>
  <c r="P266" i="1" a="1"/>
  <c r="P266" i="1" s="1"/>
  <c r="Q266" i="1" a="1"/>
  <c r="Q266" i="1" s="1"/>
  <c r="R266" i="1" a="1"/>
  <c r="R266" i="1" s="1"/>
  <c r="S266" i="1" a="1"/>
  <c r="S266" i="1" s="1"/>
  <c r="N267" i="1" a="1"/>
  <c r="N267" i="1" s="1"/>
  <c r="O267" i="1" a="1"/>
  <c r="O267" i="1" s="1"/>
  <c r="P267" i="1" a="1"/>
  <c r="P267" i="1" s="1"/>
  <c r="Q267" i="1" a="1"/>
  <c r="Q267" i="1" s="1"/>
  <c r="R267" i="1" a="1"/>
  <c r="R267" i="1" s="1"/>
  <c r="S267" i="1" a="1"/>
  <c r="S267" i="1" s="1"/>
  <c r="N268" i="1" a="1"/>
  <c r="N268" i="1" s="1"/>
  <c r="O268" i="1" a="1"/>
  <c r="O268" i="1" s="1"/>
  <c r="P268" i="1" a="1"/>
  <c r="P268" i="1" s="1"/>
  <c r="Q268" i="1" a="1"/>
  <c r="Q268" i="1" s="1"/>
  <c r="R268" i="1" a="1"/>
  <c r="R268" i="1" s="1"/>
  <c r="S268" i="1" a="1"/>
  <c r="S268" i="1" s="1"/>
  <c r="N269" i="1" a="1"/>
  <c r="N269" i="1" s="1"/>
  <c r="O269" i="1" a="1"/>
  <c r="O269" i="1" s="1"/>
  <c r="P269" i="1" a="1"/>
  <c r="P269" i="1" s="1"/>
  <c r="Q269" i="1" a="1"/>
  <c r="Q269" i="1" s="1"/>
  <c r="R269" i="1" a="1"/>
  <c r="R269" i="1" s="1"/>
  <c r="S269" i="1" a="1"/>
  <c r="S269" i="1" s="1"/>
  <c r="N270" i="1" a="1"/>
  <c r="N270" i="1" s="1"/>
  <c r="O270" i="1" a="1"/>
  <c r="O270" i="1" s="1"/>
  <c r="P270" i="1" a="1"/>
  <c r="P270" i="1" s="1"/>
  <c r="Q270" i="1" a="1"/>
  <c r="Q270" i="1" s="1"/>
  <c r="R270" i="1" a="1"/>
  <c r="R270" i="1" s="1"/>
  <c r="S270" i="1" a="1"/>
  <c r="S270" i="1" s="1"/>
  <c r="N271" i="1" a="1"/>
  <c r="N271" i="1" s="1"/>
  <c r="O271" i="1" a="1"/>
  <c r="O271" i="1" s="1"/>
  <c r="P271" i="1" a="1"/>
  <c r="P271" i="1" s="1"/>
  <c r="Q271" i="1" a="1"/>
  <c r="Q271" i="1" s="1"/>
  <c r="R271" i="1" a="1"/>
  <c r="R271" i="1" s="1"/>
  <c r="S271" i="1" a="1"/>
  <c r="S271" i="1" s="1"/>
  <c r="N272" i="1" a="1"/>
  <c r="N272" i="1" s="1"/>
  <c r="O272" i="1" a="1"/>
  <c r="O272" i="1" s="1"/>
  <c r="P272" i="1" a="1"/>
  <c r="P272" i="1" s="1"/>
  <c r="Q272" i="1" a="1"/>
  <c r="Q272" i="1" s="1"/>
  <c r="R272" i="1" a="1"/>
  <c r="R272" i="1" s="1"/>
  <c r="S272" i="1" a="1"/>
  <c r="S272" i="1" s="1"/>
  <c r="N273" i="1" a="1"/>
  <c r="N273" i="1" s="1"/>
  <c r="O273" i="1" a="1"/>
  <c r="O273" i="1" s="1"/>
  <c r="P273" i="1" a="1"/>
  <c r="P273" i="1" s="1"/>
  <c r="Q273" i="1" a="1"/>
  <c r="Q273" i="1" s="1"/>
  <c r="R273" i="1" a="1"/>
  <c r="R273" i="1" s="1"/>
  <c r="S273" i="1" a="1"/>
  <c r="S273" i="1" s="1"/>
  <c r="N274" i="1" a="1"/>
  <c r="N274" i="1" s="1"/>
  <c r="O274" i="1" a="1"/>
  <c r="O274" i="1" s="1"/>
  <c r="P274" i="1" a="1"/>
  <c r="P274" i="1" s="1"/>
  <c r="Q274" i="1" a="1"/>
  <c r="Q274" i="1" s="1"/>
  <c r="R274" i="1" a="1"/>
  <c r="R274" i="1" s="1"/>
  <c r="S274" i="1" a="1"/>
  <c r="S274" i="1" s="1"/>
  <c r="N275" i="1" a="1"/>
  <c r="N275" i="1" s="1"/>
  <c r="O275" i="1" a="1"/>
  <c r="O275" i="1" s="1"/>
  <c r="P275" i="1" a="1"/>
  <c r="P275" i="1" s="1"/>
  <c r="Q275" i="1" a="1"/>
  <c r="Q275" i="1" s="1"/>
  <c r="R275" i="1" a="1"/>
  <c r="R275" i="1" s="1"/>
  <c r="S275" i="1" a="1"/>
  <c r="S275" i="1" s="1"/>
  <c r="N276" i="1" a="1"/>
  <c r="N276" i="1" s="1"/>
  <c r="O276" i="1" a="1"/>
  <c r="O276" i="1" s="1"/>
  <c r="P276" i="1" a="1"/>
  <c r="P276" i="1" s="1"/>
  <c r="Q276" i="1" a="1"/>
  <c r="Q276" i="1" s="1"/>
  <c r="R276" i="1" a="1"/>
  <c r="R276" i="1" s="1"/>
  <c r="S276" i="1" a="1"/>
  <c r="S276" i="1" s="1"/>
  <c r="N277" i="1" a="1"/>
  <c r="N277" i="1" s="1"/>
  <c r="O277" i="1" a="1"/>
  <c r="O277" i="1" s="1"/>
  <c r="P277" i="1" a="1"/>
  <c r="P277" i="1" s="1"/>
  <c r="Q277" i="1" a="1"/>
  <c r="Q277" i="1" s="1"/>
  <c r="R277" i="1" a="1"/>
  <c r="R277" i="1" s="1"/>
  <c r="S277" i="1" a="1"/>
  <c r="S277" i="1" s="1"/>
  <c r="N278" i="1" a="1"/>
  <c r="N278" i="1" s="1"/>
  <c r="O278" i="1" a="1"/>
  <c r="O278" i="1" s="1"/>
  <c r="P278" i="1" a="1"/>
  <c r="P278" i="1" s="1"/>
  <c r="Q278" i="1" a="1"/>
  <c r="Q278" i="1" s="1"/>
  <c r="R278" i="1" a="1"/>
  <c r="R278" i="1" s="1"/>
  <c r="S278" i="1" a="1"/>
  <c r="S278" i="1" s="1"/>
  <c r="N279" i="1" a="1"/>
  <c r="N279" i="1" s="1"/>
  <c r="O279" i="1" a="1"/>
  <c r="O279" i="1" s="1"/>
  <c r="P279" i="1" a="1"/>
  <c r="P279" i="1" s="1"/>
  <c r="Q279" i="1" a="1"/>
  <c r="Q279" i="1" s="1"/>
  <c r="R279" i="1" a="1"/>
  <c r="R279" i="1" s="1"/>
  <c r="S279" i="1" a="1"/>
  <c r="S279" i="1" s="1"/>
  <c r="N280" i="1" a="1"/>
  <c r="N280" i="1" s="1"/>
  <c r="O280" i="1" a="1"/>
  <c r="O280" i="1" s="1"/>
  <c r="P280" i="1" a="1"/>
  <c r="P280" i="1" s="1"/>
  <c r="Q280" i="1" a="1"/>
  <c r="Q280" i="1" s="1"/>
  <c r="R280" i="1" a="1"/>
  <c r="R280" i="1" s="1"/>
  <c r="S280" i="1" a="1"/>
  <c r="S280" i="1" s="1"/>
  <c r="N281" i="1" a="1"/>
  <c r="N281" i="1" s="1"/>
  <c r="O281" i="1" a="1"/>
  <c r="O281" i="1" s="1"/>
  <c r="P281" i="1" a="1"/>
  <c r="P281" i="1" s="1"/>
  <c r="Q281" i="1" a="1"/>
  <c r="Q281" i="1" s="1"/>
  <c r="R281" i="1" a="1"/>
  <c r="R281" i="1" s="1"/>
  <c r="S281" i="1" a="1"/>
  <c r="S281" i="1" s="1"/>
  <c r="N282" i="1" a="1"/>
  <c r="N282" i="1" s="1"/>
  <c r="O282" i="1" a="1"/>
  <c r="O282" i="1" s="1"/>
  <c r="P282" i="1" a="1"/>
  <c r="P282" i="1" s="1"/>
  <c r="Q282" i="1" a="1"/>
  <c r="Q282" i="1" s="1"/>
  <c r="R282" i="1" a="1"/>
  <c r="R282" i="1" s="1"/>
  <c r="S282" i="1" a="1"/>
  <c r="S282" i="1" s="1"/>
  <c r="N283" i="1" a="1"/>
  <c r="N283" i="1" s="1"/>
  <c r="O283" i="1" a="1"/>
  <c r="O283" i="1" s="1"/>
  <c r="P283" i="1" a="1"/>
  <c r="P283" i="1" s="1"/>
  <c r="Q283" i="1" a="1"/>
  <c r="Q283" i="1" s="1"/>
  <c r="R283" i="1" a="1"/>
  <c r="R283" i="1" s="1"/>
  <c r="S283" i="1" a="1"/>
  <c r="S283" i="1" s="1"/>
  <c r="N284" i="1" a="1"/>
  <c r="N284" i="1" s="1"/>
  <c r="O284" i="1" a="1"/>
  <c r="O284" i="1" s="1"/>
  <c r="P284" i="1" a="1"/>
  <c r="P284" i="1" s="1"/>
  <c r="Q284" i="1" a="1"/>
  <c r="Q284" i="1" s="1"/>
  <c r="R284" i="1" a="1"/>
  <c r="R284" i="1" s="1"/>
  <c r="S284" i="1" a="1"/>
  <c r="S284" i="1" s="1"/>
  <c r="N285" i="1" a="1"/>
  <c r="N285" i="1" s="1"/>
  <c r="O285" i="1" a="1"/>
  <c r="O285" i="1" s="1"/>
  <c r="P285" i="1" a="1"/>
  <c r="P285" i="1" s="1"/>
  <c r="Q285" i="1" a="1"/>
  <c r="Q285" i="1" s="1"/>
  <c r="R285" i="1" a="1"/>
  <c r="R285" i="1" s="1"/>
  <c r="S285" i="1" a="1"/>
  <c r="S285" i="1" s="1"/>
  <c r="N286" i="1" a="1"/>
  <c r="N286" i="1" s="1"/>
  <c r="O286" i="1" a="1"/>
  <c r="O286" i="1" s="1"/>
  <c r="P286" i="1" a="1"/>
  <c r="P286" i="1" s="1"/>
  <c r="Q286" i="1" a="1"/>
  <c r="Q286" i="1" s="1"/>
  <c r="R286" i="1" a="1"/>
  <c r="R286" i="1" s="1"/>
  <c r="S286" i="1" a="1"/>
  <c r="S286" i="1" s="1"/>
  <c r="N287" i="1" a="1"/>
  <c r="N287" i="1" s="1"/>
  <c r="O287" i="1" a="1"/>
  <c r="O287" i="1" s="1"/>
  <c r="P287" i="1" a="1"/>
  <c r="P287" i="1" s="1"/>
  <c r="Q287" i="1" a="1"/>
  <c r="Q287" i="1" s="1"/>
  <c r="R287" i="1" a="1"/>
  <c r="R287" i="1" s="1"/>
  <c r="S287" i="1" a="1"/>
  <c r="S287" i="1" s="1"/>
  <c r="N288" i="1" a="1"/>
  <c r="N288" i="1" s="1"/>
  <c r="O288" i="1" a="1"/>
  <c r="O288" i="1" s="1"/>
  <c r="P288" i="1" a="1"/>
  <c r="P288" i="1" s="1"/>
  <c r="Q288" i="1" a="1"/>
  <c r="Q288" i="1" s="1"/>
  <c r="R288" i="1" a="1"/>
  <c r="R288" i="1" s="1"/>
  <c r="S288" i="1" a="1"/>
  <c r="S288" i="1" s="1"/>
  <c r="N289" i="1" a="1"/>
  <c r="N289" i="1" s="1"/>
  <c r="O289" i="1" a="1"/>
  <c r="O289" i="1" s="1"/>
  <c r="P289" i="1" a="1"/>
  <c r="P289" i="1" s="1"/>
  <c r="Q289" i="1" a="1"/>
  <c r="Q289" i="1" s="1"/>
  <c r="R289" i="1" a="1"/>
  <c r="R289" i="1" s="1"/>
  <c r="S289" i="1" a="1"/>
  <c r="S289" i="1" s="1"/>
  <c r="N290" i="1" a="1"/>
  <c r="N290" i="1" s="1"/>
  <c r="O290" i="1" a="1"/>
  <c r="O290" i="1" s="1"/>
  <c r="P290" i="1" a="1"/>
  <c r="P290" i="1" s="1"/>
  <c r="Q290" i="1" a="1"/>
  <c r="Q290" i="1" s="1"/>
  <c r="R290" i="1" a="1"/>
  <c r="R290" i="1" s="1"/>
  <c r="S290" i="1" a="1"/>
  <c r="S290" i="1" s="1"/>
  <c r="N291" i="1" a="1"/>
  <c r="N291" i="1" s="1"/>
  <c r="O291" i="1" a="1"/>
  <c r="O291" i="1" s="1"/>
  <c r="P291" i="1" a="1"/>
  <c r="P291" i="1" s="1"/>
  <c r="Q291" i="1" a="1"/>
  <c r="Q291" i="1" s="1"/>
  <c r="R291" i="1" a="1"/>
  <c r="R291" i="1" s="1"/>
  <c r="S291" i="1" a="1"/>
  <c r="S291" i="1" s="1"/>
  <c r="N292" i="1" a="1"/>
  <c r="N292" i="1" s="1"/>
  <c r="O292" i="1" a="1"/>
  <c r="O292" i="1" s="1"/>
  <c r="P292" i="1" a="1"/>
  <c r="P292" i="1" s="1"/>
  <c r="Q292" i="1" a="1"/>
  <c r="Q292" i="1" s="1"/>
  <c r="R292" i="1" a="1"/>
  <c r="R292" i="1" s="1"/>
  <c r="S292" i="1" a="1"/>
  <c r="S292" i="1" s="1"/>
  <c r="N293" i="1" a="1"/>
  <c r="N293" i="1" s="1"/>
  <c r="O293" i="1" a="1"/>
  <c r="O293" i="1" s="1"/>
  <c r="P293" i="1" a="1"/>
  <c r="P293" i="1" s="1"/>
  <c r="Q293" i="1" a="1"/>
  <c r="Q293" i="1" s="1"/>
  <c r="R293" i="1" a="1"/>
  <c r="R293" i="1" s="1"/>
  <c r="S293" i="1" a="1"/>
  <c r="S293" i="1" s="1"/>
  <c r="N294" i="1" a="1"/>
  <c r="N294" i="1" s="1"/>
  <c r="O294" i="1" a="1"/>
  <c r="O294" i="1" s="1"/>
  <c r="P294" i="1" a="1"/>
  <c r="P294" i="1" s="1"/>
  <c r="Q294" i="1" a="1"/>
  <c r="Q294" i="1" s="1"/>
  <c r="R294" i="1" a="1"/>
  <c r="R294" i="1" s="1"/>
  <c r="S294" i="1" a="1"/>
  <c r="S294" i="1" s="1"/>
  <c r="N295" i="1" a="1"/>
  <c r="N295" i="1" s="1"/>
  <c r="O295" i="1" a="1"/>
  <c r="O295" i="1" s="1"/>
  <c r="P295" i="1" a="1"/>
  <c r="P295" i="1" s="1"/>
  <c r="Q295" i="1" a="1"/>
  <c r="Q295" i="1" s="1"/>
  <c r="R295" i="1" a="1"/>
  <c r="R295" i="1" s="1"/>
  <c r="S295" i="1" a="1"/>
  <c r="S295" i="1" s="1"/>
  <c r="N296" i="1" a="1"/>
  <c r="N296" i="1" s="1"/>
  <c r="O296" i="1" a="1"/>
  <c r="O296" i="1" s="1"/>
  <c r="P296" i="1" a="1"/>
  <c r="P296" i="1" s="1"/>
  <c r="Q296" i="1" a="1"/>
  <c r="Q296" i="1" s="1"/>
  <c r="R296" i="1" a="1"/>
  <c r="R296" i="1" s="1"/>
  <c r="S296" i="1" a="1"/>
  <c r="S296" i="1" s="1"/>
  <c r="N297" i="1" a="1"/>
  <c r="N297" i="1" s="1"/>
  <c r="O297" i="1" a="1"/>
  <c r="O297" i="1" s="1"/>
  <c r="P297" i="1" a="1"/>
  <c r="P297" i="1" s="1"/>
  <c r="Q297" i="1" a="1"/>
  <c r="Q297" i="1" s="1"/>
  <c r="R297" i="1" a="1"/>
  <c r="R297" i="1" s="1"/>
  <c r="S297" i="1" a="1"/>
  <c r="S297" i="1" s="1"/>
  <c r="N298" i="1" a="1"/>
  <c r="N298" i="1" s="1"/>
  <c r="O298" i="1" a="1"/>
  <c r="O298" i="1" s="1"/>
  <c r="P298" i="1" a="1"/>
  <c r="P298" i="1" s="1"/>
  <c r="Q298" i="1" a="1"/>
  <c r="Q298" i="1" s="1"/>
  <c r="R298" i="1" a="1"/>
  <c r="R298" i="1" s="1"/>
  <c r="S298" i="1" a="1"/>
  <c r="S298" i="1" s="1"/>
  <c r="N299" i="1" a="1"/>
  <c r="N299" i="1" s="1"/>
  <c r="O299" i="1" a="1"/>
  <c r="O299" i="1" s="1"/>
  <c r="P299" i="1" a="1"/>
  <c r="P299" i="1" s="1"/>
  <c r="Q299" i="1" a="1"/>
  <c r="Q299" i="1" s="1"/>
  <c r="R299" i="1" a="1"/>
  <c r="R299" i="1" s="1"/>
  <c r="S299" i="1" a="1"/>
  <c r="S299" i="1" s="1"/>
  <c r="N300" i="1" a="1"/>
  <c r="N300" i="1" s="1"/>
  <c r="O300" i="1" a="1"/>
  <c r="O300" i="1" s="1"/>
  <c r="P300" i="1" a="1"/>
  <c r="P300" i="1" s="1"/>
  <c r="Q300" i="1" a="1"/>
  <c r="Q300" i="1" s="1"/>
  <c r="R300" i="1" a="1"/>
  <c r="R300" i="1" s="1"/>
  <c r="S300" i="1" a="1"/>
  <c r="S300" i="1" s="1"/>
  <c r="N301" i="1" a="1"/>
  <c r="N301" i="1" s="1"/>
  <c r="O301" i="1" a="1"/>
  <c r="O301" i="1" s="1"/>
  <c r="P301" i="1" a="1"/>
  <c r="P301" i="1" s="1"/>
  <c r="Q301" i="1" a="1"/>
  <c r="Q301" i="1" s="1"/>
  <c r="R301" i="1" a="1"/>
  <c r="R301" i="1" s="1"/>
  <c r="S301" i="1" a="1"/>
  <c r="S301" i="1" s="1"/>
  <c r="N302" i="1" a="1"/>
  <c r="N302" i="1" s="1"/>
  <c r="O302" i="1" a="1"/>
  <c r="O302" i="1" s="1"/>
  <c r="P302" i="1" a="1"/>
  <c r="P302" i="1" s="1"/>
  <c r="Q302" i="1" a="1"/>
  <c r="Q302" i="1" s="1"/>
  <c r="R302" i="1" a="1"/>
  <c r="R302" i="1" s="1"/>
  <c r="S302" i="1" a="1"/>
  <c r="S302" i="1" s="1"/>
  <c r="N303" i="1" a="1"/>
  <c r="N303" i="1" s="1"/>
  <c r="O303" i="1" a="1"/>
  <c r="O303" i="1" s="1"/>
  <c r="P303" i="1" a="1"/>
  <c r="P303" i="1" s="1"/>
  <c r="Q303" i="1" a="1"/>
  <c r="Q303" i="1" s="1"/>
  <c r="R303" i="1" a="1"/>
  <c r="R303" i="1" s="1"/>
  <c r="S303" i="1" a="1"/>
  <c r="S303" i="1" s="1"/>
  <c r="N304" i="1" a="1"/>
  <c r="N304" i="1" s="1"/>
  <c r="O304" i="1" a="1"/>
  <c r="O304" i="1" s="1"/>
  <c r="P304" i="1" a="1"/>
  <c r="P304" i="1" s="1"/>
  <c r="Q304" i="1" a="1"/>
  <c r="Q304" i="1" s="1"/>
  <c r="R304" i="1" a="1"/>
  <c r="R304" i="1" s="1"/>
  <c r="S304" i="1" a="1"/>
  <c r="S304" i="1" s="1"/>
  <c r="N305" i="1" a="1"/>
  <c r="N305" i="1" s="1"/>
  <c r="O305" i="1" a="1"/>
  <c r="O305" i="1" s="1"/>
  <c r="P305" i="1" a="1"/>
  <c r="P305" i="1" s="1"/>
  <c r="Q305" i="1" a="1"/>
  <c r="Q305" i="1" s="1"/>
  <c r="R305" i="1" a="1"/>
  <c r="R305" i="1" s="1"/>
  <c r="S305" i="1" a="1"/>
  <c r="S305" i="1" s="1"/>
  <c r="N306" i="1" a="1"/>
  <c r="N306" i="1" s="1"/>
  <c r="O306" i="1" a="1"/>
  <c r="O306" i="1" s="1"/>
  <c r="P306" i="1" a="1"/>
  <c r="P306" i="1" s="1"/>
  <c r="Q306" i="1" a="1"/>
  <c r="Q306" i="1" s="1"/>
  <c r="R306" i="1" a="1"/>
  <c r="R306" i="1" s="1"/>
  <c r="S306" i="1" a="1"/>
  <c r="S306" i="1" s="1"/>
  <c r="N307" i="1" a="1"/>
  <c r="N307" i="1" s="1"/>
  <c r="O307" i="1" a="1"/>
  <c r="O307" i="1" s="1"/>
  <c r="P307" i="1" a="1"/>
  <c r="P307" i="1" s="1"/>
  <c r="Q307" i="1" a="1"/>
  <c r="Q307" i="1" s="1"/>
  <c r="R307" i="1" a="1"/>
  <c r="R307" i="1" s="1"/>
  <c r="S307" i="1" a="1"/>
  <c r="S307" i="1" s="1"/>
  <c r="N308" i="1" a="1"/>
  <c r="N308" i="1" s="1"/>
  <c r="O308" i="1" a="1"/>
  <c r="O308" i="1" s="1"/>
  <c r="P308" i="1" a="1"/>
  <c r="P308" i="1" s="1"/>
  <c r="Q308" i="1" a="1"/>
  <c r="Q308" i="1" s="1"/>
  <c r="R308" i="1" a="1"/>
  <c r="R308" i="1" s="1"/>
  <c r="S308" i="1" a="1"/>
  <c r="S308" i="1" s="1"/>
  <c r="N309" i="1" a="1"/>
  <c r="N309" i="1" s="1"/>
  <c r="O309" i="1" a="1"/>
  <c r="O309" i="1" s="1"/>
  <c r="P309" i="1" a="1"/>
  <c r="P309" i="1" s="1"/>
  <c r="Q309" i="1" a="1"/>
  <c r="Q309" i="1" s="1"/>
  <c r="R309" i="1" a="1"/>
  <c r="R309" i="1" s="1"/>
  <c r="S309" i="1" a="1"/>
  <c r="S309" i="1" s="1"/>
  <c r="N310" i="1" a="1"/>
  <c r="N310" i="1" s="1"/>
  <c r="O310" i="1" a="1"/>
  <c r="O310" i="1" s="1"/>
  <c r="P310" i="1" a="1"/>
  <c r="P310" i="1" s="1"/>
  <c r="Q310" i="1" a="1"/>
  <c r="Q310" i="1" s="1"/>
  <c r="R310" i="1" a="1"/>
  <c r="R310" i="1" s="1"/>
  <c r="S310" i="1" a="1"/>
  <c r="S310" i="1" s="1"/>
  <c r="N311" i="1" a="1"/>
  <c r="N311" i="1" s="1"/>
  <c r="O311" i="1" a="1"/>
  <c r="O311" i="1" s="1"/>
  <c r="P311" i="1" a="1"/>
  <c r="P311" i="1" s="1"/>
  <c r="Q311" i="1" a="1"/>
  <c r="Q311" i="1" s="1"/>
  <c r="R311" i="1" a="1"/>
  <c r="R311" i="1" s="1"/>
  <c r="S311" i="1" a="1"/>
  <c r="S311" i="1" s="1"/>
  <c r="N312" i="1" a="1"/>
  <c r="N312" i="1" s="1"/>
  <c r="O312" i="1" a="1"/>
  <c r="O312" i="1" s="1"/>
  <c r="P312" i="1" a="1"/>
  <c r="P312" i="1" s="1"/>
  <c r="Q312" i="1" a="1"/>
  <c r="Q312" i="1" s="1"/>
  <c r="R312" i="1" a="1"/>
  <c r="R312" i="1" s="1"/>
  <c r="S312" i="1" a="1"/>
  <c r="S312" i="1" s="1"/>
  <c r="N313" i="1" a="1"/>
  <c r="N313" i="1" s="1"/>
  <c r="O313" i="1" a="1"/>
  <c r="O313" i="1" s="1"/>
  <c r="P313" i="1" a="1"/>
  <c r="P313" i="1" s="1"/>
  <c r="Q313" i="1" a="1"/>
  <c r="Q313" i="1" s="1"/>
  <c r="R313" i="1" a="1"/>
  <c r="R313" i="1" s="1"/>
  <c r="S313" i="1" a="1"/>
  <c r="S313" i="1" s="1"/>
  <c r="N314" i="1" a="1"/>
  <c r="N314" i="1" s="1"/>
  <c r="O314" i="1" a="1"/>
  <c r="O314" i="1" s="1"/>
  <c r="P314" i="1" a="1"/>
  <c r="P314" i="1" s="1"/>
  <c r="Q314" i="1" a="1"/>
  <c r="Q314" i="1" s="1"/>
  <c r="R314" i="1" a="1"/>
  <c r="R314" i="1" s="1"/>
  <c r="S314" i="1" a="1"/>
  <c r="S314" i="1" s="1"/>
  <c r="N315" i="1" a="1"/>
  <c r="N315" i="1" s="1"/>
  <c r="O315" i="1" a="1"/>
  <c r="O315" i="1" s="1"/>
  <c r="P315" i="1" a="1"/>
  <c r="P315" i="1" s="1"/>
  <c r="Q315" i="1" a="1"/>
  <c r="Q315" i="1" s="1"/>
  <c r="R315" i="1" a="1"/>
  <c r="R315" i="1" s="1"/>
  <c r="S315" i="1" a="1"/>
  <c r="S315" i="1" s="1"/>
  <c r="N316" i="1" a="1"/>
  <c r="N316" i="1" s="1"/>
  <c r="O316" i="1" a="1"/>
  <c r="O316" i="1" s="1"/>
  <c r="P316" i="1" a="1"/>
  <c r="P316" i="1" s="1"/>
  <c r="Q316" i="1" a="1"/>
  <c r="Q316" i="1" s="1"/>
  <c r="R316" i="1" a="1"/>
  <c r="R316" i="1" s="1"/>
  <c r="S316" i="1" a="1"/>
  <c r="S316" i="1" s="1"/>
  <c r="N317" i="1" a="1"/>
  <c r="N317" i="1" s="1"/>
  <c r="O317" i="1" a="1"/>
  <c r="O317" i="1" s="1"/>
  <c r="P317" i="1" a="1"/>
  <c r="P317" i="1" s="1"/>
  <c r="Q317" i="1" a="1"/>
  <c r="Q317" i="1" s="1"/>
  <c r="R317" i="1" a="1"/>
  <c r="R317" i="1" s="1"/>
  <c r="S317" i="1" a="1"/>
  <c r="S317" i="1" s="1"/>
  <c r="N318" i="1" a="1"/>
  <c r="N318" i="1" s="1"/>
  <c r="O318" i="1" a="1"/>
  <c r="O318" i="1" s="1"/>
  <c r="P318" i="1" a="1"/>
  <c r="P318" i="1" s="1"/>
  <c r="Q318" i="1" a="1"/>
  <c r="Q318" i="1" s="1"/>
  <c r="R318" i="1" a="1"/>
  <c r="R318" i="1" s="1"/>
  <c r="S318" i="1" a="1"/>
  <c r="S318" i="1" s="1"/>
  <c r="N319" i="1" a="1"/>
  <c r="N319" i="1" s="1"/>
  <c r="O319" i="1" a="1"/>
  <c r="O319" i="1" s="1"/>
  <c r="P319" i="1" a="1"/>
  <c r="P319" i="1" s="1"/>
  <c r="Q319" i="1" a="1"/>
  <c r="Q319" i="1" s="1"/>
  <c r="R319" i="1" a="1"/>
  <c r="R319" i="1" s="1"/>
  <c r="S319" i="1" a="1"/>
  <c r="S319" i="1" s="1"/>
  <c r="N320" i="1" a="1"/>
  <c r="N320" i="1" s="1"/>
  <c r="O320" i="1" a="1"/>
  <c r="O320" i="1" s="1"/>
  <c r="P320" i="1" a="1"/>
  <c r="P320" i="1" s="1"/>
  <c r="Q320" i="1" a="1"/>
  <c r="Q320" i="1" s="1"/>
  <c r="R320" i="1" a="1"/>
  <c r="R320" i="1" s="1"/>
  <c r="S320" i="1" a="1"/>
  <c r="S320" i="1" s="1"/>
  <c r="N321" i="1" a="1"/>
  <c r="N321" i="1" s="1"/>
  <c r="O321" i="1" a="1"/>
  <c r="O321" i="1" s="1"/>
  <c r="P321" i="1" a="1"/>
  <c r="P321" i="1" s="1"/>
  <c r="Q321" i="1" a="1"/>
  <c r="Q321" i="1" s="1"/>
  <c r="R321" i="1" a="1"/>
  <c r="R321" i="1" s="1"/>
  <c r="S321" i="1" a="1"/>
  <c r="S321" i="1" s="1"/>
  <c r="N322" i="1" a="1"/>
  <c r="N322" i="1" s="1"/>
  <c r="O322" i="1" a="1"/>
  <c r="O322" i="1" s="1"/>
  <c r="P322" i="1" a="1"/>
  <c r="P322" i="1" s="1"/>
  <c r="Q322" i="1" a="1"/>
  <c r="Q322" i="1" s="1"/>
  <c r="R322" i="1" a="1"/>
  <c r="R322" i="1" s="1"/>
  <c r="S322" i="1" a="1"/>
  <c r="S322" i="1" s="1"/>
  <c r="N323" i="1" a="1"/>
  <c r="N323" i="1" s="1"/>
  <c r="O323" i="1" a="1"/>
  <c r="O323" i="1" s="1"/>
  <c r="P323" i="1" a="1"/>
  <c r="P323" i="1" s="1"/>
  <c r="Q323" i="1" a="1"/>
  <c r="Q323" i="1" s="1"/>
  <c r="R323" i="1" a="1"/>
  <c r="R323" i="1" s="1"/>
  <c r="S323" i="1" a="1"/>
  <c r="S323" i="1" s="1"/>
  <c r="N324" i="1" a="1"/>
  <c r="N324" i="1" s="1"/>
  <c r="O324" i="1" a="1"/>
  <c r="O324" i="1" s="1"/>
  <c r="P324" i="1" a="1"/>
  <c r="P324" i="1" s="1"/>
  <c r="Q324" i="1" a="1"/>
  <c r="Q324" i="1" s="1"/>
  <c r="R324" i="1" a="1"/>
  <c r="R324" i="1" s="1"/>
  <c r="S324" i="1" a="1"/>
  <c r="S324" i="1" s="1"/>
  <c r="N325" i="1" a="1"/>
  <c r="N325" i="1" s="1"/>
  <c r="O325" i="1" a="1"/>
  <c r="O325" i="1" s="1"/>
  <c r="P325" i="1" a="1"/>
  <c r="P325" i="1" s="1"/>
  <c r="Q325" i="1" a="1"/>
  <c r="Q325" i="1" s="1"/>
  <c r="R325" i="1" a="1"/>
  <c r="R325" i="1" s="1"/>
  <c r="S325" i="1" a="1"/>
  <c r="S325" i="1" s="1"/>
  <c r="N326" i="1" a="1"/>
  <c r="N326" i="1" s="1"/>
  <c r="O326" i="1" a="1"/>
  <c r="O326" i="1" s="1"/>
  <c r="P326" i="1" a="1"/>
  <c r="P326" i="1" s="1"/>
  <c r="Q326" i="1" a="1"/>
  <c r="Q326" i="1" s="1"/>
  <c r="R326" i="1" a="1"/>
  <c r="R326" i="1" s="1"/>
  <c r="S326" i="1" a="1"/>
  <c r="S326" i="1" s="1"/>
  <c r="N327" i="1" a="1"/>
  <c r="N327" i="1" s="1"/>
  <c r="O327" i="1" a="1"/>
  <c r="O327" i="1" s="1"/>
  <c r="P327" i="1" a="1"/>
  <c r="P327" i="1" s="1"/>
  <c r="Q327" i="1" a="1"/>
  <c r="Q327" i="1" s="1"/>
  <c r="R327" i="1" a="1"/>
  <c r="R327" i="1" s="1"/>
  <c r="S327" i="1" a="1"/>
  <c r="S327" i="1" s="1"/>
  <c r="N328" i="1" a="1"/>
  <c r="N328" i="1" s="1"/>
  <c r="O328" i="1" a="1"/>
  <c r="O328" i="1" s="1"/>
  <c r="P328" i="1" a="1"/>
  <c r="P328" i="1" s="1"/>
  <c r="Q328" i="1" a="1"/>
  <c r="Q328" i="1" s="1"/>
  <c r="R328" i="1" a="1"/>
  <c r="R328" i="1" s="1"/>
  <c r="S328" i="1" a="1"/>
  <c r="S328" i="1" s="1"/>
  <c r="N329" i="1" a="1"/>
  <c r="N329" i="1" s="1"/>
  <c r="O329" i="1" a="1"/>
  <c r="O329" i="1" s="1"/>
  <c r="P329" i="1" a="1"/>
  <c r="P329" i="1" s="1"/>
  <c r="Q329" i="1" a="1"/>
  <c r="Q329" i="1" s="1"/>
  <c r="R329" i="1" a="1"/>
  <c r="R329" i="1" s="1"/>
  <c r="S329" i="1" a="1"/>
  <c r="S329" i="1" s="1"/>
  <c r="N330" i="1" a="1"/>
  <c r="N330" i="1" s="1"/>
  <c r="O330" i="1" a="1"/>
  <c r="O330" i="1" s="1"/>
  <c r="P330" i="1" a="1"/>
  <c r="P330" i="1" s="1"/>
  <c r="Q330" i="1" a="1"/>
  <c r="Q330" i="1" s="1"/>
  <c r="R330" i="1" a="1"/>
  <c r="R330" i="1" s="1"/>
  <c r="S330" i="1" a="1"/>
  <c r="S330" i="1"/>
  <c r="N331" i="1" a="1"/>
  <c r="N331" i="1"/>
  <c r="O331" i="1" a="1"/>
  <c r="O331" i="1"/>
  <c r="P331" i="1" a="1"/>
  <c r="P331" i="1"/>
  <c r="Q331" i="1" a="1"/>
  <c r="Q331" i="1"/>
  <c r="R331" i="1" a="1"/>
  <c r="R331" i="1"/>
  <c r="S331" i="1" a="1"/>
  <c r="S331" i="1"/>
  <c r="N332" i="1" a="1"/>
  <c r="N332" i="1"/>
  <c r="O332" i="1" a="1"/>
  <c r="O332" i="1"/>
  <c r="P332" i="1" a="1"/>
  <c r="P332" i="1"/>
  <c r="Q332" i="1" a="1"/>
  <c r="Q332" i="1"/>
  <c r="R332" i="1" a="1"/>
  <c r="R332" i="1"/>
  <c r="S332" i="1" a="1"/>
  <c r="S332" i="1"/>
  <c r="N333" i="1" a="1"/>
  <c r="N333" i="1"/>
  <c r="O333" i="1" a="1"/>
  <c r="O333" i="1"/>
  <c r="P333" i="1" a="1"/>
  <c r="P333" i="1"/>
  <c r="Q333" i="1" a="1"/>
  <c r="Q333" i="1"/>
  <c r="R333" i="1" a="1"/>
  <c r="R333" i="1"/>
  <c r="S333" i="1" a="1"/>
  <c r="S333" i="1"/>
  <c r="N334" i="1" a="1"/>
  <c r="N334" i="1"/>
  <c r="O334" i="1" a="1"/>
  <c r="O334" i="1"/>
  <c r="P334" i="1" a="1"/>
  <c r="P334" i="1"/>
  <c r="Q334" i="1" a="1"/>
  <c r="Q334" i="1"/>
  <c r="R334" i="1" a="1"/>
  <c r="R334" i="1"/>
  <c r="S334" i="1" a="1"/>
  <c r="S334" i="1"/>
  <c r="N335" i="1" a="1"/>
  <c r="N335" i="1"/>
  <c r="O335" i="1" a="1"/>
  <c r="O335" i="1"/>
  <c r="P335" i="1" a="1"/>
  <c r="P335" i="1"/>
  <c r="Q335" i="1" a="1"/>
  <c r="Q335" i="1"/>
  <c r="R335" i="1" a="1"/>
  <c r="R335" i="1"/>
  <c r="S335" i="1" a="1"/>
  <c r="S335" i="1"/>
  <c r="N336" i="1" a="1"/>
  <c r="N336" i="1"/>
  <c r="O336" i="1" a="1"/>
  <c r="O336" i="1"/>
  <c r="P336" i="1" a="1"/>
  <c r="P336" i="1"/>
  <c r="Q336" i="1" a="1"/>
  <c r="Q336" i="1"/>
  <c r="R336" i="1" a="1"/>
  <c r="R336" i="1"/>
  <c r="S336" i="1" a="1"/>
  <c r="S336" i="1"/>
  <c r="N337" i="1" a="1"/>
  <c r="N337" i="1"/>
  <c r="O337" i="1" a="1"/>
  <c r="O337" i="1"/>
  <c r="P337" i="1" a="1"/>
  <c r="P337" i="1"/>
  <c r="Q337" i="1" a="1"/>
  <c r="Q337" i="1"/>
  <c r="R337" i="1" a="1"/>
  <c r="R337" i="1"/>
  <c r="S337" i="1" a="1"/>
  <c r="S337" i="1"/>
  <c r="N338" i="1" a="1"/>
  <c r="N338" i="1"/>
  <c r="O338" i="1" a="1"/>
  <c r="O338" i="1"/>
  <c r="P338" i="1" a="1"/>
  <c r="P338" i="1"/>
  <c r="Q338" i="1" a="1"/>
  <c r="Q338" i="1"/>
  <c r="R338" i="1" a="1"/>
  <c r="R338" i="1"/>
  <c r="S338" i="1" a="1"/>
  <c r="S338" i="1"/>
  <c r="N339" i="1" a="1"/>
  <c r="N339" i="1"/>
  <c r="O339" i="1" a="1"/>
  <c r="O339" i="1"/>
  <c r="P339" i="1" a="1"/>
  <c r="P339" i="1"/>
  <c r="Q339" i="1" a="1"/>
  <c r="Q339" i="1"/>
  <c r="R339" i="1" a="1"/>
  <c r="R339" i="1"/>
  <c r="S339" i="1" a="1"/>
  <c r="S339" i="1"/>
  <c r="N340" i="1" a="1"/>
  <c r="N340" i="1"/>
  <c r="O340" i="1" a="1"/>
  <c r="O340" i="1"/>
  <c r="P340" i="1" a="1"/>
  <c r="P340" i="1"/>
  <c r="Q340" i="1" a="1"/>
  <c r="Q340" i="1"/>
  <c r="R340" i="1" a="1"/>
  <c r="R340" i="1"/>
  <c r="S340" i="1" a="1"/>
  <c r="S340" i="1"/>
  <c r="N341" i="1" a="1"/>
  <c r="N341" i="1"/>
  <c r="O341" i="1" a="1"/>
  <c r="O341" i="1"/>
  <c r="P341" i="1" a="1"/>
  <c r="P341" i="1"/>
  <c r="Q341" i="1" a="1"/>
  <c r="Q341" i="1"/>
  <c r="R341" i="1" a="1"/>
  <c r="R341" i="1"/>
  <c r="S341" i="1" a="1"/>
  <c r="S341" i="1"/>
  <c r="N342" i="1" a="1"/>
  <c r="N342" i="1"/>
  <c r="O342" i="1" a="1"/>
  <c r="O342" i="1"/>
  <c r="P342" i="1" a="1"/>
  <c r="P342" i="1"/>
  <c r="Q342" i="1" a="1"/>
  <c r="Q342" i="1"/>
  <c r="R342" i="1" a="1"/>
  <c r="R342" i="1"/>
  <c r="S342" i="1" a="1"/>
  <c r="S342" i="1"/>
  <c r="N343" i="1" a="1"/>
  <c r="N343" i="1"/>
  <c r="O343" i="1" a="1"/>
  <c r="O343" i="1"/>
  <c r="P343" i="1" a="1"/>
  <c r="P343" i="1"/>
  <c r="Q343" i="1" a="1"/>
  <c r="Q343" i="1"/>
  <c r="R343" i="1" a="1"/>
  <c r="R343" i="1"/>
  <c r="S343" i="1" a="1"/>
  <c r="S343" i="1"/>
  <c r="N344" i="1" a="1"/>
  <c r="N344" i="1"/>
  <c r="O344" i="1" a="1"/>
  <c r="O344" i="1"/>
  <c r="P344" i="1" a="1"/>
  <c r="P344" i="1"/>
  <c r="Q344" i="1" a="1"/>
  <c r="Q344" i="1"/>
  <c r="R344" i="1" a="1"/>
  <c r="R344" i="1"/>
  <c r="S344" i="1" a="1"/>
  <c r="S344" i="1"/>
  <c r="N345" i="1" a="1"/>
  <c r="N345" i="1"/>
  <c r="O345" i="1" a="1"/>
  <c r="O345" i="1"/>
  <c r="P345" i="1" a="1"/>
  <c r="P345" i="1"/>
  <c r="Q345" i="1" a="1"/>
  <c r="Q345" i="1"/>
  <c r="R345" i="1" a="1"/>
  <c r="R345" i="1"/>
  <c r="S345" i="1" a="1"/>
  <c r="S345" i="1"/>
  <c r="N346" i="1" a="1"/>
  <c r="N346" i="1"/>
  <c r="O346" i="1" a="1"/>
  <c r="O346" i="1"/>
  <c r="P346" i="1" a="1"/>
  <c r="P346" i="1"/>
  <c r="Q346" i="1" a="1"/>
  <c r="Q346" i="1"/>
  <c r="R346" i="1" a="1"/>
  <c r="R346" i="1"/>
  <c r="S346" i="1" a="1"/>
  <c r="S346" i="1"/>
  <c r="N347" i="1" a="1"/>
  <c r="N347" i="1"/>
  <c r="O347" i="1" a="1"/>
  <c r="O347" i="1"/>
  <c r="P347" i="1" a="1"/>
  <c r="P347" i="1"/>
  <c r="Q347" i="1" a="1"/>
  <c r="Q347" i="1"/>
  <c r="R347" i="1" a="1"/>
  <c r="R347" i="1"/>
  <c r="S347" i="1" a="1"/>
  <c r="S347" i="1"/>
  <c r="N348" i="1" a="1"/>
  <c r="N348" i="1"/>
  <c r="O348" i="1" a="1"/>
  <c r="O348" i="1"/>
  <c r="P348" i="1" a="1"/>
  <c r="P348" i="1"/>
  <c r="Q348" i="1" a="1"/>
  <c r="Q348" i="1"/>
  <c r="R348" i="1" a="1"/>
  <c r="R348" i="1"/>
  <c r="S348" i="1" a="1"/>
  <c r="S348" i="1"/>
  <c r="N349" i="1" a="1"/>
  <c r="N349" i="1"/>
  <c r="O349" i="1" a="1"/>
  <c r="O349" i="1"/>
  <c r="P349" i="1" a="1"/>
  <c r="P349" i="1"/>
  <c r="Q349" i="1" a="1"/>
  <c r="Q349" i="1"/>
  <c r="R349" i="1" a="1"/>
  <c r="R349" i="1"/>
  <c r="S349" i="1" a="1"/>
  <c r="S349" i="1"/>
  <c r="N350" i="1" a="1"/>
  <c r="N350" i="1"/>
  <c r="O350" i="1" a="1"/>
  <c r="O350" i="1"/>
  <c r="P350" i="1" a="1"/>
  <c r="P350" i="1"/>
  <c r="Q350" i="1" a="1"/>
  <c r="Q350" i="1"/>
  <c r="R350" i="1" a="1"/>
  <c r="R350" i="1"/>
  <c r="S350" i="1" a="1"/>
  <c r="S350" i="1"/>
  <c r="N351" i="1" a="1"/>
  <c r="N351" i="1"/>
  <c r="O351" i="1" a="1"/>
  <c r="O351" i="1"/>
  <c r="P351" i="1" a="1"/>
  <c r="P351" i="1"/>
  <c r="Q351" i="1" a="1"/>
  <c r="Q351" i="1"/>
  <c r="R351" i="1" a="1"/>
  <c r="R351" i="1"/>
  <c r="S351" i="1" a="1"/>
  <c r="S351" i="1"/>
  <c r="N352" i="1" a="1"/>
  <c r="N352" i="1"/>
  <c r="O352" i="1" a="1"/>
  <c r="O352" i="1"/>
  <c r="P352" i="1" a="1"/>
  <c r="P352" i="1"/>
  <c r="Q352" i="1" a="1"/>
  <c r="Q352" i="1"/>
  <c r="R352" i="1" a="1"/>
  <c r="R352" i="1"/>
  <c r="S352" i="1" a="1"/>
  <c r="S352" i="1"/>
  <c r="N353" i="1" a="1"/>
  <c r="N353" i="1"/>
  <c r="O353" i="1" a="1"/>
  <c r="O353" i="1"/>
  <c r="P353" i="1" a="1"/>
  <c r="P353" i="1"/>
  <c r="Q353" i="1" a="1"/>
  <c r="Q353" i="1"/>
  <c r="R353" i="1" a="1"/>
  <c r="R353" i="1"/>
  <c r="S353" i="1" a="1"/>
  <c r="S353" i="1"/>
  <c r="N354" i="1" a="1"/>
  <c r="N354" i="1"/>
  <c r="O354" i="1" a="1"/>
  <c r="O354" i="1"/>
  <c r="P354" i="1" a="1"/>
  <c r="P354" i="1"/>
  <c r="Q354" i="1" a="1"/>
  <c r="Q354" i="1"/>
  <c r="R354" i="1" a="1"/>
  <c r="R354" i="1"/>
  <c r="S354" i="1" a="1"/>
  <c r="S354" i="1"/>
  <c r="N355" i="1" a="1"/>
  <c r="N355" i="1"/>
  <c r="O355" i="1" a="1"/>
  <c r="O355" i="1"/>
  <c r="P355" i="1" a="1"/>
  <c r="P355" i="1"/>
  <c r="Q355" i="1" a="1"/>
  <c r="Q355" i="1"/>
  <c r="R355" i="1" a="1"/>
  <c r="R355" i="1"/>
  <c r="S355" i="1" a="1"/>
  <c r="S355" i="1"/>
  <c r="N356" i="1" a="1"/>
  <c r="N356" i="1"/>
  <c r="O356" i="1" a="1"/>
  <c r="O356" i="1"/>
  <c r="P356" i="1" a="1"/>
  <c r="P356" i="1"/>
  <c r="Q356" i="1" a="1"/>
  <c r="Q356" i="1"/>
  <c r="R356" i="1" a="1"/>
  <c r="R356" i="1"/>
  <c r="S356" i="1" a="1"/>
  <c r="S356" i="1"/>
  <c r="N357" i="1" a="1"/>
  <c r="N357" i="1"/>
  <c r="O357" i="1" a="1"/>
  <c r="O357" i="1"/>
  <c r="P357" i="1" a="1"/>
  <c r="P357" i="1"/>
  <c r="Q357" i="1" a="1"/>
  <c r="Q357" i="1"/>
  <c r="R357" i="1" a="1"/>
  <c r="R357" i="1"/>
  <c r="S357" i="1" a="1"/>
  <c r="S357" i="1"/>
  <c r="N358" i="1" a="1"/>
  <c r="N358" i="1"/>
  <c r="O358" i="1" a="1"/>
  <c r="O358" i="1"/>
  <c r="P358" i="1" a="1"/>
  <c r="P358" i="1"/>
  <c r="Q358" i="1" a="1"/>
  <c r="Q358" i="1"/>
  <c r="R358" i="1" a="1"/>
  <c r="R358" i="1"/>
  <c r="S358" i="1" a="1"/>
  <c r="S358" i="1"/>
  <c r="N359" i="1" a="1"/>
  <c r="N359" i="1"/>
  <c r="O359" i="1" a="1"/>
  <c r="O359" i="1"/>
  <c r="P359" i="1" a="1"/>
  <c r="P359" i="1"/>
  <c r="Q359" i="1" a="1"/>
  <c r="Q359" i="1"/>
  <c r="R359" i="1" a="1"/>
  <c r="R359" i="1"/>
  <c r="S359" i="1" a="1"/>
  <c r="S359" i="1"/>
  <c r="N360" i="1" a="1"/>
  <c r="N360" i="1"/>
  <c r="O360" i="1" a="1"/>
  <c r="O360" i="1"/>
  <c r="P360" i="1" a="1"/>
  <c r="P360" i="1"/>
  <c r="Q360" i="1" a="1"/>
  <c r="Q360" i="1"/>
  <c r="R360" i="1" a="1"/>
  <c r="R360" i="1"/>
  <c r="S360" i="1" a="1"/>
  <c r="S360" i="1"/>
  <c r="N361" i="1" a="1"/>
  <c r="N361" i="1"/>
  <c r="O361" i="1" a="1"/>
  <c r="O361" i="1"/>
  <c r="P361" i="1" a="1"/>
  <c r="P361" i="1"/>
  <c r="Q361" i="1" a="1"/>
  <c r="Q361" i="1"/>
  <c r="R361" i="1" a="1"/>
  <c r="R361" i="1"/>
  <c r="S361" i="1" a="1"/>
  <c r="S361" i="1"/>
  <c r="N362" i="1" a="1"/>
  <c r="N362" i="1"/>
  <c r="O362" i="1" a="1"/>
  <c r="O362" i="1"/>
  <c r="P362" i="1" a="1"/>
  <c r="P362" i="1"/>
  <c r="Q362" i="1" a="1"/>
  <c r="Q362" i="1"/>
  <c r="R362" i="1" a="1"/>
  <c r="R362" i="1"/>
  <c r="S362" i="1" a="1"/>
  <c r="S362" i="1"/>
  <c r="N363" i="1" a="1"/>
  <c r="N363" i="1"/>
  <c r="O363" i="1" a="1"/>
  <c r="O363" i="1"/>
  <c r="P363" i="1" a="1"/>
  <c r="P363" i="1"/>
  <c r="Q363" i="1" a="1"/>
  <c r="Q363" i="1"/>
  <c r="R363" i="1" a="1"/>
  <c r="R363" i="1"/>
  <c r="S363" i="1" a="1"/>
  <c r="S363" i="1"/>
  <c r="N364" i="1" a="1"/>
  <c r="N364" i="1"/>
  <c r="O364" i="1" a="1"/>
  <c r="O364" i="1"/>
  <c r="P364" i="1" a="1"/>
  <c r="P364" i="1"/>
  <c r="Q364" i="1" a="1"/>
  <c r="Q364" i="1"/>
  <c r="R364" i="1" a="1"/>
  <c r="R364" i="1"/>
  <c r="S364" i="1" a="1"/>
  <c r="S364" i="1"/>
  <c r="N365" i="1" a="1"/>
  <c r="N365" i="1"/>
  <c r="O365" i="1" a="1"/>
  <c r="O365" i="1"/>
  <c r="P365" i="1" a="1"/>
  <c r="P365" i="1"/>
  <c r="Q365" i="1" a="1"/>
  <c r="Q365" i="1"/>
  <c r="R365" i="1" a="1"/>
  <c r="R365" i="1"/>
  <c r="S365" i="1" a="1"/>
  <c r="S365" i="1"/>
  <c r="N366" i="1" a="1"/>
  <c r="N366" i="1"/>
  <c r="O366" i="1" a="1"/>
  <c r="O366" i="1"/>
  <c r="P366" i="1" a="1"/>
  <c r="P366" i="1"/>
  <c r="Q366" i="1" a="1"/>
  <c r="Q366" i="1"/>
  <c r="R366" i="1" a="1"/>
  <c r="R366" i="1"/>
  <c r="S366" i="1" a="1"/>
  <c r="S366" i="1"/>
  <c r="N367" i="1" a="1"/>
  <c r="N367" i="1"/>
  <c r="O367" i="1" a="1"/>
  <c r="O367" i="1"/>
  <c r="P367" i="1" a="1"/>
  <c r="P367" i="1"/>
  <c r="Q367" i="1" a="1"/>
  <c r="Q367" i="1"/>
  <c r="R367" i="1" a="1"/>
  <c r="R367" i="1"/>
  <c r="S367" i="1" a="1"/>
  <c r="S367" i="1"/>
  <c r="N368" i="1" a="1"/>
  <c r="N368" i="1"/>
  <c r="O368" i="1" a="1"/>
  <c r="O368" i="1"/>
  <c r="P368" i="1" a="1"/>
  <c r="P368" i="1"/>
  <c r="Q368" i="1" a="1"/>
  <c r="Q368" i="1"/>
  <c r="R368" i="1" a="1"/>
  <c r="R368" i="1"/>
  <c r="S368" i="1" a="1"/>
  <c r="S368" i="1"/>
  <c r="N369" i="1" a="1"/>
  <c r="N369" i="1"/>
  <c r="O369" i="1" a="1"/>
  <c r="O369" i="1"/>
  <c r="P369" i="1" a="1"/>
  <c r="P369" i="1"/>
  <c r="Q369" i="1" a="1"/>
  <c r="Q369" i="1"/>
  <c r="R369" i="1" a="1"/>
  <c r="R369" i="1"/>
  <c r="S369" i="1" a="1"/>
  <c r="S369" i="1"/>
  <c r="N370" i="1" a="1"/>
  <c r="N370" i="1"/>
  <c r="O370" i="1" a="1"/>
  <c r="O370" i="1"/>
  <c r="P370" i="1" a="1"/>
  <c r="P370" i="1"/>
  <c r="Q370" i="1" a="1"/>
  <c r="Q370" i="1"/>
  <c r="R370" i="1" a="1"/>
  <c r="R370" i="1"/>
  <c r="S370" i="1" a="1"/>
  <c r="S370" i="1"/>
  <c r="N371" i="1" a="1"/>
  <c r="N371" i="1"/>
  <c r="O371" i="1" a="1"/>
  <c r="O371" i="1"/>
  <c r="P371" i="1" a="1"/>
  <c r="P371" i="1"/>
  <c r="Q371" i="1" a="1"/>
  <c r="Q371" i="1"/>
  <c r="R371" i="1" a="1"/>
  <c r="R371" i="1"/>
  <c r="S371" i="1" a="1"/>
  <c r="S371" i="1"/>
  <c r="N372" i="1" a="1"/>
  <c r="N372" i="1"/>
  <c r="O372" i="1" a="1"/>
  <c r="O372" i="1"/>
  <c r="P372" i="1" a="1"/>
  <c r="P372" i="1"/>
  <c r="Q372" i="1" a="1"/>
  <c r="Q372" i="1"/>
  <c r="R372" i="1" a="1"/>
  <c r="R372" i="1"/>
  <c r="S372" i="1" a="1"/>
  <c r="S372" i="1"/>
  <c r="N373" i="1" a="1"/>
  <c r="N373" i="1"/>
  <c r="O373" i="1" a="1"/>
  <c r="O373" i="1"/>
  <c r="P373" i="1" a="1"/>
  <c r="P373" i="1"/>
  <c r="Q373" i="1" a="1"/>
  <c r="Q373" i="1"/>
  <c r="R373" i="1" a="1"/>
  <c r="R373" i="1"/>
  <c r="S373" i="1" a="1"/>
  <c r="S373" i="1"/>
  <c r="N374" i="1" a="1"/>
  <c r="N374" i="1"/>
  <c r="O374" i="1" a="1"/>
  <c r="O374" i="1"/>
  <c r="P374" i="1" a="1"/>
  <c r="P374" i="1"/>
  <c r="Q374" i="1" a="1"/>
  <c r="Q374" i="1"/>
  <c r="R374" i="1" a="1"/>
  <c r="R374" i="1"/>
  <c r="S374" i="1" a="1"/>
  <c r="S374" i="1"/>
  <c r="N375" i="1" a="1"/>
  <c r="N375" i="1"/>
  <c r="O375" i="1" a="1"/>
  <c r="O375" i="1"/>
  <c r="P375" i="1" a="1"/>
  <c r="P375" i="1"/>
  <c r="Q375" i="1" a="1"/>
  <c r="Q375" i="1" s="1"/>
  <c r="R375" i="1" a="1"/>
  <c r="R375" i="1" s="1"/>
  <c r="S375" i="1" a="1"/>
  <c r="S375" i="1" s="1"/>
  <c r="N376" i="1" a="1"/>
  <c r="N376" i="1" s="1"/>
  <c r="O376" i="1" a="1"/>
  <c r="O376" i="1" s="1"/>
  <c r="P376" i="1" a="1"/>
  <c r="P376" i="1" s="1"/>
  <c r="Q376" i="1" a="1"/>
  <c r="Q376" i="1" s="1"/>
  <c r="R376" i="1" a="1"/>
  <c r="R376" i="1" s="1"/>
  <c r="S376" i="1" a="1"/>
  <c r="S376" i="1" s="1"/>
  <c r="N377" i="1" a="1"/>
  <c r="N377" i="1" s="1"/>
  <c r="O377" i="1" a="1"/>
  <c r="O377" i="1" s="1"/>
  <c r="P377" i="1" a="1"/>
  <c r="P377" i="1" s="1"/>
  <c r="Q377" i="1" a="1"/>
  <c r="Q377" i="1" s="1"/>
  <c r="R377" i="1" a="1"/>
  <c r="R377" i="1" s="1"/>
  <c r="S377" i="1" a="1"/>
  <c r="S377" i="1" s="1"/>
  <c r="N378" i="1" a="1"/>
  <c r="N378" i="1" s="1"/>
  <c r="O378" i="1" a="1"/>
  <c r="O378" i="1" s="1"/>
  <c r="P378" i="1" a="1"/>
  <c r="P378" i="1" s="1"/>
  <c r="Q378" i="1" a="1"/>
  <c r="Q378" i="1" s="1"/>
  <c r="R378" i="1" a="1"/>
  <c r="R378" i="1" s="1"/>
  <c r="S378" i="1" a="1"/>
  <c r="S378" i="1" s="1"/>
  <c r="N379" i="1" a="1"/>
  <c r="N379" i="1" s="1"/>
  <c r="O379" i="1" a="1"/>
  <c r="O379" i="1" s="1"/>
  <c r="P379" i="1" a="1"/>
  <c r="P379" i="1" s="1"/>
  <c r="Q379" i="1" a="1"/>
  <c r="Q379" i="1" s="1"/>
  <c r="R379" i="1" a="1"/>
  <c r="R379" i="1" s="1"/>
  <c r="S379" i="1" a="1"/>
  <c r="S379" i="1" s="1"/>
  <c r="N380" i="1" a="1"/>
  <c r="N380" i="1" s="1"/>
  <c r="O380" i="1" a="1"/>
  <c r="O380" i="1" s="1"/>
  <c r="P380" i="1" a="1"/>
  <c r="P380" i="1" s="1"/>
  <c r="Q380" i="1" a="1"/>
  <c r="Q380" i="1" s="1"/>
  <c r="R380" i="1" a="1"/>
  <c r="R380" i="1" s="1"/>
  <c r="S380" i="1" a="1"/>
  <c r="S380" i="1" s="1"/>
  <c r="N381" i="1" a="1"/>
  <c r="N381" i="1" s="1"/>
  <c r="O381" i="1" a="1"/>
  <c r="O381" i="1" s="1"/>
  <c r="P381" i="1" a="1"/>
  <c r="P381" i="1" s="1"/>
  <c r="Q381" i="1" a="1"/>
  <c r="Q381" i="1" s="1"/>
  <c r="R381" i="1" a="1"/>
  <c r="R381" i="1" s="1"/>
  <c r="S381" i="1" a="1"/>
  <c r="S381" i="1" s="1"/>
  <c r="N382" i="1" a="1"/>
  <c r="N382" i="1"/>
  <c r="O382" i="1" a="1"/>
  <c r="O382" i="1"/>
  <c r="P382" i="1" a="1"/>
  <c r="P382" i="1"/>
  <c r="Q382" i="1" a="1"/>
  <c r="Q382" i="1"/>
  <c r="R382" i="1" a="1"/>
  <c r="R382" i="1"/>
  <c r="S382" i="1" a="1"/>
  <c r="S382" i="1"/>
  <c r="N383" i="1" a="1"/>
  <c r="N383" i="1" s="1"/>
  <c r="O383" i="1" a="1"/>
  <c r="O383" i="1" s="1"/>
  <c r="P383" i="1" a="1"/>
  <c r="P383" i="1" s="1"/>
  <c r="Q383" i="1" a="1"/>
  <c r="Q383" i="1" s="1"/>
  <c r="R383" i="1" a="1"/>
  <c r="R383" i="1" s="1"/>
  <c r="S383" i="1" a="1"/>
  <c r="S383" i="1" s="1"/>
  <c r="N384" i="1" a="1"/>
  <c r="N384" i="1" s="1"/>
  <c r="O384" i="1" a="1"/>
  <c r="O384" i="1" s="1"/>
  <c r="P384" i="1" a="1"/>
  <c r="P384" i="1" s="1"/>
  <c r="Q384" i="1" a="1"/>
  <c r="Q384" i="1" s="1"/>
  <c r="R384" i="1" a="1"/>
  <c r="R384" i="1" s="1"/>
  <c r="S384" i="1" a="1"/>
  <c r="S384" i="1" s="1"/>
  <c r="N385" i="1" a="1"/>
  <c r="N385" i="1" s="1"/>
  <c r="O385" i="1" a="1"/>
  <c r="O385" i="1" s="1"/>
  <c r="P385" i="1" a="1"/>
  <c r="P385" i="1" s="1"/>
  <c r="Q385" i="1" a="1"/>
  <c r="Q385" i="1" s="1"/>
  <c r="R385" i="1" a="1"/>
  <c r="R385" i="1" s="1"/>
  <c r="S385" i="1" a="1"/>
  <c r="S385" i="1" s="1"/>
  <c r="N386" i="1" a="1"/>
  <c r="N386" i="1" s="1"/>
  <c r="O386" i="1" a="1"/>
  <c r="O386" i="1" s="1"/>
  <c r="P386" i="1" a="1"/>
  <c r="P386" i="1" s="1"/>
  <c r="Q386" i="1" a="1"/>
  <c r="Q386" i="1" s="1"/>
  <c r="R386" i="1" a="1"/>
  <c r="R386" i="1" s="1"/>
  <c r="S386" i="1" a="1"/>
  <c r="S386" i="1" s="1"/>
  <c r="N387" i="1" a="1"/>
  <c r="N387" i="1" s="1"/>
  <c r="O387" i="1" a="1"/>
  <c r="O387" i="1"/>
  <c r="P387" i="1" a="1"/>
  <c r="P387" i="1"/>
  <c r="Q387" i="1" a="1"/>
  <c r="Q387" i="1"/>
  <c r="R387" i="1" a="1"/>
  <c r="R387" i="1"/>
  <c r="S387" i="1" a="1"/>
  <c r="S387" i="1"/>
  <c r="N388" i="1" a="1"/>
  <c r="N388" i="1"/>
  <c r="O388" i="1" a="1"/>
  <c r="O388" i="1"/>
  <c r="P388" i="1" a="1"/>
  <c r="P388" i="1"/>
  <c r="Q388" i="1" a="1"/>
  <c r="Q388" i="1"/>
  <c r="R388" i="1" a="1"/>
  <c r="R388" i="1" s="1"/>
  <c r="S388" i="1" a="1"/>
  <c r="S388" i="1" s="1"/>
  <c r="N389" i="1" a="1"/>
  <c r="N389" i="1" s="1"/>
  <c r="O389" i="1" a="1"/>
  <c r="O389" i="1" s="1"/>
  <c r="P389" i="1" a="1"/>
  <c r="P389" i="1" s="1"/>
  <c r="Q389" i="1" a="1"/>
  <c r="Q389" i="1" s="1"/>
  <c r="R389" i="1" a="1"/>
  <c r="R389" i="1" s="1"/>
  <c r="S389" i="1" a="1"/>
  <c r="S389" i="1" s="1"/>
  <c r="N390" i="1" a="1"/>
  <c r="N390" i="1" s="1"/>
  <c r="O390" i="1" a="1"/>
  <c r="O390" i="1" s="1"/>
  <c r="P390" i="1" a="1"/>
  <c r="P390" i="1"/>
  <c r="Q390" i="1" a="1"/>
  <c r="Q390" i="1"/>
  <c r="R390" i="1" a="1"/>
  <c r="R390" i="1"/>
  <c r="S390" i="1" a="1"/>
  <c r="S390" i="1"/>
  <c r="N391" i="1" a="1"/>
  <c r="N391" i="1"/>
  <c r="O391" i="1" a="1"/>
  <c r="O391" i="1"/>
  <c r="P391" i="1" a="1"/>
  <c r="P391" i="1"/>
  <c r="Q391" i="1" a="1"/>
  <c r="Q391" i="1"/>
  <c r="R391" i="1" a="1"/>
  <c r="R391" i="1"/>
  <c r="S391" i="1" a="1"/>
  <c r="S391" i="1"/>
  <c r="N392" i="1" a="1"/>
  <c r="N392" i="1"/>
  <c r="O392" i="1" a="1"/>
  <c r="O392" i="1"/>
  <c r="P392" i="1" a="1"/>
  <c r="P392" i="1"/>
  <c r="Q392" i="1" a="1"/>
  <c r="Q392" i="1"/>
  <c r="R392" i="1" a="1"/>
  <c r="R392" i="1"/>
  <c r="S392" i="1" a="1"/>
  <c r="S392" i="1"/>
  <c r="N393" i="1" a="1"/>
  <c r="N393" i="1"/>
  <c r="O393" i="1" a="1"/>
  <c r="O393" i="1"/>
  <c r="P393" i="1" a="1"/>
  <c r="P393" i="1"/>
  <c r="Q393" i="1" a="1"/>
  <c r="Q393" i="1"/>
  <c r="R393" i="1" a="1"/>
  <c r="R393" i="1"/>
  <c r="S393" i="1" a="1"/>
  <c r="S393" i="1"/>
  <c r="N394" i="1" a="1"/>
  <c r="N394" i="1"/>
  <c r="O394" i="1" a="1"/>
  <c r="O394" i="1"/>
  <c r="P394" i="1" a="1"/>
  <c r="P394" i="1"/>
  <c r="Q394" i="1" a="1"/>
  <c r="Q394" i="1"/>
  <c r="R394" i="1" a="1"/>
  <c r="R394" i="1"/>
  <c r="S394" i="1" a="1"/>
  <c r="S394" i="1"/>
  <c r="N395" i="1" a="1"/>
  <c r="N395" i="1"/>
  <c r="O395" i="1" a="1"/>
  <c r="O395" i="1"/>
  <c r="P395" i="1" a="1"/>
  <c r="P395" i="1"/>
  <c r="Q395" i="1" a="1"/>
  <c r="Q395" i="1"/>
  <c r="R395" i="1" a="1"/>
  <c r="R395" i="1"/>
  <c r="S395" i="1" a="1"/>
  <c r="S395" i="1"/>
  <c r="N396" i="1" a="1"/>
  <c r="N396" i="1"/>
  <c r="O396" i="1" a="1"/>
  <c r="O396" i="1"/>
  <c r="P396" i="1" a="1"/>
  <c r="P396" i="1"/>
  <c r="Q396" i="1" a="1"/>
  <c r="Q396" i="1"/>
  <c r="R396" i="1" a="1"/>
  <c r="R396" i="1"/>
  <c r="S396" i="1" a="1"/>
  <c r="S396" i="1"/>
  <c r="N397" i="1" a="1"/>
  <c r="N397" i="1"/>
  <c r="O397" i="1" a="1"/>
  <c r="O397" i="1"/>
  <c r="P397" i="1" a="1"/>
  <c r="P397" i="1"/>
  <c r="Q397" i="1" a="1"/>
  <c r="Q397" i="1"/>
  <c r="R397" i="1" a="1"/>
  <c r="R397" i="1"/>
  <c r="S397" i="1" a="1"/>
  <c r="S397" i="1"/>
  <c r="N398" i="1" a="1"/>
  <c r="N398" i="1"/>
  <c r="O398" i="1" a="1"/>
  <c r="O398" i="1"/>
  <c r="P398" i="1" a="1"/>
  <c r="P398" i="1"/>
  <c r="Q398" i="1" a="1"/>
  <c r="Q398" i="1"/>
  <c r="R398" i="1" a="1"/>
  <c r="R398" i="1"/>
  <c r="S398" i="1" a="1"/>
  <c r="S398" i="1"/>
  <c r="N399" i="1" a="1"/>
  <c r="N399" i="1"/>
  <c r="O399" i="1" a="1"/>
  <c r="O399" i="1"/>
  <c r="P399" i="1" a="1"/>
  <c r="P399" i="1"/>
  <c r="Q399" i="1" a="1"/>
  <c r="Q399" i="1"/>
  <c r="R399" i="1" a="1"/>
  <c r="R399" i="1"/>
  <c r="S399" i="1" a="1"/>
  <c r="S399" i="1"/>
  <c r="N400" i="1" a="1"/>
  <c r="N400" i="1"/>
  <c r="O400" i="1" a="1"/>
  <c r="O400" i="1"/>
  <c r="P400" i="1" a="1"/>
  <c r="P400" i="1"/>
  <c r="Q400" i="1" a="1"/>
  <c r="Q400" i="1"/>
  <c r="R400" i="1" a="1"/>
  <c r="R400" i="1"/>
  <c r="S400" i="1" a="1"/>
  <c r="S400" i="1"/>
  <c r="N401" i="1" a="1"/>
  <c r="N401" i="1"/>
  <c r="O401" i="1" a="1"/>
  <c r="O401" i="1"/>
  <c r="P401" i="1" a="1"/>
  <c r="P401" i="1"/>
  <c r="Q401" i="1" a="1"/>
  <c r="Q401" i="1"/>
  <c r="R401" i="1" a="1"/>
  <c r="R401" i="1"/>
  <c r="S401" i="1" a="1"/>
  <c r="S401" i="1"/>
  <c r="N402" i="1" a="1"/>
  <c r="N402" i="1"/>
  <c r="O402" i="1" a="1"/>
  <c r="O402" i="1"/>
  <c r="P402" i="1" a="1"/>
  <c r="P402" i="1"/>
  <c r="Q402" i="1" a="1"/>
  <c r="Q402" i="1"/>
  <c r="R402" i="1" a="1"/>
  <c r="R402" i="1"/>
  <c r="S402" i="1" a="1"/>
  <c r="S402" i="1"/>
  <c r="N403" i="1" a="1"/>
  <c r="N403" i="1"/>
  <c r="O403" i="1" a="1"/>
  <c r="O403" i="1"/>
  <c r="P403" i="1" a="1"/>
  <c r="P403" i="1"/>
  <c r="Q403" i="1" a="1"/>
  <c r="Q403" i="1"/>
  <c r="R403" i="1" a="1"/>
  <c r="R403" i="1"/>
  <c r="S403" i="1" a="1"/>
  <c r="S403" i="1"/>
  <c r="N404" i="1" a="1"/>
  <c r="N404" i="1"/>
  <c r="O404" i="1" a="1"/>
  <c r="O404" i="1"/>
  <c r="P404" i="1" a="1"/>
  <c r="P404" i="1"/>
  <c r="Q404" i="1" a="1"/>
  <c r="Q404" i="1"/>
  <c r="R404" i="1" a="1"/>
  <c r="R404" i="1"/>
  <c r="S404" i="1" a="1"/>
  <c r="S404" i="1"/>
  <c r="N405" i="1" a="1"/>
  <c r="N405" i="1"/>
  <c r="O405" i="1" a="1"/>
  <c r="O405" i="1"/>
  <c r="P405" i="1" a="1"/>
  <c r="P405" i="1"/>
  <c r="Q405" i="1" a="1"/>
  <c r="Q405" i="1"/>
  <c r="R405" i="1" a="1"/>
  <c r="R405" i="1"/>
  <c r="S405" i="1" a="1"/>
  <c r="S405" i="1"/>
  <c r="N406" i="1" a="1"/>
  <c r="N406" i="1"/>
  <c r="O406" i="1" a="1"/>
  <c r="O406" i="1"/>
  <c r="P406" i="1" a="1"/>
  <c r="P406" i="1"/>
  <c r="Q406" i="1" a="1"/>
  <c r="Q406" i="1"/>
  <c r="R406" i="1" a="1"/>
  <c r="R406" i="1"/>
  <c r="S406" i="1" a="1"/>
  <c r="S406" i="1"/>
  <c r="N407" i="1" a="1"/>
  <c r="N407" i="1"/>
  <c r="O407" i="1" a="1"/>
  <c r="O407" i="1"/>
  <c r="P407" i="1" a="1"/>
  <c r="P407" i="1"/>
  <c r="Q407" i="1" a="1"/>
  <c r="Q407" i="1"/>
  <c r="R407" i="1" a="1"/>
  <c r="R407" i="1"/>
  <c r="S407" i="1" a="1"/>
  <c r="S407" i="1"/>
  <c r="N408" i="1" a="1"/>
  <c r="N408" i="1"/>
  <c r="O408" i="1" a="1"/>
  <c r="O408" i="1"/>
  <c r="P408" i="1" a="1"/>
  <c r="P408" i="1"/>
  <c r="Q408" i="1" a="1"/>
  <c r="Q408" i="1"/>
  <c r="R408" i="1" a="1"/>
  <c r="R408" i="1"/>
  <c r="S408" i="1" a="1"/>
  <c r="S408" i="1"/>
  <c r="N409" i="1" a="1"/>
  <c r="N409" i="1"/>
  <c r="O409" i="1" a="1"/>
  <c r="O409" i="1"/>
  <c r="P409" i="1" a="1"/>
  <c r="P409" i="1"/>
  <c r="Q409" i="1" a="1"/>
  <c r="Q409" i="1"/>
  <c r="R409" i="1" a="1"/>
  <c r="R409" i="1"/>
  <c r="S409" i="1" a="1"/>
  <c r="S409" i="1"/>
  <c r="N410" i="1" a="1"/>
  <c r="N410" i="1"/>
  <c r="O410" i="1" a="1"/>
  <c r="O410" i="1"/>
  <c r="P410" i="1" a="1"/>
  <c r="P410" i="1" s="1"/>
  <c r="Q410" i="1" a="1"/>
  <c r="Q410" i="1" s="1"/>
  <c r="R410" i="1" a="1"/>
  <c r="R410" i="1" s="1"/>
  <c r="S410" i="1" a="1"/>
  <c r="S410" i="1" s="1"/>
  <c r="N411" i="1" a="1"/>
  <c r="N411" i="1" s="1"/>
  <c r="O411" i="1" a="1"/>
  <c r="O411" i="1" s="1"/>
  <c r="P411" i="1" a="1"/>
  <c r="P411" i="1" s="1"/>
  <c r="Q411" i="1" a="1"/>
  <c r="Q411" i="1" s="1"/>
  <c r="R411" i="1" a="1"/>
  <c r="R411" i="1" s="1"/>
  <c r="S411" i="1" a="1"/>
  <c r="S411" i="1" s="1"/>
  <c r="N412" i="1" a="1"/>
  <c r="N412" i="1" s="1"/>
  <c r="O412" i="1" a="1"/>
  <c r="O412" i="1" s="1"/>
  <c r="P412" i="1" a="1"/>
  <c r="P412" i="1" s="1"/>
  <c r="Q412" i="1" a="1"/>
  <c r="Q412" i="1" s="1"/>
  <c r="R412" i="1" a="1"/>
  <c r="R412" i="1" s="1"/>
  <c r="S412" i="1" a="1"/>
  <c r="S412" i="1" s="1"/>
  <c r="N413" i="1" a="1"/>
  <c r="N413" i="1" s="1"/>
  <c r="O413" i="1" a="1"/>
  <c r="O413" i="1" s="1"/>
  <c r="P413" i="1" a="1"/>
  <c r="P413" i="1" s="1"/>
  <c r="Q413" i="1" a="1"/>
  <c r="Q413" i="1" s="1"/>
  <c r="R413" i="1" a="1"/>
  <c r="R413" i="1" s="1"/>
  <c r="S413" i="1" a="1"/>
  <c r="S413" i="1" s="1"/>
  <c r="N414" i="1" a="1"/>
  <c r="N414" i="1" s="1"/>
  <c r="O414" i="1" a="1"/>
  <c r="O414" i="1" s="1"/>
  <c r="P414" i="1" a="1"/>
  <c r="P414" i="1" s="1"/>
  <c r="Q414" i="1" a="1"/>
  <c r="Q414" i="1"/>
  <c r="R414" i="1" a="1"/>
  <c r="R414" i="1"/>
  <c r="S414" i="1" a="1"/>
  <c r="S414" i="1"/>
  <c r="N415" i="1" a="1"/>
  <c r="N415" i="1"/>
  <c r="O415" i="1" a="1"/>
  <c r="O415" i="1"/>
  <c r="P415" i="1" a="1"/>
  <c r="P415" i="1"/>
  <c r="Q415" i="1" a="1"/>
  <c r="Q415" i="1"/>
  <c r="R415" i="1" a="1"/>
  <c r="R415" i="1"/>
  <c r="S415" i="1" a="1"/>
  <c r="S415" i="1"/>
  <c r="N416" i="1" a="1"/>
  <c r="N416" i="1" s="1"/>
  <c r="O416" i="1" a="1"/>
  <c r="O416" i="1" s="1"/>
  <c r="P416" i="1" a="1"/>
  <c r="P416" i="1" s="1"/>
  <c r="Q416" i="1" a="1"/>
  <c r="Q416" i="1" s="1"/>
  <c r="R416" i="1" a="1"/>
  <c r="R416" i="1" s="1"/>
  <c r="S416" i="1" a="1"/>
  <c r="S416" i="1" s="1"/>
  <c r="N417" i="1" a="1"/>
  <c r="N417" i="1" s="1"/>
  <c r="O417" i="1" a="1"/>
  <c r="O417" i="1" s="1"/>
  <c r="P417" i="1" a="1"/>
  <c r="P417" i="1" s="1"/>
  <c r="Q417" i="1" a="1"/>
  <c r="Q417" i="1" s="1"/>
  <c r="R417" i="1" a="1"/>
  <c r="R417" i="1" s="1"/>
  <c r="S417" i="1" a="1"/>
  <c r="S417" i="1" s="1"/>
  <c r="N418" i="1" a="1"/>
  <c r="N418" i="1" s="1"/>
  <c r="O418" i="1" a="1"/>
  <c r="O418" i="1" s="1"/>
  <c r="P418" i="1" a="1"/>
  <c r="P418" i="1" s="1"/>
  <c r="Q418" i="1" a="1"/>
  <c r="Q418" i="1" s="1"/>
  <c r="R418" i="1" a="1"/>
  <c r="R418" i="1" s="1"/>
  <c r="S418" i="1" a="1"/>
  <c r="S418" i="1" s="1"/>
  <c r="N419" i="1" a="1"/>
  <c r="N419" i="1" s="1"/>
  <c r="O419" i="1" a="1"/>
  <c r="O419" i="1" s="1"/>
  <c r="P419" i="1" a="1"/>
  <c r="P419" i="1" s="1"/>
  <c r="Q419" i="1" a="1"/>
  <c r="Q419" i="1" s="1"/>
  <c r="R419" i="1" a="1"/>
  <c r="R419" i="1" s="1"/>
  <c r="S419" i="1" a="1"/>
  <c r="S419" i="1" s="1"/>
  <c r="N420" i="1" a="1"/>
  <c r="N420" i="1" s="1"/>
  <c r="O420" i="1" a="1"/>
  <c r="O420" i="1" s="1"/>
  <c r="P420" i="1" a="1"/>
  <c r="P420" i="1" s="1"/>
  <c r="Q420" i="1" a="1"/>
  <c r="Q420" i="1"/>
  <c r="R420" i="1" a="1"/>
  <c r="R420" i="1"/>
  <c r="S420" i="1" a="1"/>
  <c r="S420" i="1"/>
  <c r="N421" i="1" a="1"/>
  <c r="N421" i="1"/>
  <c r="O421" i="1" a="1"/>
  <c r="O421" i="1"/>
  <c r="P421" i="1" a="1"/>
  <c r="P421" i="1"/>
  <c r="Q421" i="1" a="1"/>
  <c r="Q421" i="1"/>
  <c r="R421" i="1" a="1"/>
  <c r="R421" i="1"/>
  <c r="S421" i="1" a="1"/>
  <c r="S421" i="1"/>
  <c r="N422" i="1" a="1"/>
  <c r="N422" i="1"/>
  <c r="O422" i="1" a="1"/>
  <c r="O422" i="1"/>
  <c r="P422" i="1" a="1"/>
  <c r="P422" i="1"/>
  <c r="Q422" i="1" a="1"/>
  <c r="Q422" i="1"/>
  <c r="R422" i="1" a="1"/>
  <c r="R422" i="1"/>
  <c r="S422" i="1" a="1"/>
  <c r="S422" i="1"/>
  <c r="N423" i="1" a="1"/>
  <c r="N423" i="1"/>
  <c r="O423" i="1" a="1"/>
  <c r="O423" i="1"/>
  <c r="P423" i="1" a="1"/>
  <c r="P423" i="1"/>
  <c r="Q423" i="1" a="1"/>
  <c r="Q423" i="1"/>
  <c r="R423" i="1" a="1"/>
  <c r="R423" i="1"/>
  <c r="S423" i="1" a="1"/>
  <c r="S423" i="1"/>
  <c r="N424" i="1" a="1"/>
  <c r="N424" i="1"/>
  <c r="O424" i="1" a="1"/>
  <c r="O424" i="1"/>
  <c r="P424" i="1" a="1"/>
  <c r="P424" i="1"/>
  <c r="Q424" i="1" a="1"/>
  <c r="Q424" i="1"/>
  <c r="R424" i="1" a="1"/>
  <c r="R424" i="1"/>
  <c r="S424" i="1" a="1"/>
  <c r="S424" i="1"/>
  <c r="N425" i="1" a="1"/>
  <c r="N425" i="1"/>
  <c r="O425" i="1" a="1"/>
  <c r="O425" i="1"/>
  <c r="P425" i="1" a="1"/>
  <c r="P425" i="1"/>
  <c r="Q425" i="1" a="1"/>
  <c r="Q425" i="1"/>
  <c r="R425" i="1" a="1"/>
  <c r="R425" i="1"/>
  <c r="S425" i="1" a="1"/>
  <c r="S425" i="1"/>
  <c r="N426" i="1" a="1"/>
  <c r="N426" i="1"/>
  <c r="O426" i="1" a="1"/>
  <c r="O426" i="1"/>
  <c r="P426" i="1" a="1"/>
  <c r="P426" i="1" s="1"/>
  <c r="Q426" i="1" a="1"/>
  <c r="Q426" i="1" s="1"/>
  <c r="R426" i="1" a="1"/>
  <c r="R426" i="1" s="1"/>
  <c r="S426" i="1" a="1"/>
  <c r="S426" i="1" s="1"/>
  <c r="N427" i="1" a="1"/>
  <c r="N427" i="1" s="1"/>
  <c r="O427" i="1" a="1"/>
  <c r="O427" i="1" s="1"/>
  <c r="P427" i="1" a="1"/>
  <c r="P427" i="1" s="1"/>
  <c r="Q427" i="1" a="1"/>
  <c r="Q427" i="1" s="1"/>
  <c r="R427" i="1" a="1"/>
  <c r="R427" i="1" s="1"/>
  <c r="S427" i="1" a="1"/>
  <c r="S427" i="1" s="1"/>
  <c r="N428" i="1" a="1"/>
  <c r="N428" i="1" s="1"/>
  <c r="O428" i="1" a="1"/>
  <c r="O428" i="1" s="1"/>
  <c r="P428" i="1" a="1"/>
  <c r="P428" i="1" s="1"/>
  <c r="Q428" i="1" a="1"/>
  <c r="Q428" i="1" s="1"/>
  <c r="R428" i="1" a="1"/>
  <c r="R428" i="1" s="1"/>
  <c r="S428" i="1" a="1"/>
  <c r="S428" i="1" s="1"/>
  <c r="N429" i="1" a="1"/>
  <c r="N429" i="1" s="1"/>
  <c r="O429" i="1" a="1"/>
  <c r="O429" i="1" s="1"/>
  <c r="P429" i="1" a="1"/>
  <c r="P429" i="1" s="1"/>
  <c r="Q429" i="1" a="1"/>
  <c r="Q429" i="1" s="1"/>
  <c r="R429" i="1" a="1"/>
  <c r="R429" i="1" s="1"/>
  <c r="S429" i="1" a="1"/>
  <c r="S429" i="1" s="1"/>
  <c r="N430" i="1" a="1"/>
  <c r="N430" i="1" s="1"/>
  <c r="O430" i="1" a="1"/>
  <c r="O430" i="1" s="1"/>
  <c r="P430" i="1" a="1"/>
  <c r="P430" i="1" s="1"/>
  <c r="Q430" i="1" a="1"/>
  <c r="Q430" i="1" s="1"/>
  <c r="R430" i="1" a="1"/>
  <c r="R430" i="1" s="1"/>
  <c r="S430" i="1" a="1"/>
  <c r="S430" i="1" s="1"/>
  <c r="N431" i="1" a="1"/>
  <c r="N431" i="1" s="1"/>
  <c r="O431" i="1" a="1"/>
  <c r="O431" i="1" s="1"/>
  <c r="P431" i="1" a="1"/>
  <c r="P431" i="1" s="1"/>
  <c r="Q431" i="1" a="1"/>
  <c r="Q431" i="1" s="1"/>
  <c r="R431" i="1" a="1"/>
  <c r="R431" i="1" s="1"/>
  <c r="S431" i="1" a="1"/>
  <c r="S431" i="1" s="1"/>
  <c r="N432" i="1" a="1"/>
  <c r="N432" i="1" s="1"/>
  <c r="O432" i="1" a="1"/>
  <c r="O432" i="1" s="1"/>
  <c r="P432" i="1" a="1"/>
  <c r="P432" i="1" s="1"/>
  <c r="Q432" i="1" a="1"/>
  <c r="Q432" i="1" s="1"/>
  <c r="R432" i="1" a="1"/>
  <c r="R432" i="1" s="1"/>
  <c r="S432" i="1" a="1"/>
  <c r="S432" i="1" s="1"/>
  <c r="N433" i="1" a="1"/>
  <c r="N433" i="1" s="1"/>
  <c r="O433" i="1" a="1"/>
  <c r="O433" i="1" s="1"/>
  <c r="P433" i="1" a="1"/>
  <c r="P433" i="1" s="1"/>
  <c r="Q433" i="1" a="1"/>
  <c r="Q433" i="1" s="1"/>
  <c r="R433" i="1" a="1"/>
  <c r="R433" i="1" s="1"/>
  <c r="S433" i="1" a="1"/>
  <c r="S433" i="1" s="1"/>
  <c r="N434" i="1" a="1"/>
  <c r="N434" i="1" s="1"/>
  <c r="O434" i="1" a="1"/>
  <c r="O434" i="1" s="1"/>
  <c r="P434" i="1" a="1"/>
  <c r="P434" i="1" s="1"/>
  <c r="Q434" i="1" a="1"/>
  <c r="Q434" i="1" s="1"/>
  <c r="R434" i="1" a="1"/>
  <c r="R434" i="1" s="1"/>
  <c r="S434" i="1" a="1"/>
  <c r="S434" i="1" s="1"/>
  <c r="N435" i="1" a="1"/>
  <c r="N435" i="1" s="1"/>
  <c r="O435" i="1" a="1"/>
  <c r="O435" i="1" s="1"/>
  <c r="P435" i="1" a="1"/>
  <c r="P435" i="1" s="1"/>
  <c r="Q435" i="1" a="1"/>
  <c r="Q435" i="1" s="1"/>
  <c r="R435" i="1" a="1"/>
  <c r="R435" i="1" s="1"/>
  <c r="S435" i="1" a="1"/>
  <c r="S435" i="1" s="1"/>
  <c r="N436" i="1" a="1"/>
  <c r="N436" i="1" s="1"/>
  <c r="O436" i="1" a="1"/>
  <c r="O436" i="1" s="1"/>
  <c r="P436" i="1" a="1"/>
  <c r="P436" i="1" s="1"/>
  <c r="Q436" i="1" a="1"/>
  <c r="Q436" i="1" s="1"/>
  <c r="R436" i="1" a="1"/>
  <c r="R436" i="1" s="1"/>
  <c r="S436" i="1" a="1"/>
  <c r="S436" i="1" s="1"/>
  <c r="N437" i="1" a="1"/>
  <c r="N437" i="1" s="1"/>
  <c r="O437" i="1" a="1"/>
  <c r="O437" i="1" s="1"/>
  <c r="P437" i="1" a="1"/>
  <c r="P437" i="1" s="1"/>
  <c r="Q437" i="1" a="1"/>
  <c r="Q437" i="1" s="1"/>
  <c r="R437" i="1" a="1"/>
  <c r="R437" i="1" s="1"/>
  <c r="S437" i="1" a="1"/>
  <c r="S437" i="1" s="1"/>
  <c r="N438" i="1" a="1"/>
  <c r="N438" i="1" s="1"/>
  <c r="O438" i="1" a="1"/>
  <c r="O438" i="1" s="1"/>
  <c r="P438" i="1" a="1"/>
  <c r="P438" i="1" s="1"/>
  <c r="Q438" i="1" a="1"/>
  <c r="Q438" i="1" s="1"/>
  <c r="R438" i="1" a="1"/>
  <c r="R438" i="1" s="1"/>
  <c r="S438" i="1" a="1"/>
  <c r="S438" i="1" s="1"/>
  <c r="N439" i="1" a="1"/>
  <c r="N439" i="1" s="1"/>
  <c r="O439" i="1" a="1"/>
  <c r="O439" i="1" s="1"/>
  <c r="P439" i="1" a="1"/>
  <c r="P439" i="1" s="1"/>
  <c r="Q439" i="1" a="1"/>
  <c r="Q439" i="1" s="1"/>
  <c r="R439" i="1" a="1"/>
  <c r="R439" i="1" s="1"/>
  <c r="S439" i="1" a="1"/>
  <c r="S439" i="1" s="1"/>
  <c r="N440" i="1" a="1"/>
  <c r="N440" i="1" s="1"/>
  <c r="O440" i="1" a="1"/>
  <c r="O440" i="1" s="1"/>
  <c r="P440" i="1" a="1"/>
  <c r="P440" i="1" s="1"/>
  <c r="Q440" i="1" a="1"/>
  <c r="Q440" i="1" s="1"/>
  <c r="R440" i="1" a="1"/>
  <c r="R440" i="1" s="1"/>
  <c r="S440" i="1" a="1"/>
  <c r="S440" i="1" s="1"/>
  <c r="N441" i="1" a="1"/>
  <c r="N441" i="1" s="1"/>
  <c r="O441" i="1" a="1"/>
  <c r="O441" i="1" s="1"/>
  <c r="P441" i="1" a="1"/>
  <c r="P441" i="1" s="1"/>
  <c r="Q441" i="1" a="1"/>
  <c r="Q441" i="1" s="1"/>
  <c r="R441" i="1" a="1"/>
  <c r="R441" i="1" s="1"/>
  <c r="S441" i="1" a="1"/>
  <c r="S441" i="1" s="1"/>
  <c r="N442" i="1" a="1"/>
  <c r="N442" i="1" s="1"/>
  <c r="O442" i="1" a="1"/>
  <c r="O442" i="1" s="1"/>
  <c r="P442" i="1" a="1"/>
  <c r="P442" i="1" s="1"/>
  <c r="Q442" i="1" a="1"/>
  <c r="Q442" i="1" s="1"/>
  <c r="R442" i="1" a="1"/>
  <c r="R442" i="1" s="1"/>
  <c r="S442" i="1" a="1"/>
  <c r="S442" i="1" s="1"/>
  <c r="N443" i="1" a="1"/>
  <c r="N443" i="1" s="1"/>
  <c r="O443" i="1" a="1"/>
  <c r="O443" i="1" s="1"/>
  <c r="P443" i="1" a="1"/>
  <c r="P443" i="1" s="1"/>
  <c r="Q443" i="1" a="1"/>
  <c r="Q443" i="1" s="1"/>
  <c r="R443" i="1" a="1"/>
  <c r="R443" i="1" s="1"/>
  <c r="S443" i="1" a="1"/>
  <c r="S443" i="1" s="1"/>
  <c r="N444" i="1" a="1"/>
  <c r="N444" i="1" s="1"/>
  <c r="O444" i="1" a="1"/>
  <c r="O444" i="1" s="1"/>
  <c r="P444" i="1" a="1"/>
  <c r="P444" i="1" s="1"/>
  <c r="Q444" i="1" a="1"/>
  <c r="Q444" i="1" s="1"/>
  <c r="R444" i="1" a="1"/>
  <c r="R444" i="1" s="1"/>
  <c r="S444" i="1" a="1"/>
  <c r="S444" i="1" s="1"/>
  <c r="N445" i="1" a="1"/>
  <c r="N445" i="1" s="1"/>
  <c r="O445" i="1" a="1"/>
  <c r="O445" i="1" s="1"/>
  <c r="P445" i="1" a="1"/>
  <c r="P445" i="1" s="1"/>
  <c r="Q445" i="1" a="1"/>
  <c r="Q445" i="1" s="1"/>
  <c r="R445" i="1" a="1"/>
  <c r="R445" i="1" s="1"/>
  <c r="S445" i="1" a="1"/>
  <c r="S445" i="1" s="1"/>
  <c r="N446" i="1" a="1"/>
  <c r="N446" i="1" s="1"/>
  <c r="O446" i="1" a="1"/>
  <c r="O446" i="1" s="1"/>
  <c r="P446" i="1" a="1"/>
  <c r="P446" i="1" s="1"/>
  <c r="Q446" i="1" a="1"/>
  <c r="Q446" i="1" s="1"/>
  <c r="R446" i="1" a="1"/>
  <c r="R446" i="1" s="1"/>
  <c r="S446" i="1" a="1"/>
  <c r="S446" i="1" s="1"/>
  <c r="N447" i="1" a="1"/>
  <c r="N447" i="1" s="1"/>
  <c r="O447" i="1" a="1"/>
  <c r="O447" i="1" s="1"/>
  <c r="P447" i="1" a="1"/>
  <c r="P447" i="1" s="1"/>
  <c r="Q447" i="1" a="1"/>
  <c r="Q447" i="1" s="1"/>
  <c r="R447" i="1" a="1"/>
  <c r="R447" i="1" s="1"/>
  <c r="S447" i="1" a="1"/>
  <c r="S447" i="1" s="1"/>
  <c r="N448" i="1" a="1"/>
  <c r="N448" i="1" s="1"/>
  <c r="O448" i="1" a="1"/>
  <c r="O448" i="1" s="1"/>
  <c r="P448" i="1" a="1"/>
  <c r="P448" i="1" s="1"/>
  <c r="Q448" i="1" a="1"/>
  <c r="Q448" i="1" s="1"/>
  <c r="R448" i="1" a="1"/>
  <c r="R448" i="1" s="1"/>
  <c r="S448" i="1" a="1"/>
  <c r="S448" i="1" s="1"/>
  <c r="N449" i="1" a="1"/>
  <c r="N449" i="1" s="1"/>
  <c r="O449" i="1" a="1"/>
  <c r="O449" i="1" s="1"/>
  <c r="P449" i="1" a="1"/>
  <c r="P449" i="1" s="1"/>
  <c r="Q449" i="1" a="1"/>
  <c r="Q449" i="1" s="1"/>
  <c r="R449" i="1" a="1"/>
  <c r="R449" i="1" s="1"/>
  <c r="S449" i="1" a="1"/>
  <c r="S449" i="1" s="1"/>
  <c r="N450" i="1" a="1"/>
  <c r="N450" i="1" s="1"/>
  <c r="O450" i="1" a="1"/>
  <c r="O450" i="1" s="1"/>
  <c r="P450" i="1" a="1"/>
  <c r="P450" i="1" s="1"/>
  <c r="Q450" i="1" a="1"/>
  <c r="Q450" i="1" s="1"/>
  <c r="R450" i="1" a="1"/>
  <c r="R450" i="1" s="1"/>
  <c r="S450" i="1" a="1"/>
  <c r="S450" i="1" s="1"/>
  <c r="N451" i="1" a="1"/>
  <c r="N451" i="1" s="1"/>
  <c r="O451" i="1" a="1"/>
  <c r="O451" i="1" s="1"/>
  <c r="P451" i="1" a="1"/>
  <c r="P451" i="1" s="1"/>
  <c r="Q451" i="1" a="1"/>
  <c r="Q451" i="1" s="1"/>
  <c r="R451" i="1" a="1"/>
  <c r="R451" i="1" s="1"/>
  <c r="S451" i="1" a="1"/>
  <c r="S451" i="1" s="1"/>
  <c r="N452" i="1" a="1"/>
  <c r="N452" i="1" s="1"/>
  <c r="O452" i="1" a="1"/>
  <c r="O452" i="1" s="1"/>
  <c r="P452" i="1" a="1"/>
  <c r="P452" i="1" s="1"/>
  <c r="Q452" i="1" a="1"/>
  <c r="Q452" i="1" s="1"/>
  <c r="R452" i="1" a="1"/>
  <c r="R452" i="1" s="1"/>
  <c r="S452" i="1" a="1"/>
  <c r="S452" i="1" s="1"/>
  <c r="N453" i="1" a="1"/>
  <c r="N453" i="1" s="1"/>
  <c r="O453" i="1" a="1"/>
  <c r="O453" i="1" s="1"/>
  <c r="P453" i="1" a="1"/>
  <c r="P453" i="1" s="1"/>
  <c r="Q453" i="1" a="1"/>
  <c r="Q453" i="1" s="1"/>
  <c r="R453" i="1" a="1"/>
  <c r="R453" i="1" s="1"/>
  <c r="S453" i="1" a="1"/>
  <c r="S453" i="1" s="1"/>
  <c r="N454" i="1" a="1"/>
  <c r="N454" i="1" s="1"/>
  <c r="O454" i="1" a="1"/>
  <c r="O454" i="1" s="1"/>
  <c r="P454" i="1" a="1"/>
  <c r="P454" i="1" s="1"/>
  <c r="Q454" i="1" a="1"/>
  <c r="Q454" i="1" s="1"/>
  <c r="R454" i="1" a="1"/>
  <c r="R454" i="1" s="1"/>
  <c r="S454" i="1" a="1"/>
  <c r="S454" i="1" s="1"/>
  <c r="N455" i="1" a="1"/>
  <c r="N455" i="1" s="1"/>
  <c r="O455" i="1" a="1"/>
  <c r="O455" i="1" s="1"/>
  <c r="P455" i="1" a="1"/>
  <c r="P455" i="1" s="1"/>
  <c r="Q455" i="1" a="1"/>
  <c r="Q455" i="1" s="1"/>
  <c r="R455" i="1" a="1"/>
  <c r="R455" i="1" s="1"/>
  <c r="S455" i="1" a="1"/>
  <c r="S455" i="1" s="1"/>
  <c r="N456" i="1" a="1"/>
  <c r="N456" i="1" s="1"/>
  <c r="O456" i="1" a="1"/>
  <c r="O456" i="1" s="1"/>
  <c r="P456" i="1" a="1"/>
  <c r="P456" i="1" s="1"/>
  <c r="Q456" i="1" a="1"/>
  <c r="Q456" i="1" s="1"/>
  <c r="R456" i="1" a="1"/>
  <c r="R456" i="1" s="1"/>
  <c r="S456" i="1" a="1"/>
  <c r="S456" i="1" s="1"/>
  <c r="N457" i="1" a="1"/>
  <c r="N457" i="1" s="1"/>
  <c r="O457" i="1" a="1"/>
  <c r="O457" i="1" s="1"/>
  <c r="P457" i="1" a="1"/>
  <c r="P457" i="1" s="1"/>
  <c r="Q457" i="1" a="1"/>
  <c r="Q457" i="1" s="1"/>
  <c r="R457" i="1" a="1"/>
  <c r="R457" i="1" s="1"/>
  <c r="S457" i="1" a="1"/>
  <c r="S457" i="1" s="1"/>
  <c r="N458" i="1" a="1"/>
  <c r="N458" i="1" s="1"/>
  <c r="O458" i="1" a="1"/>
  <c r="O458" i="1" s="1"/>
  <c r="P458" i="1" a="1"/>
  <c r="P458" i="1" s="1"/>
  <c r="Q458" i="1" a="1"/>
  <c r="Q458" i="1" s="1"/>
  <c r="R458" i="1" a="1"/>
  <c r="R458" i="1" s="1"/>
  <c r="S458" i="1" a="1"/>
  <c r="S458" i="1" s="1"/>
  <c r="N459" i="1" a="1"/>
  <c r="N459" i="1" s="1"/>
  <c r="O459" i="1" a="1"/>
  <c r="O459" i="1" s="1"/>
  <c r="P459" i="1" a="1"/>
  <c r="P459" i="1" s="1"/>
  <c r="Q459" i="1" a="1"/>
  <c r="Q459" i="1" s="1"/>
  <c r="R459" i="1" a="1"/>
  <c r="R459" i="1" s="1"/>
  <c r="S459" i="1" a="1"/>
  <c r="S459" i="1" s="1"/>
  <c r="N460" i="1" a="1"/>
  <c r="N460" i="1" s="1"/>
  <c r="O460" i="1" a="1"/>
  <c r="O460" i="1" s="1"/>
  <c r="P460" i="1" a="1"/>
  <c r="P460" i="1" s="1"/>
  <c r="Q460" i="1" a="1"/>
  <c r="Q460" i="1" s="1"/>
  <c r="R460" i="1" a="1"/>
  <c r="R460" i="1" s="1"/>
  <c r="S460" i="1" a="1"/>
  <c r="S460" i="1" s="1"/>
  <c r="N461" i="1" a="1"/>
  <c r="N461" i="1" s="1"/>
  <c r="O461" i="1" a="1"/>
  <c r="O461" i="1" s="1"/>
  <c r="P461" i="1" a="1"/>
  <c r="P461" i="1" s="1"/>
  <c r="Q461" i="1" a="1"/>
  <c r="Q461" i="1" s="1"/>
  <c r="R461" i="1" a="1"/>
  <c r="R461" i="1" s="1"/>
  <c r="S461" i="1" a="1"/>
  <c r="S461" i="1" s="1"/>
  <c r="N462" i="1" a="1"/>
  <c r="N462" i="1" s="1"/>
  <c r="O462" i="1" a="1"/>
  <c r="O462" i="1" s="1"/>
  <c r="P462" i="1" a="1"/>
  <c r="P462" i="1" s="1"/>
  <c r="Q462" i="1" a="1"/>
  <c r="Q462" i="1" s="1"/>
  <c r="R462" i="1" a="1"/>
  <c r="R462" i="1" s="1"/>
  <c r="S462" i="1" a="1"/>
  <c r="S462" i="1" s="1"/>
  <c r="N463" i="1" a="1"/>
  <c r="N463" i="1" s="1"/>
  <c r="O463" i="1" a="1"/>
  <c r="O463" i="1" s="1"/>
  <c r="P463" i="1" a="1"/>
  <c r="P463" i="1" s="1"/>
  <c r="Q463" i="1" a="1"/>
  <c r="Q463" i="1" s="1"/>
  <c r="R463" i="1" a="1"/>
  <c r="R463" i="1" s="1"/>
  <c r="S463" i="1" a="1"/>
  <c r="S463" i="1" s="1"/>
  <c r="N464" i="1" a="1"/>
  <c r="N464" i="1" s="1"/>
  <c r="O464" i="1" a="1"/>
  <c r="O464" i="1" s="1"/>
  <c r="P464" i="1" a="1"/>
  <c r="P464" i="1" s="1"/>
  <c r="Q464" i="1" a="1"/>
  <c r="Q464" i="1" s="1"/>
  <c r="R464" i="1" a="1"/>
  <c r="R464" i="1" s="1"/>
  <c r="S464" i="1" a="1"/>
  <c r="S464" i="1" s="1"/>
  <c r="N465" i="1" a="1"/>
  <c r="N465" i="1" s="1"/>
  <c r="O465" i="1" a="1"/>
  <c r="O465" i="1" s="1"/>
  <c r="P465" i="1" a="1"/>
  <c r="P465" i="1" s="1"/>
  <c r="Q465" i="1" a="1"/>
  <c r="Q465" i="1" s="1"/>
  <c r="R465" i="1" a="1"/>
  <c r="R465" i="1" s="1"/>
  <c r="S465" i="1" a="1"/>
  <c r="S465" i="1" s="1"/>
  <c r="N466" i="1" a="1"/>
  <c r="N466" i="1" s="1"/>
  <c r="O466" i="1" a="1"/>
  <c r="O466" i="1" s="1"/>
  <c r="P466" i="1" a="1"/>
  <c r="P466" i="1" s="1"/>
  <c r="Q466" i="1" a="1"/>
  <c r="Q466" i="1" s="1"/>
  <c r="R466" i="1" a="1"/>
  <c r="R466" i="1" s="1"/>
  <c r="S466" i="1" a="1"/>
  <c r="S466" i="1" s="1"/>
  <c r="N467" i="1" a="1"/>
  <c r="N467" i="1" s="1"/>
  <c r="O467" i="1" a="1"/>
  <c r="O467" i="1" s="1"/>
  <c r="P467" i="1" a="1"/>
  <c r="P467" i="1" s="1"/>
  <c r="Q467" i="1" a="1"/>
  <c r="Q467" i="1" s="1"/>
  <c r="R467" i="1" a="1"/>
  <c r="R467" i="1" s="1"/>
  <c r="S467" i="1" a="1"/>
  <c r="S467" i="1" s="1"/>
  <c r="N468" i="1" a="1"/>
  <c r="N468" i="1" s="1"/>
  <c r="O468" i="1" a="1"/>
  <c r="O468" i="1" s="1"/>
  <c r="P468" i="1" a="1"/>
  <c r="P468" i="1" s="1"/>
  <c r="Q468" i="1" a="1"/>
  <c r="Q468" i="1" s="1"/>
  <c r="R468" i="1" a="1"/>
  <c r="R468" i="1" s="1"/>
  <c r="S468" i="1" a="1"/>
  <c r="S468" i="1" s="1"/>
  <c r="N469" i="1" a="1"/>
  <c r="N469" i="1" s="1"/>
  <c r="O469" i="1" a="1"/>
  <c r="O469" i="1" s="1"/>
  <c r="P469" i="1" a="1"/>
  <c r="P469" i="1" s="1"/>
  <c r="Q469" i="1" a="1"/>
  <c r="Q469" i="1" s="1"/>
  <c r="R469" i="1" a="1"/>
  <c r="R469" i="1" s="1"/>
  <c r="S469" i="1" a="1"/>
  <c r="S469" i="1" s="1"/>
  <c r="N470" i="1" a="1"/>
  <c r="N470" i="1" s="1"/>
  <c r="O470" i="1" a="1"/>
  <c r="O470" i="1" s="1"/>
  <c r="P470" i="1" a="1"/>
  <c r="P470" i="1" s="1"/>
  <c r="Q470" i="1" a="1"/>
  <c r="Q470" i="1" s="1"/>
  <c r="R470" i="1" a="1"/>
  <c r="R470" i="1" s="1"/>
  <c r="S470" i="1" a="1"/>
  <c r="S470" i="1" s="1"/>
  <c r="N471" i="1" a="1"/>
  <c r="N471" i="1" s="1"/>
  <c r="O471" i="1" a="1"/>
  <c r="O471" i="1" s="1"/>
  <c r="P471" i="1" a="1"/>
  <c r="P471" i="1" s="1"/>
  <c r="Q471" i="1" a="1"/>
  <c r="Q471" i="1" s="1"/>
  <c r="R471" i="1" a="1"/>
  <c r="R471" i="1" s="1"/>
  <c r="S471" i="1" a="1"/>
  <c r="S471" i="1" s="1"/>
  <c r="N472" i="1" a="1"/>
  <c r="N472" i="1" s="1"/>
  <c r="O472" i="1" a="1"/>
  <c r="O472" i="1" s="1"/>
  <c r="P472" i="1" a="1"/>
  <c r="P472" i="1" s="1"/>
  <c r="Q472" i="1" a="1"/>
  <c r="Q472" i="1" s="1"/>
  <c r="R472" i="1" a="1"/>
  <c r="R472" i="1" s="1"/>
  <c r="S472" i="1" a="1"/>
  <c r="S472" i="1" s="1"/>
  <c r="N473" i="1" a="1"/>
  <c r="N473" i="1" s="1"/>
  <c r="O473" i="1" a="1"/>
  <c r="O473" i="1" s="1"/>
  <c r="P473" i="1" a="1"/>
  <c r="P473" i="1" s="1"/>
  <c r="Q473" i="1" a="1"/>
  <c r="Q473" i="1" s="1"/>
  <c r="R473" i="1" a="1"/>
  <c r="R473" i="1" s="1"/>
  <c r="S473" i="1" a="1"/>
  <c r="S473" i="1" s="1"/>
  <c r="N474" i="1" a="1"/>
  <c r="N474" i="1" s="1"/>
  <c r="O474" i="1" a="1"/>
  <c r="O474" i="1" s="1"/>
  <c r="P474" i="1" a="1"/>
  <c r="P474" i="1" s="1"/>
  <c r="Q474" i="1" a="1"/>
  <c r="Q474" i="1" s="1"/>
  <c r="R474" i="1" a="1"/>
  <c r="R474" i="1" s="1"/>
  <c r="S474" i="1" a="1"/>
  <c r="S474" i="1" s="1"/>
  <c r="N475" i="1" a="1"/>
  <c r="N475" i="1" s="1"/>
  <c r="O475" i="1" a="1"/>
  <c r="O475" i="1" s="1"/>
  <c r="P475" i="1" a="1"/>
  <c r="P475" i="1" s="1"/>
  <c r="Q475" i="1" a="1"/>
  <c r="Q475" i="1" s="1"/>
  <c r="R475" i="1" a="1"/>
  <c r="R475" i="1" s="1"/>
  <c r="S475" i="1" a="1"/>
  <c r="S475" i="1" s="1"/>
  <c r="N476" i="1" a="1"/>
  <c r="N476" i="1" s="1"/>
  <c r="O476" i="1" a="1"/>
  <c r="O476" i="1" s="1"/>
  <c r="P476" i="1" a="1"/>
  <c r="P476" i="1" s="1"/>
  <c r="Q476" i="1" a="1"/>
  <c r="Q476" i="1" s="1"/>
  <c r="R476" i="1" a="1"/>
  <c r="R476" i="1" s="1"/>
  <c r="S476" i="1" a="1"/>
  <c r="S476" i="1" s="1"/>
  <c r="N477" i="1" a="1"/>
  <c r="N477" i="1" s="1"/>
  <c r="O477" i="1" a="1"/>
  <c r="O477" i="1" s="1"/>
  <c r="P477" i="1" a="1"/>
  <c r="P477" i="1" s="1"/>
  <c r="Q477" i="1" a="1"/>
  <c r="Q477" i="1" s="1"/>
  <c r="R477" i="1" a="1"/>
  <c r="R477" i="1" s="1"/>
  <c r="S477" i="1" a="1"/>
  <c r="S477" i="1" s="1"/>
  <c r="N478" i="1" a="1"/>
  <c r="N478" i="1" s="1"/>
  <c r="O478" i="1" a="1"/>
  <c r="O478" i="1" s="1"/>
  <c r="P478" i="1" a="1"/>
  <c r="P478" i="1" s="1"/>
  <c r="Q478" i="1" a="1"/>
  <c r="Q478" i="1" s="1"/>
  <c r="R478" i="1" a="1"/>
  <c r="R478" i="1" s="1"/>
  <c r="S478" i="1" a="1"/>
  <c r="S478" i="1" s="1"/>
  <c r="N479" i="1" a="1"/>
  <c r="N479" i="1" s="1"/>
  <c r="O479" i="1" a="1"/>
  <c r="O479" i="1" s="1"/>
  <c r="P479" i="1" a="1"/>
  <c r="P479" i="1" s="1"/>
  <c r="Q479" i="1" a="1"/>
  <c r="Q479" i="1" s="1"/>
  <c r="R479" i="1" a="1"/>
  <c r="R479" i="1" s="1"/>
  <c r="S479" i="1" a="1"/>
  <c r="S479" i="1" s="1"/>
  <c r="N480" i="1" a="1"/>
  <c r="N480" i="1" s="1"/>
  <c r="O480" i="1" a="1"/>
  <c r="O480" i="1" s="1"/>
  <c r="P480" i="1" a="1"/>
  <c r="P480" i="1" s="1"/>
  <c r="Q480" i="1" a="1"/>
  <c r="Q480" i="1" s="1"/>
  <c r="R480" i="1" a="1"/>
  <c r="R480" i="1" s="1"/>
  <c r="S480" i="1" a="1"/>
  <c r="S480" i="1" s="1"/>
  <c r="N481" i="1" a="1"/>
  <c r="N481" i="1" s="1"/>
  <c r="O481" i="1" a="1"/>
  <c r="O481" i="1" s="1"/>
  <c r="P481" i="1" a="1"/>
  <c r="P481" i="1" s="1"/>
  <c r="Q481" i="1" a="1"/>
  <c r="Q481" i="1" s="1"/>
  <c r="R481" i="1" a="1"/>
  <c r="R481" i="1" s="1"/>
  <c r="S481" i="1" a="1"/>
  <c r="S481" i="1" s="1"/>
  <c r="N482" i="1" a="1"/>
  <c r="N482" i="1" s="1"/>
  <c r="O482" i="1" a="1"/>
  <c r="O482" i="1" s="1"/>
  <c r="P482" i="1" a="1"/>
  <c r="P482" i="1" s="1"/>
  <c r="Q482" i="1" a="1"/>
  <c r="Q482" i="1" s="1"/>
  <c r="R482" i="1" a="1"/>
  <c r="R482" i="1" s="1"/>
  <c r="S482" i="1" a="1"/>
  <c r="S482" i="1" s="1"/>
  <c r="N483" i="1" a="1"/>
  <c r="N483" i="1" s="1"/>
  <c r="O483" i="1" a="1"/>
  <c r="O483" i="1" s="1"/>
  <c r="P483" i="1" a="1"/>
  <c r="P483" i="1" s="1"/>
  <c r="Q483" i="1" a="1"/>
  <c r="Q483" i="1" s="1"/>
  <c r="R483" i="1" a="1"/>
  <c r="R483" i="1" s="1"/>
  <c r="S483" i="1" a="1"/>
  <c r="S483" i="1" s="1"/>
  <c r="N484" i="1" a="1"/>
  <c r="N484" i="1" s="1"/>
  <c r="O484" i="1" a="1"/>
  <c r="O484" i="1" s="1"/>
  <c r="P484" i="1" a="1"/>
  <c r="P484" i="1" s="1"/>
  <c r="Q484" i="1" a="1"/>
  <c r="Q484" i="1" s="1"/>
  <c r="R484" i="1" a="1"/>
  <c r="R484" i="1" s="1"/>
  <c r="S484" i="1" a="1"/>
  <c r="S484" i="1" s="1"/>
  <c r="N485" i="1" a="1"/>
  <c r="N485" i="1" s="1"/>
  <c r="O485" i="1" a="1"/>
  <c r="O485" i="1" s="1"/>
  <c r="P485" i="1" a="1"/>
  <c r="P485" i="1" s="1"/>
  <c r="Q485" i="1" a="1"/>
  <c r="Q485" i="1" s="1"/>
  <c r="R485" i="1" a="1"/>
  <c r="R485" i="1" s="1"/>
  <c r="S485" i="1" a="1"/>
  <c r="S485" i="1" s="1"/>
  <c r="N486" i="1" a="1"/>
  <c r="N486" i="1" s="1"/>
  <c r="O486" i="1" a="1"/>
  <c r="O486" i="1" s="1"/>
  <c r="P486" i="1" a="1"/>
  <c r="P486" i="1" s="1"/>
  <c r="Q486" i="1" a="1"/>
  <c r="Q486" i="1" s="1"/>
  <c r="R486" i="1" a="1"/>
  <c r="R486" i="1" s="1"/>
  <c r="S486" i="1" a="1"/>
  <c r="S486" i="1" s="1"/>
  <c r="N487" i="1" a="1"/>
  <c r="N487" i="1" s="1"/>
  <c r="O487" i="1" a="1"/>
  <c r="O487" i="1" s="1"/>
  <c r="P487" i="1" a="1"/>
  <c r="P487" i="1" s="1"/>
  <c r="Q487" i="1" a="1"/>
  <c r="Q487" i="1" s="1"/>
  <c r="R487" i="1" a="1"/>
  <c r="R487" i="1" s="1"/>
  <c r="S487" i="1" a="1"/>
  <c r="S487" i="1" s="1"/>
  <c r="N488" i="1" a="1"/>
  <c r="N488" i="1" s="1"/>
  <c r="O488" i="1" a="1"/>
  <c r="O488" i="1" s="1"/>
  <c r="P488" i="1" a="1"/>
  <c r="P488" i="1" s="1"/>
  <c r="Q488" i="1" a="1"/>
  <c r="Q488" i="1" s="1"/>
  <c r="R488" i="1" a="1"/>
  <c r="R488" i="1" s="1"/>
  <c r="S488" i="1" a="1"/>
  <c r="S488" i="1" s="1"/>
  <c r="N489" i="1" a="1"/>
  <c r="N489" i="1" s="1"/>
  <c r="O489" i="1" a="1"/>
  <c r="O489" i="1" s="1"/>
  <c r="P489" i="1" a="1"/>
  <c r="P489" i="1" s="1"/>
  <c r="Q489" i="1" a="1"/>
  <c r="Q489" i="1" s="1"/>
  <c r="R489" i="1" a="1"/>
  <c r="R489" i="1" s="1"/>
  <c r="S489" i="1" a="1"/>
  <c r="S489" i="1" s="1"/>
  <c r="N490" i="1" a="1"/>
  <c r="N490" i="1" s="1"/>
  <c r="O490" i="1" a="1"/>
  <c r="O490" i="1" s="1"/>
  <c r="P490" i="1" a="1"/>
  <c r="P490" i="1" s="1"/>
  <c r="Q490" i="1" a="1"/>
  <c r="Q490" i="1" s="1"/>
  <c r="R490" i="1" a="1"/>
  <c r="R490" i="1" s="1"/>
  <c r="S490" i="1" a="1"/>
  <c r="S490" i="1" s="1"/>
  <c r="N491" i="1" a="1"/>
  <c r="N491" i="1" s="1"/>
  <c r="O491" i="1" a="1"/>
  <c r="O491" i="1" s="1"/>
  <c r="P491" i="1" a="1"/>
  <c r="P491" i="1" s="1"/>
  <c r="Q491" i="1" a="1"/>
  <c r="Q491" i="1" s="1"/>
  <c r="R491" i="1" a="1"/>
  <c r="R491" i="1" s="1"/>
  <c r="S491" i="1" a="1"/>
  <c r="S491" i="1" s="1"/>
  <c r="N492" i="1" a="1"/>
  <c r="N492" i="1" s="1"/>
  <c r="O492" i="1" a="1"/>
  <c r="O492" i="1" s="1"/>
  <c r="P492" i="1" a="1"/>
  <c r="P492" i="1" s="1"/>
  <c r="Q492" i="1" a="1"/>
  <c r="Q492" i="1" s="1"/>
  <c r="R492" i="1" a="1"/>
  <c r="R492" i="1" s="1"/>
  <c r="S492" i="1" a="1"/>
  <c r="S492" i="1" s="1"/>
  <c r="N493" i="1" a="1"/>
  <c r="N493" i="1" s="1"/>
  <c r="O493" i="1" a="1"/>
  <c r="O493" i="1" s="1"/>
  <c r="P493" i="1" a="1"/>
  <c r="P493" i="1" s="1"/>
  <c r="Q493" i="1" a="1"/>
  <c r="Q493" i="1" s="1"/>
  <c r="R493" i="1" a="1"/>
  <c r="R493" i="1" s="1"/>
  <c r="S493" i="1" a="1"/>
  <c r="S493" i="1" s="1"/>
  <c r="N494" i="1" a="1"/>
  <c r="N494" i="1" s="1"/>
  <c r="O494" i="1" a="1"/>
  <c r="O494" i="1" s="1"/>
  <c r="P494" i="1" a="1"/>
  <c r="P494" i="1" s="1"/>
  <c r="Q494" i="1" a="1"/>
  <c r="Q494" i="1" s="1"/>
  <c r="R494" i="1" a="1"/>
  <c r="R494" i="1" s="1"/>
  <c r="S494" i="1" a="1"/>
  <c r="S494" i="1" s="1"/>
  <c r="N495" i="1" a="1"/>
  <c r="N495" i="1" s="1"/>
  <c r="O495" i="1" a="1"/>
  <c r="O495" i="1" s="1"/>
  <c r="P495" i="1" a="1"/>
  <c r="P495" i="1" s="1"/>
  <c r="Q495" i="1" a="1"/>
  <c r="Q495" i="1" s="1"/>
  <c r="R495" i="1" a="1"/>
  <c r="R495" i="1" s="1"/>
  <c r="S495" i="1" a="1"/>
  <c r="S495" i="1" s="1"/>
  <c r="N496" i="1" a="1"/>
  <c r="N496" i="1" s="1"/>
  <c r="O496" i="1" a="1"/>
  <c r="O496" i="1" s="1"/>
  <c r="P496" i="1" a="1"/>
  <c r="P496" i="1" s="1"/>
  <c r="Q496" i="1" a="1"/>
  <c r="Q496" i="1" s="1"/>
  <c r="R496" i="1" a="1"/>
  <c r="R496" i="1" s="1"/>
  <c r="S496" i="1" a="1"/>
  <c r="S496" i="1" s="1"/>
  <c r="N497" i="1" a="1"/>
  <c r="N497" i="1" s="1"/>
  <c r="O497" i="1" a="1"/>
  <c r="O497" i="1" s="1"/>
  <c r="P497" i="1" a="1"/>
  <c r="P497" i="1" s="1"/>
  <c r="Q497" i="1" a="1"/>
  <c r="Q497" i="1" s="1"/>
  <c r="R497" i="1" a="1"/>
  <c r="R497" i="1" s="1"/>
  <c r="S497" i="1" a="1"/>
  <c r="S497" i="1" s="1"/>
  <c r="N498" i="1" a="1"/>
  <c r="N498" i="1" s="1"/>
  <c r="O498" i="1" a="1"/>
  <c r="O498" i="1" s="1"/>
  <c r="P498" i="1" a="1"/>
  <c r="P498" i="1" s="1"/>
  <c r="Q498" i="1" a="1"/>
  <c r="Q498" i="1" s="1"/>
  <c r="R498" i="1" a="1"/>
  <c r="R498" i="1" s="1"/>
  <c r="S498" i="1" a="1"/>
  <c r="S498" i="1" s="1"/>
  <c r="N499" i="1" a="1"/>
  <c r="N499" i="1" s="1"/>
  <c r="O499" i="1" a="1"/>
  <c r="O499" i="1" s="1"/>
  <c r="P499" i="1" a="1"/>
  <c r="P499" i="1" s="1"/>
  <c r="Q499" i="1" a="1"/>
  <c r="Q499" i="1" s="1"/>
  <c r="R499" i="1" a="1"/>
  <c r="R499" i="1" s="1"/>
  <c r="S499" i="1" a="1"/>
  <c r="S499" i="1" s="1"/>
  <c r="N500" i="1" a="1"/>
  <c r="N500" i="1" s="1"/>
  <c r="O500" i="1" a="1"/>
  <c r="O500" i="1" s="1"/>
  <c r="P500" i="1" a="1"/>
  <c r="P500" i="1" s="1"/>
  <c r="Q500" i="1" a="1"/>
  <c r="Q500" i="1" s="1"/>
  <c r="R500" i="1" a="1"/>
  <c r="R500" i="1" s="1"/>
  <c r="S500" i="1" a="1"/>
  <c r="S500" i="1" s="1"/>
  <c r="N501" i="1" a="1"/>
  <c r="N501" i="1" s="1"/>
  <c r="O501" i="1" a="1"/>
  <c r="O501" i="1" s="1"/>
  <c r="P501" i="1" a="1"/>
  <c r="P501" i="1" s="1"/>
  <c r="Q501" i="1" a="1"/>
  <c r="Q501" i="1" s="1"/>
  <c r="R501" i="1" a="1"/>
  <c r="R501" i="1" s="1"/>
  <c r="S501" i="1" a="1"/>
  <c r="S501" i="1" s="1"/>
  <c r="N502" i="1" a="1"/>
  <c r="N502" i="1" s="1"/>
  <c r="O502" i="1" a="1"/>
  <c r="O502" i="1" s="1"/>
  <c r="P502" i="1" a="1"/>
  <c r="P502" i="1" s="1"/>
  <c r="Q502" i="1" a="1"/>
  <c r="Q502" i="1" s="1"/>
  <c r="R502" i="1" a="1"/>
  <c r="R502" i="1" s="1"/>
  <c r="S502" i="1" a="1"/>
  <c r="S502" i="1" s="1"/>
  <c r="N503" i="1" a="1"/>
  <c r="N503" i="1" s="1"/>
  <c r="O503" i="1" a="1"/>
  <c r="O503" i="1" s="1"/>
  <c r="P503" i="1" a="1"/>
  <c r="P503" i="1" s="1"/>
  <c r="Q503" i="1" a="1"/>
  <c r="Q503" i="1" s="1"/>
  <c r="R503" i="1" a="1"/>
  <c r="R503" i="1" s="1"/>
  <c r="S503" i="1" a="1"/>
  <c r="S503" i="1" s="1"/>
  <c r="N504" i="1" a="1"/>
  <c r="N504" i="1" s="1"/>
  <c r="O504" i="1" a="1"/>
  <c r="O504" i="1" s="1"/>
  <c r="P504" i="1" a="1"/>
  <c r="P504" i="1" s="1"/>
  <c r="Q504" i="1" a="1"/>
  <c r="Q504" i="1" s="1"/>
  <c r="R504" i="1" a="1"/>
  <c r="R504" i="1" s="1"/>
  <c r="S504" i="1" a="1"/>
  <c r="S504" i="1" s="1"/>
  <c r="N505" i="1" a="1"/>
  <c r="N505" i="1" s="1"/>
  <c r="O505" i="1" a="1"/>
  <c r="O505" i="1" s="1"/>
  <c r="P505" i="1" a="1"/>
  <c r="P505" i="1" s="1"/>
  <c r="Q505" i="1" a="1"/>
  <c r="Q505" i="1" s="1"/>
  <c r="R505" i="1" a="1"/>
  <c r="R505" i="1" s="1"/>
  <c r="S505" i="1" a="1"/>
  <c r="S505" i="1" s="1"/>
  <c r="N506" i="1" a="1"/>
  <c r="N506" i="1" s="1"/>
  <c r="O506" i="1" a="1"/>
  <c r="O506" i="1" s="1"/>
  <c r="P506" i="1" a="1"/>
  <c r="P506" i="1" s="1"/>
  <c r="Q506" i="1" a="1"/>
  <c r="Q506" i="1" s="1"/>
  <c r="R506" i="1" a="1"/>
  <c r="R506" i="1" s="1"/>
  <c r="S506" i="1" a="1"/>
  <c r="S506" i="1" s="1"/>
  <c r="N507" i="1" a="1"/>
  <c r="N507" i="1" s="1"/>
  <c r="O507" i="1" a="1"/>
  <c r="O507" i="1" s="1"/>
  <c r="P507" i="1" a="1"/>
  <c r="P507" i="1" s="1"/>
  <c r="Q507" i="1" a="1"/>
  <c r="Q507" i="1" s="1"/>
  <c r="R507" i="1" a="1"/>
  <c r="R507" i="1" s="1"/>
  <c r="S507" i="1" a="1"/>
  <c r="S507" i="1" s="1"/>
  <c r="N508" i="1" a="1"/>
  <c r="N508" i="1" s="1"/>
  <c r="O508" i="1" a="1"/>
  <c r="O508" i="1" s="1"/>
  <c r="P508" i="1" a="1"/>
  <c r="P508" i="1" s="1"/>
  <c r="Q508" i="1" a="1"/>
  <c r="Q508" i="1" s="1"/>
  <c r="R508" i="1" a="1"/>
  <c r="R508" i="1" s="1"/>
  <c r="S508" i="1" a="1"/>
  <c r="S508" i="1" s="1"/>
  <c r="N509" i="1" a="1"/>
  <c r="N509" i="1" s="1"/>
  <c r="O509" i="1" a="1"/>
  <c r="O509" i="1" s="1"/>
  <c r="P509" i="1" a="1"/>
  <c r="P509" i="1" s="1"/>
  <c r="Q509" i="1" a="1"/>
  <c r="Q509" i="1" s="1"/>
  <c r="R509" i="1" a="1"/>
  <c r="R509" i="1" s="1"/>
  <c r="S509" i="1" a="1"/>
  <c r="S509" i="1" s="1"/>
  <c r="N510" i="1" a="1"/>
  <c r="N510" i="1" s="1"/>
  <c r="O510" i="1" a="1"/>
  <c r="O510" i="1" s="1"/>
  <c r="P510" i="1" a="1"/>
  <c r="P510" i="1" s="1"/>
  <c r="Q510" i="1" a="1"/>
  <c r="Q510" i="1" s="1"/>
  <c r="R510" i="1" a="1"/>
  <c r="R510" i="1" s="1"/>
  <c r="S510" i="1" a="1"/>
  <c r="S510" i="1" s="1"/>
  <c r="N511" i="1" a="1"/>
  <c r="N511" i="1" s="1"/>
  <c r="O511" i="1" a="1"/>
  <c r="O511" i="1" s="1"/>
  <c r="P511" i="1" a="1"/>
  <c r="P511" i="1" s="1"/>
  <c r="Q511" i="1" a="1"/>
  <c r="Q511" i="1" s="1"/>
  <c r="R511" i="1" a="1"/>
  <c r="R511" i="1" s="1"/>
  <c r="S511" i="1" a="1"/>
  <c r="S511" i="1" s="1"/>
  <c r="N512" i="1" a="1"/>
  <c r="N512" i="1" s="1"/>
  <c r="O512" i="1" a="1"/>
  <c r="O512" i="1" s="1"/>
  <c r="P512" i="1" a="1"/>
  <c r="P512" i="1" s="1"/>
  <c r="Q512" i="1" a="1"/>
  <c r="Q512" i="1" s="1"/>
  <c r="R512" i="1" a="1"/>
  <c r="R512" i="1" s="1"/>
  <c r="S512" i="1" a="1"/>
  <c r="S512" i="1" s="1"/>
  <c r="N513" i="1" a="1"/>
  <c r="N513" i="1" s="1"/>
  <c r="O513" i="1" a="1"/>
  <c r="O513" i="1" s="1"/>
  <c r="P513" i="1" a="1"/>
  <c r="P513" i="1" s="1"/>
  <c r="Q513" i="1" a="1"/>
  <c r="Q513" i="1" s="1"/>
  <c r="R513" i="1" a="1"/>
  <c r="R513" i="1" s="1"/>
  <c r="S513" i="1" a="1"/>
  <c r="S513" i="1" s="1"/>
  <c r="N514" i="1" a="1"/>
  <c r="N514" i="1" s="1"/>
  <c r="O514" i="1" a="1"/>
  <c r="O514" i="1" s="1"/>
  <c r="P514" i="1" a="1"/>
  <c r="P514" i="1" s="1"/>
  <c r="Q514" i="1" a="1"/>
  <c r="Q514" i="1" s="1"/>
  <c r="R514" i="1" a="1"/>
  <c r="R514" i="1" s="1"/>
  <c r="S514" i="1" a="1"/>
  <c r="S514" i="1" s="1"/>
  <c r="N515" i="1" a="1"/>
  <c r="N515" i="1" s="1"/>
  <c r="O515" i="1" a="1"/>
  <c r="O515" i="1" s="1"/>
  <c r="P515" i="1" a="1"/>
  <c r="P515" i="1" s="1"/>
  <c r="Q515" i="1" a="1"/>
  <c r="Q515" i="1" s="1"/>
  <c r="R515" i="1" a="1"/>
  <c r="R515" i="1" s="1"/>
  <c r="S515" i="1" a="1"/>
  <c r="S515" i="1" s="1"/>
  <c r="N516" i="1" a="1"/>
  <c r="N516" i="1" s="1"/>
  <c r="O516" i="1" a="1"/>
  <c r="O516" i="1" s="1"/>
  <c r="P516" i="1" a="1"/>
  <c r="P516" i="1" s="1"/>
  <c r="Q516" i="1" a="1"/>
  <c r="Q516" i="1" s="1"/>
  <c r="R516" i="1" a="1"/>
  <c r="R516" i="1" s="1"/>
  <c r="S516" i="1" a="1"/>
  <c r="S516" i="1" s="1"/>
  <c r="N517" i="1" a="1"/>
  <c r="N517" i="1" s="1"/>
  <c r="O517" i="1" a="1"/>
  <c r="O517" i="1" s="1"/>
  <c r="P517" i="1" a="1"/>
  <c r="P517" i="1" s="1"/>
  <c r="Q517" i="1" a="1"/>
  <c r="Q517" i="1" s="1"/>
  <c r="R517" i="1" a="1"/>
  <c r="R517" i="1" s="1"/>
  <c r="S517" i="1" a="1"/>
  <c r="S517" i="1" s="1"/>
  <c r="N518" i="1" a="1"/>
  <c r="N518" i="1" s="1"/>
  <c r="O518" i="1" a="1"/>
  <c r="O518" i="1" s="1"/>
  <c r="P518" i="1" a="1"/>
  <c r="P518" i="1" s="1"/>
  <c r="Q518" i="1" a="1"/>
  <c r="Q518" i="1" s="1"/>
  <c r="R518" i="1" a="1"/>
  <c r="R518" i="1" s="1"/>
  <c r="S518" i="1" a="1"/>
  <c r="S518" i="1" s="1"/>
  <c r="N519" i="1" a="1"/>
  <c r="N519" i="1" s="1"/>
  <c r="O519" i="1" a="1"/>
  <c r="O519" i="1" s="1"/>
  <c r="P519" i="1" a="1"/>
  <c r="P519" i="1" s="1"/>
  <c r="Q519" i="1" a="1"/>
  <c r="Q519" i="1" s="1"/>
  <c r="R519" i="1" a="1"/>
  <c r="R519" i="1" s="1"/>
  <c r="S519" i="1" a="1"/>
  <c r="S519" i="1" s="1"/>
  <c r="N520" i="1" a="1"/>
  <c r="N520" i="1" s="1"/>
  <c r="O520" i="1" a="1"/>
  <c r="O520" i="1" s="1"/>
  <c r="P520" i="1" a="1"/>
  <c r="P520" i="1" s="1"/>
  <c r="Q520" i="1" a="1"/>
  <c r="Q520" i="1" s="1"/>
  <c r="R520" i="1" a="1"/>
  <c r="R520" i="1" s="1"/>
  <c r="S520" i="1" a="1"/>
  <c r="S520" i="1" s="1"/>
  <c r="N521" i="1" a="1"/>
  <c r="N521" i="1" s="1"/>
  <c r="O521" i="1" a="1"/>
  <c r="O521" i="1" s="1"/>
  <c r="P521" i="1" a="1"/>
  <c r="P521" i="1" s="1"/>
  <c r="Q521" i="1" a="1"/>
  <c r="Q521" i="1" s="1"/>
  <c r="R521" i="1" a="1"/>
  <c r="R521" i="1" s="1"/>
  <c r="S521" i="1" a="1"/>
  <c r="S521" i="1" s="1"/>
  <c r="N522" i="1" a="1"/>
  <c r="N522" i="1" s="1"/>
  <c r="O522" i="1" a="1"/>
  <c r="O522" i="1" s="1"/>
  <c r="P522" i="1" a="1"/>
  <c r="P522" i="1" s="1"/>
  <c r="Q522" i="1" a="1"/>
  <c r="Q522" i="1" s="1"/>
  <c r="R522" i="1" a="1"/>
  <c r="R522" i="1" s="1"/>
  <c r="S522" i="1" a="1"/>
  <c r="S522" i="1" s="1"/>
  <c r="N523" i="1" a="1"/>
  <c r="N523" i="1" s="1"/>
  <c r="O523" i="1" a="1"/>
  <c r="O523" i="1" s="1"/>
  <c r="P523" i="1" a="1"/>
  <c r="P523" i="1" s="1"/>
  <c r="Q523" i="1" a="1"/>
  <c r="Q523" i="1" s="1"/>
  <c r="R523" i="1" a="1"/>
  <c r="R523" i="1" s="1"/>
  <c r="S523" i="1" a="1"/>
  <c r="S523" i="1" s="1"/>
  <c r="N524" i="1" a="1"/>
  <c r="N524" i="1" s="1"/>
  <c r="O524" i="1" a="1"/>
  <c r="O524" i="1" s="1"/>
  <c r="P524" i="1" a="1"/>
  <c r="P524" i="1" s="1"/>
  <c r="Q524" i="1" a="1"/>
  <c r="Q524" i="1" s="1"/>
  <c r="R524" i="1" a="1"/>
  <c r="R524" i="1" s="1"/>
  <c r="S524" i="1" a="1"/>
  <c r="S524" i="1" s="1"/>
  <c r="N525" i="1" a="1"/>
  <c r="N525" i="1" s="1"/>
  <c r="O525" i="1" a="1"/>
  <c r="O525" i="1" s="1"/>
  <c r="P525" i="1" a="1"/>
  <c r="P525" i="1" s="1"/>
  <c r="Q525" i="1" a="1"/>
  <c r="Q525" i="1" s="1"/>
  <c r="R525" i="1" a="1"/>
  <c r="R525" i="1" s="1"/>
  <c r="S525" i="1" a="1"/>
  <c r="S525" i="1" s="1"/>
  <c r="N526" i="1" a="1"/>
  <c r="N526" i="1" s="1"/>
  <c r="O526" i="1" a="1"/>
  <c r="O526" i="1" s="1"/>
  <c r="P526" i="1" a="1"/>
  <c r="P526" i="1" s="1"/>
  <c r="Q526" i="1" a="1"/>
  <c r="Q526" i="1" s="1"/>
  <c r="R526" i="1" a="1"/>
  <c r="R526" i="1" s="1"/>
  <c r="S526" i="1" a="1"/>
  <c r="S526" i="1" s="1"/>
  <c r="N527" i="1" a="1"/>
  <c r="N527" i="1" s="1"/>
  <c r="O527" i="1" a="1"/>
  <c r="O527" i="1" s="1"/>
  <c r="P527" i="1" a="1"/>
  <c r="P527" i="1" s="1"/>
  <c r="Q527" i="1" a="1"/>
  <c r="Q527" i="1" s="1"/>
  <c r="R527" i="1" a="1"/>
  <c r="R527" i="1" s="1"/>
  <c r="S527" i="1" a="1"/>
  <c r="S527" i="1" s="1"/>
  <c r="N528" i="1" a="1"/>
  <c r="N528" i="1" s="1"/>
  <c r="O528" i="1" a="1"/>
  <c r="O528" i="1" s="1"/>
  <c r="P528" i="1" a="1"/>
  <c r="P528" i="1" s="1"/>
  <c r="Q528" i="1" a="1"/>
  <c r="Q528" i="1" s="1"/>
  <c r="R528" i="1" a="1"/>
  <c r="R528" i="1" s="1"/>
  <c r="S528" i="1" a="1"/>
  <c r="S528" i="1" s="1"/>
  <c r="N529" i="1" a="1"/>
  <c r="N529" i="1" s="1"/>
  <c r="O529" i="1" a="1"/>
  <c r="O529" i="1" s="1"/>
  <c r="P529" i="1" a="1"/>
  <c r="P529" i="1" s="1"/>
  <c r="Q529" i="1" a="1"/>
  <c r="Q529" i="1" s="1"/>
  <c r="R529" i="1" a="1"/>
  <c r="R529" i="1" s="1"/>
  <c r="S529" i="1" a="1"/>
  <c r="S529" i="1" s="1"/>
  <c r="N530" i="1" a="1"/>
  <c r="N530" i="1" s="1"/>
  <c r="O530" i="1" a="1"/>
  <c r="O530" i="1" s="1"/>
  <c r="P530" i="1" a="1"/>
  <c r="P530" i="1" s="1"/>
  <c r="Q530" i="1" a="1"/>
  <c r="Q530" i="1" s="1"/>
  <c r="R530" i="1" a="1"/>
  <c r="R530" i="1" s="1"/>
  <c r="S530" i="1" a="1"/>
  <c r="S530" i="1" s="1"/>
  <c r="N531" i="1" a="1"/>
  <c r="N531" i="1" s="1"/>
  <c r="O531" i="1" a="1"/>
  <c r="O531" i="1" s="1"/>
  <c r="P531" i="1" a="1"/>
  <c r="P531" i="1" s="1"/>
  <c r="Q531" i="1" a="1"/>
  <c r="Q531" i="1" s="1"/>
  <c r="R531" i="1" a="1"/>
  <c r="R531" i="1" s="1"/>
  <c r="S531" i="1" a="1"/>
  <c r="S531" i="1" s="1"/>
  <c r="N532" i="1" a="1"/>
  <c r="N532" i="1" s="1"/>
  <c r="O532" i="1" a="1"/>
  <c r="O532" i="1" s="1"/>
  <c r="P532" i="1" a="1"/>
  <c r="P532" i="1" s="1"/>
  <c r="Q532" i="1" a="1"/>
  <c r="Q532" i="1" s="1"/>
  <c r="R532" i="1" a="1"/>
  <c r="R532" i="1" s="1"/>
  <c r="S532" i="1" a="1"/>
  <c r="S532" i="1" s="1"/>
  <c r="N533" i="1" a="1"/>
  <c r="N533" i="1" s="1"/>
  <c r="O533" i="1" a="1"/>
  <c r="O533" i="1" s="1"/>
  <c r="P533" i="1" a="1"/>
  <c r="P533" i="1" s="1"/>
  <c r="Q533" i="1" a="1"/>
  <c r="Q533" i="1" s="1"/>
  <c r="R533" i="1" a="1"/>
  <c r="R533" i="1" s="1"/>
  <c r="S533" i="1" a="1"/>
  <c r="S533" i="1" s="1"/>
  <c r="N534" i="1" a="1"/>
  <c r="N534" i="1" s="1"/>
  <c r="O534" i="1" a="1"/>
  <c r="O534" i="1" s="1"/>
  <c r="P534" i="1" a="1"/>
  <c r="P534" i="1" s="1"/>
  <c r="Q534" i="1" a="1"/>
  <c r="Q534" i="1" s="1"/>
  <c r="R534" i="1" a="1"/>
  <c r="R534" i="1" s="1"/>
  <c r="S534" i="1" a="1"/>
  <c r="S534" i="1" s="1"/>
  <c r="N535" i="1" a="1"/>
  <c r="N535" i="1" s="1"/>
  <c r="O535" i="1" a="1"/>
  <c r="O535" i="1" s="1"/>
  <c r="P535" i="1" a="1"/>
  <c r="P535" i="1" s="1"/>
  <c r="Q535" i="1" a="1"/>
  <c r="Q535" i="1" s="1"/>
  <c r="R535" i="1" a="1"/>
  <c r="R535" i="1" s="1"/>
  <c r="S535" i="1" a="1"/>
  <c r="S535" i="1" s="1"/>
  <c r="N536" i="1" a="1"/>
  <c r="N536" i="1" s="1"/>
  <c r="O536" i="1" a="1"/>
  <c r="O536" i="1" s="1"/>
  <c r="P536" i="1" a="1"/>
  <c r="P536" i="1" s="1"/>
  <c r="Q536" i="1" a="1"/>
  <c r="Q536" i="1" s="1"/>
  <c r="R536" i="1" a="1"/>
  <c r="R536" i="1" s="1"/>
  <c r="S536" i="1" a="1"/>
  <c r="S536" i="1" s="1"/>
  <c r="N537" i="1" a="1"/>
  <c r="N537" i="1" s="1"/>
  <c r="O537" i="1" a="1"/>
  <c r="O537" i="1" s="1"/>
  <c r="P537" i="1" a="1"/>
  <c r="P537" i="1" s="1"/>
  <c r="Q537" i="1" a="1"/>
  <c r="Q537" i="1" s="1"/>
  <c r="R537" i="1" a="1"/>
  <c r="R537" i="1" s="1"/>
  <c r="S537" i="1" a="1"/>
  <c r="S537" i="1" s="1"/>
  <c r="N538" i="1" a="1"/>
  <c r="N538" i="1" s="1"/>
  <c r="O538" i="1" a="1"/>
  <c r="O538" i="1" s="1"/>
  <c r="P538" i="1" a="1"/>
  <c r="P538" i="1" s="1"/>
  <c r="Q538" i="1" a="1"/>
  <c r="Q538" i="1" s="1"/>
  <c r="R538" i="1" a="1"/>
  <c r="R538" i="1" s="1"/>
  <c r="S538" i="1" a="1"/>
  <c r="S538" i="1" s="1"/>
  <c r="N539" i="1" a="1"/>
  <c r="N539" i="1" s="1"/>
  <c r="O539" i="1" a="1"/>
  <c r="O539" i="1" s="1"/>
  <c r="P539" i="1" a="1"/>
  <c r="P539" i="1" s="1"/>
  <c r="Q539" i="1" a="1"/>
  <c r="Q539" i="1" s="1"/>
  <c r="R539" i="1" a="1"/>
  <c r="R539" i="1" s="1"/>
  <c r="S539" i="1" a="1"/>
  <c r="S539" i="1" s="1"/>
  <c r="N540" i="1" a="1"/>
  <c r="N540" i="1" s="1"/>
  <c r="O540" i="1" a="1"/>
  <c r="O540" i="1" s="1"/>
  <c r="P540" i="1" a="1"/>
  <c r="P540" i="1" s="1"/>
  <c r="Q540" i="1" a="1"/>
  <c r="Q540" i="1" s="1"/>
  <c r="R540" i="1" a="1"/>
  <c r="R540" i="1" s="1"/>
  <c r="S540" i="1" a="1"/>
  <c r="S540" i="1" s="1"/>
  <c r="N541" i="1" a="1"/>
  <c r="N541" i="1" s="1"/>
  <c r="O541" i="1" a="1"/>
  <c r="O541" i="1" s="1"/>
  <c r="P541" i="1" a="1"/>
  <c r="P541" i="1" s="1"/>
  <c r="Q541" i="1" a="1"/>
  <c r="Q541" i="1" s="1"/>
  <c r="R541" i="1" a="1"/>
  <c r="R541" i="1" s="1"/>
  <c r="S541" i="1" a="1"/>
  <c r="S541" i="1" s="1"/>
  <c r="N542" i="1" a="1"/>
  <c r="N542" i="1" s="1"/>
  <c r="O542" i="1" a="1"/>
  <c r="O542" i="1" s="1"/>
  <c r="P542" i="1" a="1"/>
  <c r="P542" i="1" s="1"/>
  <c r="Q542" i="1" a="1"/>
  <c r="Q542" i="1" s="1"/>
  <c r="R542" i="1" a="1"/>
  <c r="R542" i="1" s="1"/>
  <c r="S542" i="1" a="1"/>
  <c r="S542" i="1" s="1"/>
  <c r="N543" i="1" a="1"/>
  <c r="N543" i="1" s="1"/>
  <c r="O543" i="1" a="1"/>
  <c r="O543" i="1" s="1"/>
  <c r="P543" i="1" a="1"/>
  <c r="P543" i="1" s="1"/>
  <c r="Q543" i="1" a="1"/>
  <c r="Q543" i="1" s="1"/>
  <c r="R543" i="1" a="1"/>
  <c r="R543" i="1" s="1"/>
  <c r="S543" i="1" a="1"/>
  <c r="S543" i="1" s="1"/>
  <c r="N544" i="1" a="1"/>
  <c r="N544" i="1" s="1"/>
  <c r="O544" i="1" a="1"/>
  <c r="O544" i="1" s="1"/>
  <c r="P544" i="1" a="1"/>
  <c r="P544" i="1" s="1"/>
  <c r="Q544" i="1" a="1"/>
  <c r="Q544" i="1" s="1"/>
  <c r="R544" i="1" a="1"/>
  <c r="R544" i="1" s="1"/>
  <c r="S544" i="1" a="1"/>
  <c r="S544" i="1" s="1"/>
  <c r="N545" i="1" a="1"/>
  <c r="N545" i="1" s="1"/>
  <c r="O545" i="1" a="1"/>
  <c r="O545" i="1" s="1"/>
  <c r="P545" i="1" a="1"/>
  <c r="P545" i="1" s="1"/>
  <c r="Q545" i="1" a="1"/>
  <c r="Q545" i="1" s="1"/>
  <c r="R545" i="1" a="1"/>
  <c r="R545" i="1" s="1"/>
  <c r="S545" i="1" a="1"/>
  <c r="S545" i="1" s="1"/>
  <c r="N546" i="1" a="1"/>
  <c r="N546" i="1" s="1"/>
  <c r="O546" i="1" a="1"/>
  <c r="O546" i="1" s="1"/>
  <c r="P546" i="1" a="1"/>
  <c r="P546" i="1" s="1"/>
  <c r="Q546" i="1" a="1"/>
  <c r="Q546" i="1" s="1"/>
  <c r="R546" i="1" a="1"/>
  <c r="R546" i="1" s="1"/>
  <c r="S546" i="1" a="1"/>
  <c r="S546" i="1" s="1"/>
  <c r="N547" i="1" a="1"/>
  <c r="N547" i="1" s="1"/>
  <c r="O547" i="1" a="1"/>
  <c r="O547" i="1" s="1"/>
  <c r="P547" i="1" a="1"/>
  <c r="P547" i="1" s="1"/>
  <c r="Q547" i="1" a="1"/>
  <c r="Q547" i="1" s="1"/>
  <c r="R547" i="1" a="1"/>
  <c r="R547" i="1" s="1"/>
  <c r="S547" i="1" a="1"/>
  <c r="S547" i="1" s="1"/>
  <c r="N548" i="1" a="1"/>
  <c r="N548" i="1" s="1"/>
  <c r="O548" i="1" a="1"/>
  <c r="O548" i="1" s="1"/>
  <c r="P548" i="1" a="1"/>
  <c r="P548" i="1" s="1"/>
  <c r="Q548" i="1" a="1"/>
  <c r="Q548" i="1" s="1"/>
  <c r="R548" i="1" a="1"/>
  <c r="R548" i="1" s="1"/>
  <c r="S548" i="1" a="1"/>
  <c r="S548" i="1" s="1"/>
  <c r="N549" i="1" a="1"/>
  <c r="N549" i="1" s="1"/>
  <c r="O549" i="1" a="1"/>
  <c r="O549" i="1" s="1"/>
  <c r="P549" i="1" a="1"/>
  <c r="P549" i="1" s="1"/>
  <c r="Q549" i="1" a="1"/>
  <c r="Q549" i="1" s="1"/>
  <c r="R549" i="1" a="1"/>
  <c r="R549" i="1" s="1"/>
  <c r="S549" i="1" a="1"/>
  <c r="S549" i="1" s="1"/>
  <c r="N550" i="1" a="1"/>
  <c r="N550" i="1" s="1"/>
  <c r="O550" i="1" a="1"/>
  <c r="O550" i="1" s="1"/>
  <c r="P550" i="1" a="1"/>
  <c r="P550" i="1" s="1"/>
  <c r="Q550" i="1" a="1"/>
  <c r="Q550" i="1" s="1"/>
  <c r="R550" i="1" a="1"/>
  <c r="R550" i="1" s="1"/>
  <c r="S550" i="1" a="1"/>
  <c r="S550" i="1" s="1"/>
  <c r="N551" i="1" a="1"/>
  <c r="N551" i="1" s="1"/>
  <c r="O551" i="1" a="1"/>
  <c r="O551" i="1" s="1"/>
  <c r="P551" i="1" a="1"/>
  <c r="P551" i="1" s="1"/>
  <c r="Q551" i="1" a="1"/>
  <c r="Q551" i="1" s="1"/>
  <c r="R551" i="1" a="1"/>
  <c r="R551" i="1" s="1"/>
  <c r="S551" i="1" a="1"/>
  <c r="S551" i="1" s="1"/>
  <c r="N552" i="1" a="1"/>
  <c r="N552" i="1" s="1"/>
  <c r="O552" i="1" a="1"/>
  <c r="O552" i="1" s="1"/>
  <c r="P552" i="1" a="1"/>
  <c r="P552" i="1" s="1"/>
  <c r="Q552" i="1" a="1"/>
  <c r="Q552" i="1" s="1"/>
  <c r="R552" i="1" a="1"/>
  <c r="R552" i="1" s="1"/>
  <c r="S552" i="1" a="1"/>
  <c r="S552" i="1" s="1"/>
  <c r="N553" i="1" a="1"/>
  <c r="N553" i="1" s="1"/>
  <c r="O553" i="1" a="1"/>
  <c r="O553" i="1" s="1"/>
  <c r="P553" i="1" a="1"/>
  <c r="P553" i="1" s="1"/>
  <c r="Q553" i="1" a="1"/>
  <c r="Q553" i="1" s="1"/>
  <c r="R553" i="1" a="1"/>
  <c r="R553" i="1" s="1"/>
  <c r="S553" i="1" a="1"/>
  <c r="S553" i="1" s="1"/>
  <c r="N554" i="1" a="1"/>
  <c r="N554" i="1" s="1"/>
  <c r="O554" i="1" a="1"/>
  <c r="O554" i="1" s="1"/>
  <c r="P554" i="1" a="1"/>
  <c r="P554" i="1"/>
  <c r="Q554" i="1" a="1"/>
  <c r="Q554" i="1"/>
  <c r="R554" i="1" a="1"/>
  <c r="R554" i="1"/>
  <c r="S554" i="1" a="1"/>
  <c r="S554" i="1"/>
  <c r="N555" i="1" a="1"/>
  <c r="N555" i="1"/>
  <c r="O555" i="1" a="1"/>
  <c r="O555" i="1"/>
  <c r="P555" i="1" a="1"/>
  <c r="P555" i="1"/>
  <c r="Q555" i="1" a="1"/>
  <c r="Q555" i="1"/>
  <c r="R555" i="1" a="1"/>
  <c r="R555" i="1"/>
  <c r="S555" i="1" a="1"/>
  <c r="S555" i="1"/>
  <c r="N556" i="1" a="1"/>
  <c r="N556" i="1"/>
  <c r="O556" i="1" a="1"/>
  <c r="O556" i="1"/>
  <c r="P556" i="1" a="1"/>
  <c r="P556" i="1"/>
  <c r="Q556" i="1" a="1"/>
  <c r="Q556" i="1"/>
  <c r="R556" i="1" a="1"/>
  <c r="R556" i="1"/>
  <c r="S556" i="1" a="1"/>
  <c r="S556" i="1"/>
  <c r="N557" i="1" a="1"/>
  <c r="N557" i="1"/>
  <c r="O557" i="1" a="1"/>
  <c r="O557" i="1"/>
  <c r="P557" i="1" a="1"/>
  <c r="P557" i="1"/>
  <c r="Q557" i="1" a="1"/>
  <c r="Q557" i="1"/>
  <c r="R557" i="1" a="1"/>
  <c r="R557" i="1"/>
  <c r="S557" i="1" a="1"/>
  <c r="S557" i="1"/>
  <c r="N558" i="1" a="1"/>
  <c r="N558" i="1"/>
  <c r="O558" i="1" a="1"/>
  <c r="O558" i="1"/>
  <c r="P558" i="1" a="1"/>
  <c r="P558" i="1"/>
  <c r="Q558" i="1" a="1"/>
  <c r="Q558" i="1"/>
  <c r="R558" i="1" a="1"/>
  <c r="R558" i="1"/>
  <c r="S558" i="1" a="1"/>
  <c r="S558" i="1"/>
  <c r="N559" i="1" a="1"/>
  <c r="N559" i="1"/>
  <c r="O559" i="1" a="1"/>
  <c r="O559" i="1"/>
  <c r="P559" i="1" a="1"/>
  <c r="P559" i="1"/>
  <c r="Q559" i="1" a="1"/>
  <c r="Q559" i="1"/>
  <c r="R559" i="1" a="1"/>
  <c r="R559" i="1"/>
  <c r="S559" i="1" a="1"/>
  <c r="S559" i="1"/>
  <c r="N560" i="1" a="1"/>
  <c r="N560" i="1"/>
  <c r="O560" i="1" a="1"/>
  <c r="O560" i="1"/>
  <c r="P560" i="1" a="1"/>
  <c r="P560" i="1"/>
  <c r="Q560" i="1" a="1"/>
  <c r="Q560" i="1"/>
  <c r="R560" i="1" a="1"/>
  <c r="R560" i="1"/>
  <c r="S560" i="1" a="1"/>
  <c r="S560" i="1"/>
  <c r="N561" i="1" a="1"/>
  <c r="N561" i="1"/>
  <c r="O561" i="1" a="1"/>
  <c r="O561" i="1"/>
  <c r="P561" i="1" a="1"/>
  <c r="P561" i="1"/>
  <c r="Q561" i="1" a="1"/>
  <c r="Q561" i="1"/>
  <c r="R561" i="1" a="1"/>
  <c r="R561" i="1"/>
  <c r="S561" i="1" a="1"/>
  <c r="S561" i="1"/>
  <c r="N562" i="1" a="1"/>
  <c r="N562" i="1"/>
  <c r="O562" i="1" a="1"/>
  <c r="O562" i="1"/>
  <c r="P562" i="1" a="1"/>
  <c r="P562" i="1"/>
  <c r="Q562" i="1" a="1"/>
  <c r="Q562" i="1"/>
  <c r="R562" i="1" a="1"/>
  <c r="R562" i="1"/>
  <c r="S562" i="1" a="1"/>
  <c r="S562" i="1"/>
  <c r="N563" i="1" a="1"/>
  <c r="N563" i="1"/>
  <c r="O563" i="1" a="1"/>
  <c r="O563" i="1"/>
  <c r="P563" i="1" a="1"/>
  <c r="P563" i="1"/>
  <c r="Q563" i="1" a="1"/>
  <c r="Q563" i="1"/>
  <c r="R563" i="1" a="1"/>
  <c r="R563" i="1"/>
  <c r="S563" i="1" a="1"/>
  <c r="S563" i="1"/>
  <c r="N564" i="1" a="1"/>
  <c r="N564" i="1"/>
  <c r="O564" i="1" a="1"/>
  <c r="O564" i="1"/>
  <c r="P564" i="1" a="1"/>
  <c r="P564" i="1"/>
  <c r="Q564" i="1" a="1"/>
  <c r="Q564" i="1"/>
  <c r="R564" i="1" a="1"/>
  <c r="R564" i="1"/>
  <c r="S564" i="1" a="1"/>
  <c r="S564" i="1"/>
  <c r="N565" i="1" a="1"/>
  <c r="N565" i="1"/>
  <c r="O565" i="1" a="1"/>
  <c r="O565" i="1"/>
  <c r="P565" i="1" a="1"/>
  <c r="P565" i="1"/>
  <c r="Q565" i="1" a="1"/>
  <c r="Q565" i="1"/>
  <c r="R565" i="1" a="1"/>
  <c r="R565" i="1"/>
  <c r="S565" i="1" a="1"/>
  <c r="S565" i="1"/>
  <c r="N566" i="1" a="1"/>
  <c r="N566" i="1"/>
  <c r="O566" i="1" a="1"/>
  <c r="O566" i="1"/>
  <c r="P566" i="1" a="1"/>
  <c r="P566" i="1"/>
  <c r="Q566" i="1" a="1"/>
  <c r="Q566" i="1"/>
  <c r="R566" i="1" a="1"/>
  <c r="R566" i="1"/>
  <c r="S566" i="1" a="1"/>
  <c r="S566" i="1"/>
  <c r="N567" i="1" a="1"/>
  <c r="N567" i="1"/>
  <c r="O567" i="1" a="1"/>
  <c r="O567" i="1"/>
  <c r="P567" i="1" a="1"/>
  <c r="P567" i="1"/>
  <c r="Q567" i="1" a="1"/>
  <c r="Q567" i="1"/>
  <c r="R567" i="1" a="1"/>
  <c r="R567" i="1"/>
  <c r="S567" i="1" a="1"/>
  <c r="S567" i="1"/>
  <c r="N568" i="1" a="1"/>
  <c r="N568" i="1"/>
  <c r="O568" i="1" a="1"/>
  <c r="O568" i="1"/>
  <c r="P568" i="1" a="1"/>
  <c r="P568" i="1"/>
  <c r="Q568" i="1" a="1"/>
  <c r="Q568" i="1"/>
  <c r="R568" i="1" a="1"/>
  <c r="R568" i="1"/>
  <c r="S568" i="1" a="1"/>
  <c r="S568" i="1"/>
  <c r="N569" i="1" a="1"/>
  <c r="N569" i="1"/>
  <c r="O569" i="1" a="1"/>
  <c r="O569" i="1"/>
  <c r="P569" i="1" a="1"/>
  <c r="P569" i="1"/>
  <c r="Q569" i="1" a="1"/>
  <c r="Q569" i="1"/>
  <c r="R569" i="1" a="1"/>
  <c r="R569" i="1"/>
  <c r="S569" i="1" a="1"/>
  <c r="S569" i="1"/>
  <c r="N570" i="1" a="1"/>
  <c r="N570" i="1"/>
  <c r="O570" i="1" a="1"/>
  <c r="O570" i="1"/>
  <c r="P570" i="1" a="1"/>
  <c r="P570" i="1"/>
  <c r="Q570" i="1" a="1"/>
  <c r="Q570" i="1"/>
  <c r="R570" i="1" a="1"/>
  <c r="R570" i="1"/>
  <c r="S570" i="1" a="1"/>
  <c r="S570" i="1"/>
  <c r="N571" i="1" a="1"/>
  <c r="N571" i="1"/>
  <c r="O571" i="1" a="1"/>
  <c r="O571" i="1"/>
  <c r="P571" i="1" a="1"/>
  <c r="P571" i="1"/>
  <c r="Q571" i="1" a="1"/>
  <c r="Q571" i="1"/>
  <c r="R571" i="1" a="1"/>
  <c r="R571" i="1"/>
  <c r="S571" i="1" a="1"/>
  <c r="S571" i="1"/>
  <c r="N572" i="1" a="1"/>
  <c r="N572" i="1"/>
  <c r="O572" i="1" a="1"/>
  <c r="O572" i="1"/>
  <c r="P572" i="1" a="1"/>
  <c r="P572" i="1"/>
  <c r="Q572" i="1" a="1"/>
  <c r="Q572" i="1"/>
  <c r="R572" i="1" a="1"/>
  <c r="R572" i="1"/>
  <c r="S572" i="1" a="1"/>
  <c r="S572" i="1"/>
  <c r="N573" i="1" a="1"/>
  <c r="N573" i="1"/>
  <c r="O573" i="1" a="1"/>
  <c r="O573" i="1"/>
  <c r="P573" i="1" a="1"/>
  <c r="P573" i="1"/>
  <c r="Q573" i="1" a="1"/>
  <c r="Q573" i="1"/>
  <c r="R573" i="1" a="1"/>
  <c r="R573" i="1"/>
  <c r="S573" i="1" a="1"/>
  <c r="S573" i="1"/>
  <c r="N574" i="1" a="1"/>
  <c r="N574" i="1"/>
  <c r="O574" i="1" a="1"/>
  <c r="O574" i="1"/>
  <c r="P574" i="1" a="1"/>
  <c r="P574" i="1"/>
  <c r="Q574" i="1" a="1"/>
  <c r="Q574" i="1"/>
  <c r="R574" i="1" a="1"/>
  <c r="R574" i="1"/>
  <c r="S574" i="1" a="1"/>
  <c r="S574" i="1"/>
  <c r="N575" i="1" a="1"/>
  <c r="N575" i="1"/>
  <c r="O575" i="1" a="1"/>
  <c r="O575" i="1"/>
  <c r="P575" i="1" a="1"/>
  <c r="P575" i="1"/>
  <c r="Q575" i="1" a="1"/>
  <c r="Q575" i="1"/>
  <c r="R575" i="1" a="1"/>
  <c r="R575" i="1"/>
  <c r="S575" i="1" a="1"/>
  <c r="S575" i="1"/>
  <c r="N576" i="1" a="1"/>
  <c r="N576" i="1"/>
  <c r="O576" i="1" a="1"/>
  <c r="O576" i="1"/>
  <c r="P576" i="1" a="1"/>
  <c r="P576" i="1"/>
  <c r="Q576" i="1" a="1"/>
  <c r="Q576" i="1"/>
  <c r="R576" i="1" a="1"/>
  <c r="R576" i="1"/>
  <c r="S576" i="1" a="1"/>
  <c r="S576" i="1"/>
  <c r="N577" i="1" a="1"/>
  <c r="N577" i="1"/>
  <c r="O577" i="1" a="1"/>
  <c r="O577" i="1"/>
  <c r="P577" i="1" a="1"/>
  <c r="P577" i="1"/>
  <c r="Q577" i="1" a="1"/>
  <c r="Q577" i="1"/>
  <c r="R577" i="1" a="1"/>
  <c r="R577" i="1"/>
  <c r="S577" i="1" a="1"/>
  <c r="S577" i="1"/>
  <c r="N578" i="1" a="1"/>
  <c r="N578" i="1"/>
  <c r="O578" i="1" a="1"/>
  <c r="O578" i="1"/>
  <c r="P578" i="1" a="1"/>
  <c r="P578" i="1"/>
  <c r="Q578" i="1" a="1"/>
  <c r="Q578" i="1"/>
  <c r="R578" i="1" a="1"/>
  <c r="R578" i="1"/>
  <c r="S578" i="1" a="1"/>
  <c r="S578" i="1"/>
  <c r="N579" i="1" a="1"/>
  <c r="N579" i="1"/>
  <c r="O579" i="1" a="1"/>
  <c r="O579" i="1"/>
  <c r="P579" i="1" a="1"/>
  <c r="P579" i="1"/>
  <c r="Q579" i="1" a="1"/>
  <c r="Q579" i="1"/>
  <c r="R579" i="1" a="1"/>
  <c r="R579" i="1"/>
  <c r="S579" i="1" a="1"/>
  <c r="S579" i="1"/>
  <c r="N580" i="1" a="1"/>
  <c r="N580" i="1"/>
  <c r="O580" i="1" a="1"/>
  <c r="O580" i="1"/>
  <c r="P580" i="1" a="1"/>
  <c r="P580" i="1"/>
  <c r="Q580" i="1" a="1"/>
  <c r="Q580" i="1"/>
  <c r="R580" i="1" a="1"/>
  <c r="R580" i="1"/>
  <c r="S580" i="1" a="1"/>
  <c r="S580" i="1"/>
  <c r="N581" i="1" a="1"/>
  <c r="N581" i="1"/>
  <c r="O581" i="1" a="1"/>
  <c r="O581" i="1"/>
  <c r="P581" i="1" a="1"/>
  <c r="P581" i="1"/>
  <c r="Q581" i="1" a="1"/>
  <c r="Q581" i="1"/>
  <c r="R581" i="1" a="1"/>
  <c r="R581" i="1"/>
  <c r="S581" i="1" a="1"/>
  <c r="S581" i="1"/>
  <c r="N582" i="1" a="1"/>
  <c r="N582" i="1"/>
  <c r="O582" i="1" a="1"/>
  <c r="O582" i="1"/>
  <c r="P582" i="1" a="1"/>
  <c r="P582" i="1"/>
  <c r="Q582" i="1" a="1"/>
  <c r="Q582" i="1"/>
  <c r="R582" i="1" a="1"/>
  <c r="R582" i="1"/>
  <c r="S582" i="1" a="1"/>
  <c r="S582" i="1"/>
  <c r="N583" i="1" a="1"/>
  <c r="N583" i="1"/>
  <c r="O583" i="1" a="1"/>
  <c r="O583" i="1"/>
  <c r="P583" i="1" a="1"/>
  <c r="P583" i="1"/>
  <c r="Q583" i="1" a="1"/>
  <c r="Q583" i="1"/>
  <c r="R583" i="1" a="1"/>
  <c r="R583" i="1"/>
  <c r="S583" i="1" a="1"/>
  <c r="S583" i="1"/>
  <c r="N584" i="1" a="1"/>
  <c r="N584" i="1"/>
  <c r="O584" i="1" a="1"/>
  <c r="O584" i="1"/>
  <c r="P584" i="1" a="1"/>
  <c r="P584" i="1"/>
  <c r="Q584" i="1" a="1"/>
  <c r="Q584" i="1"/>
  <c r="R584" i="1" a="1"/>
  <c r="R584" i="1"/>
  <c r="S584" i="1" a="1"/>
  <c r="S584" i="1"/>
  <c r="N585" i="1" a="1"/>
  <c r="N585" i="1"/>
  <c r="O585" i="1" a="1"/>
  <c r="O585" i="1"/>
  <c r="P585" i="1" a="1"/>
  <c r="P585" i="1"/>
  <c r="Q585" i="1" a="1"/>
  <c r="Q585" i="1"/>
  <c r="R585" i="1" a="1"/>
  <c r="R585" i="1"/>
  <c r="S585" i="1" a="1"/>
  <c r="S585" i="1"/>
  <c r="N586" i="1" a="1"/>
  <c r="N586" i="1"/>
  <c r="O586" i="1" a="1"/>
  <c r="O586" i="1"/>
  <c r="P586" i="1" a="1"/>
  <c r="P586" i="1"/>
  <c r="Q586" i="1" a="1"/>
  <c r="Q586" i="1"/>
  <c r="R586" i="1" a="1"/>
  <c r="R586" i="1"/>
  <c r="S586" i="1" a="1"/>
  <c r="S586" i="1"/>
  <c r="N587" i="1" a="1"/>
  <c r="N587" i="1"/>
  <c r="O587" i="1" a="1"/>
  <c r="O587" i="1"/>
  <c r="P587" i="1" a="1"/>
  <c r="P587" i="1"/>
  <c r="Q587" i="1" a="1"/>
  <c r="Q587" i="1"/>
  <c r="R587" i="1" a="1"/>
  <c r="R587" i="1"/>
  <c r="S587" i="1" a="1"/>
  <c r="S587" i="1"/>
  <c r="N588" i="1" a="1"/>
  <c r="N588" i="1"/>
  <c r="O588" i="1" a="1"/>
  <c r="O588" i="1"/>
  <c r="P588" i="1" a="1"/>
  <c r="P588" i="1"/>
  <c r="Q588" i="1" a="1"/>
  <c r="Q588" i="1"/>
  <c r="R588" i="1" a="1"/>
  <c r="R588" i="1"/>
  <c r="S588" i="1" a="1"/>
  <c r="S588" i="1"/>
  <c r="N589" i="1" a="1"/>
  <c r="N589" i="1"/>
  <c r="O589" i="1" a="1"/>
  <c r="O589" i="1"/>
  <c r="P589" i="1" a="1"/>
  <c r="P589" i="1"/>
  <c r="Q589" i="1" a="1"/>
  <c r="Q589" i="1"/>
  <c r="R589" i="1" a="1"/>
  <c r="R589" i="1"/>
  <c r="S589" i="1" a="1"/>
  <c r="S589" i="1"/>
  <c r="N590" i="1" a="1"/>
  <c r="N590" i="1"/>
  <c r="O590" i="1" a="1"/>
  <c r="O590" i="1"/>
  <c r="P590" i="1" a="1"/>
  <c r="P590" i="1"/>
  <c r="Q590" i="1" a="1"/>
  <c r="Q590" i="1"/>
  <c r="R590" i="1" a="1"/>
  <c r="R590" i="1"/>
  <c r="S590" i="1" a="1"/>
  <c r="S590" i="1"/>
  <c r="N591" i="1" a="1"/>
  <c r="N591" i="1"/>
  <c r="O591" i="1" a="1"/>
  <c r="O591" i="1"/>
  <c r="P591" i="1" a="1"/>
  <c r="P591" i="1"/>
  <c r="Q591" i="1" a="1"/>
  <c r="Q591" i="1"/>
  <c r="R591" i="1" a="1"/>
  <c r="R591" i="1"/>
  <c r="S591" i="1" a="1"/>
  <c r="S591" i="1"/>
  <c r="N592" i="1" a="1"/>
  <c r="N592" i="1"/>
  <c r="O592" i="1" a="1"/>
  <c r="O592" i="1"/>
  <c r="P592" i="1" a="1"/>
  <c r="P592" i="1"/>
  <c r="Q592" i="1" a="1"/>
  <c r="Q592" i="1"/>
  <c r="R592" i="1" a="1"/>
  <c r="R592" i="1"/>
  <c r="S592" i="1" a="1"/>
  <c r="S592" i="1"/>
  <c r="N593" i="1" a="1"/>
  <c r="N593" i="1"/>
  <c r="O593" i="1" a="1"/>
  <c r="O593" i="1"/>
  <c r="P593" i="1" a="1"/>
  <c r="P593" i="1"/>
  <c r="Q593" i="1" a="1"/>
  <c r="Q593" i="1"/>
  <c r="R593" i="1" a="1"/>
  <c r="R593" i="1"/>
  <c r="S593" i="1" a="1"/>
  <c r="S593" i="1"/>
  <c r="N594" i="1" a="1"/>
  <c r="N594" i="1"/>
  <c r="O594" i="1" a="1"/>
  <c r="O594" i="1"/>
  <c r="P594" i="1" a="1"/>
  <c r="P594" i="1"/>
  <c r="Q594" i="1" a="1"/>
  <c r="Q594" i="1"/>
  <c r="R594" i="1" a="1"/>
  <c r="R594" i="1"/>
  <c r="S594" i="1" a="1"/>
  <c r="S594" i="1"/>
  <c r="N595" i="1" a="1"/>
  <c r="N595" i="1"/>
  <c r="O595" i="1" a="1"/>
  <c r="O595" i="1"/>
  <c r="P595" i="1" a="1"/>
  <c r="P595" i="1"/>
  <c r="Q595" i="1" a="1"/>
  <c r="Q595" i="1"/>
  <c r="R595" i="1" a="1"/>
  <c r="R595" i="1"/>
  <c r="S595" i="1" a="1"/>
  <c r="S595" i="1"/>
  <c r="N596" i="1" a="1"/>
  <c r="N596" i="1"/>
  <c r="O596" i="1" a="1"/>
  <c r="O596" i="1"/>
  <c r="P596" i="1" a="1"/>
  <c r="P596" i="1"/>
  <c r="Q596" i="1" a="1"/>
  <c r="Q596" i="1"/>
  <c r="R596" i="1" a="1"/>
  <c r="R596" i="1"/>
  <c r="S596" i="1" a="1"/>
  <c r="S596" i="1"/>
  <c r="N597" i="1" a="1"/>
  <c r="N597" i="1"/>
  <c r="O597" i="1" a="1"/>
  <c r="O597" i="1"/>
  <c r="P597" i="1" a="1"/>
  <c r="P597" i="1"/>
  <c r="Q597" i="1" a="1"/>
  <c r="Q597" i="1"/>
  <c r="R597" i="1" a="1"/>
  <c r="R597" i="1"/>
  <c r="S597" i="1" a="1"/>
  <c r="S597" i="1"/>
  <c r="N598" i="1" a="1"/>
  <c r="N598" i="1"/>
  <c r="O598" i="1" a="1"/>
  <c r="O598" i="1"/>
  <c r="P598" i="1" a="1"/>
  <c r="P598" i="1"/>
  <c r="Q598" i="1" a="1"/>
  <c r="Q598" i="1"/>
  <c r="R598" i="1" a="1"/>
  <c r="R598" i="1"/>
  <c r="S598" i="1" a="1"/>
  <c r="S598" i="1"/>
  <c r="N599" i="1" a="1"/>
  <c r="N599" i="1"/>
  <c r="O599" i="1" a="1"/>
  <c r="O599" i="1"/>
  <c r="P599" i="1" a="1"/>
  <c r="P599" i="1"/>
  <c r="Q599" i="1" a="1"/>
  <c r="Q599" i="1"/>
  <c r="R599" i="1" a="1"/>
  <c r="R599" i="1"/>
  <c r="S599" i="1" a="1"/>
  <c r="S599" i="1"/>
  <c r="N600" i="1" a="1"/>
  <c r="N600" i="1"/>
  <c r="O600" i="1" a="1"/>
  <c r="O600" i="1"/>
  <c r="P600" i="1" a="1"/>
  <c r="P600" i="1"/>
  <c r="Q600" i="1" a="1"/>
  <c r="Q600" i="1"/>
  <c r="R600" i="1" a="1"/>
  <c r="R600" i="1"/>
  <c r="S600" i="1" a="1"/>
  <c r="S600" i="1"/>
  <c r="N601" i="1" a="1"/>
  <c r="N601" i="1"/>
  <c r="O601" i="1" a="1"/>
  <c r="O601" i="1"/>
  <c r="P601" i="1" a="1"/>
  <c r="P601" i="1"/>
  <c r="Q601" i="1" a="1"/>
  <c r="Q601" i="1"/>
  <c r="R601" i="1" a="1"/>
  <c r="R601" i="1"/>
  <c r="S601" i="1" a="1"/>
  <c r="S601" i="1"/>
  <c r="N602" i="1" a="1"/>
  <c r="N602" i="1"/>
  <c r="O602" i="1" a="1"/>
  <c r="O602" i="1"/>
  <c r="P602" i="1" a="1"/>
  <c r="P602" i="1"/>
  <c r="Q602" i="1" a="1"/>
  <c r="Q602" i="1"/>
  <c r="R602" i="1" a="1"/>
  <c r="R602" i="1"/>
  <c r="S602" i="1" a="1"/>
  <c r="S602" i="1"/>
  <c r="N603" i="1" a="1"/>
  <c r="N603" i="1"/>
  <c r="O603" i="1" a="1"/>
  <c r="O603" i="1"/>
  <c r="P603" i="1" a="1"/>
  <c r="P603" i="1"/>
  <c r="Q603" i="1" a="1"/>
  <c r="Q603" i="1"/>
  <c r="R603" i="1" a="1"/>
  <c r="R603" i="1"/>
  <c r="S603" i="1" a="1"/>
  <c r="S603" i="1"/>
  <c r="N604" i="1" a="1"/>
  <c r="N604" i="1"/>
  <c r="O604" i="1" a="1"/>
  <c r="O604" i="1"/>
  <c r="P604" i="1" a="1"/>
  <c r="P604" i="1"/>
  <c r="Q604" i="1" a="1"/>
  <c r="Q604" i="1"/>
  <c r="R604" i="1" a="1"/>
  <c r="R604" i="1"/>
  <c r="S604" i="1" a="1"/>
  <c r="S604" i="1"/>
  <c r="N605" i="1" a="1"/>
  <c r="N605" i="1"/>
  <c r="O605" i="1" a="1"/>
  <c r="O605" i="1"/>
  <c r="P605" i="1" a="1"/>
  <c r="P605" i="1"/>
  <c r="Q605" i="1" a="1"/>
  <c r="Q605" i="1"/>
  <c r="R605" i="1" a="1"/>
  <c r="R605" i="1"/>
  <c r="S605" i="1" a="1"/>
  <c r="S605" i="1"/>
  <c r="N606" i="1" a="1"/>
  <c r="N606" i="1"/>
  <c r="O606" i="1" a="1"/>
  <c r="O606" i="1"/>
  <c r="P606" i="1" a="1"/>
  <c r="P606" i="1"/>
  <c r="Q606" i="1" a="1"/>
  <c r="Q606" i="1"/>
  <c r="R606" i="1" a="1"/>
  <c r="R606" i="1"/>
  <c r="S606" i="1" a="1"/>
  <c r="S606" i="1"/>
  <c r="N607" i="1" a="1"/>
  <c r="N607" i="1"/>
  <c r="O607" i="1" a="1"/>
  <c r="O607" i="1"/>
  <c r="P607" i="1" a="1"/>
  <c r="P607" i="1"/>
  <c r="Q607" i="1" a="1"/>
  <c r="Q607" i="1"/>
  <c r="R607" i="1" a="1"/>
  <c r="R607" i="1"/>
  <c r="S607" i="1" a="1"/>
  <c r="S607" i="1"/>
  <c r="N608" i="1" a="1"/>
  <c r="N608" i="1"/>
  <c r="O608" i="1" a="1"/>
  <c r="O608" i="1"/>
  <c r="P608" i="1" a="1"/>
  <c r="P608" i="1"/>
  <c r="Q608" i="1" a="1"/>
  <c r="Q608" i="1"/>
  <c r="R608" i="1" a="1"/>
  <c r="R608" i="1"/>
  <c r="S608" i="1" a="1"/>
  <c r="S608" i="1"/>
  <c r="N609" i="1" a="1"/>
  <c r="N609" i="1"/>
  <c r="O609" i="1" a="1"/>
  <c r="O609" i="1"/>
  <c r="P609" i="1" a="1"/>
  <c r="P609" i="1"/>
  <c r="Q609" i="1" a="1"/>
  <c r="Q609" i="1"/>
  <c r="R609" i="1" a="1"/>
  <c r="R609" i="1"/>
  <c r="S609" i="1" a="1"/>
  <c r="S609" i="1"/>
  <c r="N610" i="1" a="1"/>
  <c r="N610" i="1"/>
  <c r="O610" i="1" a="1"/>
  <c r="O610" i="1"/>
  <c r="P610" i="1" a="1"/>
  <c r="P610" i="1"/>
  <c r="Q610" i="1" a="1"/>
  <c r="Q610" i="1"/>
  <c r="R610" i="1" a="1"/>
  <c r="R610" i="1"/>
  <c r="N611" i="1" a="1"/>
  <c r="N611" i="1"/>
  <c r="O611" i="1" a="1"/>
  <c r="O611" i="1"/>
  <c r="P611" i="1" a="1"/>
  <c r="P611" i="1"/>
  <c r="Q611" i="1" a="1"/>
  <c r="Q611" i="1"/>
  <c r="R611" i="1" a="1"/>
  <c r="R611" i="1"/>
  <c r="S611" i="1" a="1"/>
  <c r="S611" i="1"/>
  <c r="N612" i="1" a="1"/>
  <c r="N612" i="1"/>
  <c r="O612" i="1" a="1"/>
  <c r="O612" i="1"/>
  <c r="P612" i="1" a="1"/>
  <c r="P612" i="1"/>
  <c r="Q612" i="1" a="1"/>
  <c r="Q612" i="1"/>
  <c r="R612" i="1" a="1"/>
  <c r="R612" i="1"/>
  <c r="S612" i="1" a="1"/>
  <c r="S612" i="1"/>
  <c r="N613" i="1" a="1"/>
  <c r="N613" i="1"/>
  <c r="O613" i="1" a="1"/>
  <c r="O613" i="1"/>
  <c r="P613" i="1" a="1"/>
  <c r="P613" i="1"/>
  <c r="Q613" i="1" a="1"/>
  <c r="Q613" i="1"/>
  <c r="R613" i="1" a="1"/>
  <c r="R613" i="1"/>
  <c r="S613" i="1" a="1"/>
  <c r="S613" i="1"/>
  <c r="N614" i="1" a="1"/>
  <c r="N614" i="1"/>
  <c r="O614" i="1" a="1"/>
  <c r="O614" i="1"/>
  <c r="P614" i="1" a="1"/>
  <c r="P614" i="1"/>
  <c r="Q614" i="1" a="1"/>
  <c r="Q614" i="1"/>
  <c r="R614" i="1" a="1"/>
  <c r="R614" i="1"/>
  <c r="S614" i="1" a="1"/>
  <c r="S614" i="1"/>
  <c r="N615" i="1" a="1"/>
  <c r="N615" i="1"/>
  <c r="O615" i="1" a="1"/>
  <c r="O615" i="1"/>
  <c r="P615" i="1" a="1"/>
  <c r="P615" i="1"/>
  <c r="Q615" i="1" a="1"/>
  <c r="Q615" i="1"/>
  <c r="R615" i="1" a="1"/>
  <c r="R615" i="1"/>
  <c r="S615" i="1" a="1"/>
  <c r="S615" i="1"/>
  <c r="N616" i="1" a="1"/>
  <c r="N616" i="1"/>
  <c r="O616" i="1" a="1"/>
  <c r="O616" i="1"/>
  <c r="P616" i="1" a="1"/>
  <c r="P616" i="1"/>
  <c r="Q616" i="1" a="1"/>
  <c r="Q616" i="1"/>
  <c r="R616" i="1" a="1"/>
  <c r="R616" i="1"/>
  <c r="S616" i="1" a="1"/>
  <c r="S616" i="1"/>
  <c r="N617" i="1" a="1"/>
  <c r="N617" i="1"/>
  <c r="O617" i="1" a="1"/>
  <c r="O617" i="1"/>
  <c r="P617" i="1" a="1"/>
  <c r="P617" i="1"/>
  <c r="Q617" i="1" a="1"/>
  <c r="Q617" i="1"/>
  <c r="R617" i="1" a="1"/>
  <c r="R617" i="1"/>
  <c r="S617" i="1" a="1"/>
  <c r="S617" i="1"/>
  <c r="N618" i="1" a="1"/>
  <c r="N618" i="1"/>
  <c r="O618" i="1" a="1"/>
  <c r="O618" i="1"/>
  <c r="P618" i="1" a="1"/>
  <c r="P618" i="1"/>
  <c r="Q618" i="1" a="1"/>
  <c r="Q618" i="1"/>
  <c r="R618" i="1" a="1"/>
  <c r="R618" i="1"/>
  <c r="S618" i="1" a="1"/>
  <c r="S618" i="1"/>
  <c r="N619" i="1" a="1"/>
  <c r="N619" i="1"/>
  <c r="O619" i="1" a="1"/>
  <c r="O619" i="1"/>
  <c r="P619" i="1" a="1"/>
  <c r="P619" i="1"/>
  <c r="Q619" i="1" a="1"/>
  <c r="Q619" i="1"/>
  <c r="R619" i="1" a="1"/>
  <c r="R619" i="1"/>
  <c r="S619" i="1" a="1"/>
  <c r="S619" i="1"/>
  <c r="N620" i="1" a="1"/>
  <c r="N620" i="1"/>
  <c r="O620" i="1" a="1"/>
  <c r="O620" i="1"/>
  <c r="P620" i="1" a="1"/>
  <c r="P620" i="1"/>
  <c r="Q620" i="1" a="1"/>
  <c r="Q620" i="1"/>
  <c r="R620" i="1" a="1"/>
  <c r="R620" i="1"/>
  <c r="S620" i="1" a="1"/>
  <c r="S620" i="1"/>
  <c r="N621" i="1" a="1"/>
  <c r="N621" i="1"/>
  <c r="O621" i="1" a="1"/>
  <c r="O621" i="1"/>
  <c r="P621" i="1" a="1"/>
  <c r="P621" i="1"/>
  <c r="Q621" i="1" a="1"/>
  <c r="Q621" i="1"/>
  <c r="R621" i="1" a="1"/>
  <c r="R621" i="1"/>
  <c r="S621" i="1" a="1"/>
  <c r="S621" i="1"/>
  <c r="N622" i="1" a="1"/>
  <c r="N622" i="1"/>
  <c r="O622" i="1" a="1"/>
  <c r="O622" i="1"/>
  <c r="P622" i="1" a="1"/>
  <c r="P622" i="1"/>
  <c r="Q622" i="1" a="1"/>
  <c r="Q622" i="1"/>
  <c r="R622" i="1" a="1"/>
  <c r="R622" i="1"/>
  <c r="S622" i="1" a="1"/>
  <c r="S622" i="1"/>
  <c r="N623" i="1" a="1"/>
  <c r="N623" i="1"/>
  <c r="O623" i="1" a="1"/>
  <c r="O623" i="1"/>
  <c r="P623" i="1" a="1"/>
  <c r="P623" i="1"/>
  <c r="Q623" i="1" a="1"/>
  <c r="Q623" i="1"/>
  <c r="R623" i="1" a="1"/>
  <c r="R623" i="1"/>
  <c r="S623" i="1" a="1"/>
  <c r="S623" i="1"/>
  <c r="N624" i="1" a="1"/>
  <c r="N624" i="1"/>
  <c r="O624" i="1" a="1"/>
  <c r="O624" i="1"/>
  <c r="P624" i="1" a="1"/>
  <c r="P624" i="1"/>
  <c r="Q624" i="1" a="1"/>
  <c r="Q624" i="1"/>
  <c r="R624" i="1" a="1"/>
  <c r="R624" i="1"/>
  <c r="S624" i="1" a="1"/>
  <c r="S624" i="1"/>
  <c r="N625" i="1" a="1"/>
  <c r="N625" i="1"/>
  <c r="O625" i="1" a="1"/>
  <c r="O625" i="1"/>
  <c r="P625" i="1" a="1"/>
  <c r="P625" i="1"/>
  <c r="Q625" i="1" a="1"/>
  <c r="Q625" i="1"/>
  <c r="R625" i="1" a="1"/>
  <c r="R625" i="1"/>
  <c r="S625" i="1" a="1"/>
  <c r="S625" i="1"/>
  <c r="N626" i="1" a="1"/>
  <c r="N626" i="1"/>
  <c r="O626" i="1" a="1"/>
  <c r="O626" i="1"/>
  <c r="P626" i="1" a="1"/>
  <c r="P626" i="1"/>
  <c r="Q626" i="1" a="1"/>
  <c r="Q626" i="1"/>
  <c r="R626" i="1" a="1"/>
  <c r="R626" i="1"/>
  <c r="S626" i="1" a="1"/>
  <c r="S626" i="1"/>
  <c r="N627" i="1" a="1"/>
  <c r="N627" i="1"/>
  <c r="O627" i="1" a="1"/>
  <c r="O627" i="1"/>
  <c r="P627" i="1" a="1"/>
  <c r="P627" i="1"/>
  <c r="Q627" i="1" a="1"/>
  <c r="Q627" i="1"/>
  <c r="R627" i="1" a="1"/>
  <c r="R627" i="1"/>
  <c r="S627" i="1" a="1"/>
  <c r="S627" i="1"/>
  <c r="N628" i="1" a="1"/>
  <c r="N628" i="1"/>
  <c r="O628" i="1" a="1"/>
  <c r="O628" i="1"/>
  <c r="P628" i="1" a="1"/>
  <c r="P628" i="1"/>
  <c r="Q628" i="1" a="1"/>
  <c r="Q628" i="1"/>
  <c r="R628" i="1" a="1"/>
  <c r="R628" i="1"/>
  <c r="S628" i="1" a="1"/>
  <c r="S628" i="1"/>
  <c r="N629" i="1" a="1"/>
  <c r="N629" i="1"/>
  <c r="O629" i="1" a="1"/>
  <c r="O629" i="1"/>
  <c r="P629" i="1" a="1"/>
  <c r="P629" i="1"/>
  <c r="Q629" i="1" a="1"/>
  <c r="Q629" i="1"/>
  <c r="R629" i="1" a="1"/>
  <c r="R629" i="1"/>
  <c r="S629" i="1" a="1"/>
  <c r="S629" i="1"/>
  <c r="N630" i="1" a="1"/>
  <c r="N630" i="1"/>
  <c r="O630" i="1" a="1"/>
  <c r="O630" i="1"/>
  <c r="P630" i="1" a="1"/>
  <c r="P630" i="1"/>
  <c r="Q630" i="1" a="1"/>
  <c r="Q630" i="1"/>
  <c r="R630" i="1" a="1"/>
  <c r="R630" i="1"/>
  <c r="S630" i="1" a="1"/>
  <c r="S630" i="1"/>
  <c r="N631" i="1" a="1"/>
  <c r="N631" i="1"/>
  <c r="O631" i="1" a="1"/>
  <c r="O631" i="1"/>
  <c r="P631" i="1" a="1"/>
  <c r="P631" i="1"/>
  <c r="Q631" i="1" a="1"/>
  <c r="Q631" i="1"/>
  <c r="R631" i="1" a="1"/>
  <c r="R631" i="1"/>
  <c r="S631" i="1" a="1"/>
  <c r="S631" i="1"/>
  <c r="N632" i="1" a="1"/>
  <c r="N632" i="1"/>
  <c r="O632" i="1" a="1"/>
  <c r="O632" i="1"/>
  <c r="P632" i="1" a="1"/>
  <c r="P632" i="1"/>
  <c r="Q632" i="1" a="1"/>
  <c r="Q632" i="1"/>
  <c r="R632" i="1" a="1"/>
  <c r="R632" i="1"/>
  <c r="S632" i="1" a="1"/>
  <c r="S632" i="1"/>
  <c r="N633" i="1" a="1"/>
  <c r="N633" i="1"/>
  <c r="O633" i="1" a="1"/>
  <c r="O633" i="1"/>
  <c r="P633" i="1" a="1"/>
  <c r="P633" i="1"/>
  <c r="Q633" i="1" a="1"/>
  <c r="Q633" i="1"/>
  <c r="R633" i="1" a="1"/>
  <c r="R633" i="1"/>
  <c r="S633" i="1" a="1"/>
  <c r="S633" i="1"/>
  <c r="N634" i="1" a="1"/>
  <c r="N634" i="1"/>
  <c r="O634" i="1" a="1"/>
  <c r="O634" i="1"/>
  <c r="P634" i="1" a="1"/>
  <c r="P634" i="1"/>
  <c r="Q634" i="1" a="1"/>
  <c r="Q634" i="1"/>
  <c r="R634" i="1" a="1"/>
  <c r="R634" i="1"/>
  <c r="S634" i="1" a="1"/>
  <c r="S634" i="1"/>
  <c r="N635" i="1" a="1"/>
  <c r="N635" i="1"/>
  <c r="O635" i="1" a="1"/>
  <c r="O635" i="1"/>
  <c r="P635" i="1" a="1"/>
  <c r="P635" i="1"/>
  <c r="Q635" i="1" a="1"/>
  <c r="Q635" i="1"/>
  <c r="R635" i="1" a="1"/>
  <c r="R635" i="1"/>
  <c r="S635" i="1" a="1"/>
  <c r="S635" i="1"/>
  <c r="N636" i="1" a="1"/>
  <c r="N636" i="1"/>
  <c r="O636" i="1" a="1"/>
  <c r="O636" i="1"/>
  <c r="P636" i="1" a="1"/>
  <c r="P636" i="1"/>
  <c r="Q636" i="1" a="1"/>
  <c r="Q636" i="1"/>
  <c r="R636" i="1" a="1"/>
  <c r="R636" i="1"/>
  <c r="S636" i="1" a="1"/>
  <c r="S636" i="1"/>
  <c r="N637" i="1" a="1"/>
  <c r="N637" i="1"/>
  <c r="O637" i="1" a="1"/>
  <c r="O637" i="1"/>
  <c r="P637" i="1" a="1"/>
  <c r="P637" i="1"/>
  <c r="Q637" i="1" a="1"/>
  <c r="Q637" i="1"/>
  <c r="R637" i="1" a="1"/>
  <c r="R637" i="1"/>
  <c r="S637" i="1" a="1"/>
  <c r="S637" i="1"/>
  <c r="N638" i="1" a="1"/>
  <c r="N638" i="1"/>
  <c r="O638" i="1" a="1"/>
  <c r="O638" i="1"/>
  <c r="P638" i="1" a="1"/>
  <c r="P638" i="1"/>
  <c r="Q638" i="1" a="1"/>
  <c r="Q638" i="1"/>
  <c r="R638" i="1" a="1"/>
  <c r="R638" i="1"/>
  <c r="S638" i="1" a="1"/>
  <c r="S638" i="1"/>
  <c r="N639" i="1" a="1"/>
  <c r="N639" i="1"/>
  <c r="O639" i="1" a="1"/>
  <c r="O639" i="1"/>
  <c r="P639" i="1" a="1"/>
  <c r="P639" i="1"/>
  <c r="Q639" i="1" a="1"/>
  <c r="Q639" i="1"/>
  <c r="R639" i="1" a="1"/>
  <c r="R639" i="1"/>
  <c r="S639" i="1" a="1"/>
  <c r="S639" i="1"/>
  <c r="N640" i="1" a="1"/>
  <c r="N640" i="1"/>
  <c r="O640" i="1" a="1"/>
  <c r="O640" i="1"/>
  <c r="P640" i="1" a="1"/>
  <c r="P640" i="1"/>
  <c r="Q640" i="1" a="1"/>
  <c r="Q640" i="1"/>
  <c r="R640" i="1" a="1"/>
  <c r="R640" i="1"/>
  <c r="S640" i="1" a="1"/>
  <c r="S640" i="1"/>
  <c r="N641" i="1" a="1"/>
  <c r="N641" i="1"/>
  <c r="O641" i="1" a="1"/>
  <c r="O641" i="1"/>
  <c r="P641" i="1" a="1"/>
  <c r="P641" i="1"/>
  <c r="Q641" i="1" a="1"/>
  <c r="Q641" i="1"/>
  <c r="R641" i="1" a="1"/>
  <c r="R641" i="1"/>
  <c r="S641" i="1" a="1"/>
  <c r="S641" i="1"/>
  <c r="N642" i="1" a="1"/>
  <c r="N642" i="1"/>
  <c r="O642" i="1" a="1"/>
  <c r="O642" i="1"/>
  <c r="P642" i="1" a="1"/>
  <c r="P642" i="1"/>
  <c r="Q642" i="1" a="1"/>
  <c r="Q642" i="1"/>
  <c r="R642" i="1" a="1"/>
  <c r="R642" i="1"/>
  <c r="S642" i="1" a="1"/>
  <c r="S642" i="1"/>
  <c r="N643" i="1" a="1"/>
  <c r="N643" i="1"/>
  <c r="O643" i="1" a="1"/>
  <c r="O643" i="1"/>
  <c r="P643" i="1" a="1"/>
  <c r="P643" i="1"/>
  <c r="Q643" i="1" a="1"/>
  <c r="Q643" i="1"/>
  <c r="R643" i="1" a="1"/>
  <c r="R643" i="1"/>
  <c r="S643" i="1" a="1"/>
  <c r="S643" i="1"/>
  <c r="N644" i="1" a="1"/>
  <c r="N644" i="1"/>
  <c r="O644" i="1" a="1"/>
  <c r="O644" i="1"/>
  <c r="P644" i="1" a="1"/>
  <c r="P644" i="1"/>
  <c r="Q644" i="1" a="1"/>
  <c r="Q644" i="1"/>
  <c r="R644" i="1" a="1"/>
  <c r="R644" i="1"/>
  <c r="S644" i="1" a="1"/>
  <c r="S644" i="1"/>
  <c r="N645" i="1" a="1"/>
  <c r="N645" i="1"/>
  <c r="O645" i="1" a="1"/>
  <c r="O645" i="1"/>
  <c r="P645" i="1" a="1"/>
  <c r="P645" i="1"/>
  <c r="Q645" i="1" a="1"/>
  <c r="Q645" i="1"/>
  <c r="R645" i="1" a="1"/>
  <c r="R645" i="1"/>
  <c r="S645" i="1" a="1"/>
  <c r="S645" i="1"/>
  <c r="N646" i="1" a="1"/>
  <c r="N646" i="1"/>
  <c r="O646" i="1" a="1"/>
  <c r="O646" i="1"/>
  <c r="P646" i="1" a="1"/>
  <c r="P646" i="1"/>
  <c r="Q646" i="1" a="1"/>
  <c r="Q646" i="1"/>
  <c r="R646" i="1" a="1"/>
  <c r="R646" i="1"/>
  <c r="S646" i="1" a="1"/>
  <c r="S646" i="1"/>
  <c r="N647" i="1" a="1"/>
  <c r="N647" i="1"/>
  <c r="O647" i="1" a="1"/>
  <c r="O647" i="1"/>
  <c r="P647" i="1" a="1"/>
  <c r="P647" i="1"/>
  <c r="Q647" i="1" a="1"/>
  <c r="Q647" i="1" s="1"/>
  <c r="R647" i="1" a="1"/>
  <c r="R647" i="1" s="1"/>
  <c r="S647" i="1" a="1"/>
  <c r="S647" i="1" s="1"/>
  <c r="N648" i="1" a="1"/>
  <c r="N648" i="1" s="1"/>
  <c r="O648" i="1" a="1"/>
  <c r="O648" i="1" s="1"/>
  <c r="P648" i="1" a="1"/>
  <c r="P648" i="1" s="1"/>
  <c r="Q648" i="1" a="1"/>
  <c r="Q648" i="1" s="1"/>
  <c r="R648" i="1" a="1"/>
  <c r="R648" i="1" s="1"/>
  <c r="S648" i="1" a="1"/>
  <c r="S648" i="1" s="1"/>
  <c r="N649" i="1" a="1"/>
  <c r="N649" i="1" s="1"/>
  <c r="O649" i="1" a="1"/>
  <c r="O649" i="1" s="1"/>
  <c r="P649" i="1" a="1"/>
  <c r="P649" i="1" s="1"/>
  <c r="Q649" i="1" a="1"/>
  <c r="Q649" i="1" s="1"/>
  <c r="R649" i="1" a="1"/>
  <c r="R649" i="1" s="1"/>
  <c r="S649" i="1" a="1"/>
  <c r="S649" i="1" s="1"/>
  <c r="N650" i="1" a="1"/>
  <c r="N650" i="1" s="1"/>
  <c r="O650" i="1" a="1"/>
  <c r="O650" i="1" s="1"/>
  <c r="P650" i="1" a="1"/>
  <c r="P650" i="1" s="1"/>
  <c r="Q650" i="1" a="1"/>
  <c r="Q650" i="1" s="1"/>
  <c r="R650" i="1" a="1"/>
  <c r="R650" i="1" s="1"/>
  <c r="S650" i="1" a="1"/>
  <c r="S650" i="1" s="1"/>
  <c r="N651" i="1" a="1"/>
  <c r="N651" i="1" s="1"/>
  <c r="O651" i="1" a="1"/>
  <c r="O651" i="1" s="1"/>
  <c r="P651" i="1" a="1"/>
  <c r="P651" i="1" s="1"/>
  <c r="Q651" i="1" a="1"/>
  <c r="Q651" i="1" s="1"/>
  <c r="R651" i="1" a="1"/>
  <c r="R651" i="1" s="1"/>
  <c r="S651" i="1" a="1"/>
  <c r="S651" i="1" s="1"/>
  <c r="N652" i="1" a="1"/>
  <c r="N652" i="1" s="1"/>
  <c r="O652" i="1" a="1"/>
  <c r="O652" i="1" s="1"/>
  <c r="P652" i="1" a="1"/>
  <c r="P652" i="1" s="1"/>
  <c r="Q652" i="1" a="1"/>
  <c r="Q652" i="1" s="1"/>
  <c r="R652" i="1" a="1"/>
  <c r="R652" i="1" s="1"/>
  <c r="S652" i="1" a="1"/>
  <c r="S652" i="1" s="1"/>
  <c r="N653" i="1" a="1"/>
  <c r="N653" i="1" s="1"/>
  <c r="O653" i="1" a="1"/>
  <c r="O653" i="1" s="1"/>
  <c r="P653" i="1" a="1"/>
  <c r="P653" i="1" s="1"/>
  <c r="Q653" i="1" a="1"/>
  <c r="Q653" i="1" s="1"/>
  <c r="R653" i="1" a="1"/>
  <c r="R653" i="1" s="1"/>
  <c r="S653" i="1" a="1"/>
  <c r="S653" i="1" s="1"/>
  <c r="N654" i="1" a="1"/>
  <c r="N654" i="1" s="1"/>
  <c r="O654" i="1" a="1"/>
  <c r="O654" i="1" s="1"/>
  <c r="P654" i="1" a="1"/>
  <c r="P654" i="1" s="1"/>
  <c r="Q654" i="1" a="1"/>
  <c r="Q654" i="1" s="1"/>
  <c r="R654" i="1" a="1"/>
  <c r="R654" i="1" s="1"/>
  <c r="S654" i="1" a="1"/>
  <c r="S654" i="1" s="1"/>
  <c r="N655" i="1" a="1"/>
  <c r="N655" i="1" s="1"/>
  <c r="O655" i="1" a="1"/>
  <c r="O655" i="1" s="1"/>
  <c r="P655" i="1" a="1"/>
  <c r="P655" i="1" s="1"/>
  <c r="Q655" i="1" a="1"/>
  <c r="Q655" i="1" s="1"/>
  <c r="R655" i="1" a="1"/>
  <c r="R655" i="1" s="1"/>
  <c r="S655" i="1" a="1"/>
  <c r="S655" i="1" s="1"/>
  <c r="N656" i="1" a="1"/>
  <c r="N656" i="1" s="1"/>
  <c r="O656" i="1" a="1"/>
  <c r="O656" i="1" s="1"/>
  <c r="P656" i="1" a="1"/>
  <c r="P656" i="1" s="1"/>
  <c r="Q656" i="1" a="1"/>
  <c r="Q656" i="1" s="1"/>
  <c r="R656" i="1" a="1"/>
  <c r="R656" i="1" s="1"/>
  <c r="S656" i="1" a="1"/>
  <c r="S656" i="1" s="1"/>
  <c r="N657" i="1" a="1"/>
  <c r="N657" i="1" s="1"/>
  <c r="O657" i="1" a="1"/>
  <c r="O657" i="1" s="1"/>
  <c r="P657" i="1" a="1"/>
  <c r="P657" i="1" s="1"/>
  <c r="Q657" i="1" a="1"/>
  <c r="Q657" i="1" s="1"/>
  <c r="R657" i="1" a="1"/>
  <c r="R657" i="1" s="1"/>
  <c r="S657" i="1" a="1"/>
  <c r="S657" i="1" s="1"/>
  <c r="N658" i="1" a="1"/>
  <c r="N658" i="1" s="1"/>
  <c r="O658" i="1" a="1"/>
  <c r="O658" i="1" s="1"/>
  <c r="P658" i="1" a="1"/>
  <c r="P658" i="1" s="1"/>
  <c r="Q658" i="1" a="1"/>
  <c r="Q658" i="1" s="1"/>
  <c r="R658" i="1" a="1"/>
  <c r="R658" i="1" s="1"/>
  <c r="S658" i="1" a="1"/>
  <c r="S658" i="1" s="1"/>
  <c r="N659" i="1" a="1"/>
  <c r="N659" i="1" s="1"/>
  <c r="O659" i="1" a="1"/>
  <c r="O659" i="1" s="1"/>
  <c r="P659" i="1" a="1"/>
  <c r="P659" i="1" s="1"/>
  <c r="Q659" i="1" a="1"/>
  <c r="Q659" i="1" s="1"/>
  <c r="R659" i="1" a="1"/>
  <c r="R659" i="1" s="1"/>
  <c r="S659" i="1" a="1"/>
  <c r="S659" i="1" s="1"/>
  <c r="N660" i="1" a="1"/>
  <c r="N660" i="1" s="1"/>
  <c r="O660" i="1" a="1"/>
  <c r="O660" i="1" s="1"/>
  <c r="P660" i="1" a="1"/>
  <c r="P660" i="1" s="1"/>
  <c r="Q660" i="1" a="1"/>
  <c r="Q660" i="1" s="1"/>
  <c r="R660" i="1" a="1"/>
  <c r="R660" i="1" s="1"/>
  <c r="S660" i="1" a="1"/>
  <c r="S660" i="1" s="1"/>
  <c r="N661" i="1" a="1"/>
  <c r="N661" i="1" s="1"/>
  <c r="O661" i="1" a="1"/>
  <c r="O661" i="1" s="1"/>
  <c r="P661" i="1" a="1"/>
  <c r="P661" i="1" s="1"/>
  <c r="Q661" i="1" a="1"/>
  <c r="Q661" i="1" s="1"/>
  <c r="R661" i="1" a="1"/>
  <c r="R661" i="1" s="1"/>
  <c r="S661" i="1" a="1"/>
  <c r="S661" i="1" s="1"/>
  <c r="N662" i="1" a="1"/>
  <c r="N662" i="1" s="1"/>
  <c r="O662" i="1" a="1"/>
  <c r="O662" i="1" s="1"/>
  <c r="P662" i="1" a="1"/>
  <c r="P662" i="1" s="1"/>
  <c r="Q662" i="1" a="1"/>
  <c r="Q662" i="1" s="1"/>
  <c r="R662" i="1" a="1"/>
  <c r="R662" i="1" s="1"/>
  <c r="S662" i="1" a="1"/>
  <c r="S662" i="1" s="1"/>
  <c r="N663" i="1" a="1"/>
  <c r="N663" i="1" s="1"/>
  <c r="O663" i="1" a="1"/>
  <c r="O663" i="1" s="1"/>
  <c r="P663" i="1" a="1"/>
  <c r="P663" i="1" s="1"/>
  <c r="Q663" i="1" a="1"/>
  <c r="Q663" i="1" s="1"/>
  <c r="R663" i="1" a="1"/>
  <c r="R663" i="1" s="1"/>
  <c r="S663" i="1" a="1"/>
  <c r="S663" i="1" s="1"/>
  <c r="N664" i="1" a="1"/>
  <c r="N664" i="1" s="1"/>
  <c r="O664" i="1" a="1"/>
  <c r="O664" i="1" s="1"/>
  <c r="P664" i="1" a="1"/>
  <c r="P664" i="1" s="1"/>
  <c r="Q664" i="1" a="1"/>
  <c r="Q664" i="1" s="1"/>
  <c r="R664" i="1" a="1"/>
  <c r="R664" i="1" s="1"/>
  <c r="S664" i="1" a="1"/>
  <c r="S664" i="1" s="1"/>
  <c r="N665" i="1" a="1"/>
  <c r="N665" i="1" s="1"/>
  <c r="O665" i="1" a="1"/>
  <c r="O665" i="1" s="1"/>
  <c r="P665" i="1" a="1"/>
  <c r="P665" i="1" s="1"/>
  <c r="Q665" i="1" a="1"/>
  <c r="Q665" i="1" s="1"/>
  <c r="R665" i="1" a="1"/>
  <c r="R665" i="1" s="1"/>
  <c r="S665" i="1" a="1"/>
  <c r="S665" i="1" s="1"/>
  <c r="N666" i="1" a="1"/>
  <c r="N666" i="1" s="1"/>
  <c r="O666" i="1" a="1"/>
  <c r="O666" i="1" s="1"/>
  <c r="P666" i="1" a="1"/>
  <c r="P666" i="1" s="1"/>
  <c r="Q666" i="1" a="1"/>
  <c r="Q666" i="1" s="1"/>
  <c r="R666" i="1" a="1"/>
  <c r="R666" i="1" s="1"/>
  <c r="S666" i="1" a="1"/>
  <c r="S666" i="1" s="1"/>
  <c r="N667" i="1" a="1"/>
  <c r="N667" i="1" s="1"/>
  <c r="O667" i="1" a="1"/>
  <c r="O667" i="1" s="1"/>
  <c r="P667" i="1" a="1"/>
  <c r="P667" i="1" s="1"/>
  <c r="Q667" i="1" a="1"/>
  <c r="Q667" i="1" s="1"/>
  <c r="R667" i="1" a="1"/>
  <c r="R667" i="1" s="1"/>
  <c r="S667" i="1" a="1"/>
  <c r="S667" i="1" s="1"/>
  <c r="N668" i="1" a="1"/>
  <c r="N668" i="1" s="1"/>
  <c r="O668" i="1" a="1"/>
  <c r="O668" i="1" s="1"/>
  <c r="P668" i="1" a="1"/>
  <c r="P668" i="1" s="1"/>
  <c r="Q668" i="1" a="1"/>
  <c r="Q668" i="1" s="1"/>
  <c r="R668" i="1" a="1"/>
  <c r="R668" i="1" s="1"/>
  <c r="S668" i="1" a="1"/>
  <c r="S668" i="1" s="1"/>
  <c r="N669" i="1" a="1"/>
  <c r="N669" i="1" s="1"/>
  <c r="O669" i="1" a="1"/>
  <c r="O669" i="1" s="1"/>
  <c r="P669" i="1" a="1"/>
  <c r="P669" i="1" s="1"/>
  <c r="Q669" i="1" a="1"/>
  <c r="Q669" i="1" s="1"/>
  <c r="R669" i="1" a="1"/>
  <c r="R669" i="1" s="1"/>
  <c r="S669" i="1" a="1"/>
  <c r="S669" i="1" s="1"/>
  <c r="N670" i="1" a="1"/>
  <c r="N670" i="1" s="1"/>
  <c r="O670" i="1" a="1"/>
  <c r="O670" i="1" s="1"/>
  <c r="P670" i="1" a="1"/>
  <c r="P670" i="1" s="1"/>
  <c r="Q670" i="1" a="1"/>
  <c r="Q670" i="1" s="1"/>
  <c r="R670" i="1" a="1"/>
  <c r="R670" i="1" s="1"/>
  <c r="S670" i="1" a="1"/>
  <c r="S670" i="1" s="1"/>
  <c r="N671" i="1" a="1"/>
  <c r="N671" i="1" s="1"/>
  <c r="O671" i="1" a="1"/>
  <c r="O671" i="1" s="1"/>
  <c r="P671" i="1" a="1"/>
  <c r="P671" i="1" s="1"/>
  <c r="Q671" i="1" a="1"/>
  <c r="Q671" i="1" s="1"/>
  <c r="R671" i="1" a="1"/>
  <c r="R671" i="1" s="1"/>
  <c r="S671" i="1" a="1"/>
  <c r="S671" i="1" s="1"/>
  <c r="N672" i="1" a="1"/>
  <c r="N672" i="1" s="1"/>
  <c r="O672" i="1" a="1"/>
  <c r="O672" i="1" s="1"/>
  <c r="P672" i="1" a="1"/>
  <c r="P672" i="1" s="1"/>
  <c r="Q672" i="1" a="1"/>
  <c r="Q672" i="1" s="1"/>
  <c r="R672" i="1" a="1"/>
  <c r="R672" i="1" s="1"/>
  <c r="S672" i="1" a="1"/>
  <c r="S672" i="1" s="1"/>
  <c r="N673" i="1" a="1"/>
  <c r="N673" i="1" s="1"/>
  <c r="O673" i="1" a="1"/>
  <c r="O673" i="1" s="1"/>
  <c r="P673" i="1" a="1"/>
  <c r="P673" i="1" s="1"/>
  <c r="Q673" i="1" a="1"/>
  <c r="Q673" i="1" s="1"/>
  <c r="R673" i="1" a="1"/>
  <c r="R673" i="1" s="1"/>
  <c r="S673" i="1" a="1"/>
  <c r="S673" i="1" s="1"/>
  <c r="N674" i="1" a="1"/>
  <c r="N674" i="1" s="1"/>
  <c r="O674" i="1" a="1"/>
  <c r="O674" i="1" s="1"/>
  <c r="P674" i="1" a="1"/>
  <c r="P674" i="1" s="1"/>
  <c r="Q674" i="1" a="1"/>
  <c r="Q674" i="1" s="1"/>
  <c r="R674" i="1" a="1"/>
  <c r="R674" i="1" s="1"/>
  <c r="S674" i="1" a="1"/>
  <c r="S674" i="1" s="1"/>
  <c r="N675" i="1" a="1"/>
  <c r="N675" i="1" s="1"/>
  <c r="O675" i="1" a="1"/>
  <c r="O675" i="1" s="1"/>
  <c r="P675" i="1" a="1"/>
  <c r="P675" i="1" s="1"/>
  <c r="Q675" i="1" a="1"/>
  <c r="Q675" i="1" s="1"/>
  <c r="R675" i="1" a="1"/>
  <c r="R675" i="1" s="1"/>
  <c r="S675" i="1" a="1"/>
  <c r="S675" i="1" s="1"/>
  <c r="N676" i="1" a="1"/>
  <c r="N676" i="1" s="1"/>
  <c r="O676" i="1" a="1"/>
  <c r="O676" i="1" s="1"/>
  <c r="P676" i="1" a="1"/>
  <c r="P676" i="1" s="1"/>
  <c r="Q676" i="1" a="1"/>
  <c r="Q676" i="1" s="1"/>
  <c r="R676" i="1" a="1"/>
  <c r="R676" i="1" s="1"/>
  <c r="S676" i="1" a="1"/>
  <c r="S676" i="1" s="1"/>
  <c r="N677" i="1" a="1"/>
  <c r="N677" i="1" s="1"/>
  <c r="O677" i="1" a="1"/>
  <c r="O677" i="1" s="1"/>
  <c r="P677" i="1" a="1"/>
  <c r="P677" i="1" s="1"/>
  <c r="Q677" i="1" a="1"/>
  <c r="Q677" i="1" s="1"/>
  <c r="R677" i="1" a="1"/>
  <c r="R677" i="1" s="1"/>
  <c r="S677" i="1" a="1"/>
  <c r="S677" i="1" s="1"/>
  <c r="N678" i="1" a="1"/>
  <c r="N678" i="1" s="1"/>
  <c r="O678" i="1" a="1"/>
  <c r="O678" i="1" s="1"/>
  <c r="P678" i="1" a="1"/>
  <c r="P678" i="1" s="1"/>
  <c r="Q678" i="1" a="1"/>
  <c r="Q678" i="1" s="1"/>
  <c r="R678" i="1" a="1"/>
  <c r="R678" i="1" s="1"/>
  <c r="S678" i="1" a="1"/>
  <c r="S678" i="1" s="1"/>
  <c r="N679" i="1" a="1"/>
  <c r="N679" i="1" s="1"/>
  <c r="O679" i="1" a="1"/>
  <c r="O679" i="1" s="1"/>
  <c r="P679" i="1" a="1"/>
  <c r="P679" i="1" s="1"/>
  <c r="Q679" i="1" a="1"/>
  <c r="Q679" i="1" s="1"/>
  <c r="R679" i="1" a="1"/>
  <c r="R679" i="1" s="1"/>
  <c r="S679" i="1" a="1"/>
  <c r="S679" i="1" s="1"/>
  <c r="N680" i="1" a="1"/>
  <c r="N680" i="1" s="1"/>
  <c r="O680" i="1" a="1"/>
  <c r="O680" i="1" s="1"/>
  <c r="P680" i="1" a="1"/>
  <c r="P680" i="1" s="1"/>
  <c r="Q680" i="1" a="1"/>
  <c r="Q680" i="1" s="1"/>
  <c r="R680" i="1" a="1"/>
  <c r="R680" i="1" s="1"/>
  <c r="S680" i="1" a="1"/>
  <c r="S680" i="1" s="1"/>
  <c r="N681" i="1" a="1"/>
  <c r="N681" i="1" s="1"/>
  <c r="O681" i="1" a="1"/>
  <c r="O681" i="1" s="1"/>
  <c r="P681" i="1" a="1"/>
  <c r="P681" i="1" s="1"/>
  <c r="Q681" i="1" a="1"/>
  <c r="Q681" i="1" s="1"/>
  <c r="R681" i="1" a="1"/>
  <c r="R681" i="1" s="1"/>
  <c r="S681" i="1" a="1"/>
  <c r="S681" i="1" s="1"/>
  <c r="N682" i="1" a="1"/>
  <c r="N682" i="1" s="1"/>
  <c r="O682" i="1" a="1"/>
  <c r="O682" i="1" s="1"/>
  <c r="P682" i="1" a="1"/>
  <c r="P682" i="1" s="1"/>
  <c r="Q682" i="1" a="1"/>
  <c r="Q682" i="1" s="1"/>
  <c r="R682" i="1" a="1"/>
  <c r="R682" i="1" s="1"/>
  <c r="S682" i="1" a="1"/>
  <c r="S682" i="1" s="1"/>
  <c r="N683" i="1" a="1"/>
  <c r="N683" i="1" s="1"/>
  <c r="O683" i="1" a="1"/>
  <c r="O683" i="1" s="1"/>
  <c r="P683" i="1" a="1"/>
  <c r="P683" i="1" s="1"/>
  <c r="Q683" i="1" a="1"/>
  <c r="Q683" i="1" s="1"/>
  <c r="R683" i="1" a="1"/>
  <c r="R683" i="1" s="1"/>
  <c r="S683" i="1" a="1"/>
  <c r="S683" i="1" s="1"/>
  <c r="N684" i="1" a="1"/>
  <c r="N684" i="1" s="1"/>
  <c r="O684" i="1" a="1"/>
  <c r="O684" i="1" s="1"/>
  <c r="P684" i="1" a="1"/>
  <c r="P684" i="1" s="1"/>
  <c r="Q684" i="1" a="1"/>
  <c r="Q684" i="1" s="1"/>
  <c r="R684" i="1" a="1"/>
  <c r="R684" i="1" s="1"/>
  <c r="S684" i="1" a="1"/>
  <c r="S684" i="1" s="1"/>
  <c r="N685" i="1" a="1"/>
  <c r="N685" i="1" s="1"/>
  <c r="O685" i="1" a="1"/>
  <c r="O685" i="1" s="1"/>
  <c r="P685" i="1" a="1"/>
  <c r="P685" i="1" s="1"/>
  <c r="Q685" i="1" a="1"/>
  <c r="Q685" i="1" s="1"/>
  <c r="R685" i="1" a="1"/>
  <c r="R685" i="1" s="1"/>
  <c r="S685" i="1" a="1"/>
  <c r="S685" i="1" s="1"/>
  <c r="N686" i="1" a="1"/>
  <c r="N686" i="1" s="1"/>
  <c r="O686" i="1" a="1"/>
  <c r="O686" i="1" s="1"/>
  <c r="P686" i="1" a="1"/>
  <c r="P686" i="1" s="1"/>
  <c r="Q686" i="1" a="1"/>
  <c r="Q686" i="1" s="1"/>
  <c r="R686" i="1" a="1"/>
  <c r="R686" i="1" s="1"/>
  <c r="S686" i="1" a="1"/>
  <c r="S686" i="1" s="1"/>
  <c r="N687" i="1" a="1"/>
  <c r="N687" i="1" s="1"/>
  <c r="O687" i="1" a="1"/>
  <c r="O687" i="1" s="1"/>
  <c r="P687" i="1" a="1"/>
  <c r="P687" i="1" s="1"/>
  <c r="Q687" i="1" a="1"/>
  <c r="Q687" i="1" s="1"/>
  <c r="R687" i="1" a="1"/>
  <c r="R687" i="1" s="1"/>
  <c r="S687" i="1" a="1"/>
  <c r="S687" i="1" s="1"/>
  <c r="N688" i="1" a="1"/>
  <c r="N688" i="1" s="1"/>
  <c r="O688" i="1" a="1"/>
  <c r="O688" i="1" s="1"/>
  <c r="P688" i="1" a="1"/>
  <c r="P688" i="1" s="1"/>
  <c r="Q688" i="1" a="1"/>
  <c r="Q688" i="1" s="1"/>
  <c r="R688" i="1" a="1"/>
  <c r="R688" i="1" s="1"/>
  <c r="S688" i="1" a="1"/>
  <c r="S688" i="1" s="1"/>
  <c r="N689" i="1" a="1"/>
  <c r="N689" i="1" s="1"/>
  <c r="O689" i="1" a="1"/>
  <c r="O689" i="1" s="1"/>
  <c r="P689" i="1" a="1"/>
  <c r="P689" i="1" s="1"/>
  <c r="Q689" i="1" a="1"/>
  <c r="Q689" i="1" s="1"/>
  <c r="R689" i="1" a="1"/>
  <c r="R689" i="1" s="1"/>
  <c r="S689" i="1" a="1"/>
  <c r="S689" i="1" s="1"/>
  <c r="N690" i="1" a="1"/>
  <c r="N690" i="1" s="1"/>
  <c r="O690" i="1" a="1"/>
  <c r="O690" i="1" s="1"/>
  <c r="P690" i="1" a="1"/>
  <c r="P690" i="1" s="1"/>
  <c r="Q690" i="1" a="1"/>
  <c r="Q690" i="1" s="1"/>
  <c r="R690" i="1" a="1"/>
  <c r="R690" i="1" s="1"/>
  <c r="S690" i="1" a="1"/>
  <c r="S690" i="1" s="1"/>
  <c r="N691" i="1" a="1"/>
  <c r="N691" i="1" s="1"/>
  <c r="O691" i="1" a="1"/>
  <c r="O691" i="1" s="1"/>
  <c r="P691" i="1" a="1"/>
  <c r="P691" i="1" s="1"/>
  <c r="Q691" i="1" a="1"/>
  <c r="Q691" i="1" s="1"/>
  <c r="R691" i="1" a="1"/>
  <c r="R691" i="1" s="1"/>
  <c r="S691" i="1" a="1"/>
  <c r="S691" i="1" s="1"/>
  <c r="N692" i="1" a="1"/>
  <c r="N692" i="1" s="1"/>
  <c r="O692" i="1" a="1"/>
  <c r="O692" i="1" s="1"/>
  <c r="P692" i="1" a="1"/>
  <c r="P692" i="1" s="1"/>
  <c r="Q692" i="1" a="1"/>
  <c r="Q692" i="1" s="1"/>
  <c r="R692" i="1" a="1"/>
  <c r="R692" i="1" s="1"/>
  <c r="S692" i="1" a="1"/>
  <c r="S692" i="1" s="1"/>
  <c r="N693" i="1" a="1"/>
  <c r="N693" i="1" s="1"/>
  <c r="O693" i="1" a="1"/>
  <c r="O693" i="1" s="1"/>
  <c r="P693" i="1" a="1"/>
  <c r="P693" i="1" s="1"/>
  <c r="Q693" i="1" a="1"/>
  <c r="Q693" i="1" s="1"/>
  <c r="R693" i="1" a="1"/>
  <c r="R693" i="1" s="1"/>
  <c r="S693" i="1" a="1"/>
  <c r="S693" i="1" s="1"/>
  <c r="N694" i="1" a="1"/>
  <c r="N694" i="1" s="1"/>
  <c r="O694" i="1" a="1"/>
  <c r="O694" i="1" s="1"/>
  <c r="P694" i="1" a="1"/>
  <c r="P694" i="1" s="1"/>
  <c r="Q694" i="1" a="1"/>
  <c r="Q694" i="1" s="1"/>
  <c r="R694" i="1" a="1"/>
  <c r="R694" i="1" s="1"/>
  <c r="S694" i="1" a="1"/>
  <c r="S694" i="1" s="1"/>
  <c r="N695" i="1" a="1"/>
  <c r="N695" i="1" s="1"/>
  <c r="O695" i="1" a="1"/>
  <c r="O695" i="1" s="1"/>
  <c r="P695" i="1" a="1"/>
  <c r="P695" i="1" s="1"/>
  <c r="Q695" i="1" a="1"/>
  <c r="Q695" i="1" s="1"/>
  <c r="R695" i="1" a="1"/>
  <c r="R695" i="1" s="1"/>
  <c r="S695" i="1" a="1"/>
  <c r="S695" i="1" s="1"/>
  <c r="N696" i="1" a="1"/>
  <c r="N696" i="1" s="1"/>
  <c r="O696" i="1" a="1"/>
  <c r="O696" i="1" s="1"/>
  <c r="P696" i="1" a="1"/>
  <c r="P696" i="1" s="1"/>
  <c r="Q696" i="1" a="1"/>
  <c r="Q696" i="1" s="1"/>
  <c r="R696" i="1" a="1"/>
  <c r="R696" i="1" s="1"/>
  <c r="S696" i="1" a="1"/>
  <c r="S696" i="1" s="1"/>
  <c r="N697" i="1" a="1"/>
  <c r="N697" i="1" s="1"/>
  <c r="O697" i="1" a="1"/>
  <c r="O697" i="1" s="1"/>
  <c r="P697" i="1" a="1"/>
  <c r="P697" i="1" s="1"/>
  <c r="Q697" i="1" a="1"/>
  <c r="Q697" i="1" s="1"/>
  <c r="R697" i="1" a="1"/>
  <c r="R697" i="1" s="1"/>
  <c r="S697" i="1" a="1"/>
  <c r="S697" i="1" s="1"/>
  <c r="N698" i="1" a="1"/>
  <c r="N698" i="1" s="1"/>
  <c r="O698" i="1" a="1"/>
  <c r="O698" i="1" s="1"/>
  <c r="P698" i="1" a="1"/>
  <c r="P698" i="1" s="1"/>
  <c r="Q698" i="1" a="1"/>
  <c r="Q698" i="1" s="1"/>
  <c r="R698" i="1" a="1"/>
  <c r="R698" i="1" s="1"/>
  <c r="S698" i="1" a="1"/>
  <c r="S698" i="1" s="1"/>
  <c r="N699" i="1" a="1"/>
  <c r="N699" i="1" s="1"/>
  <c r="O699" i="1" a="1"/>
  <c r="O699" i="1" s="1"/>
  <c r="P699" i="1" a="1"/>
  <c r="P699" i="1" s="1"/>
  <c r="Q699" i="1" a="1"/>
  <c r="Q699" i="1" s="1"/>
  <c r="R699" i="1" a="1"/>
  <c r="R699" i="1" s="1"/>
  <c r="S699" i="1" a="1"/>
  <c r="S699" i="1" s="1"/>
  <c r="N700" i="1" a="1"/>
  <c r="N700" i="1" s="1"/>
  <c r="O700" i="1" a="1"/>
  <c r="O700" i="1" s="1"/>
  <c r="P700" i="1" a="1"/>
  <c r="P700" i="1" s="1"/>
  <c r="Q700" i="1" a="1"/>
  <c r="Q700" i="1" s="1"/>
  <c r="R700" i="1" a="1"/>
  <c r="R700" i="1" s="1"/>
  <c r="S700" i="1" a="1"/>
  <c r="S700" i="1" s="1"/>
  <c r="N701" i="1" a="1"/>
  <c r="N701" i="1" s="1"/>
  <c r="O701" i="1" a="1"/>
  <c r="O701" i="1" s="1"/>
  <c r="P701" i="1" a="1"/>
  <c r="P701" i="1" s="1"/>
  <c r="Q701" i="1" a="1"/>
  <c r="Q701" i="1" s="1"/>
  <c r="R701" i="1" a="1"/>
  <c r="R701" i="1" s="1"/>
  <c r="S701" i="1" a="1"/>
  <c r="S701" i="1" s="1"/>
  <c r="N702" i="1" a="1"/>
  <c r="N702" i="1" s="1"/>
  <c r="O702" i="1" a="1"/>
  <c r="O702" i="1" s="1"/>
  <c r="P702" i="1" a="1"/>
  <c r="P702" i="1" s="1"/>
  <c r="Q702" i="1" a="1"/>
  <c r="Q702" i="1" s="1"/>
  <c r="R702" i="1" a="1"/>
  <c r="R702" i="1" s="1"/>
  <c r="S702" i="1" a="1"/>
  <c r="S702" i="1" s="1"/>
  <c r="N703" i="1" a="1"/>
  <c r="N703" i="1" s="1"/>
  <c r="O703" i="1" a="1"/>
  <c r="O703" i="1" s="1"/>
  <c r="P703" i="1" a="1"/>
  <c r="P703" i="1" s="1"/>
  <c r="Q703" i="1" a="1"/>
  <c r="Q703" i="1" s="1"/>
  <c r="R703" i="1" a="1"/>
  <c r="R703" i="1" s="1"/>
  <c r="S703" i="1" a="1"/>
  <c r="S703" i="1" s="1"/>
  <c r="N704" i="1" a="1"/>
  <c r="N704" i="1" s="1"/>
  <c r="O704" i="1" a="1"/>
  <c r="O704" i="1" s="1"/>
  <c r="P704" i="1" a="1"/>
  <c r="P704" i="1" s="1"/>
  <c r="Q704" i="1" a="1"/>
  <c r="Q704" i="1" s="1"/>
  <c r="R704" i="1" a="1"/>
  <c r="R704" i="1" s="1"/>
  <c r="S704" i="1" a="1"/>
  <c r="S704" i="1" s="1"/>
  <c r="N705" i="1" a="1"/>
  <c r="N705" i="1" s="1"/>
  <c r="O705" i="1" a="1"/>
  <c r="O705" i="1" s="1"/>
  <c r="P705" i="1" a="1"/>
  <c r="P705" i="1" s="1"/>
  <c r="Q705" i="1" a="1"/>
  <c r="Q705" i="1" s="1"/>
  <c r="R705" i="1" a="1"/>
  <c r="R705" i="1" s="1"/>
  <c r="S705" i="1" a="1"/>
  <c r="S705" i="1" s="1"/>
  <c r="N706" i="1" a="1"/>
  <c r="N706" i="1" s="1"/>
  <c r="O706" i="1" a="1"/>
  <c r="O706" i="1" s="1"/>
  <c r="P706" i="1" a="1"/>
  <c r="P706" i="1" s="1"/>
  <c r="Q706" i="1" a="1"/>
  <c r="Q706" i="1" s="1"/>
  <c r="R706" i="1" a="1"/>
  <c r="R706" i="1" s="1"/>
  <c r="S706" i="1" a="1"/>
  <c r="S706" i="1" s="1"/>
  <c r="N707" i="1" a="1"/>
  <c r="N707" i="1" s="1"/>
  <c r="O707" i="1" a="1"/>
  <c r="O707" i="1" s="1"/>
  <c r="P707" i="1" a="1"/>
  <c r="P707" i="1" s="1"/>
  <c r="Q707" i="1" a="1"/>
  <c r="Q707" i="1" s="1"/>
  <c r="R707" i="1" a="1"/>
  <c r="R707" i="1" s="1"/>
  <c r="S707" i="1" a="1"/>
  <c r="S707" i="1" s="1"/>
  <c r="N708" i="1" a="1"/>
  <c r="N708" i="1" s="1"/>
  <c r="O708" i="1" a="1"/>
  <c r="O708" i="1" s="1"/>
  <c r="P708" i="1" a="1"/>
  <c r="P708" i="1" s="1"/>
  <c r="Q708" i="1" a="1"/>
  <c r="Q708" i="1" s="1"/>
  <c r="R708" i="1" a="1"/>
  <c r="R708" i="1" s="1"/>
  <c r="S708" i="1" a="1"/>
  <c r="S708" i="1" s="1"/>
  <c r="N709" i="1" a="1"/>
  <c r="N709" i="1" s="1"/>
  <c r="O709" i="1" a="1"/>
  <c r="O709" i="1" s="1"/>
  <c r="P709" i="1" a="1"/>
  <c r="P709" i="1" s="1"/>
  <c r="Q709" i="1" a="1"/>
  <c r="Q709" i="1" s="1"/>
  <c r="R709" i="1" a="1"/>
  <c r="R709" i="1" s="1"/>
  <c r="S709" i="1" a="1"/>
  <c r="S709" i="1" s="1"/>
  <c r="N710" i="1" a="1"/>
  <c r="N710" i="1" s="1"/>
  <c r="O710" i="1" a="1"/>
  <c r="O710" i="1" s="1"/>
  <c r="P710" i="1" a="1"/>
  <c r="P710" i="1" s="1"/>
  <c r="Q710" i="1" a="1"/>
  <c r="Q710" i="1" s="1"/>
  <c r="R710" i="1" a="1"/>
  <c r="R710" i="1" s="1"/>
  <c r="S710" i="1" a="1"/>
  <c r="S710" i="1" s="1"/>
  <c r="N711" i="1" a="1"/>
  <c r="N711" i="1" s="1"/>
  <c r="O711" i="1" a="1"/>
  <c r="O711" i="1" s="1"/>
  <c r="P711" i="1" a="1"/>
  <c r="P711" i="1" s="1"/>
  <c r="Q711" i="1" a="1"/>
  <c r="Q711" i="1" s="1"/>
  <c r="R711" i="1" a="1"/>
  <c r="R711" i="1" s="1"/>
  <c r="S711" i="1" a="1"/>
  <c r="S711" i="1" s="1"/>
  <c r="N712" i="1" a="1"/>
  <c r="N712" i="1" s="1"/>
  <c r="O712" i="1" a="1"/>
  <c r="O712" i="1" s="1"/>
  <c r="P712" i="1" a="1"/>
  <c r="P712" i="1" s="1"/>
  <c r="Q712" i="1" a="1"/>
  <c r="Q712" i="1" s="1"/>
  <c r="R712" i="1" a="1"/>
  <c r="R712" i="1" s="1"/>
  <c r="S712" i="1" a="1"/>
  <c r="S712" i="1" s="1"/>
  <c r="N713" i="1" a="1"/>
  <c r="N713" i="1" s="1"/>
  <c r="O713" i="1" a="1"/>
  <c r="O713" i="1" s="1"/>
  <c r="P713" i="1" a="1"/>
  <c r="P713" i="1" s="1"/>
  <c r="Q713" i="1" a="1"/>
  <c r="Q713" i="1" s="1"/>
  <c r="R713" i="1" a="1"/>
  <c r="R713" i="1" s="1"/>
  <c r="S713" i="1" a="1"/>
  <c r="S713" i="1" s="1"/>
  <c r="N714" i="1" a="1"/>
  <c r="N714" i="1" s="1"/>
  <c r="O714" i="1" a="1"/>
  <c r="O714" i="1" s="1"/>
  <c r="P714" i="1" a="1"/>
  <c r="P714" i="1" s="1"/>
  <c r="Q714" i="1" a="1"/>
  <c r="Q714" i="1" s="1"/>
  <c r="R714" i="1" a="1"/>
  <c r="R714" i="1" s="1"/>
  <c r="S714" i="1" a="1"/>
  <c r="S714" i="1" s="1"/>
  <c r="N715" i="1" a="1"/>
  <c r="N715" i="1" s="1"/>
  <c r="O715" i="1" a="1"/>
  <c r="O715" i="1" s="1"/>
  <c r="P715" i="1" a="1"/>
  <c r="P715" i="1" s="1"/>
  <c r="Q715" i="1" a="1"/>
  <c r="Q715" i="1" s="1"/>
  <c r="R715" i="1" a="1"/>
  <c r="R715" i="1" s="1"/>
  <c r="S715" i="1" a="1"/>
  <c r="S715" i="1" s="1"/>
  <c r="N716" i="1" a="1"/>
  <c r="N716" i="1" s="1"/>
  <c r="O716" i="1" a="1"/>
  <c r="O716" i="1" s="1"/>
  <c r="P716" i="1" a="1"/>
  <c r="P716" i="1" s="1"/>
  <c r="Q716" i="1" a="1"/>
  <c r="Q716" i="1" s="1"/>
  <c r="R716" i="1" a="1"/>
  <c r="R716" i="1" s="1"/>
  <c r="S716" i="1" a="1"/>
  <c r="S716" i="1" s="1"/>
  <c r="S2" i="1" a="1"/>
  <c r="S2" i="1" s="1"/>
  <c r="R2" i="1" a="1"/>
  <c r="R2" i="1" s="1"/>
  <c r="Q2" i="1" a="1"/>
  <c r="Q2" i="1" s="1"/>
  <c r="P2" i="1" a="1"/>
  <c r="P2" i="1" s="1"/>
  <c r="O2" i="1" a="1"/>
  <c r="O2" i="1" s="1"/>
  <c r="N2" i="1" a="1"/>
  <c r="N2" i="1" s="1"/>
  <c r="D2" i="1" a="1"/>
  <c r="D2" i="1"/>
  <c r="L3" i="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s="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s="1"/>
  <c r="L50" i="1" a="1"/>
  <c r="L50" i="1" s="1"/>
  <c r="L51" i="1" a="1"/>
  <c r="L51" i="1" s="1"/>
  <c r="L52" i="1" a="1"/>
  <c r="L52" i="1" s="1"/>
  <c r="L53" i="1" a="1"/>
  <c r="L53" i="1" s="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L70" i="1" a="1"/>
  <c r="L70" i="1" s="1"/>
  <c r="L71" i="1" a="1"/>
  <c r="L71" i="1" s="1"/>
  <c r="L72" i="1" a="1"/>
  <c r="L72" i="1" s="1"/>
  <c r="L73" i="1" a="1"/>
  <c r="L73" i="1" s="1"/>
  <c r="L74" i="1" a="1"/>
  <c r="L74" i="1" s="1"/>
  <c r="L75" i="1" a="1"/>
  <c r="L75" i="1" s="1"/>
  <c r="L76" i="1" a="1"/>
  <c r="L76" i="1" s="1"/>
  <c r="L77" i="1" a="1"/>
  <c r="L77" i="1" s="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s="1"/>
  <c r="L92" i="1" a="1"/>
  <c r="L92" i="1" s="1"/>
  <c r="L93" i="1" a="1"/>
  <c r="L93" i="1" s="1"/>
  <c r="L94" i="1" a="1"/>
  <c r="L94" i="1" s="1"/>
  <c r="L95" i="1" a="1"/>
  <c r="L95" i="1" s="1"/>
  <c r="L96" i="1" a="1"/>
  <c r="L96" i="1" s="1"/>
  <c r="L97" i="1" a="1"/>
  <c r="L97" i="1" s="1"/>
  <c r="L98" i="1" a="1"/>
  <c r="L98" i="1" s="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s="1"/>
  <c r="L114" i="1" a="1"/>
  <c r="L114" i="1" s="1"/>
  <c r="L115" i="1" a="1"/>
  <c r="L115" i="1" s="1"/>
  <c r="L116" i="1" a="1"/>
  <c r="L116" i="1" s="1"/>
  <c r="L117" i="1" a="1"/>
  <c r="L117" i="1" s="1"/>
  <c r="L118" i="1" a="1"/>
  <c r="L118" i="1" s="1"/>
  <c r="L119" i="1" a="1"/>
  <c r="L119" i="1" s="1"/>
  <c r="L120" i="1" a="1"/>
  <c r="L120" i="1" s="1"/>
  <c r="L121" i="1" a="1"/>
  <c r="L121" i="1" s="1"/>
  <c r="L122" i="1" a="1"/>
  <c r="L122" i="1" s="1"/>
  <c r="L123" i="1" a="1"/>
  <c r="L123" i="1" s="1"/>
  <c r="L124" i="1" a="1"/>
  <c r="L124" i="1" s="1"/>
  <c r="L125" i="1" a="1"/>
  <c r="L125" i="1" s="1"/>
  <c r="L126" i="1" a="1"/>
  <c r="L126" i="1" s="1"/>
  <c r="L127" i="1" a="1"/>
  <c r="L127" i="1" s="1"/>
  <c r="L128" i="1" a="1"/>
  <c r="L128" i="1" s="1"/>
  <c r="L129" i="1" a="1"/>
  <c r="L129" i="1" s="1"/>
  <c r="L130" i="1" a="1"/>
  <c r="L130" i="1" s="1"/>
  <c r="L131" i="1" a="1"/>
  <c r="L131" i="1" s="1"/>
  <c r="L132" i="1" a="1"/>
  <c r="L132" i="1" s="1"/>
  <c r="L133" i="1" a="1"/>
  <c r="L133" i="1" s="1"/>
  <c r="L134" i="1" a="1"/>
  <c r="L134" i="1" s="1"/>
  <c r="L135" i="1" a="1"/>
  <c r="L135" i="1" s="1"/>
  <c r="L136" i="1" a="1"/>
  <c r="L136" i="1" s="1"/>
  <c r="L137" i="1" a="1"/>
  <c r="L137" i="1" s="1"/>
  <c r="L138" i="1" a="1"/>
  <c r="L138" i="1" s="1"/>
  <c r="L139" i="1" a="1"/>
  <c r="L139" i="1" s="1"/>
  <c r="L140" i="1" a="1"/>
  <c r="L140" i="1" s="1"/>
  <c r="L141" i="1" a="1"/>
  <c r="L141" i="1" s="1"/>
  <c r="L142" i="1" a="1"/>
  <c r="L142" i="1" s="1"/>
  <c r="L143" i="1" a="1"/>
  <c r="L143" i="1" s="1"/>
  <c r="L144" i="1" a="1"/>
  <c r="L144" i="1" s="1"/>
  <c r="L145" i="1" a="1"/>
  <c r="L145" i="1" s="1"/>
  <c r="L146" i="1" a="1"/>
  <c r="L146" i="1" s="1"/>
  <c r="L147" i="1" a="1"/>
  <c r="L147" i="1" s="1"/>
  <c r="L148" i="1" a="1"/>
  <c r="L148" i="1" s="1"/>
  <c r="L149" i="1" a="1"/>
  <c r="L149" i="1" s="1"/>
  <c r="L150" i="1" a="1"/>
  <c r="L150" i="1" s="1"/>
  <c r="L151" i="1" a="1"/>
  <c r="L151" i="1" s="1"/>
  <c r="L152" i="1" a="1"/>
  <c r="L152" i="1" s="1"/>
  <c r="L153" i="1" a="1"/>
  <c r="L153" i="1" s="1"/>
  <c r="L154" i="1" a="1"/>
  <c r="L154" i="1" s="1"/>
  <c r="L155" i="1" a="1"/>
  <c r="L155" i="1" s="1"/>
  <c r="L156" i="1" a="1"/>
  <c r="L156" i="1" s="1"/>
  <c r="L157" i="1" a="1"/>
  <c r="L157" i="1" s="1"/>
  <c r="L158" i="1" a="1"/>
  <c r="L158" i="1" s="1"/>
  <c r="L159" i="1" a="1"/>
  <c r="L159" i="1" s="1"/>
  <c r="L160" i="1" a="1"/>
  <c r="L160" i="1" s="1"/>
  <c r="L161" i="1" a="1"/>
  <c r="L161" i="1" s="1"/>
  <c r="L162" i="1" a="1"/>
  <c r="L162" i="1" s="1"/>
  <c r="L163" i="1" a="1"/>
  <c r="L163" i="1" s="1"/>
  <c r="L164" i="1" a="1"/>
  <c r="L164" i="1" s="1"/>
  <c r="L165" i="1" a="1"/>
  <c r="L165" i="1" s="1"/>
  <c r="L166" i="1" a="1"/>
  <c r="L166" i="1" s="1"/>
  <c r="L167" i="1" a="1"/>
  <c r="L167" i="1" s="1"/>
  <c r="L168" i="1" a="1"/>
  <c r="L168" i="1" s="1"/>
  <c r="L169" i="1" a="1"/>
  <c r="L169" i="1" s="1"/>
  <c r="L170" i="1" a="1"/>
  <c r="L170" i="1" s="1"/>
  <c r="L171" i="1" a="1"/>
  <c r="L171" i="1" s="1"/>
  <c r="L172" i="1" a="1"/>
  <c r="L172" i="1" s="1"/>
  <c r="L173" i="1" a="1"/>
  <c r="L173" i="1" s="1"/>
  <c r="L174" i="1" a="1"/>
  <c r="L174" i="1" s="1"/>
  <c r="L175" i="1" a="1"/>
  <c r="L175" i="1" s="1"/>
  <c r="L176" i="1" a="1"/>
  <c r="L176" i="1" s="1"/>
  <c r="L177" i="1" a="1"/>
  <c r="L177" i="1" s="1"/>
  <c r="L178" i="1" a="1"/>
  <c r="L178" i="1" s="1"/>
  <c r="L179" i="1" a="1"/>
  <c r="L179" i="1" s="1"/>
  <c r="L180" i="1" a="1"/>
  <c r="L180" i="1" s="1"/>
  <c r="L181" i="1" a="1"/>
  <c r="L181" i="1" s="1"/>
  <c r="L182" i="1" a="1"/>
  <c r="L182" i="1" s="1"/>
  <c r="L183" i="1" a="1"/>
  <c r="L183" i="1" s="1"/>
  <c r="L184" i="1" a="1"/>
  <c r="L184" i="1" s="1"/>
  <c r="L185" i="1" a="1"/>
  <c r="L185" i="1" s="1"/>
  <c r="L186" i="1" a="1"/>
  <c r="L186" i="1" s="1"/>
  <c r="L187" i="1" a="1"/>
  <c r="L187" i="1" s="1"/>
  <c r="L188" i="1" a="1"/>
  <c r="L188" i="1" s="1"/>
  <c r="L189" i="1" a="1"/>
  <c r="L189" i="1" s="1"/>
  <c r="L190" i="1" a="1"/>
  <c r="L190" i="1" s="1"/>
  <c r="L191" i="1" a="1"/>
  <c r="L191" i="1" s="1"/>
  <c r="L192" i="1" a="1"/>
  <c r="L192" i="1" s="1"/>
  <c r="L193" i="1" a="1"/>
  <c r="L193" i="1" s="1"/>
  <c r="L194" i="1" a="1"/>
  <c r="L194" i="1" s="1"/>
  <c r="L195" i="1" a="1"/>
  <c r="L195" i="1" s="1"/>
  <c r="L196" i="1" a="1"/>
  <c r="L196" i="1" s="1"/>
  <c r="L197" i="1" a="1"/>
  <c r="L197" i="1" s="1"/>
  <c r="L198" i="1" a="1"/>
  <c r="L198" i="1" s="1"/>
  <c r="L199" i="1" a="1"/>
  <c r="L199" i="1" s="1"/>
  <c r="L200" i="1" a="1"/>
  <c r="L200" i="1" s="1"/>
  <c r="L201" i="1" a="1"/>
  <c r="L201" i="1" s="1"/>
  <c r="L202" i="1" a="1"/>
  <c r="L202" i="1" s="1"/>
  <c r="L203" i="1" a="1"/>
  <c r="L203" i="1" s="1"/>
  <c r="L204" i="1" a="1"/>
  <c r="L204" i="1" s="1"/>
  <c r="L205" i="1" a="1"/>
  <c r="L205" i="1" s="1"/>
  <c r="L206" i="1" a="1"/>
  <c r="L206" i="1" s="1"/>
  <c r="L207" i="1" a="1"/>
  <c r="L207" i="1" s="1"/>
  <c r="L208" i="1" a="1"/>
  <c r="L208" i="1" s="1"/>
  <c r="L209" i="1" a="1"/>
  <c r="L209" i="1" s="1"/>
  <c r="L210" i="1" a="1"/>
  <c r="L210" i="1" s="1"/>
  <c r="L211" i="1" a="1"/>
  <c r="L211" i="1" s="1"/>
  <c r="L212" i="1" a="1"/>
  <c r="L212" i="1" s="1"/>
  <c r="L213" i="1" a="1"/>
  <c r="L213" i="1" s="1"/>
  <c r="L214" i="1" a="1"/>
  <c r="L214" i="1" s="1"/>
  <c r="L215" i="1" a="1"/>
  <c r="L215" i="1" s="1"/>
  <c r="L216" i="1" a="1"/>
  <c r="L216" i="1" s="1"/>
  <c r="L217" i="1" a="1"/>
  <c r="L217" i="1" s="1"/>
  <c r="L218" i="1" a="1"/>
  <c r="L218" i="1" s="1"/>
  <c r="L219" i="1" a="1"/>
  <c r="L219" i="1" s="1"/>
  <c r="L220" i="1" a="1"/>
  <c r="L220" i="1" s="1"/>
  <c r="L221" i="1" a="1"/>
  <c r="L221" i="1" s="1"/>
  <c r="L222" i="1" a="1"/>
  <c r="L222" i="1" s="1"/>
  <c r="L223" i="1" a="1"/>
  <c r="L223" i="1" s="1"/>
  <c r="L224" i="1" a="1"/>
  <c r="L224" i="1" s="1"/>
  <c r="L225" i="1" a="1"/>
  <c r="L225" i="1" s="1"/>
  <c r="L226" i="1" a="1"/>
  <c r="L226" i="1" s="1"/>
  <c r="L227" i="1" a="1"/>
  <c r="L227" i="1" s="1"/>
  <c r="L228" i="1" a="1"/>
  <c r="L228" i="1" s="1"/>
  <c r="L229" i="1" a="1"/>
  <c r="L229" i="1" s="1"/>
  <c r="L230" i="1" a="1"/>
  <c r="L230" i="1" s="1"/>
  <c r="L231" i="1" a="1"/>
  <c r="L231" i="1" s="1"/>
  <c r="L232" i="1" a="1"/>
  <c r="L232" i="1" s="1"/>
  <c r="L233" i="1" a="1"/>
  <c r="L233" i="1" s="1"/>
  <c r="L234" i="1" a="1"/>
  <c r="L234" i="1" s="1"/>
  <c r="L235" i="1" a="1"/>
  <c r="L235" i="1" s="1"/>
  <c r="L236" i="1" a="1"/>
  <c r="L236" i="1" s="1"/>
  <c r="L237" i="1" a="1"/>
  <c r="L237" i="1" s="1"/>
  <c r="L238" i="1" a="1"/>
  <c r="L238" i="1" s="1"/>
  <c r="L239" i="1" a="1"/>
  <c r="L239" i="1" s="1"/>
  <c r="L240" i="1" a="1"/>
  <c r="L240" i="1" s="1"/>
  <c r="L241" i="1" a="1"/>
  <c r="L241" i="1" s="1"/>
  <c r="L242" i="1" a="1"/>
  <c r="L242" i="1" s="1"/>
  <c r="L243" i="1" a="1"/>
  <c r="L243" i="1" s="1"/>
  <c r="L244" i="1" a="1"/>
  <c r="L244" i="1" s="1"/>
  <c r="L245" i="1" a="1"/>
  <c r="L245" i="1" s="1"/>
  <c r="L246" i="1" a="1"/>
  <c r="L246" i="1" s="1"/>
  <c r="L247" i="1" a="1"/>
  <c r="L247" i="1" s="1"/>
  <c r="L248" i="1" a="1"/>
  <c r="L248" i="1" s="1"/>
  <c r="L249" i="1" a="1"/>
  <c r="L249" i="1" s="1"/>
  <c r="L250" i="1" a="1"/>
  <c r="L250" i="1" s="1"/>
  <c r="L251" i="1" a="1"/>
  <c r="L251" i="1" s="1"/>
  <c r="L252" i="1" a="1"/>
  <c r="L252" i="1" s="1"/>
  <c r="L253" i="1" a="1"/>
  <c r="L253" i="1" s="1"/>
  <c r="L254" i="1" a="1"/>
  <c r="L254" i="1" s="1"/>
  <c r="L255" i="1" a="1"/>
  <c r="L255" i="1" s="1"/>
  <c r="L256" i="1" a="1"/>
  <c r="L256" i="1" s="1"/>
  <c r="L257" i="1" a="1"/>
  <c r="L257" i="1" s="1"/>
  <c r="L258" i="1" a="1"/>
  <c r="L258" i="1" s="1"/>
  <c r="L259" i="1" a="1"/>
  <c r="L259" i="1" s="1"/>
  <c r="L260" i="1" a="1"/>
  <c r="L260" i="1" s="1"/>
  <c r="L261" i="1" a="1"/>
  <c r="L261" i="1" s="1"/>
  <c r="L262" i="1" a="1"/>
  <c r="L262" i="1" s="1"/>
  <c r="L263" i="1" a="1"/>
  <c r="L263" i="1" s="1"/>
  <c r="L264" i="1" a="1"/>
  <c r="L264" i="1" s="1"/>
  <c r="L265" i="1" a="1"/>
  <c r="L265" i="1" s="1"/>
  <c r="L266" i="1" a="1"/>
  <c r="L266" i="1" s="1"/>
  <c r="L267" i="1" a="1"/>
  <c r="L267" i="1" s="1"/>
  <c r="L268" i="1" a="1"/>
  <c r="L268" i="1" s="1"/>
  <c r="L269" i="1" a="1"/>
  <c r="L269" i="1" s="1"/>
  <c r="L270" i="1" a="1"/>
  <c r="L270" i="1" s="1"/>
  <c r="L271" i="1" a="1"/>
  <c r="L271" i="1" s="1"/>
  <c r="L272" i="1" a="1"/>
  <c r="L272" i="1" s="1"/>
  <c r="L273" i="1" a="1"/>
  <c r="L273" i="1" s="1"/>
  <c r="L274" i="1" a="1"/>
  <c r="L274" i="1" s="1"/>
  <c r="L275" i="1" a="1"/>
  <c r="L275" i="1" s="1"/>
  <c r="L276" i="1" a="1"/>
  <c r="L276" i="1" s="1"/>
  <c r="L277" i="1" a="1"/>
  <c r="L277" i="1" s="1"/>
  <c r="L278" i="1" a="1"/>
  <c r="L278" i="1" s="1"/>
  <c r="L279" i="1" a="1"/>
  <c r="L279" i="1" s="1"/>
  <c r="L280" i="1" a="1"/>
  <c r="L280" i="1" s="1"/>
  <c r="L281" i="1" a="1"/>
  <c r="L281" i="1" s="1"/>
  <c r="L282" i="1" a="1"/>
  <c r="L282" i="1" s="1"/>
  <c r="L283" i="1" a="1"/>
  <c r="L283" i="1" s="1"/>
  <c r="L284" i="1" a="1"/>
  <c r="L284" i="1" s="1"/>
  <c r="L285" i="1" a="1"/>
  <c r="L285" i="1" s="1"/>
  <c r="L286" i="1" a="1"/>
  <c r="L286" i="1" s="1"/>
  <c r="L287" i="1" a="1"/>
  <c r="L287" i="1" s="1"/>
  <c r="L288" i="1" a="1"/>
  <c r="L288" i="1" s="1"/>
  <c r="L289" i="1" a="1"/>
  <c r="L289" i="1" s="1"/>
  <c r="L290" i="1" a="1"/>
  <c r="L290" i="1" s="1"/>
  <c r="L291" i="1" a="1"/>
  <c r="L291" i="1" s="1"/>
  <c r="L292" i="1" a="1"/>
  <c r="L292" i="1" s="1"/>
  <c r="L293" i="1" a="1"/>
  <c r="L293" i="1" s="1"/>
  <c r="L294" i="1" a="1"/>
  <c r="L294" i="1" s="1"/>
  <c r="L295" i="1" a="1"/>
  <c r="L295" i="1" s="1"/>
  <c r="L296" i="1" a="1"/>
  <c r="L296" i="1" s="1"/>
  <c r="L297" i="1" a="1"/>
  <c r="L297" i="1" s="1"/>
  <c r="L298" i="1" a="1"/>
  <c r="L298" i="1" s="1"/>
  <c r="L299" i="1" a="1"/>
  <c r="L299" i="1" s="1"/>
  <c r="L300" i="1" a="1"/>
  <c r="L300" i="1" s="1"/>
  <c r="L301" i="1" a="1"/>
  <c r="L301" i="1" s="1"/>
  <c r="L302" i="1" a="1"/>
  <c r="L302" i="1" s="1"/>
  <c r="L303" i="1" a="1"/>
  <c r="L303" i="1" s="1"/>
  <c r="L304" i="1" a="1"/>
  <c r="L304" i="1" s="1"/>
  <c r="L305" i="1" a="1"/>
  <c r="L305" i="1" s="1"/>
  <c r="L306" i="1" a="1"/>
  <c r="L306" i="1" s="1"/>
  <c r="L307" i="1" a="1"/>
  <c r="L307" i="1" s="1"/>
  <c r="L308" i="1" a="1"/>
  <c r="L308" i="1" s="1"/>
  <c r="L309" i="1" a="1"/>
  <c r="L309" i="1" s="1"/>
  <c r="L310" i="1" a="1"/>
  <c r="L310" i="1" s="1"/>
  <c r="L311" i="1" a="1"/>
  <c r="L311" i="1" s="1"/>
  <c r="L312" i="1" a="1"/>
  <c r="L312" i="1" s="1"/>
  <c r="L313" i="1" a="1"/>
  <c r="L313" i="1" s="1"/>
  <c r="L314" i="1" a="1"/>
  <c r="L314" i="1" s="1"/>
  <c r="L315" i="1" a="1"/>
  <c r="L315" i="1" s="1"/>
  <c r="L316" i="1" a="1"/>
  <c r="L316" i="1" s="1"/>
  <c r="L317" i="1" a="1"/>
  <c r="L317" i="1" s="1"/>
  <c r="L318" i="1" a="1"/>
  <c r="L318" i="1" s="1"/>
  <c r="L319" i="1" a="1"/>
  <c r="L319" i="1" s="1"/>
  <c r="L320" i="1" a="1"/>
  <c r="L320" i="1" s="1"/>
  <c r="L321" i="1" a="1"/>
  <c r="L321" i="1" s="1"/>
  <c r="L322" i="1" a="1"/>
  <c r="L322" i="1" s="1"/>
  <c r="L323" i="1" a="1"/>
  <c r="L323" i="1" s="1"/>
  <c r="L324" i="1" a="1"/>
  <c r="L324" i="1" s="1"/>
  <c r="L325" i="1" a="1"/>
  <c r="L325" i="1" s="1"/>
  <c r="L326" i="1" a="1"/>
  <c r="L326" i="1" s="1"/>
  <c r="L327" i="1" a="1"/>
  <c r="L327" i="1" s="1"/>
  <c r="L328" i="1" a="1"/>
  <c r="L328" i="1" s="1"/>
  <c r="L329" i="1" a="1"/>
  <c r="L329" i="1" s="1"/>
  <c r="L330" i="1" a="1"/>
  <c r="L330" i="1" s="1"/>
  <c r="L331" i="1" a="1"/>
  <c r="L331" i="1" s="1"/>
  <c r="L332" i="1" a="1"/>
  <c r="L332" i="1" s="1"/>
  <c r="L333" i="1" a="1"/>
  <c r="L333" i="1" s="1"/>
  <c r="L334" i="1" a="1"/>
  <c r="L334" i="1" s="1"/>
  <c r="L335" i="1" a="1"/>
  <c r="L335" i="1" s="1"/>
  <c r="L336" i="1" a="1"/>
  <c r="L336" i="1" s="1"/>
  <c r="L337" i="1" a="1"/>
  <c r="L337" i="1" s="1"/>
  <c r="L338" i="1" a="1"/>
  <c r="L338" i="1" s="1"/>
  <c r="L339" i="1" a="1"/>
  <c r="L339" i="1" s="1"/>
  <c r="L340" i="1" a="1"/>
  <c r="L340" i="1" s="1"/>
  <c r="L341" i="1" a="1"/>
  <c r="L341" i="1" s="1"/>
  <c r="L342" i="1" a="1"/>
  <c r="L342" i="1" s="1"/>
  <c r="L343" i="1" a="1"/>
  <c r="L343" i="1" s="1"/>
  <c r="L344" i="1" a="1"/>
  <c r="L344" i="1" s="1"/>
  <c r="L345" i="1" a="1"/>
  <c r="L345" i="1" s="1"/>
  <c r="L346" i="1" a="1"/>
  <c r="L346" i="1" s="1"/>
  <c r="L347" i="1" a="1"/>
  <c r="L347" i="1" s="1"/>
  <c r="L348" i="1" a="1"/>
  <c r="L348" i="1" s="1"/>
  <c r="L349" i="1" a="1"/>
  <c r="L349" i="1" s="1"/>
  <c r="L350" i="1" a="1"/>
  <c r="L350" i="1" s="1"/>
  <c r="L351" i="1" a="1"/>
  <c r="L351" i="1" s="1"/>
  <c r="L352" i="1" a="1"/>
  <c r="L352" i="1" s="1"/>
  <c r="L353" i="1" a="1"/>
  <c r="L353" i="1" s="1"/>
  <c r="L354" i="1" a="1"/>
  <c r="L354" i="1" s="1"/>
  <c r="L355" i="1" a="1"/>
  <c r="L355" i="1" s="1"/>
  <c r="L356" i="1" a="1"/>
  <c r="L356" i="1" s="1"/>
  <c r="L357" i="1" a="1"/>
  <c r="L357" i="1" s="1"/>
  <c r="L358" i="1" a="1"/>
  <c r="L358" i="1" s="1"/>
  <c r="L359" i="1" a="1"/>
  <c r="L359" i="1" s="1"/>
  <c r="L360" i="1" a="1"/>
  <c r="L360" i="1" s="1"/>
  <c r="L361" i="1" a="1"/>
  <c r="L361" i="1" s="1"/>
  <c r="L362" i="1" a="1"/>
  <c r="L362" i="1" s="1"/>
  <c r="L363" i="1" a="1"/>
  <c r="L363" i="1" s="1"/>
  <c r="L364" i="1" a="1"/>
  <c r="L364" i="1" s="1"/>
  <c r="L365" i="1" a="1"/>
  <c r="L365" i="1" s="1"/>
  <c r="L366" i="1" a="1"/>
  <c r="L366" i="1" s="1"/>
  <c r="L367" i="1" a="1"/>
  <c r="L367" i="1" s="1"/>
  <c r="L368" i="1" a="1"/>
  <c r="L368" i="1" s="1"/>
  <c r="L369" i="1" a="1"/>
  <c r="L369" i="1" s="1"/>
  <c r="L370" i="1" a="1"/>
  <c r="L370" i="1" s="1"/>
  <c r="L371" i="1" a="1"/>
  <c r="L371" i="1" s="1"/>
  <c r="L372" i="1" a="1"/>
  <c r="L372" i="1" s="1"/>
  <c r="L373" i="1" a="1"/>
  <c r="L373" i="1" s="1"/>
  <c r="L374" i="1" a="1"/>
  <c r="L374" i="1" s="1"/>
  <c r="L375" i="1" a="1"/>
  <c r="L375" i="1" s="1"/>
  <c r="L376" i="1" a="1"/>
  <c r="L376" i="1" s="1"/>
  <c r="L377" i="1" a="1"/>
  <c r="L377" i="1" s="1"/>
  <c r="L378" i="1" a="1"/>
  <c r="L378" i="1" s="1"/>
  <c r="L379" i="1" a="1"/>
  <c r="L379" i="1" s="1"/>
  <c r="L380" i="1" a="1"/>
  <c r="L380" i="1" s="1"/>
  <c r="L381" i="1" a="1"/>
  <c r="L381" i="1" s="1"/>
  <c r="L382" i="1" a="1"/>
  <c r="L382" i="1" s="1"/>
  <c r="L383" i="1" a="1"/>
  <c r="L383" i="1" s="1"/>
  <c r="L384" i="1" a="1"/>
  <c r="L384" i="1" s="1"/>
  <c r="L385" i="1" a="1"/>
  <c r="L385" i="1" s="1"/>
  <c r="L386" i="1" a="1"/>
  <c r="L386" i="1" s="1"/>
  <c r="L387" i="1" a="1"/>
  <c r="L387" i="1" s="1"/>
  <c r="L388" i="1" a="1"/>
  <c r="L388" i="1" s="1"/>
  <c r="L389" i="1" a="1"/>
  <c r="L389" i="1" s="1"/>
  <c r="L390" i="1" a="1"/>
  <c r="L390" i="1" s="1"/>
  <c r="L391" i="1" a="1"/>
  <c r="L391" i="1" s="1"/>
  <c r="L392" i="1" a="1"/>
  <c r="L392" i="1" s="1"/>
  <c r="L393" i="1" a="1"/>
  <c r="L393" i="1" s="1"/>
  <c r="L394" i="1" a="1"/>
  <c r="L394" i="1" s="1"/>
  <c r="L395" i="1" a="1"/>
  <c r="L395" i="1" s="1"/>
  <c r="L396" i="1" a="1"/>
  <c r="L396" i="1" s="1"/>
  <c r="L397" i="1" a="1"/>
  <c r="L397" i="1" s="1"/>
  <c r="L398" i="1" a="1"/>
  <c r="L398" i="1" s="1"/>
  <c r="L399" i="1" a="1"/>
  <c r="L399" i="1" s="1"/>
  <c r="L400" i="1" a="1"/>
  <c r="L400" i="1" s="1"/>
  <c r="L401" i="1" a="1"/>
  <c r="L401" i="1" s="1"/>
  <c r="L402" i="1" a="1"/>
  <c r="L402" i="1" s="1"/>
  <c r="L403" i="1" a="1"/>
  <c r="L403" i="1" s="1"/>
  <c r="L404" i="1" a="1"/>
  <c r="L404" i="1" s="1"/>
  <c r="L405" i="1" a="1"/>
  <c r="L405" i="1" s="1"/>
  <c r="L406" i="1" a="1"/>
  <c r="L406" i="1" s="1"/>
  <c r="L407" i="1" a="1"/>
  <c r="L407" i="1" s="1"/>
  <c r="L408" i="1" a="1"/>
  <c r="L408" i="1" s="1"/>
  <c r="L409" i="1" a="1"/>
  <c r="L409" i="1" s="1"/>
  <c r="L410" i="1" a="1"/>
  <c r="L410" i="1" s="1"/>
  <c r="L411" i="1" a="1"/>
  <c r="L411" i="1" s="1"/>
  <c r="L412" i="1" a="1"/>
  <c r="L412" i="1" s="1"/>
  <c r="L413" i="1" a="1"/>
  <c r="L413" i="1" s="1"/>
  <c r="L414" i="1" a="1"/>
  <c r="L414" i="1" s="1"/>
  <c r="L415" i="1" a="1"/>
  <c r="L415" i="1" s="1"/>
  <c r="L416" i="1" a="1"/>
  <c r="L416" i="1" s="1"/>
  <c r="L417" i="1" a="1"/>
  <c r="L417" i="1" s="1"/>
  <c r="L418" i="1" a="1"/>
  <c r="L418" i="1" s="1"/>
  <c r="L419" i="1" a="1"/>
  <c r="L419" i="1" s="1"/>
  <c r="L420" i="1" a="1"/>
  <c r="L420" i="1" s="1"/>
  <c r="L421" i="1" a="1"/>
  <c r="L421" i="1" s="1"/>
  <c r="L422" i="1" a="1"/>
  <c r="L422" i="1" s="1"/>
  <c r="L423" i="1" a="1"/>
  <c r="L423" i="1" s="1"/>
  <c r="L424" i="1" a="1"/>
  <c r="L424" i="1" s="1"/>
  <c r="L425" i="1" a="1"/>
  <c r="L425" i="1" s="1"/>
  <c r="L426" i="1" a="1"/>
  <c r="L426" i="1" s="1"/>
  <c r="L427" i="1" a="1"/>
  <c r="L427" i="1" s="1"/>
  <c r="L428" i="1" a="1"/>
  <c r="L428" i="1" s="1"/>
  <c r="L429" i="1" a="1"/>
  <c r="L429" i="1" s="1"/>
  <c r="L430" i="1" a="1"/>
  <c r="L430" i="1" s="1"/>
  <c r="L431" i="1" a="1"/>
  <c r="L431" i="1" s="1"/>
  <c r="L432" i="1" a="1"/>
  <c r="L432" i="1" s="1"/>
  <c r="L433" i="1" a="1"/>
  <c r="L433" i="1" s="1"/>
  <c r="L434" i="1" a="1"/>
  <c r="L434" i="1" s="1"/>
  <c r="L435" i="1" a="1"/>
  <c r="L435" i="1" s="1"/>
  <c r="L436" i="1" a="1"/>
  <c r="L436" i="1" s="1"/>
  <c r="L437" i="1" a="1"/>
  <c r="L437" i="1" s="1"/>
  <c r="L438" i="1" a="1"/>
  <c r="L438" i="1" s="1"/>
  <c r="L439" i="1" a="1"/>
  <c r="L439" i="1" s="1"/>
  <c r="L440" i="1" a="1"/>
  <c r="L440" i="1" s="1"/>
  <c r="L441" i="1" a="1"/>
  <c r="L441" i="1" s="1"/>
  <c r="L442" i="1" a="1"/>
  <c r="L442" i="1" s="1"/>
  <c r="L443" i="1" a="1"/>
  <c r="L443" i="1" s="1"/>
  <c r="L444" i="1" a="1"/>
  <c r="L444" i="1" s="1"/>
  <c r="L445" i="1" a="1"/>
  <c r="L445" i="1" s="1"/>
  <c r="L446" i="1" a="1"/>
  <c r="L446" i="1" s="1"/>
  <c r="L447" i="1" a="1"/>
  <c r="L447" i="1" s="1"/>
  <c r="L448" i="1" a="1"/>
  <c r="L448" i="1" s="1"/>
  <c r="L449" i="1" a="1"/>
  <c r="L449" i="1" s="1"/>
  <c r="L450" i="1" a="1"/>
  <c r="L450" i="1" s="1"/>
  <c r="L451" i="1" a="1"/>
  <c r="L451" i="1" s="1"/>
  <c r="L452" i="1" a="1"/>
  <c r="L452" i="1" s="1"/>
  <c r="L453" i="1" a="1"/>
  <c r="L453" i="1" s="1"/>
  <c r="L454" i="1" a="1"/>
  <c r="L454" i="1" s="1"/>
  <c r="L455" i="1" a="1"/>
  <c r="L455" i="1" s="1"/>
  <c r="L456" i="1" a="1"/>
  <c r="L456" i="1" s="1"/>
  <c r="L457" i="1" a="1"/>
  <c r="L457" i="1" s="1"/>
  <c r="L458" i="1" a="1"/>
  <c r="L458" i="1" s="1"/>
  <c r="L459" i="1" a="1"/>
  <c r="L459" i="1" s="1"/>
  <c r="L460" i="1" a="1"/>
  <c r="L460" i="1" s="1"/>
  <c r="L461" i="1" a="1"/>
  <c r="L461" i="1" s="1"/>
  <c r="L462" i="1" a="1"/>
  <c r="L462" i="1" s="1"/>
  <c r="L463" i="1" a="1"/>
  <c r="L463" i="1" s="1"/>
  <c r="L464" i="1" a="1"/>
  <c r="L464" i="1" s="1"/>
  <c r="L465" i="1" a="1"/>
  <c r="L465" i="1" s="1"/>
  <c r="L466" i="1" a="1"/>
  <c r="L466" i="1" s="1"/>
  <c r="L467" i="1" a="1"/>
  <c r="L467" i="1" s="1"/>
  <c r="L468" i="1" a="1"/>
  <c r="L468" i="1" s="1"/>
  <c r="L469" i="1" a="1"/>
  <c r="L469" i="1" s="1"/>
  <c r="L470" i="1" a="1"/>
  <c r="L470" i="1" s="1"/>
  <c r="L471" i="1" a="1"/>
  <c r="L471" i="1" s="1"/>
  <c r="L472" i="1" a="1"/>
  <c r="L472" i="1" s="1"/>
  <c r="L473" i="1" a="1"/>
  <c r="L473" i="1" s="1"/>
  <c r="L474" i="1" a="1"/>
  <c r="L474" i="1" s="1"/>
  <c r="L475" i="1" a="1"/>
  <c r="L475" i="1" s="1"/>
  <c r="L476" i="1" a="1"/>
  <c r="L476" i="1" s="1"/>
  <c r="L477" i="1" a="1"/>
  <c r="L477" i="1" s="1"/>
  <c r="L478" i="1" a="1"/>
  <c r="L478" i="1" s="1"/>
  <c r="L479" i="1" a="1"/>
  <c r="L479" i="1" s="1"/>
  <c r="L480" i="1" a="1"/>
  <c r="L480" i="1" s="1"/>
  <c r="L481" i="1" a="1"/>
  <c r="L481" i="1" s="1"/>
  <c r="L482" i="1" a="1"/>
  <c r="L482" i="1" s="1"/>
  <c r="L483" i="1" a="1"/>
  <c r="L483" i="1" s="1"/>
  <c r="L484" i="1" a="1"/>
  <c r="L484" i="1" s="1"/>
  <c r="L485" i="1" a="1"/>
  <c r="L485" i="1" s="1"/>
  <c r="L486" i="1" a="1"/>
  <c r="L486" i="1" s="1"/>
  <c r="L487" i="1" a="1"/>
  <c r="L487" i="1" s="1"/>
  <c r="L488" i="1" a="1"/>
  <c r="L488" i="1" s="1"/>
  <c r="L489" i="1" a="1"/>
  <c r="L489" i="1" s="1"/>
  <c r="L490" i="1" a="1"/>
  <c r="L490" i="1" s="1"/>
  <c r="L491" i="1" a="1"/>
  <c r="L491" i="1" s="1"/>
  <c r="L492" i="1" a="1"/>
  <c r="L492" i="1" s="1"/>
  <c r="L493" i="1" a="1"/>
  <c r="L493" i="1" s="1"/>
  <c r="L494" i="1" a="1"/>
  <c r="L494" i="1" s="1"/>
  <c r="L495" i="1" a="1"/>
  <c r="L495" i="1" s="1"/>
  <c r="L496" i="1" a="1"/>
  <c r="L496" i="1" s="1"/>
  <c r="L497" i="1" a="1"/>
  <c r="L497" i="1" s="1"/>
  <c r="L498" i="1" a="1"/>
  <c r="L498" i="1" s="1"/>
  <c r="L499" i="1" a="1"/>
  <c r="L499" i="1" s="1"/>
  <c r="L500" i="1" a="1"/>
  <c r="L500" i="1" s="1"/>
  <c r="L501" i="1" a="1"/>
  <c r="L501" i="1" s="1"/>
  <c r="L502" i="1" a="1"/>
  <c r="L502" i="1" s="1"/>
  <c r="L503" i="1" a="1"/>
  <c r="L503" i="1" s="1"/>
  <c r="L504" i="1" a="1"/>
  <c r="L504" i="1" s="1"/>
  <c r="L505" i="1" a="1"/>
  <c r="L505" i="1" s="1"/>
  <c r="L506" i="1" a="1"/>
  <c r="L506" i="1" s="1"/>
  <c r="L507" i="1" a="1"/>
  <c r="L507" i="1" s="1"/>
  <c r="L508" i="1" a="1"/>
  <c r="L508" i="1" s="1"/>
  <c r="L509" i="1" a="1"/>
  <c r="L509" i="1" s="1"/>
  <c r="L510" i="1" a="1"/>
  <c r="L510" i="1" s="1"/>
  <c r="L511" i="1" a="1"/>
  <c r="L511" i="1" s="1"/>
  <c r="L512" i="1" a="1"/>
  <c r="L512" i="1" s="1"/>
  <c r="L513" i="1" a="1"/>
  <c r="L513" i="1" s="1"/>
  <c r="L514" i="1" a="1"/>
  <c r="L514" i="1" s="1"/>
  <c r="L515" i="1" a="1"/>
  <c r="L515" i="1" s="1"/>
  <c r="L516" i="1" a="1"/>
  <c r="L516" i="1" s="1"/>
  <c r="L517" i="1" a="1"/>
  <c r="L517" i="1" s="1"/>
  <c r="L518" i="1" a="1"/>
  <c r="L518" i="1" s="1"/>
  <c r="L519" i="1" a="1"/>
  <c r="L519" i="1" s="1"/>
  <c r="L520" i="1" a="1"/>
  <c r="L520" i="1" s="1"/>
  <c r="L521" i="1" a="1"/>
  <c r="L521" i="1" s="1"/>
  <c r="L522" i="1" a="1"/>
  <c r="L522" i="1" s="1"/>
  <c r="L523" i="1" a="1"/>
  <c r="L523" i="1" s="1"/>
  <c r="L524" i="1" a="1"/>
  <c r="L524" i="1" s="1"/>
  <c r="L525" i="1" a="1"/>
  <c r="L525" i="1" s="1"/>
  <c r="L526" i="1" a="1"/>
  <c r="L526" i="1" s="1"/>
  <c r="L527" i="1" a="1"/>
  <c r="L527" i="1" s="1"/>
  <c r="L528" i="1" a="1"/>
  <c r="L528" i="1" s="1"/>
  <c r="L529" i="1" a="1"/>
  <c r="L529" i="1" s="1"/>
  <c r="L530" i="1" a="1"/>
  <c r="L530" i="1" s="1"/>
  <c r="L531" i="1" a="1"/>
  <c r="L531" i="1" s="1"/>
  <c r="L532" i="1" a="1"/>
  <c r="L532" i="1" s="1"/>
  <c r="L533" i="1" a="1"/>
  <c r="L533" i="1" s="1"/>
  <c r="L534" i="1" a="1"/>
  <c r="L534" i="1" s="1"/>
  <c r="L535" i="1" a="1"/>
  <c r="L535" i="1" s="1"/>
  <c r="L536" i="1" a="1"/>
  <c r="L536" i="1" s="1"/>
  <c r="L537" i="1" a="1"/>
  <c r="L537" i="1" s="1"/>
  <c r="L538" i="1" a="1"/>
  <c r="L538" i="1" s="1"/>
  <c r="L539" i="1" a="1"/>
  <c r="L539" i="1" s="1"/>
  <c r="L540" i="1" a="1"/>
  <c r="L540" i="1" s="1"/>
  <c r="L541" i="1" a="1"/>
  <c r="L541" i="1" s="1"/>
  <c r="L542" i="1" a="1"/>
  <c r="L542" i="1" s="1"/>
  <c r="L543" i="1" a="1"/>
  <c r="L543" i="1" s="1"/>
  <c r="L544" i="1" a="1"/>
  <c r="L544" i="1" s="1"/>
  <c r="L545" i="1" a="1"/>
  <c r="L545" i="1" s="1"/>
  <c r="L546" i="1" a="1"/>
  <c r="L546" i="1" s="1"/>
  <c r="L547" i="1" a="1"/>
  <c r="L547" i="1" s="1"/>
  <c r="L548" i="1" a="1"/>
  <c r="L548" i="1" s="1"/>
  <c r="L549" i="1" a="1"/>
  <c r="L549" i="1" s="1"/>
  <c r="L550" i="1" a="1"/>
  <c r="L550" i="1" s="1"/>
  <c r="L551" i="1" a="1"/>
  <c r="L551" i="1" s="1"/>
  <c r="L552" i="1" a="1"/>
  <c r="L552" i="1" s="1"/>
  <c r="L553" i="1" a="1"/>
  <c r="L553" i="1" s="1"/>
  <c r="L554" i="1" a="1"/>
  <c r="L554" i="1" s="1"/>
  <c r="L555" i="1" a="1"/>
  <c r="L555" i="1" s="1"/>
  <c r="L556" i="1" a="1"/>
  <c r="L556" i="1" s="1"/>
  <c r="L557" i="1" a="1"/>
  <c r="L557" i="1" s="1"/>
  <c r="L558" i="1" a="1"/>
  <c r="L558" i="1" s="1"/>
  <c r="L559" i="1" a="1"/>
  <c r="L559" i="1" s="1"/>
  <c r="L560" i="1" a="1"/>
  <c r="L560" i="1" s="1"/>
  <c r="L561" i="1" a="1"/>
  <c r="L561" i="1" s="1"/>
  <c r="L562" i="1" a="1"/>
  <c r="L562" i="1" s="1"/>
  <c r="L563" i="1" a="1"/>
  <c r="L563" i="1" s="1"/>
  <c r="L564" i="1" a="1"/>
  <c r="L564" i="1" s="1"/>
  <c r="L565" i="1" a="1"/>
  <c r="L565" i="1" s="1"/>
  <c r="L566" i="1" a="1"/>
  <c r="L566" i="1" s="1"/>
  <c r="L567" i="1" a="1"/>
  <c r="L567" i="1" s="1"/>
  <c r="L568" i="1" a="1"/>
  <c r="L568" i="1" s="1"/>
  <c r="L569" i="1" a="1"/>
  <c r="L569" i="1" s="1"/>
  <c r="L570" i="1" a="1"/>
  <c r="L570" i="1" s="1"/>
  <c r="L571" i="1" a="1"/>
  <c r="L571" i="1" s="1"/>
  <c r="L572" i="1" a="1"/>
  <c r="L572" i="1" s="1"/>
  <c r="L573" i="1" a="1"/>
  <c r="L573" i="1" s="1"/>
  <c r="L574" i="1" a="1"/>
  <c r="L574" i="1" s="1"/>
  <c r="L575" i="1" a="1"/>
  <c r="L575" i="1" s="1"/>
  <c r="L576" i="1" a="1"/>
  <c r="L576" i="1" s="1"/>
  <c r="L577" i="1" a="1"/>
  <c r="L577" i="1" s="1"/>
  <c r="L578" i="1" a="1"/>
  <c r="L578" i="1" s="1"/>
  <c r="L579" i="1" a="1"/>
  <c r="L579" i="1" s="1"/>
  <c r="L580" i="1" a="1"/>
  <c r="L580" i="1" s="1"/>
  <c r="L581" i="1" a="1"/>
  <c r="L581" i="1" s="1"/>
  <c r="L582" i="1" a="1"/>
  <c r="L582" i="1" s="1"/>
  <c r="L583" i="1" a="1"/>
  <c r="L583" i="1" s="1"/>
  <c r="L584" i="1" a="1"/>
  <c r="L584" i="1" s="1"/>
  <c r="L585" i="1" a="1"/>
  <c r="L585" i="1" s="1"/>
  <c r="L586" i="1" a="1"/>
  <c r="L586" i="1" s="1"/>
  <c r="L587" i="1" a="1"/>
  <c r="L587" i="1" s="1"/>
  <c r="L588" i="1" a="1"/>
  <c r="L588" i="1" s="1"/>
  <c r="L589" i="1" a="1"/>
  <c r="L589" i="1" s="1"/>
  <c r="L590" i="1" a="1"/>
  <c r="L590" i="1" s="1"/>
  <c r="L591" i="1" a="1"/>
  <c r="L591" i="1" s="1"/>
  <c r="L592" i="1" a="1"/>
  <c r="L592" i="1" s="1"/>
  <c r="L593" i="1" a="1"/>
  <c r="L593" i="1" s="1"/>
  <c r="L594" i="1" a="1"/>
  <c r="L594" i="1" s="1"/>
  <c r="L595" i="1" a="1"/>
  <c r="L595" i="1" s="1"/>
  <c r="L596" i="1" a="1"/>
  <c r="L596" i="1" s="1"/>
  <c r="L597" i="1" a="1"/>
  <c r="L597" i="1" s="1"/>
  <c r="L598" i="1" a="1"/>
  <c r="L598" i="1" s="1"/>
  <c r="L599" i="1" a="1"/>
  <c r="L599" i="1" s="1"/>
  <c r="L600" i="1" a="1"/>
  <c r="L600" i="1" s="1"/>
  <c r="L601" i="1" a="1"/>
  <c r="L601" i="1" s="1"/>
  <c r="L602" i="1" a="1"/>
  <c r="L602" i="1" s="1"/>
  <c r="L603" i="1" a="1"/>
  <c r="L603" i="1" s="1"/>
  <c r="L604" i="1" a="1"/>
  <c r="L604" i="1" s="1"/>
  <c r="L605" i="1" a="1"/>
  <c r="L605" i="1" s="1"/>
  <c r="L606" i="1" a="1"/>
  <c r="L606" i="1" s="1"/>
  <c r="L607" i="1" a="1"/>
  <c r="L607" i="1" s="1"/>
  <c r="L608" i="1" a="1"/>
  <c r="L608" i="1" s="1"/>
  <c r="L609" i="1" a="1"/>
  <c r="L609" i="1" s="1"/>
  <c r="L610" i="1" a="1"/>
  <c r="L610" i="1" s="1"/>
  <c r="L611" i="1" a="1"/>
  <c r="L611" i="1" s="1"/>
  <c r="L612" i="1" a="1"/>
  <c r="L612" i="1" s="1"/>
  <c r="L613" i="1" a="1"/>
  <c r="L613" i="1" s="1"/>
  <c r="L614" i="1" a="1"/>
  <c r="L614" i="1" s="1"/>
  <c r="L615" i="1" a="1"/>
  <c r="L615" i="1" s="1"/>
  <c r="L616" i="1" a="1"/>
  <c r="L616" i="1" s="1"/>
  <c r="L617" i="1" a="1"/>
  <c r="L617" i="1" s="1"/>
  <c r="L618" i="1" a="1"/>
  <c r="L618" i="1" s="1"/>
  <c r="L619" i="1" a="1"/>
  <c r="L619" i="1" s="1"/>
  <c r="L620" i="1" a="1"/>
  <c r="L620" i="1" s="1"/>
  <c r="L621" i="1" a="1"/>
  <c r="L621" i="1" s="1"/>
  <c r="L622" i="1" a="1"/>
  <c r="L622" i="1" s="1"/>
  <c r="L623" i="1" a="1"/>
  <c r="L623" i="1" s="1"/>
  <c r="L624" i="1" a="1"/>
  <c r="L624" i="1" s="1"/>
  <c r="L625" i="1" a="1"/>
  <c r="L625" i="1" s="1"/>
  <c r="L626" i="1" a="1"/>
  <c r="L626" i="1" s="1"/>
  <c r="L627" i="1" a="1"/>
  <c r="L627" i="1" s="1"/>
  <c r="L628" i="1" a="1"/>
  <c r="L628" i="1" s="1"/>
  <c r="L629" i="1" a="1"/>
  <c r="L629" i="1" s="1"/>
  <c r="L630" i="1" a="1"/>
  <c r="L630" i="1" s="1"/>
  <c r="L631" i="1" a="1"/>
  <c r="L631" i="1" s="1"/>
  <c r="L632" i="1" a="1"/>
  <c r="L632" i="1" s="1"/>
  <c r="L633" i="1" a="1"/>
  <c r="L633" i="1" s="1"/>
  <c r="L634" i="1" a="1"/>
  <c r="L634" i="1" s="1"/>
  <c r="L635" i="1" a="1"/>
  <c r="L635" i="1" s="1"/>
  <c r="L636" i="1" a="1"/>
  <c r="L636" i="1" s="1"/>
  <c r="L637" i="1" a="1"/>
  <c r="L637" i="1" s="1"/>
  <c r="L638" i="1" a="1"/>
  <c r="L638" i="1" s="1"/>
  <c r="L639" i="1" a="1"/>
  <c r="L639" i="1" s="1"/>
  <c r="L640" i="1" a="1"/>
  <c r="L640" i="1" s="1"/>
  <c r="L641" i="1" a="1"/>
  <c r="L641" i="1" s="1"/>
  <c r="L642" i="1" a="1"/>
  <c r="L642" i="1" s="1"/>
  <c r="L643" i="1" a="1"/>
  <c r="L643" i="1" s="1"/>
  <c r="L644" i="1" a="1"/>
  <c r="L644" i="1" s="1"/>
  <c r="L645" i="1" a="1"/>
  <c r="L645" i="1" s="1"/>
  <c r="L646" i="1" a="1"/>
  <c r="L646" i="1" s="1"/>
  <c r="L647" i="1" a="1"/>
  <c r="L647" i="1" s="1"/>
  <c r="L648" i="1" a="1"/>
  <c r="L648" i="1" s="1"/>
  <c r="L649" i="1" a="1"/>
  <c r="L649" i="1" s="1"/>
  <c r="L650" i="1" a="1"/>
  <c r="L650" i="1" s="1"/>
  <c r="L651" i="1" a="1"/>
  <c r="L651" i="1" s="1"/>
  <c r="L652" i="1" a="1"/>
  <c r="L652" i="1" s="1"/>
  <c r="L653" i="1" a="1"/>
  <c r="L653" i="1" s="1"/>
  <c r="L654" i="1" a="1"/>
  <c r="L654" i="1" s="1"/>
  <c r="L655" i="1" a="1"/>
  <c r="L655" i="1" s="1"/>
  <c r="L656" i="1" a="1"/>
  <c r="L656" i="1" s="1"/>
  <c r="L657" i="1" a="1"/>
  <c r="L657" i="1" s="1"/>
  <c r="L658" i="1" a="1"/>
  <c r="L658" i="1" s="1"/>
  <c r="L659" i="1" a="1"/>
  <c r="L659" i="1" s="1"/>
  <c r="L660" i="1" a="1"/>
  <c r="L660" i="1" s="1"/>
  <c r="L661" i="1" a="1"/>
  <c r="L661" i="1" s="1"/>
  <c r="L662" i="1" a="1"/>
  <c r="L662" i="1" s="1"/>
  <c r="L663" i="1" a="1"/>
  <c r="L663" i="1" s="1"/>
  <c r="L664" i="1" a="1"/>
  <c r="L664" i="1" s="1"/>
  <c r="L665" i="1" a="1"/>
  <c r="L665" i="1" s="1"/>
  <c r="L666" i="1" a="1"/>
  <c r="L666" i="1" s="1"/>
  <c r="L667" i="1" a="1"/>
  <c r="L667" i="1" s="1"/>
  <c r="L668" i="1" a="1"/>
  <c r="L668" i="1" s="1"/>
  <c r="L669" i="1" a="1"/>
  <c r="L669" i="1" s="1"/>
  <c r="L670" i="1" a="1"/>
  <c r="L670" i="1" s="1"/>
  <c r="L671" i="1" a="1"/>
  <c r="L671" i="1" s="1"/>
  <c r="L672" i="1" a="1"/>
  <c r="L672" i="1" s="1"/>
  <c r="L673" i="1" a="1"/>
  <c r="L673" i="1" s="1"/>
  <c r="L674" i="1" a="1"/>
  <c r="L674" i="1" s="1"/>
  <c r="L675" i="1" a="1"/>
  <c r="L675" i="1" s="1"/>
  <c r="L676" i="1" a="1"/>
  <c r="L676" i="1" s="1"/>
  <c r="L677" i="1" a="1"/>
  <c r="L677" i="1" s="1"/>
  <c r="L678" i="1" a="1"/>
  <c r="L678" i="1" s="1"/>
  <c r="L679" i="1" a="1"/>
  <c r="L679" i="1" s="1"/>
  <c r="L680" i="1" a="1"/>
  <c r="L680" i="1" s="1"/>
  <c r="L681" i="1" a="1"/>
  <c r="L681" i="1" s="1"/>
  <c r="L682" i="1" a="1"/>
  <c r="L682" i="1" s="1"/>
  <c r="L683" i="1" a="1"/>
  <c r="L683" i="1" s="1"/>
  <c r="L684" i="1" a="1"/>
  <c r="L684" i="1" s="1"/>
  <c r="L685" i="1" a="1"/>
  <c r="L685" i="1" s="1"/>
  <c r="L686" i="1" a="1"/>
  <c r="L686" i="1" s="1"/>
  <c r="L687" i="1" a="1"/>
  <c r="L687" i="1" s="1"/>
  <c r="L688" i="1" a="1"/>
  <c r="L688" i="1" s="1"/>
  <c r="L689" i="1" a="1"/>
  <c r="L689" i="1" s="1"/>
  <c r="L690" i="1" a="1"/>
  <c r="L690" i="1" s="1"/>
  <c r="L691" i="1" a="1"/>
  <c r="L691" i="1" s="1"/>
  <c r="L692" i="1" a="1"/>
  <c r="L692" i="1" s="1"/>
  <c r="L693" i="1" a="1"/>
  <c r="L693" i="1" s="1"/>
  <c r="L694" i="1" a="1"/>
  <c r="L694" i="1" s="1"/>
  <c r="L695" i="1" a="1"/>
  <c r="L695" i="1" s="1"/>
  <c r="L696" i="1" a="1"/>
  <c r="L696" i="1" s="1"/>
  <c r="L697" i="1" a="1"/>
  <c r="L697" i="1" s="1"/>
  <c r="L698" i="1" a="1"/>
  <c r="L698" i="1" s="1"/>
  <c r="L699" i="1" a="1"/>
  <c r="L699" i="1" s="1"/>
  <c r="L700" i="1" a="1"/>
  <c r="L700" i="1" s="1"/>
  <c r="L701" i="1" a="1"/>
  <c r="L701" i="1" s="1"/>
  <c r="L702" i="1" a="1"/>
  <c r="L702" i="1" s="1"/>
  <c r="L703" i="1" a="1"/>
  <c r="L703" i="1" s="1"/>
  <c r="L704" i="1" a="1"/>
  <c r="L704" i="1" s="1"/>
  <c r="L705" i="1" a="1"/>
  <c r="L705" i="1" s="1"/>
  <c r="L706" i="1" a="1"/>
  <c r="L706" i="1" s="1"/>
  <c r="L707" i="1" a="1"/>
  <c r="L707" i="1" s="1"/>
  <c r="L708" i="1" a="1"/>
  <c r="L708" i="1" s="1"/>
  <c r="L709" i="1" a="1"/>
  <c r="L709" i="1" s="1"/>
  <c r="L710" i="1" a="1"/>
  <c r="L710" i="1" s="1"/>
  <c r="L711" i="1" a="1"/>
  <c r="L711" i="1" s="1"/>
  <c r="L712" i="1" a="1"/>
  <c r="L712" i="1" s="1"/>
  <c r="L713" i="1" a="1"/>
  <c r="L713" i="1" s="1"/>
  <c r="L714" i="1" a="1"/>
  <c r="L714" i="1" s="1"/>
  <c r="L715" i="1" a="1"/>
  <c r="L715" i="1" s="1"/>
  <c r="L716" i="1" a="1"/>
  <c r="L716" i="1" s="1"/>
  <c r="L2" i="1" a="1"/>
  <c r="L2" i="1" s="1"/>
  <c r="K3" i="1" a="1"/>
  <c r="K3" i="1"/>
  <c r="K4" i="1" a="1"/>
  <c r="K4" i="1"/>
  <c r="K5" i="1" a="1"/>
  <c r="K5" i="1"/>
  <c r="K6" i="1" a="1"/>
  <c r="K6" i="1"/>
  <c r="K7" i="1" a="1"/>
  <c r="K7" i="1"/>
  <c r="K8" i="1" a="1"/>
  <c r="K8" i="1"/>
  <c r="K9" i="1" a="1"/>
  <c r="K9" i="1"/>
  <c r="K10" i="1" a="1"/>
  <c r="K10" i="1"/>
  <c r="K11" i="1" a="1"/>
  <c r="K11" i="1"/>
  <c r="K12" i="1" a="1"/>
  <c r="K12" i="1"/>
  <c r="K13" i="1" a="1"/>
  <c r="K13" i="1"/>
  <c r="K14" i="1" a="1"/>
  <c r="K14" i="1"/>
  <c r="K15" i="1" a="1"/>
  <c r="K15" i="1"/>
  <c r="K16" i="1" a="1"/>
  <c r="K16" i="1"/>
  <c r="K17" i="1" a="1"/>
  <c r="K17" i="1"/>
  <c r="K18" i="1" a="1"/>
  <c r="K18" i="1"/>
  <c r="K19" i="1" a="1"/>
  <c r="K19" i="1"/>
  <c r="K20" i="1" a="1"/>
  <c r="K20" i="1"/>
  <c r="K21" i="1" a="1"/>
  <c r="K21" i="1"/>
  <c r="K22" i="1" a="1"/>
  <c r="K22" i="1"/>
  <c r="K23" i="1" a="1"/>
  <c r="K23" i="1"/>
  <c r="K24" i="1" a="1"/>
  <c r="K24" i="1"/>
  <c r="K25" i="1" a="1"/>
  <c r="K25" i="1"/>
  <c r="K26" i="1" a="1"/>
  <c r="K26" i="1"/>
  <c r="K27" i="1" a="1"/>
  <c r="K27" i="1"/>
  <c r="K28" i="1" a="1"/>
  <c r="K28" i="1"/>
  <c r="K29" i="1" a="1"/>
  <c r="K29" i="1"/>
  <c r="K30" i="1" a="1"/>
  <c r="K30" i="1"/>
  <c r="K31" i="1" a="1"/>
  <c r="K31" i="1"/>
  <c r="K32" i="1" a="1"/>
  <c r="K32" i="1"/>
  <c r="K33" i="1" a="1"/>
  <c r="K33" i="1"/>
  <c r="K34" i="1" a="1"/>
  <c r="K34" i="1"/>
  <c r="K35" i="1" a="1"/>
  <c r="K35" i="1"/>
  <c r="K36" i="1" a="1"/>
  <c r="K36" i="1"/>
  <c r="K37" i="1" a="1"/>
  <c r="K37" i="1"/>
  <c r="K38" i="1" a="1"/>
  <c r="K38" i="1"/>
  <c r="K39" i="1" a="1"/>
  <c r="K39" i="1"/>
  <c r="K40" i="1" a="1"/>
  <c r="K40" i="1"/>
  <c r="K41" i="1" a="1"/>
  <c r="K41" i="1"/>
  <c r="K42" i="1" a="1"/>
  <c r="K42" i="1"/>
  <c r="K43" i="1" a="1"/>
  <c r="K43" i="1"/>
  <c r="K44" i="1" a="1"/>
  <c r="K44" i="1"/>
  <c r="K45" i="1" a="1"/>
  <c r="K45" i="1"/>
  <c r="K46" i="1" a="1"/>
  <c r="K46" i="1"/>
  <c r="K47" i="1" a="1"/>
  <c r="K47" i="1"/>
  <c r="K48" i="1" a="1"/>
  <c r="K48" i="1"/>
  <c r="K49" i="1" a="1"/>
  <c r="K49" i="1"/>
  <c r="K50" i="1" a="1"/>
  <c r="K50" i="1"/>
  <c r="K51" i="1" a="1"/>
  <c r="K51" i="1"/>
  <c r="K52" i="1" a="1"/>
  <c r="K52" i="1"/>
  <c r="K53" i="1" a="1"/>
  <c r="K53" i="1"/>
  <c r="K54" i="1" a="1"/>
  <c r="K54" i="1"/>
  <c r="K55" i="1" a="1"/>
  <c r="K55" i="1"/>
  <c r="K56" i="1" a="1"/>
  <c r="K56" i="1"/>
  <c r="K57" i="1" a="1"/>
  <c r="K57" i="1"/>
  <c r="K58" i="1" a="1"/>
  <c r="K58" i="1"/>
  <c r="K59" i="1" a="1"/>
  <c r="K59" i="1"/>
  <c r="K60" i="1" a="1"/>
  <c r="K60" i="1"/>
  <c r="K61" i="1" a="1"/>
  <c r="K61" i="1"/>
  <c r="K62" i="1" a="1"/>
  <c r="K62" i="1"/>
  <c r="K63" i="1" a="1"/>
  <c r="K63" i="1"/>
  <c r="K64" i="1" a="1"/>
  <c r="K64" i="1"/>
  <c r="K65" i="1" a="1"/>
  <c r="K65" i="1"/>
  <c r="K66" i="1" a="1"/>
  <c r="K66" i="1"/>
  <c r="K67" i="1" a="1"/>
  <c r="K67" i="1"/>
  <c r="K68" i="1" a="1"/>
  <c r="K68" i="1"/>
  <c r="K69" i="1" a="1"/>
  <c r="K69" i="1"/>
  <c r="K70" i="1" a="1"/>
  <c r="K70" i="1"/>
  <c r="K71" i="1" a="1"/>
  <c r="K71" i="1"/>
  <c r="K72" i="1" a="1"/>
  <c r="K72" i="1"/>
  <c r="K73" i="1" a="1"/>
  <c r="K73" i="1"/>
  <c r="K74" i="1" a="1"/>
  <c r="K74" i="1"/>
  <c r="K75" i="1" a="1"/>
  <c r="K75" i="1"/>
  <c r="K76" i="1" a="1"/>
  <c r="K76" i="1"/>
  <c r="K77" i="1" a="1"/>
  <c r="K77" i="1"/>
  <c r="K78" i="1" a="1"/>
  <c r="K78" i="1"/>
  <c r="K79" i="1" a="1"/>
  <c r="K79" i="1"/>
  <c r="K80" i="1" a="1"/>
  <c r="K80" i="1"/>
  <c r="K81" i="1" a="1"/>
  <c r="K81" i="1"/>
  <c r="K82" i="1" a="1"/>
  <c r="K82" i="1"/>
  <c r="K83" i="1" a="1"/>
  <c r="K83" i="1"/>
  <c r="K84" i="1" a="1"/>
  <c r="K84" i="1"/>
  <c r="K85" i="1" a="1"/>
  <c r="K85" i="1"/>
  <c r="K86" i="1" a="1"/>
  <c r="K86" i="1"/>
  <c r="K87" i="1" a="1"/>
  <c r="K87" i="1"/>
  <c r="K88" i="1" a="1"/>
  <c r="K88" i="1"/>
  <c r="K89" i="1" a="1"/>
  <c r="K89" i="1"/>
  <c r="K90" i="1" a="1"/>
  <c r="K90" i="1"/>
  <c r="K91" i="1" a="1"/>
  <c r="K91" i="1"/>
  <c r="K92" i="1" a="1"/>
  <c r="K92" i="1"/>
  <c r="K93" i="1" a="1"/>
  <c r="K93" i="1"/>
  <c r="K94" i="1" a="1"/>
  <c r="K94" i="1"/>
  <c r="K95" i="1" a="1"/>
  <c r="K95" i="1"/>
  <c r="K96" i="1" a="1"/>
  <c r="K96" i="1"/>
  <c r="K97" i="1" a="1"/>
  <c r="K97" i="1"/>
  <c r="K98" i="1" a="1"/>
  <c r="K98" i="1"/>
  <c r="K99" i="1" a="1"/>
  <c r="K99" i="1"/>
  <c r="K100" i="1" a="1"/>
  <c r="K100" i="1"/>
  <c r="K101" i="1" a="1"/>
  <c r="K101" i="1"/>
  <c r="K102" i="1" a="1"/>
  <c r="K102" i="1"/>
  <c r="K103" i="1" a="1"/>
  <c r="K103" i="1"/>
  <c r="K104" i="1" a="1"/>
  <c r="K104" i="1"/>
  <c r="K105" i="1" a="1"/>
  <c r="K105" i="1"/>
  <c r="K106" i="1" a="1"/>
  <c r="K106" i="1"/>
  <c r="K107" i="1" a="1"/>
  <c r="K107" i="1"/>
  <c r="K108" i="1" a="1"/>
  <c r="K108" i="1"/>
  <c r="K109" i="1" a="1"/>
  <c r="K109" i="1"/>
  <c r="K110" i="1" a="1"/>
  <c r="K110" i="1"/>
  <c r="K111" i="1" a="1"/>
  <c r="K111" i="1" s="1"/>
  <c r="K112" i="1" a="1"/>
  <c r="K112" i="1"/>
  <c r="K113" i="1" a="1"/>
  <c r="K113" i="1"/>
  <c r="K114" i="1" a="1"/>
  <c r="K114" i="1"/>
  <c r="K115" i="1" a="1"/>
  <c r="K115" i="1"/>
  <c r="K116" i="1" a="1"/>
  <c r="K116" i="1"/>
  <c r="K117" i="1" a="1"/>
  <c r="K117" i="1"/>
  <c r="K118" i="1" a="1"/>
  <c r="K118" i="1"/>
  <c r="K119" i="1" a="1"/>
  <c r="K119" i="1"/>
  <c r="K120" i="1" a="1"/>
  <c r="K120" i="1"/>
  <c r="K121" i="1" a="1"/>
  <c r="K121" i="1"/>
  <c r="K122" i="1" a="1"/>
  <c r="K122" i="1"/>
  <c r="K123" i="1" a="1"/>
  <c r="K123" i="1"/>
  <c r="K124" i="1" a="1"/>
  <c r="K124" i="1"/>
  <c r="K125" i="1" a="1"/>
  <c r="K125" i="1"/>
  <c r="K126" i="1" a="1"/>
  <c r="K126" i="1"/>
  <c r="K127" i="1" a="1"/>
  <c r="K127" i="1"/>
  <c r="K128" i="1" a="1"/>
  <c r="K128" i="1"/>
  <c r="K129" i="1" a="1"/>
  <c r="K129" i="1"/>
  <c r="K130" i="1" a="1"/>
  <c r="K130" i="1"/>
  <c r="K131" i="1" a="1"/>
  <c r="K131" i="1"/>
  <c r="K132" i="1" a="1"/>
  <c r="K132" i="1"/>
  <c r="K133" i="1" a="1"/>
  <c r="K133" i="1"/>
  <c r="K134" i="1" a="1"/>
  <c r="K134" i="1"/>
  <c r="K135" i="1" a="1"/>
  <c r="K135" i="1"/>
  <c r="K136" i="1" a="1"/>
  <c r="K136" i="1"/>
  <c r="K137" i="1" a="1"/>
  <c r="K137" i="1"/>
  <c r="K138" i="1" a="1"/>
  <c r="K138" i="1"/>
  <c r="K139" i="1" a="1"/>
  <c r="K139" i="1"/>
  <c r="K140" i="1" a="1"/>
  <c r="K140" i="1"/>
  <c r="K141" i="1" a="1"/>
  <c r="K141" i="1"/>
  <c r="K142" i="1" a="1"/>
  <c r="K142" i="1"/>
  <c r="K143" i="1" a="1"/>
  <c r="K143" i="1"/>
  <c r="K144" i="1" a="1"/>
  <c r="K144" i="1"/>
  <c r="K145" i="1" a="1"/>
  <c r="K145" i="1"/>
  <c r="K146" i="1" a="1"/>
  <c r="K146" i="1"/>
  <c r="K147" i="1" a="1"/>
  <c r="K147" i="1"/>
  <c r="K148" i="1" a="1"/>
  <c r="K148" i="1"/>
  <c r="K149" i="1" a="1"/>
  <c r="K149" i="1"/>
  <c r="K150" i="1" a="1"/>
  <c r="K150" i="1"/>
  <c r="K151" i="1" a="1"/>
  <c r="K151" i="1"/>
  <c r="K152" i="1" a="1"/>
  <c r="K152" i="1"/>
  <c r="K153" i="1" a="1"/>
  <c r="K153" i="1"/>
  <c r="K154" i="1" a="1"/>
  <c r="K154" i="1"/>
  <c r="K155" i="1" a="1"/>
  <c r="K155" i="1"/>
  <c r="K156" i="1" a="1"/>
  <c r="K156" i="1"/>
  <c r="K157" i="1" a="1"/>
  <c r="K157" i="1"/>
  <c r="K158" i="1" a="1"/>
  <c r="K158" i="1"/>
  <c r="K159" i="1" a="1"/>
  <c r="K159" i="1"/>
  <c r="K160" i="1" a="1"/>
  <c r="K160" i="1"/>
  <c r="K161" i="1" a="1"/>
  <c r="K161" i="1"/>
  <c r="K162" i="1" a="1"/>
  <c r="K162" i="1"/>
  <c r="K163" i="1" a="1"/>
  <c r="K163" i="1"/>
  <c r="K164" i="1" a="1"/>
  <c r="K164" i="1"/>
  <c r="K165" i="1" a="1"/>
  <c r="K165" i="1"/>
  <c r="K166" i="1" a="1"/>
  <c r="K166" i="1"/>
  <c r="K167" i="1" a="1"/>
  <c r="K167" i="1"/>
  <c r="K168" i="1" a="1"/>
  <c r="K168" i="1"/>
  <c r="K169" i="1" a="1"/>
  <c r="K169" i="1"/>
  <c r="K170" i="1" a="1"/>
  <c r="K170" i="1"/>
  <c r="K171" i="1" a="1"/>
  <c r="K171" i="1"/>
  <c r="K172" i="1" a="1"/>
  <c r="K172" i="1" s="1"/>
  <c r="K173" i="1" a="1"/>
  <c r="K173" i="1" s="1"/>
  <c r="K174" i="1" a="1"/>
  <c r="K174" i="1" s="1"/>
  <c r="K175" i="1" a="1"/>
  <c r="K175" i="1" s="1"/>
  <c r="K176" i="1" a="1"/>
  <c r="K176" i="1" s="1"/>
  <c r="K177" i="1" a="1"/>
  <c r="K177" i="1" s="1"/>
  <c r="K178" i="1" a="1"/>
  <c r="K178" i="1" s="1"/>
  <c r="K179" i="1" a="1"/>
  <c r="K179" i="1" s="1"/>
  <c r="K180" i="1" a="1"/>
  <c r="K180" i="1" s="1"/>
  <c r="K181" i="1" a="1"/>
  <c r="K181" i="1" s="1"/>
  <c r="K182" i="1" a="1"/>
  <c r="K182" i="1"/>
  <c r="K183" i="1" a="1"/>
  <c r="K183" i="1"/>
  <c r="K184" i="1" a="1"/>
  <c r="K184" i="1"/>
  <c r="K185" i="1" a="1"/>
  <c r="K185" i="1"/>
  <c r="K186" i="1" a="1"/>
  <c r="K186" i="1"/>
  <c r="K187" i="1" a="1"/>
  <c r="K187" i="1"/>
  <c r="K188" i="1" a="1"/>
  <c r="K188" i="1"/>
  <c r="K189" i="1" a="1"/>
  <c r="K189" i="1"/>
  <c r="K190" i="1" a="1"/>
  <c r="K190" i="1"/>
  <c r="K191" i="1" a="1"/>
  <c r="K191" i="1"/>
  <c r="K192" i="1" a="1"/>
  <c r="K192" i="1"/>
  <c r="K193" i="1" a="1"/>
  <c r="K193" i="1"/>
  <c r="K194" i="1" a="1"/>
  <c r="K194" i="1"/>
  <c r="K195" i="1" a="1"/>
  <c r="K195" i="1"/>
  <c r="K196" i="1" a="1"/>
  <c r="K196" i="1"/>
  <c r="K197" i="1" a="1"/>
  <c r="K197" i="1"/>
  <c r="K198" i="1" a="1"/>
  <c r="K198" i="1"/>
  <c r="K199" i="1" a="1"/>
  <c r="K199" i="1"/>
  <c r="K200" i="1" a="1"/>
  <c r="K200" i="1"/>
  <c r="K201" i="1" a="1"/>
  <c r="K201" i="1"/>
  <c r="K202" i="1" a="1"/>
  <c r="K202" i="1"/>
  <c r="K203" i="1" a="1"/>
  <c r="K203" i="1"/>
  <c r="K204" i="1" a="1"/>
  <c r="K204" i="1"/>
  <c r="K205" i="1" a="1"/>
  <c r="K205" i="1"/>
  <c r="K206" i="1" a="1"/>
  <c r="K206" i="1"/>
  <c r="K207" i="1" a="1"/>
  <c r="K207" i="1"/>
  <c r="K208" i="1" a="1"/>
  <c r="K208" i="1"/>
  <c r="K209" i="1" a="1"/>
  <c r="K209" i="1"/>
  <c r="K210" i="1" a="1"/>
  <c r="K210" i="1"/>
  <c r="K211" i="1" a="1"/>
  <c r="K211" i="1"/>
  <c r="K212" i="1" a="1"/>
  <c r="K212" i="1"/>
  <c r="K213" i="1" a="1"/>
  <c r="K213" i="1"/>
  <c r="K214" i="1" a="1"/>
  <c r="K214" i="1"/>
  <c r="K215" i="1" a="1"/>
  <c r="K215" i="1"/>
  <c r="K216" i="1" a="1"/>
  <c r="K216" i="1"/>
  <c r="K217" i="1" a="1"/>
  <c r="K217" i="1"/>
  <c r="K218" i="1" a="1"/>
  <c r="K218" i="1"/>
  <c r="K219" i="1" a="1"/>
  <c r="K219" i="1"/>
  <c r="K220" i="1" a="1"/>
  <c r="K220" i="1"/>
  <c r="K221" i="1" a="1"/>
  <c r="K221" i="1"/>
  <c r="K222" i="1" a="1"/>
  <c r="K222" i="1"/>
  <c r="K223" i="1" a="1"/>
  <c r="K223" i="1"/>
  <c r="K224" i="1" a="1"/>
  <c r="K224" i="1"/>
  <c r="K225" i="1" a="1"/>
  <c r="K225" i="1"/>
  <c r="K226" i="1" a="1"/>
  <c r="K226" i="1"/>
  <c r="K227" i="1" a="1"/>
  <c r="K227" i="1"/>
  <c r="K228" i="1" a="1"/>
  <c r="K228" i="1"/>
  <c r="K229" i="1" a="1"/>
  <c r="K229" i="1"/>
  <c r="K230" i="1" a="1"/>
  <c r="K230" i="1"/>
  <c r="K231" i="1" a="1"/>
  <c r="K231" i="1"/>
  <c r="K232" i="1" a="1"/>
  <c r="K232" i="1"/>
  <c r="K233" i="1" a="1"/>
  <c r="K233" i="1"/>
  <c r="K234" i="1" a="1"/>
  <c r="K234" i="1"/>
  <c r="K235" i="1" a="1"/>
  <c r="K235" i="1"/>
  <c r="K236" i="1" a="1"/>
  <c r="K236" i="1"/>
  <c r="K237" i="1" a="1"/>
  <c r="K237" i="1"/>
  <c r="K238" i="1" a="1"/>
  <c r="K238" i="1"/>
  <c r="K239" i="1" a="1"/>
  <c r="K239" i="1"/>
  <c r="K240" i="1" a="1"/>
  <c r="K240" i="1"/>
  <c r="K241" i="1" a="1"/>
  <c r="K241" i="1"/>
  <c r="K242" i="1" a="1"/>
  <c r="K242" i="1"/>
  <c r="K243" i="1" a="1"/>
  <c r="K243" i="1" s="1"/>
  <c r="K244" i="1" a="1"/>
  <c r="K244" i="1"/>
  <c r="K245" i="1" a="1"/>
  <c r="K245" i="1"/>
  <c r="K246" i="1" a="1"/>
  <c r="K246" i="1"/>
  <c r="K247" i="1" a="1"/>
  <c r="K247" i="1"/>
  <c r="K248" i="1" a="1"/>
  <c r="K248" i="1"/>
  <c r="K249" i="1" a="1"/>
  <c r="K249" i="1"/>
  <c r="K250" i="1" a="1"/>
  <c r="K250" i="1"/>
  <c r="K251" i="1" a="1"/>
  <c r="K251" i="1"/>
  <c r="K252" i="1" a="1"/>
  <c r="K252" i="1"/>
  <c r="K253" i="1" a="1"/>
  <c r="K253" i="1"/>
  <c r="K254" i="1" a="1"/>
  <c r="K254" i="1"/>
  <c r="K255" i="1" a="1"/>
  <c r="K255" i="1"/>
  <c r="K256" i="1" a="1"/>
  <c r="K256" i="1"/>
  <c r="K257" i="1" a="1"/>
  <c r="K257" i="1"/>
  <c r="K258" i="1" a="1"/>
  <c r="K258" i="1"/>
  <c r="K259" i="1" a="1"/>
  <c r="K259" i="1"/>
  <c r="K260" i="1" a="1"/>
  <c r="K260" i="1"/>
  <c r="K261" i="1" a="1"/>
  <c r="K261" i="1"/>
  <c r="K262" i="1" a="1"/>
  <c r="K262" i="1"/>
  <c r="K263" i="1" a="1"/>
  <c r="K263" i="1"/>
  <c r="K264" i="1" a="1"/>
  <c r="K264" i="1"/>
  <c r="K265" i="1" a="1"/>
  <c r="K265" i="1"/>
  <c r="K266" i="1" a="1"/>
  <c r="K266" i="1"/>
  <c r="K267" i="1" a="1"/>
  <c r="K267" i="1"/>
  <c r="K268" i="1" a="1"/>
  <c r="K268" i="1"/>
  <c r="K269" i="1" a="1"/>
  <c r="K269" i="1"/>
  <c r="K270" i="1" a="1"/>
  <c r="K270" i="1"/>
  <c r="K271" i="1" a="1"/>
  <c r="K271" i="1"/>
  <c r="K272" i="1" a="1"/>
  <c r="K272" i="1"/>
  <c r="K273" i="1" a="1"/>
  <c r="K273" i="1"/>
  <c r="K274" i="1" a="1"/>
  <c r="K274" i="1"/>
  <c r="K275" i="1" a="1"/>
  <c r="K275" i="1"/>
  <c r="K276" i="1" a="1"/>
  <c r="K276" i="1"/>
  <c r="K277" i="1" a="1"/>
  <c r="K277" i="1"/>
  <c r="K278" i="1" a="1"/>
  <c r="K278" i="1"/>
  <c r="K279" i="1" a="1"/>
  <c r="K279" i="1"/>
  <c r="K280" i="1" a="1"/>
  <c r="K280" i="1"/>
  <c r="K281" i="1" a="1"/>
  <c r="K281" i="1"/>
  <c r="K282" i="1" a="1"/>
  <c r="K282" i="1"/>
  <c r="K283" i="1" a="1"/>
  <c r="K283" i="1"/>
  <c r="K284" i="1" a="1"/>
  <c r="K284" i="1"/>
  <c r="K285" i="1" a="1"/>
  <c r="K285" i="1"/>
  <c r="K286" i="1" a="1"/>
  <c r="K286" i="1"/>
  <c r="K287" i="1" a="1"/>
  <c r="K287" i="1"/>
  <c r="K288" i="1" a="1"/>
  <c r="K288" i="1"/>
  <c r="K289" i="1" a="1"/>
  <c r="K289" i="1"/>
  <c r="K290" i="1" a="1"/>
  <c r="K290" i="1"/>
  <c r="K291" i="1" a="1"/>
  <c r="K291" i="1"/>
  <c r="K292" i="1" a="1"/>
  <c r="K292" i="1"/>
  <c r="K293" i="1" a="1"/>
  <c r="K293" i="1"/>
  <c r="K294" i="1" a="1"/>
  <c r="K294" i="1"/>
  <c r="K295" i="1" a="1"/>
  <c r="K295" i="1"/>
  <c r="K296" i="1" a="1"/>
  <c r="K296" i="1"/>
  <c r="K297" i="1" a="1"/>
  <c r="K297" i="1"/>
  <c r="K298" i="1" a="1"/>
  <c r="K298" i="1"/>
  <c r="K299" i="1" a="1"/>
  <c r="K299" i="1"/>
  <c r="K300" i="1" a="1"/>
  <c r="K300" i="1"/>
  <c r="K301" i="1" a="1"/>
  <c r="K301" i="1"/>
  <c r="K302" i="1" a="1"/>
  <c r="K302" i="1"/>
  <c r="K303" i="1" a="1"/>
  <c r="K303" i="1"/>
  <c r="K304" i="1" a="1"/>
  <c r="K304" i="1"/>
  <c r="K305" i="1" a="1"/>
  <c r="K305" i="1"/>
  <c r="K306" i="1" a="1"/>
  <c r="K306" i="1"/>
  <c r="K307" i="1" a="1"/>
  <c r="K307" i="1"/>
  <c r="K308" i="1" a="1"/>
  <c r="K308" i="1"/>
  <c r="K309" i="1" a="1"/>
  <c r="K309" i="1"/>
  <c r="K310" i="1" a="1"/>
  <c r="K310" i="1"/>
  <c r="K311" i="1" a="1"/>
  <c r="K311" i="1"/>
  <c r="K312" i="1" a="1"/>
  <c r="K312" i="1"/>
  <c r="K313" i="1" a="1"/>
  <c r="K313" i="1"/>
  <c r="K314" i="1" a="1"/>
  <c r="K314" i="1"/>
  <c r="K315" i="1" a="1"/>
  <c r="K315" i="1"/>
  <c r="K316" i="1" a="1"/>
  <c r="K316" i="1"/>
  <c r="K317" i="1" a="1"/>
  <c r="K317" i="1"/>
  <c r="K318" i="1" a="1"/>
  <c r="K318" i="1"/>
  <c r="K319" i="1" a="1"/>
  <c r="K319" i="1"/>
  <c r="K320" i="1" a="1"/>
  <c r="K320" i="1"/>
  <c r="K321" i="1" a="1"/>
  <c r="K321" i="1"/>
  <c r="K322" i="1" a="1"/>
  <c r="K322" i="1"/>
  <c r="K323" i="1" a="1"/>
  <c r="K323" i="1"/>
  <c r="K324" i="1" a="1"/>
  <c r="K324" i="1"/>
  <c r="K325" i="1" a="1"/>
  <c r="K325" i="1"/>
  <c r="K326" i="1" a="1"/>
  <c r="K326" i="1"/>
  <c r="K327" i="1" a="1"/>
  <c r="K327" i="1"/>
  <c r="K328" i="1" a="1"/>
  <c r="K328" i="1"/>
  <c r="K329" i="1" a="1"/>
  <c r="K329" i="1"/>
  <c r="K330" i="1" a="1"/>
  <c r="K330" i="1"/>
  <c r="K331" i="1" a="1"/>
  <c r="K331" i="1"/>
  <c r="K332" i="1" a="1"/>
  <c r="K332" i="1"/>
  <c r="K333" i="1" a="1"/>
  <c r="K333" i="1"/>
  <c r="K334" i="1" a="1"/>
  <c r="K334" i="1"/>
  <c r="K335" i="1" a="1"/>
  <c r="K335" i="1"/>
  <c r="K336" i="1" a="1"/>
  <c r="K336" i="1"/>
  <c r="K337" i="1" a="1"/>
  <c r="K337" i="1"/>
  <c r="K338" i="1" a="1"/>
  <c r="K338" i="1"/>
  <c r="K339" i="1" a="1"/>
  <c r="K339" i="1"/>
  <c r="K340" i="1" a="1"/>
  <c r="K340" i="1"/>
  <c r="K341" i="1" a="1"/>
  <c r="K341" i="1"/>
  <c r="K342" i="1" a="1"/>
  <c r="K342" i="1"/>
  <c r="K343" i="1" a="1"/>
  <c r="K343" i="1"/>
  <c r="K344" i="1" a="1"/>
  <c r="K344" i="1"/>
  <c r="K345" i="1" a="1"/>
  <c r="K345" i="1"/>
  <c r="K346" i="1" a="1"/>
  <c r="K346" i="1"/>
  <c r="K347" i="1" a="1"/>
  <c r="K347" i="1"/>
  <c r="K348" i="1" a="1"/>
  <c r="K348" i="1"/>
  <c r="K349" i="1" a="1"/>
  <c r="K349" i="1"/>
  <c r="K350" i="1" a="1"/>
  <c r="K350" i="1"/>
  <c r="K351" i="1" a="1"/>
  <c r="K351" i="1"/>
  <c r="K352" i="1" a="1"/>
  <c r="K352" i="1"/>
  <c r="K353" i="1" a="1"/>
  <c r="K353" i="1"/>
  <c r="K354" i="1" a="1"/>
  <c r="K354" i="1"/>
  <c r="K355" i="1" a="1"/>
  <c r="K355" i="1"/>
  <c r="K356" i="1" a="1"/>
  <c r="K356" i="1"/>
  <c r="K357" i="1" a="1"/>
  <c r="K357" i="1"/>
  <c r="K358" i="1" a="1"/>
  <c r="K358" i="1"/>
  <c r="K359" i="1" a="1"/>
  <c r="K359" i="1"/>
  <c r="K360" i="1" a="1"/>
  <c r="K360" i="1"/>
  <c r="K361" i="1" a="1"/>
  <c r="K361" i="1"/>
  <c r="K362" i="1" a="1"/>
  <c r="K362" i="1"/>
  <c r="K363" i="1" a="1"/>
  <c r="K363" i="1" s="1"/>
  <c r="K364" i="1" a="1"/>
  <c r="K364" i="1"/>
  <c r="K365" i="1" a="1"/>
  <c r="K365" i="1"/>
  <c r="K366" i="1" a="1"/>
  <c r="K366" i="1"/>
  <c r="K367" i="1" a="1"/>
  <c r="K367" i="1"/>
  <c r="K368" i="1" a="1"/>
  <c r="K368" i="1"/>
  <c r="K369" i="1" a="1"/>
  <c r="K369" i="1"/>
  <c r="K370" i="1" a="1"/>
  <c r="K370" i="1"/>
  <c r="K371" i="1" a="1"/>
  <c r="K371" i="1"/>
  <c r="K372" i="1" a="1"/>
  <c r="K372" i="1"/>
  <c r="K373" i="1" a="1"/>
  <c r="K373" i="1"/>
  <c r="K374" i="1" a="1"/>
  <c r="K374" i="1"/>
  <c r="K375" i="1" a="1"/>
  <c r="K375" i="1"/>
  <c r="K376" i="1" a="1"/>
  <c r="K376" i="1"/>
  <c r="K377" i="1" a="1"/>
  <c r="K377" i="1"/>
  <c r="K378" i="1" a="1"/>
  <c r="K378" i="1"/>
  <c r="K379" i="1" a="1"/>
  <c r="K379" i="1"/>
  <c r="K380" i="1" a="1"/>
  <c r="K380" i="1"/>
  <c r="K381" i="1" a="1"/>
  <c r="K381" i="1"/>
  <c r="K382" i="1" a="1"/>
  <c r="K382" i="1"/>
  <c r="K383" i="1" a="1"/>
  <c r="K383" i="1"/>
  <c r="K384" i="1" a="1"/>
  <c r="K384" i="1"/>
  <c r="K385" i="1" a="1"/>
  <c r="K385" i="1"/>
  <c r="K386" i="1" a="1"/>
  <c r="K386" i="1"/>
  <c r="K387" i="1" a="1"/>
  <c r="K387" i="1"/>
  <c r="K388" i="1" a="1"/>
  <c r="K388" i="1"/>
  <c r="K389" i="1" a="1"/>
  <c r="K389" i="1"/>
  <c r="K390" i="1" a="1"/>
  <c r="K390" i="1"/>
  <c r="K391" i="1" a="1"/>
  <c r="K391" i="1"/>
  <c r="K392" i="1" a="1"/>
  <c r="K392" i="1"/>
  <c r="K393" i="1" a="1"/>
  <c r="K393" i="1"/>
  <c r="K394" i="1" a="1"/>
  <c r="K394" i="1"/>
  <c r="K395" i="1" a="1"/>
  <c r="K395" i="1"/>
  <c r="K396" i="1" a="1"/>
  <c r="K396" i="1"/>
  <c r="K397" i="1" a="1"/>
  <c r="K397" i="1"/>
  <c r="K398" i="1" a="1"/>
  <c r="K398" i="1"/>
  <c r="K399" i="1" a="1"/>
  <c r="K399" i="1"/>
  <c r="K400" i="1" a="1"/>
  <c r="K400" i="1"/>
  <c r="K401" i="1" a="1"/>
  <c r="K401" i="1"/>
  <c r="K402" i="1" a="1"/>
  <c r="K402" i="1"/>
  <c r="K403" i="1" a="1"/>
  <c r="K403" i="1"/>
  <c r="K404" i="1" a="1"/>
  <c r="K404" i="1"/>
  <c r="K405" i="1" a="1"/>
  <c r="K405" i="1"/>
  <c r="K406" i="1" a="1"/>
  <c r="K406" i="1"/>
  <c r="K407" i="1" a="1"/>
  <c r="K407" i="1"/>
  <c r="K408" i="1" a="1"/>
  <c r="K408" i="1"/>
  <c r="K409" i="1" a="1"/>
  <c r="K409" i="1"/>
  <c r="K410" i="1" a="1"/>
  <c r="K410" i="1"/>
  <c r="K411" i="1" a="1"/>
  <c r="K411" i="1"/>
  <c r="K412" i="1" a="1"/>
  <c r="K412" i="1"/>
  <c r="K413" i="1" a="1"/>
  <c r="K413" i="1"/>
  <c r="K414" i="1" a="1"/>
  <c r="K414" i="1"/>
  <c r="K415" i="1" a="1"/>
  <c r="K415" i="1"/>
  <c r="K416" i="1" a="1"/>
  <c r="K416" i="1"/>
  <c r="K417" i="1" a="1"/>
  <c r="K417" i="1"/>
  <c r="K418" i="1" a="1"/>
  <c r="K418" i="1"/>
  <c r="K419" i="1" a="1"/>
  <c r="K419" i="1"/>
  <c r="K420" i="1" a="1"/>
  <c r="K420" i="1"/>
  <c r="K421" i="1" a="1"/>
  <c r="K421" i="1"/>
  <c r="K422" i="1" a="1"/>
  <c r="K422" i="1"/>
  <c r="K423" i="1" a="1"/>
  <c r="K423" i="1"/>
  <c r="K424" i="1" a="1"/>
  <c r="K424" i="1"/>
  <c r="K425" i="1" a="1"/>
  <c r="K425" i="1"/>
  <c r="K426" i="1" a="1"/>
  <c r="K426" i="1"/>
  <c r="K427" i="1" a="1"/>
  <c r="K427" i="1"/>
  <c r="K428" i="1" a="1"/>
  <c r="K428" i="1"/>
  <c r="K429" i="1" a="1"/>
  <c r="K429" i="1"/>
  <c r="K430" i="1" a="1"/>
  <c r="K430" i="1"/>
  <c r="K431" i="1" a="1"/>
  <c r="K431" i="1"/>
  <c r="K432" i="1" a="1"/>
  <c r="K432" i="1"/>
  <c r="K433" i="1" a="1"/>
  <c r="K433" i="1"/>
  <c r="K434" i="1" a="1"/>
  <c r="K434" i="1"/>
  <c r="K435" i="1" a="1"/>
  <c r="K435" i="1"/>
  <c r="K436" i="1" a="1"/>
  <c r="K436" i="1"/>
  <c r="K437" i="1" a="1"/>
  <c r="K437" i="1"/>
  <c r="K438" i="1" a="1"/>
  <c r="K438" i="1"/>
  <c r="K439" i="1" a="1"/>
  <c r="K439" i="1"/>
  <c r="K440" i="1" a="1"/>
  <c r="K440" i="1"/>
  <c r="K441" i="1" a="1"/>
  <c r="K441" i="1"/>
  <c r="K442" i="1" a="1"/>
  <c r="K442" i="1"/>
  <c r="K443" i="1" a="1"/>
  <c r="K443" i="1"/>
  <c r="K444" i="1" a="1"/>
  <c r="K444" i="1"/>
  <c r="K445" i="1" a="1"/>
  <c r="K445" i="1"/>
  <c r="K446" i="1" a="1"/>
  <c r="K446" i="1"/>
  <c r="K447" i="1" a="1"/>
  <c r="K447" i="1"/>
  <c r="K448" i="1" a="1"/>
  <c r="K448" i="1"/>
  <c r="K449" i="1" a="1"/>
  <c r="K449" i="1"/>
  <c r="K450" i="1" a="1"/>
  <c r="K450" i="1"/>
  <c r="K451" i="1" a="1"/>
  <c r="K451" i="1"/>
  <c r="K452" i="1" a="1"/>
  <c r="K452" i="1"/>
  <c r="K453" i="1" a="1"/>
  <c r="K453" i="1"/>
  <c r="K454" i="1" a="1"/>
  <c r="K454" i="1"/>
  <c r="K455" i="1" a="1"/>
  <c r="K455" i="1"/>
  <c r="K456" i="1" a="1"/>
  <c r="K456" i="1"/>
  <c r="K457" i="1" a="1"/>
  <c r="K457" i="1"/>
  <c r="K458" i="1" a="1"/>
  <c r="K458" i="1"/>
  <c r="K459" i="1" a="1"/>
  <c r="K459" i="1"/>
  <c r="K460" i="1" a="1"/>
  <c r="K460" i="1"/>
  <c r="K461" i="1" a="1"/>
  <c r="K461" i="1"/>
  <c r="K462" i="1" a="1"/>
  <c r="K462" i="1"/>
  <c r="K463" i="1" a="1"/>
  <c r="K463" i="1"/>
  <c r="K464" i="1" a="1"/>
  <c r="K464" i="1"/>
  <c r="K465" i="1" a="1"/>
  <c r="K465" i="1"/>
  <c r="K466" i="1" a="1"/>
  <c r="K466" i="1"/>
  <c r="K467" i="1" a="1"/>
  <c r="K467" i="1"/>
  <c r="K468" i="1" a="1"/>
  <c r="K468" i="1"/>
  <c r="K469" i="1" a="1"/>
  <c r="K469" i="1"/>
  <c r="K470" i="1" a="1"/>
  <c r="K470" i="1"/>
  <c r="K471" i="1" a="1"/>
  <c r="K471" i="1"/>
  <c r="K472" i="1" a="1"/>
  <c r="K472" i="1"/>
  <c r="K473" i="1" a="1"/>
  <c r="K473" i="1"/>
  <c r="K474" i="1" a="1"/>
  <c r="K474" i="1"/>
  <c r="K475" i="1" a="1"/>
  <c r="K475" i="1"/>
  <c r="K476" i="1" a="1"/>
  <c r="K476" i="1"/>
  <c r="K477" i="1" a="1"/>
  <c r="K477" i="1"/>
  <c r="K478" i="1" a="1"/>
  <c r="K478" i="1"/>
  <c r="K479" i="1" a="1"/>
  <c r="K479" i="1"/>
  <c r="K480" i="1" a="1"/>
  <c r="K480" i="1"/>
  <c r="K481" i="1" a="1"/>
  <c r="K481" i="1"/>
  <c r="K482" i="1" a="1"/>
  <c r="K482" i="1"/>
  <c r="K483" i="1" a="1"/>
  <c r="K483" i="1"/>
  <c r="K484" i="1" a="1"/>
  <c r="K484" i="1"/>
  <c r="K485" i="1" a="1"/>
  <c r="K485" i="1"/>
  <c r="K486" i="1" a="1"/>
  <c r="K486" i="1"/>
  <c r="K487" i="1" a="1"/>
  <c r="K487" i="1"/>
  <c r="K488" i="1" a="1"/>
  <c r="K488" i="1"/>
  <c r="K489" i="1" a="1"/>
  <c r="K489" i="1"/>
  <c r="K490" i="1" a="1"/>
  <c r="K490" i="1"/>
  <c r="K491" i="1" a="1"/>
  <c r="K491" i="1"/>
  <c r="K492" i="1" a="1"/>
  <c r="K492" i="1"/>
  <c r="K493" i="1" a="1"/>
  <c r="K493" i="1"/>
  <c r="K494" i="1" a="1"/>
  <c r="K494" i="1"/>
  <c r="K495" i="1" a="1"/>
  <c r="K495" i="1"/>
  <c r="K496" i="1" a="1"/>
  <c r="K496" i="1"/>
  <c r="K497" i="1" a="1"/>
  <c r="K497" i="1"/>
  <c r="K498" i="1" a="1"/>
  <c r="K498" i="1"/>
  <c r="K499" i="1" a="1"/>
  <c r="K499" i="1"/>
  <c r="K500" i="1" a="1"/>
  <c r="K500" i="1"/>
  <c r="K501" i="1" a="1"/>
  <c r="K501" i="1"/>
  <c r="K502" i="1" a="1"/>
  <c r="K502" i="1"/>
  <c r="K503" i="1" a="1"/>
  <c r="K503" i="1"/>
  <c r="K504" i="1" a="1"/>
  <c r="K504" i="1"/>
  <c r="K505" i="1" a="1"/>
  <c r="K505" i="1"/>
  <c r="K506" i="1" a="1"/>
  <c r="K506" i="1"/>
  <c r="K507" i="1" a="1"/>
  <c r="K507" i="1"/>
  <c r="K508" i="1" a="1"/>
  <c r="K508" i="1"/>
  <c r="K509" i="1" a="1"/>
  <c r="K509" i="1"/>
  <c r="K510" i="1" a="1"/>
  <c r="K510" i="1"/>
  <c r="K511" i="1" a="1"/>
  <c r="K511" i="1"/>
  <c r="K512" i="1" a="1"/>
  <c r="K512" i="1"/>
  <c r="K513" i="1" a="1"/>
  <c r="K513" i="1"/>
  <c r="K514" i="1" a="1"/>
  <c r="K514" i="1"/>
  <c r="K515" i="1" a="1"/>
  <c r="K515" i="1"/>
  <c r="K516" i="1" a="1"/>
  <c r="K516" i="1"/>
  <c r="K517" i="1" a="1"/>
  <c r="K517" i="1"/>
  <c r="K518" i="1" a="1"/>
  <c r="K518" i="1"/>
  <c r="K519" i="1" a="1"/>
  <c r="K519" i="1"/>
  <c r="K520" i="1" a="1"/>
  <c r="K520" i="1"/>
  <c r="K521" i="1" a="1"/>
  <c r="K521" i="1"/>
  <c r="K522" i="1" a="1"/>
  <c r="K522" i="1"/>
  <c r="K523" i="1" a="1"/>
  <c r="K523" i="1"/>
  <c r="K524" i="1" a="1"/>
  <c r="K524" i="1"/>
  <c r="K525" i="1" a="1"/>
  <c r="K525" i="1"/>
  <c r="K526" i="1" a="1"/>
  <c r="K526" i="1"/>
  <c r="K527" i="1" a="1"/>
  <c r="K527" i="1"/>
  <c r="K528" i="1" a="1"/>
  <c r="K528" i="1"/>
  <c r="K529" i="1" a="1"/>
  <c r="K529" i="1"/>
  <c r="K530" i="1" a="1"/>
  <c r="K530" i="1"/>
  <c r="K531" i="1" a="1"/>
  <c r="K531" i="1"/>
  <c r="K532" i="1" a="1"/>
  <c r="K532" i="1"/>
  <c r="K533" i="1" a="1"/>
  <c r="K533" i="1"/>
  <c r="K534" i="1" a="1"/>
  <c r="K534" i="1"/>
  <c r="K535" i="1" a="1"/>
  <c r="K535" i="1"/>
  <c r="K536" i="1" a="1"/>
  <c r="K536" i="1"/>
  <c r="K537" i="1" a="1"/>
  <c r="K537" i="1"/>
  <c r="K538" i="1" a="1"/>
  <c r="K538" i="1"/>
  <c r="K539" i="1" a="1"/>
  <c r="K539" i="1"/>
  <c r="K540" i="1" a="1"/>
  <c r="K540" i="1"/>
  <c r="K541" i="1" a="1"/>
  <c r="K541" i="1"/>
  <c r="K542" i="1" a="1"/>
  <c r="K542" i="1"/>
  <c r="K543" i="1" a="1"/>
  <c r="K543" i="1"/>
  <c r="K544" i="1" a="1"/>
  <c r="K544" i="1"/>
  <c r="K545" i="1" a="1"/>
  <c r="K545" i="1"/>
  <c r="K546" i="1" a="1"/>
  <c r="K546" i="1"/>
  <c r="K547" i="1" a="1"/>
  <c r="K547" i="1"/>
  <c r="K548" i="1" a="1"/>
  <c r="K548" i="1"/>
  <c r="K549" i="1" a="1"/>
  <c r="K549" i="1"/>
  <c r="K550" i="1" a="1"/>
  <c r="K550" i="1"/>
  <c r="K551" i="1" a="1"/>
  <c r="K551" i="1"/>
  <c r="K552" i="1" a="1"/>
  <c r="K552" i="1"/>
  <c r="K553" i="1" a="1"/>
  <c r="K553" i="1"/>
  <c r="K554" i="1" a="1"/>
  <c r="K554" i="1"/>
  <c r="K555" i="1" a="1"/>
  <c r="K555" i="1"/>
  <c r="K556" i="1" a="1"/>
  <c r="K556" i="1"/>
  <c r="K557" i="1" a="1"/>
  <c r="K557" i="1"/>
  <c r="K558" i="1" a="1"/>
  <c r="K558" i="1"/>
  <c r="K559" i="1" a="1"/>
  <c r="K559" i="1"/>
  <c r="K560" i="1" a="1"/>
  <c r="K560" i="1"/>
  <c r="K561" i="1" a="1"/>
  <c r="K561" i="1"/>
  <c r="K562" i="1" a="1"/>
  <c r="K562" i="1"/>
  <c r="K563" i="1" a="1"/>
  <c r="K563" i="1"/>
  <c r="K564" i="1" a="1"/>
  <c r="K564" i="1"/>
  <c r="K565" i="1" a="1"/>
  <c r="K565" i="1"/>
  <c r="K566" i="1" a="1"/>
  <c r="K566" i="1"/>
  <c r="K567" i="1" a="1"/>
  <c r="K567" i="1"/>
  <c r="K568" i="1" a="1"/>
  <c r="K568" i="1"/>
  <c r="K569" i="1" a="1"/>
  <c r="K569" i="1"/>
  <c r="K570" i="1" a="1"/>
  <c r="K570" i="1"/>
  <c r="K571" i="1" a="1"/>
  <c r="K571" i="1"/>
  <c r="K572" i="1" a="1"/>
  <c r="K572" i="1"/>
  <c r="K573" i="1" a="1"/>
  <c r="K573" i="1"/>
  <c r="K574" i="1" a="1"/>
  <c r="K574" i="1"/>
  <c r="K575" i="1" a="1"/>
  <c r="K575" i="1"/>
  <c r="K576" i="1" a="1"/>
  <c r="K576" i="1"/>
  <c r="K577" i="1" a="1"/>
  <c r="K577" i="1"/>
  <c r="K578" i="1" a="1"/>
  <c r="K578" i="1"/>
  <c r="K579" i="1" a="1"/>
  <c r="K579" i="1"/>
  <c r="K580" i="1" a="1"/>
  <c r="K580" i="1"/>
  <c r="K581" i="1" a="1"/>
  <c r="K581" i="1"/>
  <c r="K582" i="1" a="1"/>
  <c r="K582" i="1"/>
  <c r="K583" i="1" a="1"/>
  <c r="K583" i="1"/>
  <c r="K584" i="1" a="1"/>
  <c r="K584" i="1"/>
  <c r="K585" i="1" a="1"/>
  <c r="K585" i="1"/>
  <c r="K586" i="1" a="1"/>
  <c r="K586" i="1"/>
  <c r="K587" i="1" a="1"/>
  <c r="K587" i="1"/>
  <c r="K588" i="1" a="1"/>
  <c r="K588" i="1"/>
  <c r="K589" i="1" a="1"/>
  <c r="K589" i="1"/>
  <c r="K590" i="1" a="1"/>
  <c r="K590" i="1"/>
  <c r="K591" i="1" a="1"/>
  <c r="K591" i="1"/>
  <c r="K592" i="1" a="1"/>
  <c r="K592" i="1"/>
  <c r="K593" i="1" a="1"/>
  <c r="K593" i="1"/>
  <c r="K594" i="1" a="1"/>
  <c r="K594" i="1"/>
  <c r="K595" i="1" a="1"/>
  <c r="K595" i="1"/>
  <c r="K596" i="1" a="1"/>
  <c r="K596" i="1"/>
  <c r="K597" i="1" a="1"/>
  <c r="K597" i="1"/>
  <c r="K598" i="1" a="1"/>
  <c r="K598" i="1"/>
  <c r="K599" i="1" a="1"/>
  <c r="K599" i="1"/>
  <c r="K600" i="1" a="1"/>
  <c r="K600" i="1"/>
  <c r="K601" i="1" a="1"/>
  <c r="K601" i="1"/>
  <c r="K602" i="1" a="1"/>
  <c r="K602" i="1"/>
  <c r="K603" i="1" a="1"/>
  <c r="K603" i="1"/>
  <c r="K604" i="1" a="1"/>
  <c r="K604" i="1"/>
  <c r="K605" i="1" a="1"/>
  <c r="K605" i="1"/>
  <c r="K606" i="1" a="1"/>
  <c r="K606" i="1"/>
  <c r="K607" i="1" a="1"/>
  <c r="K607" i="1"/>
  <c r="K608" i="1" a="1"/>
  <c r="K608" i="1"/>
  <c r="K609" i="1" a="1"/>
  <c r="K609" i="1"/>
  <c r="K610" i="1" a="1"/>
  <c r="K610" i="1"/>
  <c r="K611" i="1" a="1"/>
  <c r="K611" i="1"/>
  <c r="K612" i="1" a="1"/>
  <c r="K612" i="1"/>
  <c r="K613" i="1" a="1"/>
  <c r="K613" i="1"/>
  <c r="K614" i="1" a="1"/>
  <c r="K614" i="1"/>
  <c r="K615" i="1" a="1"/>
  <c r="K615" i="1"/>
  <c r="K616" i="1" a="1"/>
  <c r="K616" i="1"/>
  <c r="K617" i="1" a="1"/>
  <c r="K617" i="1"/>
  <c r="K618" i="1" a="1"/>
  <c r="K618" i="1"/>
  <c r="K619" i="1" a="1"/>
  <c r="K619" i="1"/>
  <c r="K620" i="1" a="1"/>
  <c r="K620" i="1"/>
  <c r="K621" i="1" a="1"/>
  <c r="K621" i="1"/>
  <c r="K622" i="1" a="1"/>
  <c r="K622" i="1"/>
  <c r="K623" i="1" a="1"/>
  <c r="K623" i="1"/>
  <c r="K624" i="1" a="1"/>
  <c r="K624" i="1"/>
  <c r="K625" i="1" a="1"/>
  <c r="K625" i="1"/>
  <c r="K626" i="1" a="1"/>
  <c r="K626" i="1"/>
  <c r="K627" i="1" a="1"/>
  <c r="K627" i="1"/>
  <c r="K628" i="1" a="1"/>
  <c r="K628" i="1"/>
  <c r="K629" i="1" a="1"/>
  <c r="K629" i="1"/>
  <c r="K630" i="1" a="1"/>
  <c r="K630" i="1"/>
  <c r="K631" i="1" a="1"/>
  <c r="K631" i="1"/>
  <c r="K632" i="1" a="1"/>
  <c r="K632" i="1"/>
  <c r="K633" i="1" a="1"/>
  <c r="K633" i="1"/>
  <c r="K634" i="1" a="1"/>
  <c r="K634" i="1"/>
  <c r="K635" i="1" a="1"/>
  <c r="K635" i="1"/>
  <c r="K636" i="1" a="1"/>
  <c r="K636" i="1"/>
  <c r="K637" i="1" a="1"/>
  <c r="K637" i="1"/>
  <c r="K638" i="1" a="1"/>
  <c r="K638" i="1"/>
  <c r="K639" i="1" a="1"/>
  <c r="K639" i="1"/>
  <c r="K640" i="1" a="1"/>
  <c r="K640" i="1"/>
  <c r="K641" i="1" a="1"/>
  <c r="K641" i="1"/>
  <c r="K642" i="1" a="1"/>
  <c r="K642" i="1"/>
  <c r="K643" i="1" a="1"/>
  <c r="K643" i="1"/>
  <c r="K644" i="1" a="1"/>
  <c r="K644" i="1"/>
  <c r="K645" i="1" a="1"/>
  <c r="K645" i="1"/>
  <c r="K646" i="1" a="1"/>
  <c r="K646" i="1"/>
  <c r="K647" i="1" a="1"/>
  <c r="K647" i="1"/>
  <c r="K648" i="1" a="1"/>
  <c r="K648" i="1"/>
  <c r="K649" i="1" a="1"/>
  <c r="K649" i="1"/>
  <c r="K650" i="1" a="1"/>
  <c r="K650" i="1"/>
  <c r="K651" i="1" a="1"/>
  <c r="K651" i="1"/>
  <c r="K652" i="1" a="1"/>
  <c r="K652" i="1"/>
  <c r="K653" i="1" a="1"/>
  <c r="K653" i="1"/>
  <c r="K654" i="1" a="1"/>
  <c r="K654" i="1"/>
  <c r="K655" i="1" a="1"/>
  <c r="K655" i="1"/>
  <c r="K656" i="1" a="1"/>
  <c r="K656" i="1"/>
  <c r="K657" i="1" a="1"/>
  <c r="K657" i="1"/>
  <c r="K658" i="1" a="1"/>
  <c r="K658" i="1"/>
  <c r="K659" i="1" a="1"/>
  <c r="K659" i="1"/>
  <c r="K660" i="1" a="1"/>
  <c r="K660" i="1"/>
  <c r="K661" i="1" a="1"/>
  <c r="K661" i="1"/>
  <c r="K662" i="1" a="1"/>
  <c r="K662" i="1"/>
  <c r="K663" i="1" a="1"/>
  <c r="K663" i="1"/>
  <c r="K664" i="1" a="1"/>
  <c r="K664" i="1"/>
  <c r="K665" i="1" a="1"/>
  <c r="K665" i="1"/>
  <c r="K666" i="1" a="1"/>
  <c r="K666" i="1"/>
  <c r="K667" i="1" a="1"/>
  <c r="K667" i="1"/>
  <c r="K668" i="1" a="1"/>
  <c r="K668" i="1"/>
  <c r="K669" i="1" a="1"/>
  <c r="K669" i="1"/>
  <c r="K670" i="1" a="1"/>
  <c r="K670" i="1"/>
  <c r="K671" i="1" a="1"/>
  <c r="K671" i="1"/>
  <c r="K672" i="1" a="1"/>
  <c r="K672" i="1"/>
  <c r="K673" i="1" a="1"/>
  <c r="K673" i="1"/>
  <c r="K674" i="1" a="1"/>
  <c r="K674" i="1"/>
  <c r="K675" i="1" a="1"/>
  <c r="K675" i="1"/>
  <c r="K676" i="1" a="1"/>
  <c r="K676" i="1"/>
  <c r="K677" i="1" a="1"/>
  <c r="K677" i="1"/>
  <c r="K678" i="1" a="1"/>
  <c r="K678" i="1"/>
  <c r="K679" i="1" a="1"/>
  <c r="K679" i="1"/>
  <c r="K680" i="1" a="1"/>
  <c r="K680" i="1"/>
  <c r="K681" i="1" a="1"/>
  <c r="K681" i="1"/>
  <c r="K682" i="1" a="1"/>
  <c r="K682" i="1"/>
  <c r="K683" i="1" a="1"/>
  <c r="K683" i="1"/>
  <c r="K684" i="1" a="1"/>
  <c r="K684" i="1"/>
  <c r="K685" i="1" a="1"/>
  <c r="K685" i="1"/>
  <c r="K686" i="1" a="1"/>
  <c r="K686" i="1"/>
  <c r="K687" i="1" a="1"/>
  <c r="K687" i="1"/>
  <c r="K688" i="1" a="1"/>
  <c r="K688" i="1"/>
  <c r="K689" i="1" a="1"/>
  <c r="K689" i="1"/>
  <c r="K690" i="1" a="1"/>
  <c r="K690" i="1"/>
  <c r="K691" i="1" a="1"/>
  <c r="K691" i="1"/>
  <c r="K692" i="1" a="1"/>
  <c r="K692" i="1"/>
  <c r="K693" i="1" a="1"/>
  <c r="K693" i="1"/>
  <c r="K694" i="1" a="1"/>
  <c r="K694" i="1"/>
  <c r="K695" i="1" a="1"/>
  <c r="K695" i="1" s="1"/>
  <c r="K696" i="1" a="1"/>
  <c r="K696" i="1" s="1"/>
  <c r="K697" i="1" a="1"/>
  <c r="K697" i="1" s="1"/>
  <c r="K698" i="1" a="1"/>
  <c r="K698" i="1" s="1"/>
  <c r="K699" i="1" a="1"/>
  <c r="K699" i="1" s="1"/>
  <c r="K700" i="1" a="1"/>
  <c r="K700" i="1" s="1"/>
  <c r="K701" i="1" a="1"/>
  <c r="K701" i="1" s="1"/>
  <c r="K702" i="1" a="1"/>
  <c r="K702" i="1" s="1"/>
  <c r="K703" i="1" a="1"/>
  <c r="K703" i="1" s="1"/>
  <c r="K704" i="1" a="1"/>
  <c r="K704" i="1" s="1"/>
  <c r="K705" i="1" a="1"/>
  <c r="K705" i="1" s="1"/>
  <c r="K706" i="1" a="1"/>
  <c r="K706" i="1" s="1"/>
  <c r="K707" i="1" a="1"/>
  <c r="K707" i="1" s="1"/>
  <c r="K708" i="1" a="1"/>
  <c r="K708" i="1" s="1"/>
  <c r="K709" i="1" a="1"/>
  <c r="K709" i="1" s="1"/>
  <c r="K710" i="1" a="1"/>
  <c r="K710" i="1" s="1"/>
  <c r="K711" i="1" a="1"/>
  <c r="K711" i="1" s="1"/>
  <c r="K712" i="1" a="1"/>
  <c r="K712" i="1" s="1"/>
  <c r="K713" i="1" a="1"/>
  <c r="K713" i="1" s="1"/>
  <c r="K714" i="1" a="1"/>
  <c r="K714" i="1" s="1"/>
  <c r="K715" i="1" a="1"/>
  <c r="K715" i="1" s="1"/>
  <c r="K716" i="1" a="1"/>
  <c r="K716" i="1" s="1"/>
  <c r="K2" i="1" a="1"/>
  <c r="K2" i="1"/>
  <c r="J3" i="1" a="1"/>
  <c r="J3" i="1" s="1"/>
  <c r="J4" i="1" a="1"/>
  <c r="J4" i="1" s="1"/>
  <c r="J5" i="1" a="1"/>
  <c r="J5" i="1" s="1"/>
  <c r="J6" i="1" a="1"/>
  <c r="J6" i="1" s="1"/>
  <c r="J7" i="1" a="1"/>
  <c r="J7" i="1" s="1"/>
  <c r="J8" i="1" a="1"/>
  <c r="J8" i="1" s="1"/>
  <c r="J9" i="1" a="1"/>
  <c r="J9" i="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s="1"/>
  <c r="J91" i="1" a="1"/>
  <c r="J91" i="1" s="1"/>
  <c r="J92" i="1" a="1"/>
  <c r="J92" i="1" s="1"/>
  <c r="J93" i="1" a="1"/>
  <c r="J93" i="1" s="1"/>
  <c r="J94" i="1" a="1"/>
  <c r="J94" i="1" s="1"/>
  <c r="J95" i="1" a="1"/>
  <c r="J95" i="1" s="1"/>
  <c r="J96" i="1" a="1"/>
  <c r="J96" i="1" s="1"/>
  <c r="J97" i="1" a="1"/>
  <c r="J97" i="1" s="1"/>
  <c r="J98" i="1" a="1"/>
  <c r="J98" i="1" s="1"/>
  <c r="J99" i="1" a="1"/>
  <c r="J99" i="1" s="1"/>
  <c r="J100" i="1" a="1"/>
  <c r="J100" i="1" s="1"/>
  <c r="J101" i="1" a="1"/>
  <c r="J101" i="1" s="1"/>
  <c r="J102" i="1" a="1"/>
  <c r="J102" i="1" s="1"/>
  <c r="J103" i="1" a="1"/>
  <c r="J103" i="1" s="1"/>
  <c r="J104" i="1" a="1"/>
  <c r="J104" i="1" s="1"/>
  <c r="J105" i="1" a="1"/>
  <c r="J105" i="1" s="1"/>
  <c r="J106" i="1" a="1"/>
  <c r="J106" i="1" s="1"/>
  <c r="J107" i="1" a="1"/>
  <c r="J107" i="1" s="1"/>
  <c r="J108" i="1" a="1"/>
  <c r="J108" i="1" s="1"/>
  <c r="J109" i="1" a="1"/>
  <c r="J109" i="1" s="1"/>
  <c r="J110" i="1" a="1"/>
  <c r="J110" i="1" s="1"/>
  <c r="J111" i="1" a="1"/>
  <c r="J111" i="1" s="1"/>
  <c r="J112" i="1" a="1"/>
  <c r="J112" i="1" s="1"/>
  <c r="J113" i="1" a="1"/>
  <c r="J113" i="1" s="1"/>
  <c r="J114" i="1" a="1"/>
  <c r="J114" i="1" s="1"/>
  <c r="J115" i="1" a="1"/>
  <c r="J115" i="1" s="1"/>
  <c r="J116" i="1" a="1"/>
  <c r="J116" i="1" s="1"/>
  <c r="J117" i="1" a="1"/>
  <c r="J117" i="1" s="1"/>
  <c r="J118" i="1" a="1"/>
  <c r="J118" i="1" s="1"/>
  <c r="J119" i="1" a="1"/>
  <c r="J119" i="1" s="1"/>
  <c r="J120" i="1" a="1"/>
  <c r="J120" i="1" s="1"/>
  <c r="J121" i="1" a="1"/>
  <c r="J121" i="1" s="1"/>
  <c r="J122" i="1" a="1"/>
  <c r="J122" i="1" s="1"/>
  <c r="J123" i="1" a="1"/>
  <c r="J123" i="1" s="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157" i="1" a="1"/>
  <c r="J157" i="1" s="1"/>
  <c r="J158" i="1" a="1"/>
  <c r="J158" i="1" s="1"/>
  <c r="J159" i="1" a="1"/>
  <c r="J159" i="1" s="1"/>
  <c r="J160" i="1" a="1"/>
  <c r="J160" i="1" s="1"/>
  <c r="J161" i="1" a="1"/>
  <c r="J161" i="1" s="1"/>
  <c r="J162" i="1" a="1"/>
  <c r="J162" i="1" s="1"/>
  <c r="J163" i="1" a="1"/>
  <c r="J163" i="1" s="1"/>
  <c r="J164" i="1" a="1"/>
  <c r="J164" i="1" s="1"/>
  <c r="J165" i="1" a="1"/>
  <c r="J165" i="1" s="1"/>
  <c r="J166" i="1" a="1"/>
  <c r="J166" i="1" s="1"/>
  <c r="J167" i="1" a="1"/>
  <c r="J167" i="1" s="1"/>
  <c r="J168" i="1" a="1"/>
  <c r="J168" i="1" s="1"/>
  <c r="J169" i="1" a="1"/>
  <c r="J169" i="1" s="1"/>
  <c r="J170" i="1" a="1"/>
  <c r="J170" i="1" s="1"/>
  <c r="J171" i="1" a="1"/>
  <c r="J171" i="1" s="1"/>
  <c r="J172" i="1" a="1"/>
  <c r="J172" i="1" s="1"/>
  <c r="J173" i="1" a="1"/>
  <c r="J173" i="1" s="1"/>
  <c r="J174" i="1" a="1"/>
  <c r="J174" i="1" s="1"/>
  <c r="J175" i="1" a="1"/>
  <c r="J175" i="1" s="1"/>
  <c r="J176" i="1" a="1"/>
  <c r="J176" i="1" s="1"/>
  <c r="J177" i="1" a="1"/>
  <c r="J177" i="1" s="1"/>
  <c r="J178" i="1" a="1"/>
  <c r="J178" i="1" s="1"/>
  <c r="J179" i="1" a="1"/>
  <c r="J179" i="1" s="1"/>
  <c r="J180" i="1" a="1"/>
  <c r="J180" i="1" s="1"/>
  <c r="J181" i="1" a="1"/>
  <c r="J181" i="1" s="1"/>
  <c r="J182" i="1" a="1"/>
  <c r="J182" i="1" s="1"/>
  <c r="J183" i="1" a="1"/>
  <c r="J183" i="1" s="1"/>
  <c r="J184" i="1" a="1"/>
  <c r="J184" i="1" s="1"/>
  <c r="J185" i="1" a="1"/>
  <c r="J185" i="1" s="1"/>
  <c r="J186" i="1" a="1"/>
  <c r="J186" i="1" s="1"/>
  <c r="J187" i="1" a="1"/>
  <c r="J187" i="1" s="1"/>
  <c r="J188" i="1" a="1"/>
  <c r="J188" i="1" s="1"/>
  <c r="J189" i="1" a="1"/>
  <c r="J189" i="1" s="1"/>
  <c r="J190" i="1" a="1"/>
  <c r="J190" i="1" s="1"/>
  <c r="J191" i="1" a="1"/>
  <c r="J191" i="1" s="1"/>
  <c r="J192" i="1" a="1"/>
  <c r="J192" i="1" s="1"/>
  <c r="J193" i="1" a="1"/>
  <c r="J193" i="1" s="1"/>
  <c r="J194" i="1" a="1"/>
  <c r="J194" i="1" s="1"/>
  <c r="J195" i="1" a="1"/>
  <c r="J195" i="1" s="1"/>
  <c r="J196" i="1" a="1"/>
  <c r="J196" i="1" s="1"/>
  <c r="J197" i="1" a="1"/>
  <c r="J197" i="1" s="1"/>
  <c r="J198" i="1" a="1"/>
  <c r="J198" i="1" s="1"/>
  <c r="J199" i="1" a="1"/>
  <c r="J199" i="1" s="1"/>
  <c r="J200" i="1" a="1"/>
  <c r="J200" i="1" s="1"/>
  <c r="J201" i="1" a="1"/>
  <c r="J201" i="1" s="1"/>
  <c r="J202" i="1" a="1"/>
  <c r="J202" i="1" s="1"/>
  <c r="J203" i="1" a="1"/>
  <c r="J203" i="1" s="1"/>
  <c r="J204" i="1" a="1"/>
  <c r="J204" i="1" s="1"/>
  <c r="J205" i="1" a="1"/>
  <c r="J205" i="1" s="1"/>
  <c r="J206" i="1" a="1"/>
  <c r="J206" i="1" s="1"/>
  <c r="J207" i="1" a="1"/>
  <c r="J207" i="1" s="1"/>
  <c r="J208" i="1" a="1"/>
  <c r="J208" i="1" s="1"/>
  <c r="J209" i="1" a="1"/>
  <c r="J209" i="1" s="1"/>
  <c r="J210" i="1" a="1"/>
  <c r="J210" i="1" s="1"/>
  <c r="J211" i="1" a="1"/>
  <c r="J211" i="1" s="1"/>
  <c r="J212" i="1" a="1"/>
  <c r="J212" i="1" s="1"/>
  <c r="J213" i="1" a="1"/>
  <c r="J213" i="1" s="1"/>
  <c r="J214" i="1" a="1"/>
  <c r="J214" i="1" s="1"/>
  <c r="J215" i="1" a="1"/>
  <c r="J215" i="1" s="1"/>
  <c r="J216" i="1" a="1"/>
  <c r="J216" i="1" s="1"/>
  <c r="J217" i="1" a="1"/>
  <c r="J217" i="1" s="1"/>
  <c r="J218" i="1" a="1"/>
  <c r="J218" i="1" s="1"/>
  <c r="J219" i="1" a="1"/>
  <c r="J219" i="1" s="1"/>
  <c r="J220" i="1" a="1"/>
  <c r="J220" i="1" s="1"/>
  <c r="J221" i="1" a="1"/>
  <c r="J221" i="1" s="1"/>
  <c r="J222" i="1" a="1"/>
  <c r="J222" i="1" s="1"/>
  <c r="J223" i="1" a="1"/>
  <c r="J223" i="1" s="1"/>
  <c r="J224" i="1" a="1"/>
  <c r="J224" i="1" s="1"/>
  <c r="J225" i="1" a="1"/>
  <c r="J225" i="1" s="1"/>
  <c r="J226" i="1" a="1"/>
  <c r="J226" i="1" s="1"/>
  <c r="J227" i="1" a="1"/>
  <c r="J227" i="1" s="1"/>
  <c r="J228" i="1" a="1"/>
  <c r="J228" i="1" s="1"/>
  <c r="J229" i="1" a="1"/>
  <c r="J229" i="1" s="1"/>
  <c r="J230" i="1" a="1"/>
  <c r="J230" i="1" s="1"/>
  <c r="J231" i="1" a="1"/>
  <c r="J231" i="1" s="1"/>
  <c r="J232" i="1" a="1"/>
  <c r="J232" i="1" s="1"/>
  <c r="J233" i="1" a="1"/>
  <c r="J233" i="1" s="1"/>
  <c r="J234" i="1" a="1"/>
  <c r="J234" i="1" s="1"/>
  <c r="J235" i="1" a="1"/>
  <c r="J235" i="1" s="1"/>
  <c r="J236" i="1" a="1"/>
  <c r="J236" i="1" s="1"/>
  <c r="J237" i="1" a="1"/>
  <c r="J237" i="1" s="1"/>
  <c r="J238" i="1" a="1"/>
  <c r="J238" i="1" s="1"/>
  <c r="J239" i="1" a="1"/>
  <c r="J239" i="1" s="1"/>
  <c r="J240" i="1" a="1"/>
  <c r="J240" i="1" s="1"/>
  <c r="J241" i="1" a="1"/>
  <c r="J241" i="1" s="1"/>
  <c r="J242" i="1" a="1"/>
  <c r="J242" i="1" s="1"/>
  <c r="J243" i="1" a="1"/>
  <c r="J243" i="1" s="1"/>
  <c r="J244" i="1" a="1"/>
  <c r="J244" i="1" s="1"/>
  <c r="J245" i="1" a="1"/>
  <c r="J245" i="1" s="1"/>
  <c r="J246" i="1" a="1"/>
  <c r="J246" i="1" s="1"/>
  <c r="J247" i="1" a="1"/>
  <c r="J247" i="1" s="1"/>
  <c r="J248" i="1" a="1"/>
  <c r="J248" i="1" s="1"/>
  <c r="J249" i="1" a="1"/>
  <c r="J249" i="1" s="1"/>
  <c r="J250" i="1" a="1"/>
  <c r="J250" i="1" s="1"/>
  <c r="J251" i="1" a="1"/>
  <c r="J251" i="1" s="1"/>
  <c r="J252" i="1" a="1"/>
  <c r="J252" i="1" s="1"/>
  <c r="J253" i="1" a="1"/>
  <c r="J253" i="1" s="1"/>
  <c r="J254" i="1" a="1"/>
  <c r="J254" i="1" s="1"/>
  <c r="J255" i="1" a="1"/>
  <c r="J255" i="1" s="1"/>
  <c r="J256" i="1" a="1"/>
  <c r="J256" i="1" s="1"/>
  <c r="J257" i="1" a="1"/>
  <c r="J257" i="1" s="1"/>
  <c r="J258" i="1" a="1"/>
  <c r="J258" i="1" s="1"/>
  <c r="J259" i="1" a="1"/>
  <c r="J259" i="1" s="1"/>
  <c r="J260" i="1" a="1"/>
  <c r="J260" i="1" s="1"/>
  <c r="J261" i="1" a="1"/>
  <c r="J261" i="1" s="1"/>
  <c r="J262" i="1" a="1"/>
  <c r="J262" i="1" s="1"/>
  <c r="J263" i="1" a="1"/>
  <c r="J263" i="1" s="1"/>
  <c r="J264" i="1" a="1"/>
  <c r="J264" i="1" s="1"/>
  <c r="J265" i="1" a="1"/>
  <c r="J265" i="1" s="1"/>
  <c r="J266" i="1" a="1"/>
  <c r="J266" i="1" s="1"/>
  <c r="J267" i="1" a="1"/>
  <c r="J267" i="1" s="1"/>
  <c r="J268" i="1" a="1"/>
  <c r="J268" i="1" s="1"/>
  <c r="J269" i="1" a="1"/>
  <c r="J269" i="1" s="1"/>
  <c r="J270" i="1" a="1"/>
  <c r="J270" i="1" s="1"/>
  <c r="J271" i="1" a="1"/>
  <c r="J271" i="1" s="1"/>
  <c r="J272" i="1" a="1"/>
  <c r="J272" i="1" s="1"/>
  <c r="J273" i="1" a="1"/>
  <c r="J273" i="1" s="1"/>
  <c r="J274" i="1" a="1"/>
  <c r="J274" i="1" s="1"/>
  <c r="J275" i="1" a="1"/>
  <c r="J275" i="1" s="1"/>
  <c r="J276" i="1" a="1"/>
  <c r="J276" i="1" s="1"/>
  <c r="J277" i="1" a="1"/>
  <c r="J277" i="1" s="1"/>
  <c r="J278" i="1" a="1"/>
  <c r="J278" i="1" s="1"/>
  <c r="J279" i="1" a="1"/>
  <c r="J279" i="1" s="1"/>
  <c r="J280" i="1" a="1"/>
  <c r="J280" i="1" s="1"/>
  <c r="J281" i="1" a="1"/>
  <c r="J281" i="1" s="1"/>
  <c r="J282" i="1" a="1"/>
  <c r="J282" i="1" s="1"/>
  <c r="J283" i="1" a="1"/>
  <c r="J283" i="1" s="1"/>
  <c r="J284" i="1" a="1"/>
  <c r="J284" i="1" s="1"/>
  <c r="J285" i="1" a="1"/>
  <c r="J285" i="1" s="1"/>
  <c r="J286" i="1" a="1"/>
  <c r="J286" i="1" s="1"/>
  <c r="J287" i="1" a="1"/>
  <c r="J287" i="1" s="1"/>
  <c r="J288" i="1" a="1"/>
  <c r="J288" i="1" s="1"/>
  <c r="J289" i="1" a="1"/>
  <c r="J289" i="1" s="1"/>
  <c r="J290" i="1" a="1"/>
  <c r="J290" i="1" s="1"/>
  <c r="J291" i="1" a="1"/>
  <c r="J291" i="1" s="1"/>
  <c r="J292" i="1" a="1"/>
  <c r="J292" i="1" s="1"/>
  <c r="J293" i="1" a="1"/>
  <c r="J293" i="1" s="1"/>
  <c r="J294" i="1" a="1"/>
  <c r="J294" i="1" s="1"/>
  <c r="J295" i="1" a="1"/>
  <c r="J295" i="1" s="1"/>
  <c r="J296" i="1" a="1"/>
  <c r="J296" i="1" s="1"/>
  <c r="J297" i="1" a="1"/>
  <c r="J297" i="1" s="1"/>
  <c r="J298" i="1" a="1"/>
  <c r="J298" i="1" s="1"/>
  <c r="J299" i="1" a="1"/>
  <c r="J299" i="1" s="1"/>
  <c r="J300" i="1" a="1"/>
  <c r="J300" i="1" s="1"/>
  <c r="J301" i="1" a="1"/>
  <c r="J301" i="1" s="1"/>
  <c r="J302" i="1" a="1"/>
  <c r="J302" i="1" s="1"/>
  <c r="J303" i="1" a="1"/>
  <c r="J303" i="1" s="1"/>
  <c r="J304" i="1" a="1"/>
  <c r="J304" i="1" s="1"/>
  <c r="J305" i="1" a="1"/>
  <c r="J305" i="1" s="1"/>
  <c r="J306" i="1" a="1"/>
  <c r="J306" i="1" s="1"/>
  <c r="J307" i="1" a="1"/>
  <c r="J307" i="1" s="1"/>
  <c r="J308" i="1" a="1"/>
  <c r="J308" i="1" s="1"/>
  <c r="J309" i="1" a="1"/>
  <c r="J309" i="1" s="1"/>
  <c r="J310" i="1" a="1"/>
  <c r="J310" i="1" s="1"/>
  <c r="J311" i="1" a="1"/>
  <c r="J311" i="1" s="1"/>
  <c r="J312" i="1" a="1"/>
  <c r="J312" i="1" s="1"/>
  <c r="J313" i="1" a="1"/>
  <c r="J313" i="1" s="1"/>
  <c r="J314" i="1" a="1"/>
  <c r="J314" i="1" s="1"/>
  <c r="J315" i="1" a="1"/>
  <c r="J315" i="1" s="1"/>
  <c r="J316" i="1" a="1"/>
  <c r="J316" i="1" s="1"/>
  <c r="J317" i="1" a="1"/>
  <c r="J317" i="1" s="1"/>
  <c r="J318" i="1" a="1"/>
  <c r="J318" i="1" s="1"/>
  <c r="J319" i="1" a="1"/>
  <c r="J319" i="1" s="1"/>
  <c r="J320" i="1" a="1"/>
  <c r="J320" i="1" s="1"/>
  <c r="J321" i="1" a="1"/>
  <c r="J321" i="1" s="1"/>
  <c r="J322" i="1" a="1"/>
  <c r="J322" i="1" s="1"/>
  <c r="J323" i="1" a="1"/>
  <c r="J323" i="1" s="1"/>
  <c r="J324" i="1" a="1"/>
  <c r="J324" i="1" s="1"/>
  <c r="J325" i="1" a="1"/>
  <c r="J325" i="1" s="1"/>
  <c r="J326" i="1" a="1"/>
  <c r="J326" i="1" s="1"/>
  <c r="J327" i="1" a="1"/>
  <c r="J327" i="1" s="1"/>
  <c r="J328" i="1" a="1"/>
  <c r="J328" i="1" s="1"/>
  <c r="J329" i="1" a="1"/>
  <c r="J329" i="1" s="1"/>
  <c r="J330" i="1" a="1"/>
  <c r="J330" i="1" s="1"/>
  <c r="J331" i="1" a="1"/>
  <c r="J331" i="1" s="1"/>
  <c r="J332" i="1" a="1"/>
  <c r="J332" i="1" s="1"/>
  <c r="J333" i="1" a="1"/>
  <c r="J333" i="1" s="1"/>
  <c r="J334" i="1" a="1"/>
  <c r="J334" i="1" s="1"/>
  <c r="J335" i="1" a="1"/>
  <c r="J335" i="1" s="1"/>
  <c r="J336" i="1" a="1"/>
  <c r="J336" i="1" s="1"/>
  <c r="J337" i="1" a="1"/>
  <c r="J337" i="1" s="1"/>
  <c r="J338" i="1" a="1"/>
  <c r="J338" i="1" s="1"/>
  <c r="J339" i="1" a="1"/>
  <c r="J339" i="1" s="1"/>
  <c r="J340" i="1" a="1"/>
  <c r="J340" i="1" s="1"/>
  <c r="J341" i="1" a="1"/>
  <c r="J341" i="1" s="1"/>
  <c r="J342" i="1" a="1"/>
  <c r="J342" i="1" s="1"/>
  <c r="J343" i="1" a="1"/>
  <c r="J343" i="1" s="1"/>
  <c r="J344" i="1" a="1"/>
  <c r="J344" i="1" s="1"/>
  <c r="J345" i="1" a="1"/>
  <c r="J345" i="1" s="1"/>
  <c r="J346" i="1" a="1"/>
  <c r="J346" i="1" s="1"/>
  <c r="J347" i="1" a="1"/>
  <c r="J347" i="1" s="1"/>
  <c r="J348" i="1" a="1"/>
  <c r="J348" i="1" s="1"/>
  <c r="J349" i="1" a="1"/>
  <c r="J349" i="1" s="1"/>
  <c r="J350" i="1" a="1"/>
  <c r="J350" i="1" s="1"/>
  <c r="J351" i="1" a="1"/>
  <c r="J351" i="1" s="1"/>
  <c r="J352" i="1" a="1"/>
  <c r="J352" i="1" s="1"/>
  <c r="J353" i="1" a="1"/>
  <c r="J353" i="1" s="1"/>
  <c r="J354" i="1" a="1"/>
  <c r="J354" i="1" s="1"/>
  <c r="J355" i="1" a="1"/>
  <c r="J355" i="1" s="1"/>
  <c r="J356" i="1" a="1"/>
  <c r="J356" i="1" s="1"/>
  <c r="J357" i="1" a="1"/>
  <c r="J357" i="1" s="1"/>
  <c r="J358" i="1" a="1"/>
  <c r="J358" i="1" s="1"/>
  <c r="J359" i="1" a="1"/>
  <c r="J359" i="1" s="1"/>
  <c r="J360" i="1" a="1"/>
  <c r="J360" i="1" s="1"/>
  <c r="J361" i="1" a="1"/>
  <c r="J361" i="1" s="1"/>
  <c r="J362" i="1" a="1"/>
  <c r="J362" i="1" s="1"/>
  <c r="J363" i="1" a="1"/>
  <c r="J363" i="1" s="1"/>
  <c r="J364" i="1" a="1"/>
  <c r="J364" i="1" s="1"/>
  <c r="J365" i="1" a="1"/>
  <c r="J365" i="1" s="1"/>
  <c r="J366" i="1" a="1"/>
  <c r="J366" i="1" s="1"/>
  <c r="J367" i="1" a="1"/>
  <c r="J367" i="1" s="1"/>
  <c r="J368" i="1" a="1"/>
  <c r="J368" i="1" s="1"/>
  <c r="J369" i="1" a="1"/>
  <c r="J369" i="1" s="1"/>
  <c r="J370" i="1" a="1"/>
  <c r="J370" i="1" s="1"/>
  <c r="J371" i="1" a="1"/>
  <c r="J371" i="1" s="1"/>
  <c r="J372" i="1" a="1"/>
  <c r="J372" i="1" s="1"/>
  <c r="J373" i="1" a="1"/>
  <c r="J373" i="1" s="1"/>
  <c r="J374" i="1" a="1"/>
  <c r="J374" i="1" s="1"/>
  <c r="J375" i="1" a="1"/>
  <c r="J375" i="1" s="1"/>
  <c r="J376" i="1" a="1"/>
  <c r="J376" i="1" s="1"/>
  <c r="J377" i="1" a="1"/>
  <c r="J377" i="1" s="1"/>
  <c r="J378" i="1" a="1"/>
  <c r="J378" i="1" s="1"/>
  <c r="J379" i="1" a="1"/>
  <c r="J379" i="1" s="1"/>
  <c r="J380" i="1" a="1"/>
  <c r="J380" i="1" s="1"/>
  <c r="J381" i="1" a="1"/>
  <c r="J381" i="1" s="1"/>
  <c r="J382" i="1" a="1"/>
  <c r="J382" i="1" s="1"/>
  <c r="J383" i="1" a="1"/>
  <c r="J383" i="1" s="1"/>
  <c r="J384" i="1" a="1"/>
  <c r="J384" i="1" s="1"/>
  <c r="J385" i="1" a="1"/>
  <c r="J385" i="1" s="1"/>
  <c r="J386" i="1" a="1"/>
  <c r="J386" i="1" s="1"/>
  <c r="J387" i="1" a="1"/>
  <c r="J387" i="1" s="1"/>
  <c r="J388" i="1" a="1"/>
  <c r="J388" i="1" s="1"/>
  <c r="J389" i="1" a="1"/>
  <c r="J389" i="1" s="1"/>
  <c r="J390" i="1" a="1"/>
  <c r="J390" i="1" s="1"/>
  <c r="J391" i="1" a="1"/>
  <c r="J391" i="1" s="1"/>
  <c r="J392" i="1" a="1"/>
  <c r="J392" i="1" s="1"/>
  <c r="J393" i="1" a="1"/>
  <c r="J393" i="1" s="1"/>
  <c r="J394" i="1" a="1"/>
  <c r="J394" i="1" s="1"/>
  <c r="J395" i="1" a="1"/>
  <c r="J395" i="1" s="1"/>
  <c r="J396" i="1" a="1"/>
  <c r="J396" i="1" s="1"/>
  <c r="J397" i="1" a="1"/>
  <c r="J397" i="1" s="1"/>
  <c r="J398" i="1" a="1"/>
  <c r="J398" i="1" s="1"/>
  <c r="J399" i="1" a="1"/>
  <c r="J399" i="1" s="1"/>
  <c r="J400" i="1" a="1"/>
  <c r="J400" i="1" s="1"/>
  <c r="J401" i="1" a="1"/>
  <c r="J401" i="1" s="1"/>
  <c r="J402" i="1" a="1"/>
  <c r="J402" i="1" s="1"/>
  <c r="J403" i="1" a="1"/>
  <c r="J403" i="1" s="1"/>
  <c r="J404" i="1" a="1"/>
  <c r="J404" i="1" s="1"/>
  <c r="J405" i="1" a="1"/>
  <c r="J405" i="1" s="1"/>
  <c r="J406" i="1" a="1"/>
  <c r="J406" i="1" s="1"/>
  <c r="J407" i="1" a="1"/>
  <c r="J407" i="1" s="1"/>
  <c r="J408" i="1" a="1"/>
  <c r="J408" i="1" s="1"/>
  <c r="J409" i="1" a="1"/>
  <c r="J409" i="1" s="1"/>
  <c r="J410" i="1" a="1"/>
  <c r="J410" i="1" s="1"/>
  <c r="J411" i="1" a="1"/>
  <c r="J411" i="1" s="1"/>
  <c r="J412" i="1" a="1"/>
  <c r="J412" i="1" s="1"/>
  <c r="J413" i="1" a="1"/>
  <c r="J413" i="1" s="1"/>
  <c r="J414" i="1" a="1"/>
  <c r="J414" i="1" s="1"/>
  <c r="J415" i="1" a="1"/>
  <c r="J415" i="1" s="1"/>
  <c r="J416" i="1" a="1"/>
  <c r="J416" i="1" s="1"/>
  <c r="J417" i="1" a="1"/>
  <c r="J417" i="1" s="1"/>
  <c r="J418" i="1" a="1"/>
  <c r="J418" i="1" s="1"/>
  <c r="J419" i="1" a="1"/>
  <c r="J419" i="1" s="1"/>
  <c r="J420" i="1" a="1"/>
  <c r="J420" i="1" s="1"/>
  <c r="J421" i="1" a="1"/>
  <c r="J421" i="1" s="1"/>
  <c r="J422" i="1" a="1"/>
  <c r="J422" i="1" s="1"/>
  <c r="J423" i="1" a="1"/>
  <c r="J423" i="1" s="1"/>
  <c r="J424" i="1" a="1"/>
  <c r="J424" i="1" s="1"/>
  <c r="J425" i="1" a="1"/>
  <c r="J425" i="1" s="1"/>
  <c r="J426" i="1" a="1"/>
  <c r="J426" i="1" s="1"/>
  <c r="J427" i="1" a="1"/>
  <c r="J427" i="1" s="1"/>
  <c r="J428" i="1" a="1"/>
  <c r="J428" i="1" s="1"/>
  <c r="J429" i="1" a="1"/>
  <c r="J429" i="1" s="1"/>
  <c r="J430" i="1" a="1"/>
  <c r="J430" i="1" s="1"/>
  <c r="J431" i="1" a="1"/>
  <c r="J431" i="1" s="1"/>
  <c r="J432" i="1" a="1"/>
  <c r="J432" i="1" s="1"/>
  <c r="J433" i="1" a="1"/>
  <c r="J433" i="1" s="1"/>
  <c r="J434" i="1" a="1"/>
  <c r="J434" i="1" s="1"/>
  <c r="J435" i="1" a="1"/>
  <c r="J435" i="1" s="1"/>
  <c r="J436" i="1" a="1"/>
  <c r="J436" i="1" s="1"/>
  <c r="J437" i="1" a="1"/>
  <c r="J437" i="1" s="1"/>
  <c r="J438" i="1" a="1"/>
  <c r="J438" i="1" s="1"/>
  <c r="J439" i="1" a="1"/>
  <c r="J439" i="1" s="1"/>
  <c r="J440" i="1" a="1"/>
  <c r="J440" i="1" s="1"/>
  <c r="J441" i="1" a="1"/>
  <c r="J441" i="1" s="1"/>
  <c r="J442" i="1" a="1"/>
  <c r="J442" i="1" s="1"/>
  <c r="J443" i="1" a="1"/>
  <c r="J443" i="1" s="1"/>
  <c r="J444" i="1" a="1"/>
  <c r="J444" i="1" s="1"/>
  <c r="J445" i="1" a="1"/>
  <c r="J445" i="1" s="1"/>
  <c r="J446" i="1" a="1"/>
  <c r="J446" i="1" s="1"/>
  <c r="J447" i="1" a="1"/>
  <c r="J447" i="1" s="1"/>
  <c r="J448" i="1" a="1"/>
  <c r="J448" i="1" s="1"/>
  <c r="J449" i="1" a="1"/>
  <c r="J449" i="1" s="1"/>
  <c r="J450" i="1" a="1"/>
  <c r="J450" i="1" s="1"/>
  <c r="J451" i="1" a="1"/>
  <c r="J451" i="1" s="1"/>
  <c r="J452" i="1" a="1"/>
  <c r="J452" i="1" s="1"/>
  <c r="J453" i="1" a="1"/>
  <c r="J453" i="1" s="1"/>
  <c r="J454" i="1" a="1"/>
  <c r="J454" i="1" s="1"/>
  <c r="J455" i="1" a="1"/>
  <c r="J455" i="1" s="1"/>
  <c r="J456" i="1" a="1"/>
  <c r="J456" i="1" s="1"/>
  <c r="J457" i="1" a="1"/>
  <c r="J457" i="1" s="1"/>
  <c r="J458" i="1" a="1"/>
  <c r="J458" i="1" s="1"/>
  <c r="J459" i="1" a="1"/>
  <c r="J459" i="1" s="1"/>
  <c r="J460" i="1" a="1"/>
  <c r="J460" i="1" s="1"/>
  <c r="J461" i="1" a="1"/>
  <c r="J461" i="1" s="1"/>
  <c r="J462" i="1" a="1"/>
  <c r="J462" i="1" s="1"/>
  <c r="J463" i="1" a="1"/>
  <c r="J463" i="1" s="1"/>
  <c r="J464" i="1" a="1"/>
  <c r="J464" i="1" s="1"/>
  <c r="J465" i="1" a="1"/>
  <c r="J465" i="1" s="1"/>
  <c r="J466" i="1" a="1"/>
  <c r="J466" i="1" s="1"/>
  <c r="J467" i="1" a="1"/>
  <c r="J467" i="1" s="1"/>
  <c r="J468" i="1" a="1"/>
  <c r="J468" i="1" s="1"/>
  <c r="J469" i="1" a="1"/>
  <c r="J469" i="1" s="1"/>
  <c r="J470" i="1" a="1"/>
  <c r="J470" i="1" s="1"/>
  <c r="J471" i="1" a="1"/>
  <c r="J471" i="1" s="1"/>
  <c r="J472" i="1" a="1"/>
  <c r="J472" i="1" s="1"/>
  <c r="J473" i="1" a="1"/>
  <c r="J473" i="1" s="1"/>
  <c r="J474" i="1" a="1"/>
  <c r="J474" i="1" s="1"/>
  <c r="J475" i="1" a="1"/>
  <c r="J475" i="1" s="1"/>
  <c r="J476" i="1" a="1"/>
  <c r="J476" i="1" s="1"/>
  <c r="J477" i="1" a="1"/>
  <c r="J477" i="1" s="1"/>
  <c r="J478" i="1" a="1"/>
  <c r="J478" i="1" s="1"/>
  <c r="J479" i="1" a="1"/>
  <c r="J479" i="1" s="1"/>
  <c r="J480" i="1" a="1"/>
  <c r="J480" i="1" s="1"/>
  <c r="J481" i="1" a="1"/>
  <c r="J481" i="1" s="1"/>
  <c r="J482" i="1" a="1"/>
  <c r="J482" i="1" s="1"/>
  <c r="J483" i="1" a="1"/>
  <c r="J483" i="1" s="1"/>
  <c r="J484" i="1" a="1"/>
  <c r="J484" i="1" s="1"/>
  <c r="J485" i="1" a="1"/>
  <c r="J485" i="1" s="1"/>
  <c r="J486" i="1" a="1"/>
  <c r="J486" i="1" s="1"/>
  <c r="J487" i="1" a="1"/>
  <c r="J487" i="1" s="1"/>
  <c r="J488" i="1" a="1"/>
  <c r="J488" i="1" s="1"/>
  <c r="J489" i="1" a="1"/>
  <c r="J489" i="1" s="1"/>
  <c r="J490" i="1" a="1"/>
  <c r="J490" i="1" s="1"/>
  <c r="J491" i="1" a="1"/>
  <c r="J491" i="1" s="1"/>
  <c r="J492" i="1" a="1"/>
  <c r="J492" i="1" s="1"/>
  <c r="J493" i="1" a="1"/>
  <c r="J493" i="1" s="1"/>
  <c r="J494" i="1" a="1"/>
  <c r="J494" i="1" s="1"/>
  <c r="J495" i="1" a="1"/>
  <c r="J495" i="1" s="1"/>
  <c r="J496" i="1" a="1"/>
  <c r="J496" i="1" s="1"/>
  <c r="J497" i="1" a="1"/>
  <c r="J497" i="1" s="1"/>
  <c r="J498" i="1" a="1"/>
  <c r="J498" i="1" s="1"/>
  <c r="J499" i="1" a="1"/>
  <c r="J499" i="1" s="1"/>
  <c r="J500" i="1" a="1"/>
  <c r="J500" i="1" s="1"/>
  <c r="J501" i="1" a="1"/>
  <c r="J501" i="1" s="1"/>
  <c r="J502" i="1" a="1"/>
  <c r="J502" i="1" s="1"/>
  <c r="J503" i="1" a="1"/>
  <c r="J503" i="1" s="1"/>
  <c r="J504" i="1" a="1"/>
  <c r="J504" i="1" s="1"/>
  <c r="J505" i="1" a="1"/>
  <c r="J505" i="1" s="1"/>
  <c r="J506" i="1" a="1"/>
  <c r="J506" i="1" s="1"/>
  <c r="J507" i="1" a="1"/>
  <c r="J507" i="1" s="1"/>
  <c r="J508" i="1" a="1"/>
  <c r="J508" i="1" s="1"/>
  <c r="J509" i="1" a="1"/>
  <c r="J509" i="1" s="1"/>
  <c r="J510" i="1" a="1"/>
  <c r="J510" i="1" s="1"/>
  <c r="J511" i="1" a="1"/>
  <c r="J511" i="1" s="1"/>
  <c r="J512" i="1" a="1"/>
  <c r="J512" i="1" s="1"/>
  <c r="J513" i="1" a="1"/>
  <c r="J513" i="1" s="1"/>
  <c r="J514" i="1" a="1"/>
  <c r="J514" i="1" s="1"/>
  <c r="J515" i="1" a="1"/>
  <c r="J515" i="1" s="1"/>
  <c r="J516" i="1" a="1"/>
  <c r="J516" i="1" s="1"/>
  <c r="J517" i="1" a="1"/>
  <c r="J517" i="1" s="1"/>
  <c r="J518" i="1" a="1"/>
  <c r="J518" i="1" s="1"/>
  <c r="J519" i="1" a="1"/>
  <c r="J519" i="1" s="1"/>
  <c r="J520" i="1" a="1"/>
  <c r="J520" i="1" s="1"/>
  <c r="J521" i="1" a="1"/>
  <c r="J521" i="1" s="1"/>
  <c r="J522" i="1" a="1"/>
  <c r="J522" i="1" s="1"/>
  <c r="J523" i="1" a="1"/>
  <c r="J523" i="1" s="1"/>
  <c r="J524" i="1" a="1"/>
  <c r="J524" i="1" s="1"/>
  <c r="J525" i="1" a="1"/>
  <c r="J525" i="1" s="1"/>
  <c r="J526" i="1" a="1"/>
  <c r="J526" i="1" s="1"/>
  <c r="J527" i="1" a="1"/>
  <c r="J527" i="1" s="1"/>
  <c r="J528" i="1" a="1"/>
  <c r="J528" i="1" s="1"/>
  <c r="J529" i="1" a="1"/>
  <c r="J529" i="1" s="1"/>
  <c r="J530" i="1" a="1"/>
  <c r="J530" i="1" s="1"/>
  <c r="J531" i="1" a="1"/>
  <c r="J531" i="1" s="1"/>
  <c r="J532" i="1" a="1"/>
  <c r="J532" i="1" s="1"/>
  <c r="J533" i="1" a="1"/>
  <c r="J533" i="1" s="1"/>
  <c r="J534" i="1" a="1"/>
  <c r="J534" i="1" s="1"/>
  <c r="J535" i="1" a="1"/>
  <c r="J535" i="1" s="1"/>
  <c r="J536" i="1" a="1"/>
  <c r="J536" i="1" s="1"/>
  <c r="J537" i="1" a="1"/>
  <c r="J537" i="1" s="1"/>
  <c r="J538" i="1" a="1"/>
  <c r="J538" i="1" s="1"/>
  <c r="J539" i="1" a="1"/>
  <c r="J539" i="1"/>
  <c r="J540" i="1" a="1"/>
  <c r="J540" i="1"/>
  <c r="J541" i="1" a="1"/>
  <c r="J541" i="1"/>
  <c r="J542" i="1" a="1"/>
  <c r="J542" i="1"/>
  <c r="J543" i="1" a="1"/>
  <c r="J543" i="1"/>
  <c r="J544" i="1" a="1"/>
  <c r="J544" i="1"/>
  <c r="J545" i="1" a="1"/>
  <c r="J545" i="1"/>
  <c r="J546" i="1" a="1"/>
  <c r="J546" i="1"/>
  <c r="J547" i="1" a="1"/>
  <c r="J547" i="1"/>
  <c r="J548" i="1" a="1"/>
  <c r="J548" i="1"/>
  <c r="J549" i="1" a="1"/>
  <c r="J549" i="1"/>
  <c r="J550" i="1" a="1"/>
  <c r="J550" i="1"/>
  <c r="J551" i="1" a="1"/>
  <c r="J551" i="1"/>
  <c r="J552" i="1" a="1"/>
  <c r="J552" i="1"/>
  <c r="J553" i="1" a="1"/>
  <c r="J553" i="1"/>
  <c r="J554" i="1" a="1"/>
  <c r="J554" i="1"/>
  <c r="J555" i="1" a="1"/>
  <c r="J555" i="1"/>
  <c r="J556" i="1" a="1"/>
  <c r="J556" i="1"/>
  <c r="J557" i="1" a="1"/>
  <c r="J557" i="1"/>
  <c r="J558" i="1" a="1"/>
  <c r="J558" i="1"/>
  <c r="J559" i="1" a="1"/>
  <c r="J559" i="1"/>
  <c r="J560" i="1" a="1"/>
  <c r="J560" i="1"/>
  <c r="J561" i="1" a="1"/>
  <c r="J561" i="1"/>
  <c r="J562" i="1" a="1"/>
  <c r="J562" i="1"/>
  <c r="J563" i="1" a="1"/>
  <c r="J563" i="1"/>
  <c r="J564" i="1" a="1"/>
  <c r="J564" i="1"/>
  <c r="J565" i="1" a="1"/>
  <c r="J565" i="1"/>
  <c r="J566" i="1" a="1"/>
  <c r="J566" i="1"/>
  <c r="J567" i="1" a="1"/>
  <c r="J567" i="1"/>
  <c r="J568" i="1" a="1"/>
  <c r="J568" i="1"/>
  <c r="J569" i="1" a="1"/>
  <c r="J569" i="1"/>
  <c r="J570" i="1" a="1"/>
  <c r="J570" i="1"/>
  <c r="J571" i="1" a="1"/>
  <c r="J571" i="1"/>
  <c r="J572" i="1" a="1"/>
  <c r="J572" i="1"/>
  <c r="J573" i="1" a="1"/>
  <c r="J573" i="1"/>
  <c r="J574" i="1" a="1"/>
  <c r="J574" i="1"/>
  <c r="J575" i="1" a="1"/>
  <c r="J575" i="1"/>
  <c r="J576" i="1" a="1"/>
  <c r="J576" i="1"/>
  <c r="J577" i="1" a="1"/>
  <c r="J577" i="1"/>
  <c r="J578" i="1" a="1"/>
  <c r="J578" i="1"/>
  <c r="J579" i="1" a="1"/>
  <c r="J579" i="1"/>
  <c r="J580" i="1" a="1"/>
  <c r="J580" i="1"/>
  <c r="J581" i="1" a="1"/>
  <c r="J581" i="1"/>
  <c r="J582" i="1" a="1"/>
  <c r="J582" i="1"/>
  <c r="J583" i="1" a="1"/>
  <c r="J583" i="1"/>
  <c r="J584" i="1" a="1"/>
  <c r="J584" i="1"/>
  <c r="J585" i="1" a="1"/>
  <c r="J585" i="1"/>
  <c r="J586" i="1" a="1"/>
  <c r="J586" i="1"/>
  <c r="J587" i="1" a="1"/>
  <c r="J587" i="1"/>
  <c r="J588" i="1" a="1"/>
  <c r="J588" i="1"/>
  <c r="J589" i="1" a="1"/>
  <c r="J589" i="1"/>
  <c r="J590" i="1" a="1"/>
  <c r="J590" i="1"/>
  <c r="J591" i="1" a="1"/>
  <c r="J591" i="1"/>
  <c r="J592" i="1" a="1"/>
  <c r="J592" i="1"/>
  <c r="J593" i="1" a="1"/>
  <c r="J593" i="1"/>
  <c r="J594" i="1" a="1"/>
  <c r="J594" i="1"/>
  <c r="J595" i="1" a="1"/>
  <c r="J595" i="1"/>
  <c r="J596" i="1" a="1"/>
  <c r="J596" i="1"/>
  <c r="J597" i="1" a="1"/>
  <c r="J597" i="1"/>
  <c r="J598" i="1" a="1"/>
  <c r="J598" i="1"/>
  <c r="J599" i="1" a="1"/>
  <c r="J599" i="1"/>
  <c r="J600" i="1" a="1"/>
  <c r="J600" i="1"/>
  <c r="J601" i="1" a="1"/>
  <c r="J601" i="1"/>
  <c r="J602" i="1" a="1"/>
  <c r="J602" i="1"/>
  <c r="J603" i="1" a="1"/>
  <c r="J603" i="1"/>
  <c r="J604" i="1" a="1"/>
  <c r="J604" i="1"/>
  <c r="J605" i="1" a="1"/>
  <c r="J605" i="1"/>
  <c r="J606" i="1" a="1"/>
  <c r="J606" i="1"/>
  <c r="J607" i="1" a="1"/>
  <c r="J607" i="1"/>
  <c r="J608" i="1" a="1"/>
  <c r="J608" i="1"/>
  <c r="J609" i="1" a="1"/>
  <c r="J609" i="1"/>
  <c r="J610" i="1" a="1"/>
  <c r="J610" i="1"/>
  <c r="J611" i="1" a="1"/>
  <c r="J611" i="1"/>
  <c r="J612" i="1" a="1"/>
  <c r="J612" i="1"/>
  <c r="J613" i="1" a="1"/>
  <c r="J613" i="1"/>
  <c r="J614" i="1" a="1"/>
  <c r="J614" i="1" s="1"/>
  <c r="J615" i="1" a="1"/>
  <c r="J615" i="1" s="1"/>
  <c r="J616" i="1" a="1"/>
  <c r="J616" i="1" s="1"/>
  <c r="J617" i="1" a="1"/>
  <c r="J617" i="1" s="1"/>
  <c r="J618" i="1" a="1"/>
  <c r="J618" i="1" s="1"/>
  <c r="J619" i="1" a="1"/>
  <c r="J619" i="1" s="1"/>
  <c r="J620" i="1" a="1"/>
  <c r="J620" i="1" s="1"/>
  <c r="J621" i="1" a="1"/>
  <c r="J621" i="1" s="1"/>
  <c r="J622" i="1" a="1"/>
  <c r="J622" i="1" s="1"/>
  <c r="J623" i="1" a="1"/>
  <c r="J623" i="1" s="1"/>
  <c r="J624" i="1" a="1"/>
  <c r="J624" i="1" s="1"/>
  <c r="J625" i="1" a="1"/>
  <c r="J625" i="1" s="1"/>
  <c r="J626" i="1" a="1"/>
  <c r="J626" i="1" s="1"/>
  <c r="J627" i="1" a="1"/>
  <c r="J627" i="1" s="1"/>
  <c r="J628" i="1" a="1"/>
  <c r="J628" i="1" s="1"/>
  <c r="J629" i="1" a="1"/>
  <c r="J629" i="1" s="1"/>
  <c r="J630" i="1" a="1"/>
  <c r="J630" i="1" s="1"/>
  <c r="J631" i="1" a="1"/>
  <c r="J631" i="1" s="1"/>
  <c r="J632" i="1" a="1"/>
  <c r="J632" i="1" s="1"/>
  <c r="J633" i="1" a="1"/>
  <c r="J633" i="1" s="1"/>
  <c r="J634" i="1" a="1"/>
  <c r="J634" i="1" s="1"/>
  <c r="J635" i="1" a="1"/>
  <c r="J635" i="1" s="1"/>
  <c r="J636" i="1" a="1"/>
  <c r="J636" i="1" s="1"/>
  <c r="J637" i="1" a="1"/>
  <c r="J637" i="1" s="1"/>
  <c r="J638" i="1" a="1"/>
  <c r="J638" i="1" s="1"/>
  <c r="J639" i="1" a="1"/>
  <c r="J639" i="1" s="1"/>
  <c r="J640" i="1" a="1"/>
  <c r="J640" i="1" s="1"/>
  <c r="J641" i="1" a="1"/>
  <c r="J641" i="1" s="1"/>
  <c r="J642" i="1" a="1"/>
  <c r="J642" i="1" s="1"/>
  <c r="J643" i="1" a="1"/>
  <c r="J643" i="1" s="1"/>
  <c r="J644" i="1" a="1"/>
  <c r="J644" i="1" s="1"/>
  <c r="J645" i="1" a="1"/>
  <c r="J645" i="1" s="1"/>
  <c r="J646" i="1" a="1"/>
  <c r="J646" i="1" s="1"/>
  <c r="J647" i="1" a="1"/>
  <c r="J647" i="1" s="1"/>
  <c r="J648" i="1" a="1"/>
  <c r="J648" i="1" s="1"/>
  <c r="J649" i="1" a="1"/>
  <c r="J649" i="1" s="1"/>
  <c r="J650" i="1" a="1"/>
  <c r="J650" i="1" s="1"/>
  <c r="J651" i="1" a="1"/>
  <c r="J651" i="1" s="1"/>
  <c r="J652" i="1" a="1"/>
  <c r="J652" i="1" s="1"/>
  <c r="J653" i="1" a="1"/>
  <c r="J653" i="1" s="1"/>
  <c r="J654" i="1" a="1"/>
  <c r="J654" i="1" s="1"/>
  <c r="J655" i="1" a="1"/>
  <c r="J655" i="1" s="1"/>
  <c r="J656" i="1" a="1"/>
  <c r="J656" i="1" s="1"/>
  <c r="J657" i="1" a="1"/>
  <c r="J657" i="1" s="1"/>
  <c r="J658" i="1" a="1"/>
  <c r="J658" i="1" s="1"/>
  <c r="J659" i="1" a="1"/>
  <c r="J659" i="1" s="1"/>
  <c r="J660" i="1" a="1"/>
  <c r="J660" i="1" s="1"/>
  <c r="J661" i="1" a="1"/>
  <c r="J661" i="1" s="1"/>
  <c r="J662" i="1" a="1"/>
  <c r="J662" i="1" s="1"/>
  <c r="J663" i="1" a="1"/>
  <c r="J663" i="1" s="1"/>
  <c r="J664" i="1" a="1"/>
  <c r="J664" i="1" s="1"/>
  <c r="J665" i="1" a="1"/>
  <c r="J665" i="1" s="1"/>
  <c r="J666" i="1" a="1"/>
  <c r="J666" i="1" s="1"/>
  <c r="J667" i="1" a="1"/>
  <c r="J667" i="1" s="1"/>
  <c r="J668" i="1" a="1"/>
  <c r="J668" i="1" s="1"/>
  <c r="J669" i="1" a="1"/>
  <c r="J669" i="1" s="1"/>
  <c r="J670" i="1" a="1"/>
  <c r="J670" i="1" s="1"/>
  <c r="J671" i="1" a="1"/>
  <c r="J671" i="1" s="1"/>
  <c r="J672" i="1" a="1"/>
  <c r="J672" i="1" s="1"/>
  <c r="J673" i="1" a="1"/>
  <c r="J673" i="1" s="1"/>
  <c r="J674" i="1" a="1"/>
  <c r="J674" i="1" s="1"/>
  <c r="J675" i="1" a="1"/>
  <c r="J675" i="1" s="1"/>
  <c r="J676" i="1" a="1"/>
  <c r="J676" i="1" s="1"/>
  <c r="J677" i="1" a="1"/>
  <c r="J677" i="1" s="1"/>
  <c r="J678" i="1" a="1"/>
  <c r="J678" i="1" s="1"/>
  <c r="J679" i="1" a="1"/>
  <c r="J679" i="1" s="1"/>
  <c r="J680" i="1" a="1"/>
  <c r="J680" i="1" s="1"/>
  <c r="J681" i="1" a="1"/>
  <c r="J681" i="1" s="1"/>
  <c r="J682" i="1" a="1"/>
  <c r="J682" i="1" s="1"/>
  <c r="J683" i="1" a="1"/>
  <c r="J683" i="1" s="1"/>
  <c r="J684" i="1" a="1"/>
  <c r="J684" i="1" s="1"/>
  <c r="J685" i="1" a="1"/>
  <c r="J685" i="1" s="1"/>
  <c r="J686" i="1" a="1"/>
  <c r="J686" i="1" s="1"/>
  <c r="J687" i="1" a="1"/>
  <c r="J687" i="1" s="1"/>
  <c r="J688" i="1" a="1"/>
  <c r="J688" i="1" s="1"/>
  <c r="J689" i="1" a="1"/>
  <c r="J689" i="1" s="1"/>
  <c r="J690" i="1" a="1"/>
  <c r="J690" i="1" s="1"/>
  <c r="J691" i="1" a="1"/>
  <c r="J691" i="1" s="1"/>
  <c r="J692" i="1" a="1"/>
  <c r="J692" i="1" s="1"/>
  <c r="J693" i="1" a="1"/>
  <c r="J693" i="1" s="1"/>
  <c r="J694" i="1" a="1"/>
  <c r="J694" i="1" s="1"/>
  <c r="J695" i="1" a="1"/>
  <c r="J695" i="1" s="1"/>
  <c r="J696" i="1" a="1"/>
  <c r="J696" i="1" s="1"/>
  <c r="J697" i="1" a="1"/>
  <c r="J697" i="1" s="1"/>
  <c r="J698" i="1" a="1"/>
  <c r="J698" i="1" s="1"/>
  <c r="J699" i="1" a="1"/>
  <c r="J699" i="1" s="1"/>
  <c r="J700" i="1" a="1"/>
  <c r="J700" i="1" s="1"/>
  <c r="J701" i="1" a="1"/>
  <c r="J701" i="1" s="1"/>
  <c r="J702" i="1" a="1"/>
  <c r="J702" i="1" s="1"/>
  <c r="J703" i="1" a="1"/>
  <c r="J703" i="1" s="1"/>
  <c r="J704" i="1" a="1"/>
  <c r="J704" i="1" s="1"/>
  <c r="J705" i="1" a="1"/>
  <c r="J705" i="1" s="1"/>
  <c r="J706" i="1" a="1"/>
  <c r="J706" i="1" s="1"/>
  <c r="J707" i="1" a="1"/>
  <c r="J707" i="1" s="1"/>
  <c r="J708" i="1" a="1"/>
  <c r="J708" i="1" s="1"/>
  <c r="J709" i="1" a="1"/>
  <c r="J709" i="1" s="1"/>
  <c r="J710" i="1" a="1"/>
  <c r="J710" i="1" s="1"/>
  <c r="J711" i="1" a="1"/>
  <c r="J711" i="1" s="1"/>
  <c r="J712" i="1" a="1"/>
  <c r="J712" i="1" s="1"/>
  <c r="J713" i="1" a="1"/>
  <c r="J713" i="1" s="1"/>
  <c r="J714" i="1" a="1"/>
  <c r="J714" i="1" s="1"/>
  <c r="J715" i="1" a="1"/>
  <c r="J715" i="1" s="1"/>
  <c r="J716" i="1" a="1"/>
  <c r="J716" i="1" s="1"/>
  <c r="J2" i="1" a="1"/>
  <c r="J2" i="1" s="1"/>
  <c r="I3" i="1" a="1"/>
  <c r="I3" i="1" s="1"/>
  <c r="I4" i="1" a="1"/>
  <c r="I4" i="1" s="1"/>
  <c r="I5" i="1" a="1"/>
  <c r="I5" i="1" s="1"/>
  <c r="I6" i="1" a="1"/>
  <c r="I6" i="1" s="1"/>
  <c r="I7" i="1" a="1"/>
  <c r="I7" i="1" s="1"/>
  <c r="I8" i="1" a="1"/>
  <c r="I8" i="1" s="1"/>
  <c r="I9" i="1" a="1"/>
  <c r="I9" i="1" s="1"/>
  <c r="I10" i="1" a="1"/>
  <c r="I10" i="1" s="1"/>
  <c r="I11" i="1" a="1"/>
  <c r="I11" i="1" s="1"/>
  <c r="I12" i="1" a="1"/>
  <c r="I12" i="1" s="1"/>
  <c r="I13" i="1" a="1"/>
  <c r="I13" i="1" s="1"/>
  <c r="I14" i="1" a="1"/>
  <c r="I14"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1" i="1" a="1"/>
  <c r="I31" i="1" s="1"/>
  <c r="I32" i="1" a="1"/>
  <c r="I32" i="1" s="1"/>
  <c r="I33" i="1" a="1"/>
  <c r="I33" i="1" s="1"/>
  <c r="I34" i="1" a="1"/>
  <c r="I34" i="1" s="1"/>
  <c r="I35" i="1" a="1"/>
  <c r="I35" i="1" s="1"/>
  <c r="I36" i="1" a="1"/>
  <c r="I36" i="1" s="1"/>
  <c r="I37" i="1" a="1"/>
  <c r="I37" i="1" s="1"/>
  <c r="I38" i="1" a="1"/>
  <c r="I38" i="1" s="1"/>
  <c r="I39" i="1" a="1"/>
  <c r="I39" i="1" s="1"/>
  <c r="I40" i="1" a="1"/>
  <c r="I40" i="1" s="1"/>
  <c r="I41" i="1" a="1"/>
  <c r="I41" i="1" s="1"/>
  <c r="I42" i="1" a="1"/>
  <c r="I42" i="1" s="1"/>
  <c r="I43" i="1" a="1"/>
  <c r="I43" i="1" s="1"/>
  <c r="I44" i="1" a="1"/>
  <c r="I44" i="1" s="1"/>
  <c r="I45" i="1" a="1"/>
  <c r="I45" i="1" s="1"/>
  <c r="I46" i="1" a="1"/>
  <c r="I46" i="1" s="1"/>
  <c r="I47" i="1" a="1"/>
  <c r="I47" i="1" s="1"/>
  <c r="I48" i="1" a="1"/>
  <c r="I48" i="1" s="1"/>
  <c r="I49" i="1" a="1"/>
  <c r="I49" i="1" s="1"/>
  <c r="I50" i="1" a="1"/>
  <c r="I50" i="1" s="1"/>
  <c r="I51" i="1" a="1"/>
  <c r="I51" i="1" s="1"/>
  <c r="I52" i="1" a="1"/>
  <c r="I52" i="1" s="1"/>
  <c r="I53" i="1" a="1"/>
  <c r="I53" i="1" s="1"/>
  <c r="I54" i="1" a="1"/>
  <c r="I54" i="1" s="1"/>
  <c r="I55" i="1" a="1"/>
  <c r="I55" i="1" s="1"/>
  <c r="I56" i="1" a="1"/>
  <c r="I56" i="1" s="1"/>
  <c r="I57" i="1" a="1"/>
  <c r="I57" i="1" s="1"/>
  <c r="I58" i="1" a="1"/>
  <c r="I58" i="1" s="1"/>
  <c r="I59" i="1" a="1"/>
  <c r="I59" i="1" s="1"/>
  <c r="I60" i="1" a="1"/>
  <c r="I60" i="1" s="1"/>
  <c r="I61" i="1" a="1"/>
  <c r="I61" i="1" s="1"/>
  <c r="I62" i="1" a="1"/>
  <c r="I62" i="1" s="1"/>
  <c r="I63" i="1" a="1"/>
  <c r="I63" i="1" s="1"/>
  <c r="I64" i="1" a="1"/>
  <c r="I64" i="1" s="1"/>
  <c r="I65" i="1" a="1"/>
  <c r="I65" i="1" s="1"/>
  <c r="I66" i="1" a="1"/>
  <c r="I66" i="1" s="1"/>
  <c r="I67" i="1" a="1"/>
  <c r="I67" i="1" s="1"/>
  <c r="I68" i="1" a="1"/>
  <c r="I68" i="1" s="1"/>
  <c r="I69" i="1" a="1"/>
  <c r="I69" i="1" s="1"/>
  <c r="I70" i="1" a="1"/>
  <c r="I70" i="1" s="1"/>
  <c r="I71" i="1" a="1"/>
  <c r="I71" i="1" s="1"/>
  <c r="I72" i="1" a="1"/>
  <c r="I72" i="1" s="1"/>
  <c r="I73" i="1" a="1"/>
  <c r="I73" i="1" s="1"/>
  <c r="I74" i="1" a="1"/>
  <c r="I74" i="1" s="1"/>
  <c r="I75" i="1" a="1"/>
  <c r="I75" i="1" s="1"/>
  <c r="I76" i="1" a="1"/>
  <c r="I76" i="1" s="1"/>
  <c r="I77" i="1" a="1"/>
  <c r="I77" i="1" s="1"/>
  <c r="I78" i="1" a="1"/>
  <c r="I78" i="1" s="1"/>
  <c r="I79" i="1" a="1"/>
  <c r="I79" i="1" s="1"/>
  <c r="I80" i="1" a="1"/>
  <c r="I80" i="1" s="1"/>
  <c r="I81" i="1" a="1"/>
  <c r="I81" i="1" s="1"/>
  <c r="I82" i="1" a="1"/>
  <c r="I82" i="1" s="1"/>
  <c r="I83" i="1" a="1"/>
  <c r="I83" i="1" s="1"/>
  <c r="I84" i="1" a="1"/>
  <c r="I84" i="1" s="1"/>
  <c r="I85" i="1" a="1"/>
  <c r="I85" i="1" s="1"/>
  <c r="I86" i="1" a="1"/>
  <c r="I86" i="1" s="1"/>
  <c r="I87" i="1" a="1"/>
  <c r="I87" i="1" s="1"/>
  <c r="I88" i="1" a="1"/>
  <c r="I88" i="1" s="1"/>
  <c r="I89" i="1" a="1"/>
  <c r="I89" i="1" s="1"/>
  <c r="I90" i="1" a="1"/>
  <c r="I90" i="1" s="1"/>
  <c r="I91" i="1" a="1"/>
  <c r="I91" i="1" s="1"/>
  <c r="I92" i="1" a="1"/>
  <c r="I92" i="1" s="1"/>
  <c r="I93" i="1" a="1"/>
  <c r="I93" i="1" s="1"/>
  <c r="I94" i="1" a="1"/>
  <c r="I94" i="1" s="1"/>
  <c r="I95" i="1" a="1"/>
  <c r="I95" i="1" s="1"/>
  <c r="I96" i="1" a="1"/>
  <c r="I96" i="1" s="1"/>
  <c r="I97" i="1" a="1"/>
  <c r="I97" i="1" s="1"/>
  <c r="I98" i="1" a="1"/>
  <c r="I98" i="1" s="1"/>
  <c r="I99" i="1" a="1"/>
  <c r="I99" i="1" s="1"/>
  <c r="I100" i="1" a="1"/>
  <c r="I100" i="1" s="1"/>
  <c r="I101" i="1" a="1"/>
  <c r="I101" i="1" s="1"/>
  <c r="I102" i="1" a="1"/>
  <c r="I102" i="1" s="1"/>
  <c r="I103" i="1" a="1"/>
  <c r="I103" i="1" s="1"/>
  <c r="I104" i="1" a="1"/>
  <c r="I104" i="1" s="1"/>
  <c r="I105" i="1" a="1"/>
  <c r="I105" i="1" s="1"/>
  <c r="I106" i="1" a="1"/>
  <c r="I106" i="1" s="1"/>
  <c r="I107" i="1" a="1"/>
  <c r="I107" i="1" s="1"/>
  <c r="I108" i="1" a="1"/>
  <c r="I108" i="1" s="1"/>
  <c r="I109" i="1" a="1"/>
  <c r="I109" i="1" s="1"/>
  <c r="I110" i="1" a="1"/>
  <c r="I110" i="1" s="1"/>
  <c r="I111" i="1" a="1"/>
  <c r="I111" i="1" s="1"/>
  <c r="I112" i="1" a="1"/>
  <c r="I112" i="1" s="1"/>
  <c r="I113" i="1" a="1"/>
  <c r="I113" i="1" s="1"/>
  <c r="I114" i="1" a="1"/>
  <c r="I114" i="1" s="1"/>
  <c r="I115" i="1" a="1"/>
  <c r="I115" i="1" s="1"/>
  <c r="I116" i="1" a="1"/>
  <c r="I116" i="1" s="1"/>
  <c r="I117" i="1" a="1"/>
  <c r="I117" i="1" s="1"/>
  <c r="I118" i="1" a="1"/>
  <c r="I118" i="1" s="1"/>
  <c r="I119" i="1" a="1"/>
  <c r="I119" i="1" s="1"/>
  <c r="I120" i="1" a="1"/>
  <c r="I120" i="1" s="1"/>
  <c r="I121" i="1" a="1"/>
  <c r="I121" i="1" s="1"/>
  <c r="I122" i="1" a="1"/>
  <c r="I122" i="1" s="1"/>
  <c r="I123" i="1" a="1"/>
  <c r="I123" i="1" s="1"/>
  <c r="I124" i="1" a="1"/>
  <c r="I124" i="1" s="1"/>
  <c r="I125" i="1" a="1"/>
  <c r="I125" i="1" s="1"/>
  <c r="I126" i="1" a="1"/>
  <c r="I126" i="1" s="1"/>
  <c r="I127" i="1" a="1"/>
  <c r="I127" i="1" s="1"/>
  <c r="I128" i="1" a="1"/>
  <c r="I128" i="1" s="1"/>
  <c r="I129" i="1" a="1"/>
  <c r="I129" i="1" s="1"/>
  <c r="I130" i="1" a="1"/>
  <c r="I130" i="1" s="1"/>
  <c r="I131" i="1" a="1"/>
  <c r="I131" i="1" s="1"/>
  <c r="I132" i="1" a="1"/>
  <c r="I132" i="1" s="1"/>
  <c r="I133" i="1" a="1"/>
  <c r="I133" i="1" s="1"/>
  <c r="I134" i="1" a="1"/>
  <c r="I134" i="1" s="1"/>
  <c r="I135" i="1" a="1"/>
  <c r="I135" i="1" s="1"/>
  <c r="I136" i="1" a="1"/>
  <c r="I136" i="1" s="1"/>
  <c r="I137" i="1" a="1"/>
  <c r="I137" i="1" s="1"/>
  <c r="I138" i="1" a="1"/>
  <c r="I138" i="1" s="1"/>
  <c r="I139" i="1" a="1"/>
  <c r="I139" i="1" s="1"/>
  <c r="I140" i="1" a="1"/>
  <c r="I140" i="1" s="1"/>
  <c r="I141" i="1" a="1"/>
  <c r="I141" i="1" s="1"/>
  <c r="I142" i="1" a="1"/>
  <c r="I142" i="1" s="1"/>
  <c r="I143" i="1" a="1"/>
  <c r="I143" i="1" s="1"/>
  <c r="I144" i="1" a="1"/>
  <c r="I144" i="1" s="1"/>
  <c r="I145" i="1" a="1"/>
  <c r="I145" i="1" s="1"/>
  <c r="I146" i="1" a="1"/>
  <c r="I146" i="1" s="1"/>
  <c r="I147" i="1" a="1"/>
  <c r="I147" i="1" s="1"/>
  <c r="I148" i="1" a="1"/>
  <c r="I148" i="1" s="1"/>
  <c r="I149" i="1" a="1"/>
  <c r="I149" i="1" s="1"/>
  <c r="I150" i="1" a="1"/>
  <c r="I150" i="1" s="1"/>
  <c r="I151" i="1" a="1"/>
  <c r="I151" i="1" s="1"/>
  <c r="I152" i="1" a="1"/>
  <c r="I152" i="1" s="1"/>
  <c r="I153" i="1" a="1"/>
  <c r="I153" i="1" s="1"/>
  <c r="I154" i="1" a="1"/>
  <c r="I154" i="1" s="1"/>
  <c r="I155" i="1" a="1"/>
  <c r="I155" i="1" s="1"/>
  <c r="I156" i="1" a="1"/>
  <c r="I156" i="1" s="1"/>
  <c r="I157" i="1" a="1"/>
  <c r="I157" i="1" s="1"/>
  <c r="I158" i="1" a="1"/>
  <c r="I158" i="1" s="1"/>
  <c r="I159" i="1" a="1"/>
  <c r="I159" i="1" s="1"/>
  <c r="I160" i="1" a="1"/>
  <c r="I160" i="1" s="1"/>
  <c r="I161" i="1" a="1"/>
  <c r="I161" i="1" s="1"/>
  <c r="I162" i="1" a="1"/>
  <c r="I162" i="1" s="1"/>
  <c r="I163" i="1" a="1"/>
  <c r="I163" i="1" s="1"/>
  <c r="I164" i="1" a="1"/>
  <c r="I164" i="1" s="1"/>
  <c r="I165" i="1" a="1"/>
  <c r="I165" i="1" s="1"/>
  <c r="I166" i="1" a="1"/>
  <c r="I166" i="1" s="1"/>
  <c r="I167" i="1" a="1"/>
  <c r="I167" i="1" s="1"/>
  <c r="I168" i="1" a="1"/>
  <c r="I168" i="1" s="1"/>
  <c r="I169" i="1" a="1"/>
  <c r="I169" i="1" s="1"/>
  <c r="I170" i="1" a="1"/>
  <c r="I170" i="1" s="1"/>
  <c r="I171" i="1" a="1"/>
  <c r="I171" i="1" s="1"/>
  <c r="I172" i="1" a="1"/>
  <c r="I172" i="1" s="1"/>
  <c r="I173" i="1" a="1"/>
  <c r="I173" i="1" s="1"/>
  <c r="I174" i="1" a="1"/>
  <c r="I174" i="1" s="1"/>
  <c r="I175" i="1" a="1"/>
  <c r="I175" i="1" s="1"/>
  <c r="I176" i="1" a="1"/>
  <c r="I176" i="1" s="1"/>
  <c r="I177" i="1" a="1"/>
  <c r="I177" i="1" s="1"/>
  <c r="I178" i="1" a="1"/>
  <c r="I178" i="1" s="1"/>
  <c r="I179" i="1" a="1"/>
  <c r="I179" i="1" s="1"/>
  <c r="I180" i="1" a="1"/>
  <c r="I180" i="1" s="1"/>
  <c r="I181" i="1" a="1"/>
  <c r="I181" i="1" s="1"/>
  <c r="I182" i="1" a="1"/>
  <c r="I182" i="1" s="1"/>
  <c r="I183" i="1" a="1"/>
  <c r="I183" i="1" s="1"/>
  <c r="I184" i="1" a="1"/>
  <c r="I184" i="1" s="1"/>
  <c r="I185" i="1" a="1"/>
  <c r="I185" i="1" s="1"/>
  <c r="I186" i="1" a="1"/>
  <c r="I186" i="1" s="1"/>
  <c r="I187" i="1" a="1"/>
  <c r="I187" i="1" s="1"/>
  <c r="I188" i="1" a="1"/>
  <c r="I188" i="1" s="1"/>
  <c r="I189" i="1" a="1"/>
  <c r="I189" i="1" s="1"/>
  <c r="I190" i="1" a="1"/>
  <c r="I190" i="1" s="1"/>
  <c r="I191" i="1" a="1"/>
  <c r="I191" i="1" s="1"/>
  <c r="I192" i="1" a="1"/>
  <c r="I192" i="1" s="1"/>
  <c r="I193" i="1" a="1"/>
  <c r="I193" i="1" s="1"/>
  <c r="I194" i="1" a="1"/>
  <c r="I194" i="1" s="1"/>
  <c r="I195" i="1" a="1"/>
  <c r="I195" i="1" s="1"/>
  <c r="I196" i="1" a="1"/>
  <c r="I196" i="1" s="1"/>
  <c r="I197" i="1" a="1"/>
  <c r="I197" i="1" s="1"/>
  <c r="I198" i="1" a="1"/>
  <c r="I198" i="1" s="1"/>
  <c r="I199" i="1" a="1"/>
  <c r="I199" i="1" s="1"/>
  <c r="I200" i="1" a="1"/>
  <c r="I200" i="1" s="1"/>
  <c r="I201" i="1" a="1"/>
  <c r="I201" i="1" s="1"/>
  <c r="I202" i="1" a="1"/>
  <c r="I202" i="1" s="1"/>
  <c r="I203" i="1" a="1"/>
  <c r="I203" i="1" s="1"/>
  <c r="I204" i="1" a="1"/>
  <c r="I204" i="1" s="1"/>
  <c r="I205" i="1" a="1"/>
  <c r="I205" i="1" s="1"/>
  <c r="I206" i="1" a="1"/>
  <c r="I206" i="1" s="1"/>
  <c r="I207" i="1" a="1"/>
  <c r="I207" i="1" s="1"/>
  <c r="I208" i="1" a="1"/>
  <c r="I208" i="1" s="1"/>
  <c r="I209" i="1" a="1"/>
  <c r="I209" i="1" s="1"/>
  <c r="I210" i="1" a="1"/>
  <c r="I210" i="1" s="1"/>
  <c r="I211" i="1" a="1"/>
  <c r="I211" i="1" s="1"/>
  <c r="I212" i="1" a="1"/>
  <c r="I212" i="1" s="1"/>
  <c r="I213" i="1" a="1"/>
  <c r="I213" i="1" s="1"/>
  <c r="I214" i="1" a="1"/>
  <c r="I214" i="1" s="1"/>
  <c r="I215" i="1" a="1"/>
  <c r="I215" i="1" s="1"/>
  <c r="I216" i="1" a="1"/>
  <c r="I216" i="1" s="1"/>
  <c r="I217" i="1" a="1"/>
  <c r="I217" i="1" s="1"/>
  <c r="I218" i="1" a="1"/>
  <c r="I218" i="1" s="1"/>
  <c r="I219" i="1" a="1"/>
  <c r="I219" i="1" s="1"/>
  <c r="I220" i="1" a="1"/>
  <c r="I220" i="1" s="1"/>
  <c r="I221" i="1" a="1"/>
  <c r="I221" i="1" s="1"/>
  <c r="I222" i="1" a="1"/>
  <c r="I222" i="1" s="1"/>
  <c r="I223" i="1" a="1"/>
  <c r="I223" i="1" s="1"/>
  <c r="I224" i="1" a="1"/>
  <c r="I224" i="1" s="1"/>
  <c r="I225" i="1" a="1"/>
  <c r="I225" i="1" s="1"/>
  <c r="I226" i="1" a="1"/>
  <c r="I226" i="1" s="1"/>
  <c r="I227" i="1" a="1"/>
  <c r="I227" i="1" s="1"/>
  <c r="I228" i="1" a="1"/>
  <c r="I228" i="1" s="1"/>
  <c r="I229" i="1" a="1"/>
  <c r="I229" i="1" s="1"/>
  <c r="I230" i="1" a="1"/>
  <c r="I230" i="1" s="1"/>
  <c r="I231" i="1" a="1"/>
  <c r="I231" i="1" s="1"/>
  <c r="I232" i="1" a="1"/>
  <c r="I232" i="1" s="1"/>
  <c r="I233" i="1" a="1"/>
  <c r="I233" i="1" s="1"/>
  <c r="I234" i="1" a="1"/>
  <c r="I234" i="1" s="1"/>
  <c r="I235" i="1" a="1"/>
  <c r="I235" i="1" s="1"/>
  <c r="I236" i="1" a="1"/>
  <c r="I236" i="1" s="1"/>
  <c r="I237" i="1" a="1"/>
  <c r="I237" i="1" s="1"/>
  <c r="I238" i="1" a="1"/>
  <c r="I238" i="1" s="1"/>
  <c r="I239" i="1" a="1"/>
  <c r="I239" i="1" s="1"/>
  <c r="I240" i="1" a="1"/>
  <c r="I240" i="1" s="1"/>
  <c r="I241" i="1" a="1"/>
  <c r="I241" i="1" s="1"/>
  <c r="I242" i="1" a="1"/>
  <c r="I242" i="1" s="1"/>
  <c r="I243" i="1" a="1"/>
  <c r="I243" i="1" s="1"/>
  <c r="I244" i="1" a="1"/>
  <c r="I244" i="1" s="1"/>
  <c r="I245" i="1" a="1"/>
  <c r="I245" i="1" s="1"/>
  <c r="I246" i="1" a="1"/>
  <c r="I246" i="1" s="1"/>
  <c r="I247" i="1" a="1"/>
  <c r="I247" i="1" s="1"/>
  <c r="I248" i="1" a="1"/>
  <c r="I248" i="1" s="1"/>
  <c r="I249" i="1" a="1"/>
  <c r="I249" i="1" s="1"/>
  <c r="I250" i="1" a="1"/>
  <c r="I250" i="1" s="1"/>
  <c r="I251" i="1" a="1"/>
  <c r="I251" i="1" s="1"/>
  <c r="I252" i="1" a="1"/>
  <c r="I252" i="1" s="1"/>
  <c r="I253" i="1" a="1"/>
  <c r="I253" i="1" s="1"/>
  <c r="I254" i="1" a="1"/>
  <c r="I254" i="1" s="1"/>
  <c r="I255" i="1" a="1"/>
  <c r="I255" i="1" s="1"/>
  <c r="I256" i="1" a="1"/>
  <c r="I256" i="1" s="1"/>
  <c r="I257" i="1" a="1"/>
  <c r="I257" i="1" s="1"/>
  <c r="I258" i="1" a="1"/>
  <c r="I258" i="1" s="1"/>
  <c r="I259" i="1" a="1"/>
  <c r="I259" i="1" s="1"/>
  <c r="I260" i="1" a="1"/>
  <c r="I260" i="1" s="1"/>
  <c r="I261" i="1" a="1"/>
  <c r="I261" i="1" s="1"/>
  <c r="I262" i="1" a="1"/>
  <c r="I262" i="1" s="1"/>
  <c r="I263" i="1" a="1"/>
  <c r="I263" i="1" s="1"/>
  <c r="I264" i="1" a="1"/>
  <c r="I264" i="1" s="1"/>
  <c r="I265" i="1" a="1"/>
  <c r="I265" i="1" s="1"/>
  <c r="I266" i="1" a="1"/>
  <c r="I266" i="1" s="1"/>
  <c r="I267" i="1" a="1"/>
  <c r="I267" i="1" s="1"/>
  <c r="I268" i="1" a="1"/>
  <c r="I268" i="1" s="1"/>
  <c r="I269" i="1" a="1"/>
  <c r="I269" i="1" s="1"/>
  <c r="I270" i="1" a="1"/>
  <c r="I270" i="1" s="1"/>
  <c r="I271" i="1" a="1"/>
  <c r="I271" i="1" s="1"/>
  <c r="I272" i="1" a="1"/>
  <c r="I272" i="1" s="1"/>
  <c r="I273" i="1" a="1"/>
  <c r="I273" i="1" s="1"/>
  <c r="I274" i="1" a="1"/>
  <c r="I274" i="1" s="1"/>
  <c r="I275" i="1" a="1"/>
  <c r="I275" i="1" s="1"/>
  <c r="I276" i="1" a="1"/>
  <c r="I276" i="1" s="1"/>
  <c r="I277" i="1" a="1"/>
  <c r="I277" i="1" s="1"/>
  <c r="I278" i="1" a="1"/>
  <c r="I278" i="1" s="1"/>
  <c r="I279" i="1" a="1"/>
  <c r="I279" i="1" s="1"/>
  <c r="I280" i="1" a="1"/>
  <c r="I280" i="1" s="1"/>
  <c r="I281" i="1" a="1"/>
  <c r="I281" i="1" s="1"/>
  <c r="I282" i="1" a="1"/>
  <c r="I282" i="1" s="1"/>
  <c r="I283" i="1" a="1"/>
  <c r="I283" i="1" s="1"/>
  <c r="I284" i="1" a="1"/>
  <c r="I284" i="1" s="1"/>
  <c r="I285" i="1" a="1"/>
  <c r="I285" i="1" s="1"/>
  <c r="I286" i="1" a="1"/>
  <c r="I286" i="1" s="1"/>
  <c r="I287" i="1" a="1"/>
  <c r="I287" i="1" s="1"/>
  <c r="I288" i="1" a="1"/>
  <c r="I288" i="1" s="1"/>
  <c r="I289" i="1" a="1"/>
  <c r="I289" i="1" s="1"/>
  <c r="I290" i="1" a="1"/>
  <c r="I290" i="1" s="1"/>
  <c r="I291" i="1" a="1"/>
  <c r="I291" i="1" s="1"/>
  <c r="I292" i="1" a="1"/>
  <c r="I292" i="1" s="1"/>
  <c r="I293" i="1" a="1"/>
  <c r="I293" i="1" s="1"/>
  <c r="I294" i="1" a="1"/>
  <c r="I294" i="1" s="1"/>
  <c r="I295" i="1" a="1"/>
  <c r="I295" i="1" s="1"/>
  <c r="I296" i="1" a="1"/>
  <c r="I296" i="1" s="1"/>
  <c r="I297" i="1" a="1"/>
  <c r="I297" i="1" s="1"/>
  <c r="I298" i="1" a="1"/>
  <c r="I298" i="1" s="1"/>
  <c r="I299" i="1" a="1"/>
  <c r="I299" i="1" s="1"/>
  <c r="I300" i="1" a="1"/>
  <c r="I300" i="1" s="1"/>
  <c r="I301" i="1" a="1"/>
  <c r="I301" i="1" s="1"/>
  <c r="I302" i="1" a="1"/>
  <c r="I302" i="1" s="1"/>
  <c r="I303" i="1" a="1"/>
  <c r="I303" i="1" s="1"/>
  <c r="I304" i="1" a="1"/>
  <c r="I304" i="1" s="1"/>
  <c r="I305" i="1" a="1"/>
  <c r="I305" i="1" s="1"/>
  <c r="I306" i="1" a="1"/>
  <c r="I306" i="1" s="1"/>
  <c r="I307" i="1" a="1"/>
  <c r="I307" i="1" s="1"/>
  <c r="I308" i="1" a="1"/>
  <c r="I308" i="1" s="1"/>
  <c r="I309" i="1" a="1"/>
  <c r="I309" i="1" s="1"/>
  <c r="I310" i="1" a="1"/>
  <c r="I310" i="1" s="1"/>
  <c r="I311" i="1" a="1"/>
  <c r="I311" i="1" s="1"/>
  <c r="I312" i="1" a="1"/>
  <c r="I312" i="1" s="1"/>
  <c r="I313" i="1" a="1"/>
  <c r="I313" i="1" s="1"/>
  <c r="I314" i="1" a="1"/>
  <c r="I314" i="1" s="1"/>
  <c r="I315" i="1" a="1"/>
  <c r="I315" i="1" s="1"/>
  <c r="I316" i="1" a="1"/>
  <c r="I316" i="1" s="1"/>
  <c r="I317" i="1" a="1"/>
  <c r="I317" i="1" s="1"/>
  <c r="I318" i="1" a="1"/>
  <c r="I318" i="1" s="1"/>
  <c r="I319" i="1" a="1"/>
  <c r="I319" i="1" s="1"/>
  <c r="I320" i="1" a="1"/>
  <c r="I320" i="1" s="1"/>
  <c r="I321" i="1" a="1"/>
  <c r="I321" i="1" s="1"/>
  <c r="I322" i="1" a="1"/>
  <c r="I322" i="1" s="1"/>
  <c r="I323" i="1" a="1"/>
  <c r="I323" i="1" s="1"/>
  <c r="I324" i="1" a="1"/>
  <c r="I324" i="1" s="1"/>
  <c r="I325" i="1" a="1"/>
  <c r="I325" i="1" s="1"/>
  <c r="I326" i="1" a="1"/>
  <c r="I326" i="1" s="1"/>
  <c r="I327" i="1" a="1"/>
  <c r="I327" i="1" s="1"/>
  <c r="I328" i="1" a="1"/>
  <c r="I328" i="1" s="1"/>
  <c r="I329" i="1" a="1"/>
  <c r="I329" i="1" s="1"/>
  <c r="I330" i="1" a="1"/>
  <c r="I330" i="1" s="1"/>
  <c r="I331" i="1" a="1"/>
  <c r="I331" i="1" s="1"/>
  <c r="I332" i="1" a="1"/>
  <c r="I332" i="1" s="1"/>
  <c r="I333" i="1" a="1"/>
  <c r="I333" i="1" s="1"/>
  <c r="I334" i="1" a="1"/>
  <c r="I334" i="1" s="1"/>
  <c r="I335" i="1" a="1"/>
  <c r="I335" i="1" s="1"/>
  <c r="I336" i="1" a="1"/>
  <c r="I336" i="1" s="1"/>
  <c r="I337" i="1" a="1"/>
  <c r="I337" i="1" s="1"/>
  <c r="I338" i="1" a="1"/>
  <c r="I338" i="1" s="1"/>
  <c r="I339" i="1" a="1"/>
  <c r="I339" i="1" s="1"/>
  <c r="I340" i="1" a="1"/>
  <c r="I340" i="1" s="1"/>
  <c r="I341" i="1" a="1"/>
  <c r="I341" i="1" s="1"/>
  <c r="I342" i="1" a="1"/>
  <c r="I342" i="1" s="1"/>
  <c r="I343" i="1" a="1"/>
  <c r="I343" i="1" s="1"/>
  <c r="I344" i="1" a="1"/>
  <c r="I344" i="1" s="1"/>
  <c r="I345" i="1" a="1"/>
  <c r="I345" i="1" s="1"/>
  <c r="I346" i="1" a="1"/>
  <c r="I346" i="1" s="1"/>
  <c r="I347" i="1" a="1"/>
  <c r="I347" i="1" s="1"/>
  <c r="I348" i="1" a="1"/>
  <c r="I348" i="1" s="1"/>
  <c r="I349" i="1" a="1"/>
  <c r="I349" i="1" s="1"/>
  <c r="I350" i="1" a="1"/>
  <c r="I350" i="1" s="1"/>
  <c r="I351" i="1" a="1"/>
  <c r="I351" i="1" s="1"/>
  <c r="I352" i="1" a="1"/>
  <c r="I352" i="1" s="1"/>
  <c r="I353" i="1" a="1"/>
  <c r="I353" i="1" s="1"/>
  <c r="I354" i="1" a="1"/>
  <c r="I354" i="1" s="1"/>
  <c r="I355" i="1" a="1"/>
  <c r="I355" i="1" s="1"/>
  <c r="I356" i="1" a="1"/>
  <c r="I356" i="1" s="1"/>
  <c r="I357" i="1" a="1"/>
  <c r="I357" i="1" s="1"/>
  <c r="I358" i="1" a="1"/>
  <c r="I358" i="1" s="1"/>
  <c r="I359" i="1" a="1"/>
  <c r="I359" i="1" s="1"/>
  <c r="I360" i="1" a="1"/>
  <c r="I360" i="1" s="1"/>
  <c r="I361" i="1" a="1"/>
  <c r="I361" i="1" s="1"/>
  <c r="I362" i="1" a="1"/>
  <c r="I362" i="1" s="1"/>
  <c r="I363" i="1" a="1"/>
  <c r="I363" i="1" s="1"/>
  <c r="I364" i="1" a="1"/>
  <c r="I364" i="1" s="1"/>
  <c r="I365" i="1" a="1"/>
  <c r="I365" i="1" s="1"/>
  <c r="I366" i="1" a="1"/>
  <c r="I366" i="1" s="1"/>
  <c r="I367" i="1" a="1"/>
  <c r="I367" i="1" s="1"/>
  <c r="I368" i="1" a="1"/>
  <c r="I368" i="1" s="1"/>
  <c r="I369" i="1" a="1"/>
  <c r="I369" i="1" s="1"/>
  <c r="I370" i="1" a="1"/>
  <c r="I370" i="1" s="1"/>
  <c r="I371" i="1" a="1"/>
  <c r="I371" i="1" s="1"/>
  <c r="I372" i="1" a="1"/>
  <c r="I372" i="1" s="1"/>
  <c r="I373" i="1" a="1"/>
  <c r="I373" i="1" s="1"/>
  <c r="I374" i="1" a="1"/>
  <c r="I374" i="1" s="1"/>
  <c r="I375" i="1" a="1"/>
  <c r="I375" i="1" s="1"/>
  <c r="I376" i="1" a="1"/>
  <c r="I376" i="1" s="1"/>
  <c r="I377" i="1" a="1"/>
  <c r="I377" i="1" s="1"/>
  <c r="I378" i="1" a="1"/>
  <c r="I378" i="1" s="1"/>
  <c r="I379" i="1" a="1"/>
  <c r="I379" i="1" s="1"/>
  <c r="I380" i="1" a="1"/>
  <c r="I380" i="1" s="1"/>
  <c r="I381" i="1" a="1"/>
  <c r="I381" i="1" s="1"/>
  <c r="I382" i="1" a="1"/>
  <c r="I382" i="1" s="1"/>
  <c r="I383" i="1" a="1"/>
  <c r="I383" i="1" s="1"/>
  <c r="I384" i="1" a="1"/>
  <c r="I384" i="1" s="1"/>
  <c r="I385" i="1" a="1"/>
  <c r="I385" i="1" s="1"/>
  <c r="I386" i="1" a="1"/>
  <c r="I386" i="1" s="1"/>
  <c r="I387" i="1" a="1"/>
  <c r="I387" i="1" s="1"/>
  <c r="I388" i="1" a="1"/>
  <c r="I388" i="1" s="1"/>
  <c r="I389" i="1" a="1"/>
  <c r="I389" i="1" s="1"/>
  <c r="I390" i="1" a="1"/>
  <c r="I390" i="1" s="1"/>
  <c r="I391" i="1" a="1"/>
  <c r="I391" i="1" s="1"/>
  <c r="I392" i="1" a="1"/>
  <c r="I392" i="1" s="1"/>
  <c r="I393" i="1" a="1"/>
  <c r="I393" i="1" s="1"/>
  <c r="I394" i="1" a="1"/>
  <c r="I394" i="1" s="1"/>
  <c r="I395" i="1" a="1"/>
  <c r="I395" i="1" s="1"/>
  <c r="I396" i="1" a="1"/>
  <c r="I396" i="1" s="1"/>
  <c r="I397" i="1" a="1"/>
  <c r="I397" i="1" s="1"/>
  <c r="I398" i="1" a="1"/>
  <c r="I398" i="1" s="1"/>
  <c r="I399" i="1" a="1"/>
  <c r="I399" i="1" s="1"/>
  <c r="I400" i="1" a="1"/>
  <c r="I400" i="1" s="1"/>
  <c r="I401" i="1" a="1"/>
  <c r="I401" i="1" s="1"/>
  <c r="I402" i="1" a="1"/>
  <c r="I402" i="1" s="1"/>
  <c r="I403" i="1" a="1"/>
  <c r="I403" i="1" s="1"/>
  <c r="I404" i="1" a="1"/>
  <c r="I404" i="1" s="1"/>
  <c r="I405" i="1" a="1"/>
  <c r="I405" i="1" s="1"/>
  <c r="I406" i="1" a="1"/>
  <c r="I406" i="1" s="1"/>
  <c r="I407" i="1" a="1"/>
  <c r="I407" i="1" s="1"/>
  <c r="I408" i="1" a="1"/>
  <c r="I408" i="1" s="1"/>
  <c r="I409" i="1" a="1"/>
  <c r="I409" i="1" s="1"/>
  <c r="I410" i="1" a="1"/>
  <c r="I410" i="1" s="1"/>
  <c r="I411" i="1" a="1"/>
  <c r="I411" i="1" s="1"/>
  <c r="I412" i="1" a="1"/>
  <c r="I412" i="1" s="1"/>
  <c r="I413" i="1" a="1"/>
  <c r="I413" i="1" s="1"/>
  <c r="I414" i="1" a="1"/>
  <c r="I414" i="1" s="1"/>
  <c r="I415" i="1" a="1"/>
  <c r="I415" i="1" s="1"/>
  <c r="I416" i="1" a="1"/>
  <c r="I416" i="1" s="1"/>
  <c r="I417" i="1" a="1"/>
  <c r="I417" i="1" s="1"/>
  <c r="I418" i="1" a="1"/>
  <c r="I418" i="1" s="1"/>
  <c r="I419" i="1" a="1"/>
  <c r="I419" i="1" s="1"/>
  <c r="I420" i="1" a="1"/>
  <c r="I420" i="1" s="1"/>
  <c r="I421" i="1" a="1"/>
  <c r="I421" i="1" s="1"/>
  <c r="I422" i="1" a="1"/>
  <c r="I422" i="1" s="1"/>
  <c r="I423" i="1" a="1"/>
  <c r="I423" i="1" s="1"/>
  <c r="I424" i="1" a="1"/>
  <c r="I424" i="1" s="1"/>
  <c r="I425" i="1" a="1"/>
  <c r="I425" i="1" s="1"/>
  <c r="I426" i="1" a="1"/>
  <c r="I426" i="1" s="1"/>
  <c r="I427" i="1" a="1"/>
  <c r="I427" i="1" s="1"/>
  <c r="I428" i="1" a="1"/>
  <c r="I428" i="1" s="1"/>
  <c r="I429" i="1" a="1"/>
  <c r="I429" i="1" s="1"/>
  <c r="I430" i="1" a="1"/>
  <c r="I430" i="1" s="1"/>
  <c r="I431" i="1" a="1"/>
  <c r="I431" i="1" s="1"/>
  <c r="I432" i="1" a="1"/>
  <c r="I432" i="1" s="1"/>
  <c r="I433" i="1" a="1"/>
  <c r="I433" i="1" s="1"/>
  <c r="I434" i="1" a="1"/>
  <c r="I434" i="1" s="1"/>
  <c r="I435" i="1" a="1"/>
  <c r="I435" i="1" s="1"/>
  <c r="I436" i="1" a="1"/>
  <c r="I436" i="1" s="1"/>
  <c r="I437" i="1" a="1"/>
  <c r="I437" i="1" s="1"/>
  <c r="I438" i="1" a="1"/>
  <c r="I438" i="1" s="1"/>
  <c r="I439" i="1" a="1"/>
  <c r="I439" i="1" s="1"/>
  <c r="I440" i="1" a="1"/>
  <c r="I440" i="1" s="1"/>
  <c r="I441" i="1" a="1"/>
  <c r="I441" i="1" s="1"/>
  <c r="I442" i="1" a="1"/>
  <c r="I442" i="1" s="1"/>
  <c r="I443" i="1" a="1"/>
  <c r="I443" i="1" s="1"/>
  <c r="I444" i="1" a="1"/>
  <c r="I444" i="1" s="1"/>
  <c r="I445" i="1" a="1"/>
  <c r="I445" i="1" s="1"/>
  <c r="I446" i="1" a="1"/>
  <c r="I446" i="1" s="1"/>
  <c r="I447" i="1" a="1"/>
  <c r="I447" i="1" s="1"/>
  <c r="I448" i="1" a="1"/>
  <c r="I448" i="1" s="1"/>
  <c r="I449" i="1" a="1"/>
  <c r="I449" i="1" s="1"/>
  <c r="I450" i="1" a="1"/>
  <c r="I450" i="1"/>
  <c r="I451" i="1" a="1"/>
  <c r="I451" i="1"/>
  <c r="I452" i="1" a="1"/>
  <c r="I452" i="1"/>
  <c r="I453" i="1" a="1"/>
  <c r="I453" i="1"/>
  <c r="I454" i="1" a="1"/>
  <c r="I454" i="1"/>
  <c r="I455" i="1" a="1"/>
  <c r="I455" i="1"/>
  <c r="I456" i="1" a="1"/>
  <c r="I456" i="1"/>
  <c r="I457" i="1" a="1"/>
  <c r="I457" i="1"/>
  <c r="I458" i="1" a="1"/>
  <c r="I458" i="1"/>
  <c r="I459" i="1" a="1"/>
  <c r="I459" i="1"/>
  <c r="I460" i="1" a="1"/>
  <c r="I460" i="1"/>
  <c r="I461" i="1" a="1"/>
  <c r="I461" i="1"/>
  <c r="I462" i="1" a="1"/>
  <c r="I462" i="1"/>
  <c r="I463" i="1" a="1"/>
  <c r="I463" i="1"/>
  <c r="I464" i="1" a="1"/>
  <c r="I464" i="1"/>
  <c r="I465" i="1" a="1"/>
  <c r="I465" i="1"/>
  <c r="I466" i="1" a="1"/>
  <c r="I466" i="1"/>
  <c r="I467" i="1" a="1"/>
  <c r="I467" i="1"/>
  <c r="I468" i="1" a="1"/>
  <c r="I468" i="1"/>
  <c r="I469" i="1" a="1"/>
  <c r="I469" i="1"/>
  <c r="I470" i="1" a="1"/>
  <c r="I470" i="1"/>
  <c r="I471" i="1" a="1"/>
  <c r="I471" i="1"/>
  <c r="I472" i="1" a="1"/>
  <c r="I472" i="1"/>
  <c r="I473" i="1" a="1"/>
  <c r="I473" i="1"/>
  <c r="I474" i="1" a="1"/>
  <c r="I474" i="1"/>
  <c r="I475" i="1" a="1"/>
  <c r="I475" i="1"/>
  <c r="I476" i="1" a="1"/>
  <c r="I476" i="1"/>
  <c r="I477" i="1" a="1"/>
  <c r="I477" i="1"/>
  <c r="I478" i="1" a="1"/>
  <c r="I478" i="1"/>
  <c r="I479" i="1" a="1"/>
  <c r="I479" i="1"/>
  <c r="I480" i="1" a="1"/>
  <c r="I480" i="1"/>
  <c r="I481" i="1" a="1"/>
  <c r="I481" i="1"/>
  <c r="I482" i="1" a="1"/>
  <c r="I482" i="1"/>
  <c r="I483" i="1" a="1"/>
  <c r="I483" i="1"/>
  <c r="I484" i="1" a="1"/>
  <c r="I484" i="1"/>
  <c r="I485" i="1" a="1"/>
  <c r="I485" i="1"/>
  <c r="I486" i="1" a="1"/>
  <c r="I486" i="1"/>
  <c r="I487" i="1" a="1"/>
  <c r="I487" i="1"/>
  <c r="I488" i="1" a="1"/>
  <c r="I488" i="1"/>
  <c r="I489" i="1" a="1"/>
  <c r="I489" i="1"/>
  <c r="I490" i="1" a="1"/>
  <c r="I490" i="1"/>
  <c r="I491" i="1" a="1"/>
  <c r="I491" i="1"/>
  <c r="I492" i="1" a="1"/>
  <c r="I492" i="1"/>
  <c r="I493" i="1" a="1"/>
  <c r="I493" i="1"/>
  <c r="I494" i="1" a="1"/>
  <c r="I494" i="1"/>
  <c r="I495" i="1" a="1"/>
  <c r="I495" i="1"/>
  <c r="I496" i="1" a="1"/>
  <c r="I496" i="1"/>
  <c r="I497" i="1" a="1"/>
  <c r="I497" i="1"/>
  <c r="I498" i="1" a="1"/>
  <c r="I498" i="1"/>
  <c r="I499" i="1" a="1"/>
  <c r="I499" i="1"/>
  <c r="I500" i="1" a="1"/>
  <c r="I500" i="1"/>
  <c r="I501" i="1" a="1"/>
  <c r="I501" i="1"/>
  <c r="I502" i="1" a="1"/>
  <c r="I502" i="1"/>
  <c r="I503" i="1" a="1"/>
  <c r="I503" i="1"/>
  <c r="I504" i="1" a="1"/>
  <c r="I504" i="1"/>
  <c r="I505" i="1" a="1"/>
  <c r="I505" i="1"/>
  <c r="I506" i="1" a="1"/>
  <c r="I506" i="1"/>
  <c r="I507" i="1" a="1"/>
  <c r="I507" i="1"/>
  <c r="I508" i="1" a="1"/>
  <c r="I508" i="1"/>
  <c r="I509" i="1" a="1"/>
  <c r="I509" i="1"/>
  <c r="I510" i="1" a="1"/>
  <c r="I510" i="1"/>
  <c r="I511" i="1" a="1"/>
  <c r="I511" i="1"/>
  <c r="I512" i="1" a="1"/>
  <c r="I512" i="1" s="1"/>
  <c r="I513" i="1" a="1"/>
  <c r="I513" i="1" s="1"/>
  <c r="I514" i="1" a="1"/>
  <c r="I514" i="1" s="1"/>
  <c r="I515" i="1" a="1"/>
  <c r="I515" i="1" s="1"/>
  <c r="I516" i="1" a="1"/>
  <c r="I516" i="1" s="1"/>
  <c r="I517" i="1" a="1"/>
  <c r="I517" i="1" s="1"/>
  <c r="I518" i="1" a="1"/>
  <c r="I518" i="1" s="1"/>
  <c r="I519" i="1" a="1"/>
  <c r="I519" i="1" s="1"/>
  <c r="I520" i="1" a="1"/>
  <c r="I520" i="1" s="1"/>
  <c r="I521" i="1" a="1"/>
  <c r="I521" i="1" s="1"/>
  <c r="I522" i="1" a="1"/>
  <c r="I522" i="1" s="1"/>
  <c r="I523" i="1" a="1"/>
  <c r="I523" i="1" s="1"/>
  <c r="I524" i="1" a="1"/>
  <c r="I524" i="1" s="1"/>
  <c r="I525" i="1" a="1"/>
  <c r="I525" i="1" s="1"/>
  <c r="I526" i="1" a="1"/>
  <c r="I526" i="1" s="1"/>
  <c r="I527" i="1" a="1"/>
  <c r="I527" i="1" s="1"/>
  <c r="I528" i="1" a="1"/>
  <c r="I528" i="1" s="1"/>
  <c r="I529" i="1" a="1"/>
  <c r="I529" i="1" s="1"/>
  <c r="I530" i="1" a="1"/>
  <c r="I530" i="1" s="1"/>
  <c r="I531" i="1" a="1"/>
  <c r="I531" i="1" s="1"/>
  <c r="I532" i="1" a="1"/>
  <c r="I532" i="1" s="1"/>
  <c r="I533" i="1" a="1"/>
  <c r="I533" i="1" s="1"/>
  <c r="I534" i="1" a="1"/>
  <c r="I534" i="1" s="1"/>
  <c r="I535" i="1" a="1"/>
  <c r="I535" i="1" s="1"/>
  <c r="I536" i="1" a="1"/>
  <c r="I536" i="1" s="1"/>
  <c r="I537" i="1" a="1"/>
  <c r="I537" i="1" s="1"/>
  <c r="I538" i="1" a="1"/>
  <c r="I538" i="1" s="1"/>
  <c r="I539" i="1" a="1"/>
  <c r="I539" i="1" s="1"/>
  <c r="I540" i="1" a="1"/>
  <c r="I540" i="1" s="1"/>
  <c r="I541" i="1" a="1"/>
  <c r="I541" i="1" s="1"/>
  <c r="I542" i="1" a="1"/>
  <c r="I542" i="1" s="1"/>
  <c r="I543" i="1" a="1"/>
  <c r="I543" i="1" s="1"/>
  <c r="I544" i="1" a="1"/>
  <c r="I544" i="1" s="1"/>
  <c r="I545" i="1" a="1"/>
  <c r="I545" i="1" s="1"/>
  <c r="I546" i="1" a="1"/>
  <c r="I546" i="1" s="1"/>
  <c r="I547" i="1" a="1"/>
  <c r="I547" i="1" s="1"/>
  <c r="I548" i="1" a="1"/>
  <c r="I548" i="1" s="1"/>
  <c r="I549" i="1" a="1"/>
  <c r="I549" i="1" s="1"/>
  <c r="I550" i="1" a="1"/>
  <c r="I550" i="1" s="1"/>
  <c r="I551" i="1" a="1"/>
  <c r="I551" i="1" s="1"/>
  <c r="I552" i="1" a="1"/>
  <c r="I552" i="1" s="1"/>
  <c r="I553" i="1" a="1"/>
  <c r="I553" i="1" s="1"/>
  <c r="I554" i="1" a="1"/>
  <c r="I554" i="1" s="1"/>
  <c r="I555" i="1" a="1"/>
  <c r="I555" i="1" s="1"/>
  <c r="I556" i="1" a="1"/>
  <c r="I556" i="1" s="1"/>
  <c r="I557" i="1" a="1"/>
  <c r="I557" i="1" s="1"/>
  <c r="I558" i="1" a="1"/>
  <c r="I558" i="1" s="1"/>
  <c r="I559" i="1" a="1"/>
  <c r="I559" i="1" s="1"/>
  <c r="I560" i="1" a="1"/>
  <c r="I560" i="1" s="1"/>
  <c r="I561" i="1" a="1"/>
  <c r="I561" i="1" s="1"/>
  <c r="I562" i="1" a="1"/>
  <c r="I562" i="1" s="1"/>
  <c r="I563" i="1" a="1"/>
  <c r="I563" i="1" s="1"/>
  <c r="I564" i="1" a="1"/>
  <c r="I564" i="1" s="1"/>
  <c r="I565" i="1" a="1"/>
  <c r="I565" i="1" s="1"/>
  <c r="I566" i="1" a="1"/>
  <c r="I566" i="1" s="1"/>
  <c r="I567" i="1" a="1"/>
  <c r="I567" i="1" s="1"/>
  <c r="I568" i="1" a="1"/>
  <c r="I568" i="1" s="1"/>
  <c r="I569" i="1" a="1"/>
  <c r="I569" i="1" s="1"/>
  <c r="I570" i="1" a="1"/>
  <c r="I570" i="1" s="1"/>
  <c r="I571" i="1" a="1"/>
  <c r="I571" i="1" s="1"/>
  <c r="I572" i="1" a="1"/>
  <c r="I572" i="1" s="1"/>
  <c r="I573" i="1" a="1"/>
  <c r="I573" i="1" s="1"/>
  <c r="I574" i="1" a="1"/>
  <c r="I574" i="1" s="1"/>
  <c r="I575" i="1" a="1"/>
  <c r="I575" i="1" s="1"/>
  <c r="I576" i="1" a="1"/>
  <c r="I576" i="1" s="1"/>
  <c r="I577" i="1" a="1"/>
  <c r="I577" i="1" s="1"/>
  <c r="I578" i="1" a="1"/>
  <c r="I578" i="1" s="1"/>
  <c r="I579" i="1" a="1"/>
  <c r="I579" i="1" s="1"/>
  <c r="I580" i="1" a="1"/>
  <c r="I580" i="1" s="1"/>
  <c r="I581" i="1" a="1"/>
  <c r="I581" i="1" s="1"/>
  <c r="I582" i="1" a="1"/>
  <c r="I582" i="1" s="1"/>
  <c r="I583" i="1" a="1"/>
  <c r="I583" i="1" s="1"/>
  <c r="I584" i="1" a="1"/>
  <c r="I584" i="1" s="1"/>
  <c r="I585" i="1" a="1"/>
  <c r="I585" i="1" s="1"/>
  <c r="I586" i="1" a="1"/>
  <c r="I586" i="1" s="1"/>
  <c r="I587" i="1" a="1"/>
  <c r="I587" i="1" s="1"/>
  <c r="I588" i="1" a="1"/>
  <c r="I588" i="1" s="1"/>
  <c r="I589" i="1" a="1"/>
  <c r="I589" i="1" s="1"/>
  <c r="I590" i="1" a="1"/>
  <c r="I590" i="1" s="1"/>
  <c r="I591" i="1" a="1"/>
  <c r="I591" i="1" s="1"/>
  <c r="I592" i="1" a="1"/>
  <c r="I592" i="1" s="1"/>
  <c r="I593" i="1" a="1"/>
  <c r="I593" i="1" s="1"/>
  <c r="I594" i="1" a="1"/>
  <c r="I594" i="1" s="1"/>
  <c r="I595" i="1" a="1"/>
  <c r="I595" i="1" s="1"/>
  <c r="I596" i="1" a="1"/>
  <c r="I596" i="1" s="1"/>
  <c r="I597" i="1" a="1"/>
  <c r="I597" i="1" s="1"/>
  <c r="I598" i="1" a="1"/>
  <c r="I598" i="1" s="1"/>
  <c r="I599" i="1" a="1"/>
  <c r="I599" i="1" s="1"/>
  <c r="I600" i="1" a="1"/>
  <c r="I600" i="1" s="1"/>
  <c r="I601" i="1" a="1"/>
  <c r="I601" i="1" s="1"/>
  <c r="I602" i="1" a="1"/>
  <c r="I602" i="1" s="1"/>
  <c r="I603" i="1" a="1"/>
  <c r="I603" i="1" s="1"/>
  <c r="I604" i="1" a="1"/>
  <c r="I604" i="1" s="1"/>
  <c r="I605" i="1" a="1"/>
  <c r="I605" i="1" s="1"/>
  <c r="I606" i="1" a="1"/>
  <c r="I606" i="1" s="1"/>
  <c r="I607" i="1" a="1"/>
  <c r="I607" i="1" s="1"/>
  <c r="I608" i="1" a="1"/>
  <c r="I608" i="1" s="1"/>
  <c r="I609" i="1" a="1"/>
  <c r="I609" i="1" s="1"/>
  <c r="I610" i="1" a="1"/>
  <c r="I610" i="1" s="1"/>
  <c r="I611" i="1" a="1"/>
  <c r="I611" i="1" s="1"/>
  <c r="I612" i="1" a="1"/>
  <c r="I612" i="1" s="1"/>
  <c r="I613" i="1" a="1"/>
  <c r="I613" i="1" s="1"/>
  <c r="I614" i="1" a="1"/>
  <c r="I614" i="1" s="1"/>
  <c r="I615" i="1" a="1"/>
  <c r="I615" i="1" s="1"/>
  <c r="I616" i="1" a="1"/>
  <c r="I616" i="1" s="1"/>
  <c r="I617" i="1" a="1"/>
  <c r="I617" i="1" s="1"/>
  <c r="I618" i="1" a="1"/>
  <c r="I618" i="1" s="1"/>
  <c r="I619" i="1" a="1"/>
  <c r="I619" i="1" s="1"/>
  <c r="I620" i="1" a="1"/>
  <c r="I620" i="1" s="1"/>
  <c r="I621" i="1" a="1"/>
  <c r="I621" i="1" s="1"/>
  <c r="I622" i="1" a="1"/>
  <c r="I622" i="1" s="1"/>
  <c r="I623" i="1" a="1"/>
  <c r="I623" i="1" s="1"/>
  <c r="I624" i="1" a="1"/>
  <c r="I624" i="1" s="1"/>
  <c r="I625" i="1" a="1"/>
  <c r="I625" i="1" s="1"/>
  <c r="I626" i="1" a="1"/>
  <c r="I626" i="1" s="1"/>
  <c r="I627" i="1" a="1"/>
  <c r="I627" i="1" s="1"/>
  <c r="I628" i="1" a="1"/>
  <c r="I628" i="1" s="1"/>
  <c r="I629" i="1" a="1"/>
  <c r="I629" i="1" s="1"/>
  <c r="I630" i="1" a="1"/>
  <c r="I630" i="1" s="1"/>
  <c r="I631" i="1" a="1"/>
  <c r="I631" i="1" s="1"/>
  <c r="I632" i="1" a="1"/>
  <c r="I632" i="1" s="1"/>
  <c r="I633" i="1" a="1"/>
  <c r="I633" i="1" s="1"/>
  <c r="I634" i="1" a="1"/>
  <c r="I634" i="1" s="1"/>
  <c r="I635" i="1" a="1"/>
  <c r="I635" i="1" s="1"/>
  <c r="I636" i="1" a="1"/>
  <c r="I636" i="1" s="1"/>
  <c r="I637" i="1" a="1"/>
  <c r="I637" i="1" s="1"/>
  <c r="I638" i="1" a="1"/>
  <c r="I638" i="1" s="1"/>
  <c r="I639" i="1" a="1"/>
  <c r="I639" i="1" s="1"/>
  <c r="I640" i="1" a="1"/>
  <c r="I640" i="1" s="1"/>
  <c r="I641" i="1" a="1"/>
  <c r="I641" i="1" s="1"/>
  <c r="I642" i="1" a="1"/>
  <c r="I642" i="1" s="1"/>
  <c r="I643" i="1" a="1"/>
  <c r="I643" i="1" s="1"/>
  <c r="I644" i="1" a="1"/>
  <c r="I644" i="1" s="1"/>
  <c r="I645" i="1" a="1"/>
  <c r="I645" i="1" s="1"/>
  <c r="I646" i="1" a="1"/>
  <c r="I646" i="1" s="1"/>
  <c r="I647" i="1" a="1"/>
  <c r="I647" i="1" s="1"/>
  <c r="I648" i="1" a="1"/>
  <c r="I648" i="1" s="1"/>
  <c r="I649" i="1" a="1"/>
  <c r="I649" i="1" s="1"/>
  <c r="I650" i="1" a="1"/>
  <c r="I650" i="1" s="1"/>
  <c r="I651" i="1" a="1"/>
  <c r="I651" i="1" s="1"/>
  <c r="I652" i="1" a="1"/>
  <c r="I652" i="1" s="1"/>
  <c r="I653" i="1" a="1"/>
  <c r="I653" i="1" s="1"/>
  <c r="I654" i="1" a="1"/>
  <c r="I654" i="1" s="1"/>
  <c r="I655" i="1" a="1"/>
  <c r="I655" i="1" s="1"/>
  <c r="I656" i="1" a="1"/>
  <c r="I656" i="1" s="1"/>
  <c r="I657" i="1" a="1"/>
  <c r="I657" i="1" s="1"/>
  <c r="I658" i="1" a="1"/>
  <c r="I658" i="1" s="1"/>
  <c r="I659" i="1" a="1"/>
  <c r="I659" i="1" s="1"/>
  <c r="I660" i="1" a="1"/>
  <c r="I660" i="1" s="1"/>
  <c r="I661" i="1" a="1"/>
  <c r="I661" i="1" s="1"/>
  <c r="I662" i="1" a="1"/>
  <c r="I662" i="1" s="1"/>
  <c r="I663" i="1" a="1"/>
  <c r="I663" i="1" s="1"/>
  <c r="I664" i="1" a="1"/>
  <c r="I664" i="1" s="1"/>
  <c r="I665" i="1" a="1"/>
  <c r="I665" i="1" s="1"/>
  <c r="I666" i="1" a="1"/>
  <c r="I666" i="1" s="1"/>
  <c r="I667" i="1" a="1"/>
  <c r="I667" i="1" s="1"/>
  <c r="I668" i="1" a="1"/>
  <c r="I668" i="1" s="1"/>
  <c r="I669" i="1" a="1"/>
  <c r="I669" i="1" s="1"/>
  <c r="I670" i="1" a="1"/>
  <c r="I670" i="1" s="1"/>
  <c r="I671" i="1" a="1"/>
  <c r="I671" i="1" s="1"/>
  <c r="I672" i="1" a="1"/>
  <c r="I672" i="1" s="1"/>
  <c r="I673" i="1" a="1"/>
  <c r="I673" i="1" s="1"/>
  <c r="I674" i="1" a="1"/>
  <c r="I674" i="1" s="1"/>
  <c r="I675" i="1" a="1"/>
  <c r="I675" i="1" s="1"/>
  <c r="I676" i="1" a="1"/>
  <c r="I676" i="1" s="1"/>
  <c r="I677" i="1" a="1"/>
  <c r="I677" i="1" s="1"/>
  <c r="I678" i="1" a="1"/>
  <c r="I678" i="1" s="1"/>
  <c r="I679" i="1" a="1"/>
  <c r="I679" i="1" s="1"/>
  <c r="I680" i="1" a="1"/>
  <c r="I680" i="1" s="1"/>
  <c r="I681" i="1" a="1"/>
  <c r="I681" i="1" s="1"/>
  <c r="I682" i="1" a="1"/>
  <c r="I682" i="1" s="1"/>
  <c r="I683" i="1" a="1"/>
  <c r="I683" i="1" s="1"/>
  <c r="I684" i="1" a="1"/>
  <c r="I684" i="1" s="1"/>
  <c r="I685" i="1" a="1"/>
  <c r="I685" i="1" s="1"/>
  <c r="I686" i="1" a="1"/>
  <c r="I686" i="1" s="1"/>
  <c r="I687" i="1" a="1"/>
  <c r="I687" i="1" s="1"/>
  <c r="I688" i="1" a="1"/>
  <c r="I688" i="1" s="1"/>
  <c r="I689" i="1" a="1"/>
  <c r="I689" i="1" s="1"/>
  <c r="I690" i="1" a="1"/>
  <c r="I690" i="1" s="1"/>
  <c r="I691" i="1" a="1"/>
  <c r="I691" i="1" s="1"/>
  <c r="I692" i="1" a="1"/>
  <c r="I692" i="1" s="1"/>
  <c r="I693" i="1" a="1"/>
  <c r="I693" i="1" s="1"/>
  <c r="I694" i="1" a="1"/>
  <c r="I694" i="1" s="1"/>
  <c r="I695" i="1" a="1"/>
  <c r="I695" i="1" s="1"/>
  <c r="I696" i="1" a="1"/>
  <c r="I696" i="1" s="1"/>
  <c r="I697" i="1" a="1"/>
  <c r="I697" i="1" s="1"/>
  <c r="I698" i="1" a="1"/>
  <c r="I698" i="1" s="1"/>
  <c r="I699" i="1" a="1"/>
  <c r="I699" i="1" s="1"/>
  <c r="I700" i="1" a="1"/>
  <c r="I700" i="1" s="1"/>
  <c r="I701" i="1" a="1"/>
  <c r="I701" i="1" s="1"/>
  <c r="I702" i="1" a="1"/>
  <c r="I702" i="1" s="1"/>
  <c r="I703" i="1" a="1"/>
  <c r="I703" i="1" s="1"/>
  <c r="I704" i="1" a="1"/>
  <c r="I704" i="1" s="1"/>
  <c r="I705" i="1" a="1"/>
  <c r="I705" i="1" s="1"/>
  <c r="I706" i="1" a="1"/>
  <c r="I706" i="1" s="1"/>
  <c r="I707" i="1" a="1"/>
  <c r="I707" i="1" s="1"/>
  <c r="I708" i="1" a="1"/>
  <c r="I708" i="1" s="1"/>
  <c r="I709" i="1" a="1"/>
  <c r="I709" i="1" s="1"/>
  <c r="I710" i="1" a="1"/>
  <c r="I710" i="1" s="1"/>
  <c r="I711" i="1" a="1"/>
  <c r="I711" i="1" s="1"/>
  <c r="I712" i="1" a="1"/>
  <c r="I712" i="1" s="1"/>
  <c r="I713" i="1" a="1"/>
  <c r="I713" i="1" s="1"/>
  <c r="I714" i="1" a="1"/>
  <c r="I714" i="1" s="1"/>
  <c r="I715" i="1" a="1"/>
  <c r="I715" i="1" s="1"/>
  <c r="I716" i="1" a="1"/>
  <c r="I716" i="1" s="1"/>
  <c r="I2" i="1" a="1"/>
  <c r="I2" i="1" s="1"/>
  <c r="H3" i="1" a="1"/>
  <c r="H3" i="1" s="1"/>
  <c r="H4" i="1" a="1"/>
  <c r="H4" i="1" s="1"/>
  <c r="H5" i="1" a="1"/>
  <c r="H5" i="1" s="1"/>
  <c r="H6" i="1" a="1"/>
  <c r="H6" i="1" s="1"/>
  <c r="H7" i="1" a="1"/>
  <c r="H7" i="1" s="1"/>
  <c r="H8" i="1" a="1"/>
  <c r="H8" i="1" s="1"/>
  <c r="H9" i="1" a="1"/>
  <c r="H9" i="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6" i="1" a="1"/>
  <c r="H116" i="1" s="1"/>
  <c r="H117" i="1" a="1"/>
  <c r="H117" i="1" s="1"/>
  <c r="H118" i="1" a="1"/>
  <c r="H118" i="1" s="1"/>
  <c r="H119" i="1" a="1"/>
  <c r="H119" i="1" s="1"/>
  <c r="H120" i="1" a="1"/>
  <c r="H120" i="1" s="1"/>
  <c r="H121" i="1" a="1"/>
  <c r="H121" i="1" s="1"/>
  <c r="H122" i="1" a="1"/>
  <c r="H122" i="1" s="1"/>
  <c r="H123" i="1" a="1"/>
  <c r="H123" i="1" s="1"/>
  <c r="H124" i="1" a="1"/>
  <c r="H124" i="1" s="1"/>
  <c r="H125" i="1" a="1"/>
  <c r="H125" i="1" s="1"/>
  <c r="H126" i="1" a="1"/>
  <c r="H126" i="1" s="1"/>
  <c r="H127" i="1" a="1"/>
  <c r="H127" i="1" s="1"/>
  <c r="H128" i="1" a="1"/>
  <c r="H128" i="1" s="1"/>
  <c r="H129" i="1" a="1"/>
  <c r="H129" i="1" s="1"/>
  <c r="H130" i="1" a="1"/>
  <c r="H130" i="1" s="1"/>
  <c r="H131" i="1" a="1"/>
  <c r="H131" i="1" s="1"/>
  <c r="H132" i="1" a="1"/>
  <c r="H132" i="1" s="1"/>
  <c r="H133" i="1" a="1"/>
  <c r="H133" i="1" s="1"/>
  <c r="H134" i="1" a="1"/>
  <c r="H134" i="1" s="1"/>
  <c r="H135" i="1" a="1"/>
  <c r="H135" i="1" s="1"/>
  <c r="H136" i="1" a="1"/>
  <c r="H136" i="1" s="1"/>
  <c r="H137" i="1" a="1"/>
  <c r="H137" i="1" s="1"/>
  <c r="H138" i="1" a="1"/>
  <c r="H138" i="1" s="1"/>
  <c r="H139" i="1" a="1"/>
  <c r="H139" i="1" s="1"/>
  <c r="H140" i="1" a="1"/>
  <c r="H140" i="1" s="1"/>
  <c r="H141" i="1" a="1"/>
  <c r="H141" i="1" s="1"/>
  <c r="H142" i="1" a="1"/>
  <c r="H142" i="1" s="1"/>
  <c r="H143" i="1" a="1"/>
  <c r="H143" i="1" s="1"/>
  <c r="H144" i="1" a="1"/>
  <c r="H144" i="1" s="1"/>
  <c r="H145" i="1" a="1"/>
  <c r="H145" i="1" s="1"/>
  <c r="H146" i="1" a="1"/>
  <c r="H146" i="1" s="1"/>
  <c r="H147" i="1" a="1"/>
  <c r="H147" i="1" s="1"/>
  <c r="H148" i="1" a="1"/>
  <c r="H148" i="1" s="1"/>
  <c r="H149" i="1" a="1"/>
  <c r="H149" i="1" s="1"/>
  <c r="H150" i="1" a="1"/>
  <c r="H150" i="1" s="1"/>
  <c r="H151" i="1" a="1"/>
  <c r="H151" i="1" s="1"/>
  <c r="H152" i="1" a="1"/>
  <c r="H152" i="1" s="1"/>
  <c r="H153" i="1" a="1"/>
  <c r="H153" i="1" s="1"/>
  <c r="H154" i="1" a="1"/>
  <c r="H154" i="1" s="1"/>
  <c r="H155" i="1" a="1"/>
  <c r="H155" i="1" s="1"/>
  <c r="H156" i="1" a="1"/>
  <c r="H156" i="1" s="1"/>
  <c r="H157" i="1" a="1"/>
  <c r="H157" i="1" s="1"/>
  <c r="H158" i="1" a="1"/>
  <c r="H158" i="1" s="1"/>
  <c r="H159" i="1" a="1"/>
  <c r="H159" i="1" s="1"/>
  <c r="H160" i="1" a="1"/>
  <c r="H160" i="1" s="1"/>
  <c r="H161" i="1" a="1"/>
  <c r="H161" i="1" s="1"/>
  <c r="H162" i="1" a="1"/>
  <c r="H162" i="1" s="1"/>
  <c r="H163" i="1" a="1"/>
  <c r="H163" i="1" s="1"/>
  <c r="H164" i="1" a="1"/>
  <c r="H164" i="1" s="1"/>
  <c r="H165" i="1" a="1"/>
  <c r="H165" i="1" s="1"/>
  <c r="H166" i="1" a="1"/>
  <c r="H166" i="1" s="1"/>
  <c r="H167" i="1" a="1"/>
  <c r="H167" i="1" s="1"/>
  <c r="H168" i="1" a="1"/>
  <c r="H168" i="1" s="1"/>
  <c r="H169" i="1" a="1"/>
  <c r="H169" i="1" s="1"/>
  <c r="H170" i="1" a="1"/>
  <c r="H170" i="1" s="1"/>
  <c r="H171" i="1" a="1"/>
  <c r="H171" i="1" s="1"/>
  <c r="H172" i="1" a="1"/>
  <c r="H172" i="1" s="1"/>
  <c r="H173" i="1" a="1"/>
  <c r="H173" i="1" s="1"/>
  <c r="H174" i="1" a="1"/>
  <c r="H174" i="1" s="1"/>
  <c r="H175" i="1" a="1"/>
  <c r="H175" i="1" s="1"/>
  <c r="H176" i="1" a="1"/>
  <c r="H176" i="1" s="1"/>
  <c r="H177" i="1" a="1"/>
  <c r="H177" i="1" s="1"/>
  <c r="H178" i="1" a="1"/>
  <c r="H178" i="1" s="1"/>
  <c r="H179" i="1" a="1"/>
  <c r="H179" i="1" s="1"/>
  <c r="H180" i="1" a="1"/>
  <c r="H180" i="1" s="1"/>
  <c r="H181" i="1" a="1"/>
  <c r="H181" i="1" s="1"/>
  <c r="H182" i="1" a="1"/>
  <c r="H182" i="1" s="1"/>
  <c r="H183" i="1" a="1"/>
  <c r="H183" i="1" s="1"/>
  <c r="H184" i="1" a="1"/>
  <c r="H184" i="1" s="1"/>
  <c r="H185" i="1" a="1"/>
  <c r="H185" i="1" s="1"/>
  <c r="H186" i="1" a="1"/>
  <c r="H186" i="1" s="1"/>
  <c r="H187" i="1" a="1"/>
  <c r="H187" i="1" s="1"/>
  <c r="H188" i="1" a="1"/>
  <c r="H188" i="1" s="1"/>
  <c r="H189" i="1" a="1"/>
  <c r="H189" i="1" s="1"/>
  <c r="H190" i="1" a="1"/>
  <c r="H190" i="1" s="1"/>
  <c r="H191" i="1" a="1"/>
  <c r="H191" i="1" s="1"/>
  <c r="H192" i="1" a="1"/>
  <c r="H192" i="1" s="1"/>
  <c r="H193" i="1" a="1"/>
  <c r="H193" i="1" s="1"/>
  <c r="H194" i="1" a="1"/>
  <c r="H194" i="1" s="1"/>
  <c r="H195" i="1" a="1"/>
  <c r="H195" i="1" s="1"/>
  <c r="H196" i="1" a="1"/>
  <c r="H196" i="1" s="1"/>
  <c r="H197" i="1" a="1"/>
  <c r="H197" i="1" s="1"/>
  <c r="H198" i="1" a="1"/>
  <c r="H198" i="1" s="1"/>
  <c r="H199" i="1" a="1"/>
  <c r="H199" i="1" s="1"/>
  <c r="H200" i="1" a="1"/>
  <c r="H200" i="1" s="1"/>
  <c r="H201" i="1" a="1"/>
  <c r="H201" i="1" s="1"/>
  <c r="H202" i="1" a="1"/>
  <c r="H202" i="1" s="1"/>
  <c r="H203" i="1" a="1"/>
  <c r="H203" i="1" s="1"/>
  <c r="H204" i="1" a="1"/>
  <c r="H204" i="1" s="1"/>
  <c r="H205" i="1" a="1"/>
  <c r="H205" i="1" s="1"/>
  <c r="H206" i="1" a="1"/>
  <c r="H206" i="1" s="1"/>
  <c r="H207" i="1" a="1"/>
  <c r="H207" i="1" s="1"/>
  <c r="H208" i="1" a="1"/>
  <c r="H208" i="1" s="1"/>
  <c r="H209" i="1" a="1"/>
  <c r="H209" i="1" s="1"/>
  <c r="H210" i="1" a="1"/>
  <c r="H210" i="1" s="1"/>
  <c r="H211" i="1" a="1"/>
  <c r="H211" i="1" s="1"/>
  <c r="H212" i="1" a="1"/>
  <c r="H212" i="1" s="1"/>
  <c r="H213" i="1" a="1"/>
  <c r="H213" i="1" s="1"/>
  <c r="H214" i="1" a="1"/>
  <c r="H214" i="1" s="1"/>
  <c r="H215" i="1" a="1"/>
  <c r="H215" i="1" s="1"/>
  <c r="H216" i="1" a="1"/>
  <c r="H216" i="1" s="1"/>
  <c r="H217" i="1" a="1"/>
  <c r="H217" i="1" s="1"/>
  <c r="H218" i="1" a="1"/>
  <c r="H218" i="1" s="1"/>
  <c r="H219" i="1" a="1"/>
  <c r="H219" i="1" s="1"/>
  <c r="H220" i="1" a="1"/>
  <c r="H220" i="1" s="1"/>
  <c r="H221" i="1" a="1"/>
  <c r="H221" i="1" s="1"/>
  <c r="H222" i="1" a="1"/>
  <c r="H222" i="1" s="1"/>
  <c r="H223" i="1" a="1"/>
  <c r="H223" i="1" s="1"/>
  <c r="H224" i="1" a="1"/>
  <c r="H224" i="1" s="1"/>
  <c r="H225" i="1" a="1"/>
  <c r="H225" i="1" s="1"/>
  <c r="H226" i="1" a="1"/>
  <c r="H226" i="1" s="1"/>
  <c r="H227" i="1" a="1"/>
  <c r="H227" i="1" s="1"/>
  <c r="H228" i="1" a="1"/>
  <c r="H228" i="1" s="1"/>
  <c r="H229" i="1" a="1"/>
  <c r="H229" i="1" s="1"/>
  <c r="H230" i="1" a="1"/>
  <c r="H230" i="1" s="1"/>
  <c r="H231" i="1" a="1"/>
  <c r="H231" i="1" s="1"/>
  <c r="H232" i="1" a="1"/>
  <c r="H232" i="1" s="1"/>
  <c r="H233" i="1" a="1"/>
  <c r="H233" i="1" s="1"/>
  <c r="H234" i="1" a="1"/>
  <c r="H234" i="1" s="1"/>
  <c r="H235" i="1" a="1"/>
  <c r="H235" i="1" s="1"/>
  <c r="H236" i="1" a="1"/>
  <c r="H236" i="1" s="1"/>
  <c r="H237" i="1" a="1"/>
  <c r="H237" i="1" s="1"/>
  <c r="H238" i="1" a="1"/>
  <c r="H238" i="1" s="1"/>
  <c r="H239" i="1" a="1"/>
  <c r="H239" i="1" s="1"/>
  <c r="H240" i="1" a="1"/>
  <c r="H240" i="1" s="1"/>
  <c r="H241" i="1" a="1"/>
  <c r="H241" i="1" s="1"/>
  <c r="H242" i="1" a="1"/>
  <c r="H242" i="1" s="1"/>
  <c r="H243" i="1" a="1"/>
  <c r="H243" i="1" s="1"/>
  <c r="H244" i="1" a="1"/>
  <c r="H244" i="1" s="1"/>
  <c r="H245" i="1" a="1"/>
  <c r="H245" i="1" s="1"/>
  <c r="H246" i="1" a="1"/>
  <c r="H246" i="1" s="1"/>
  <c r="H247" i="1" a="1"/>
  <c r="H247" i="1" s="1"/>
  <c r="H248" i="1" a="1"/>
  <c r="H248" i="1" s="1"/>
  <c r="H249" i="1" a="1"/>
  <c r="H249" i="1" s="1"/>
  <c r="H250" i="1" a="1"/>
  <c r="H250" i="1" s="1"/>
  <c r="H251" i="1" a="1"/>
  <c r="H251" i="1" s="1"/>
  <c r="H252" i="1" a="1"/>
  <c r="H252" i="1" s="1"/>
  <c r="H253" i="1" a="1"/>
  <c r="H253" i="1" s="1"/>
  <c r="H254" i="1" a="1"/>
  <c r="H254" i="1" s="1"/>
  <c r="H255" i="1" a="1"/>
  <c r="H255" i="1" s="1"/>
  <c r="H256" i="1" a="1"/>
  <c r="H256" i="1" s="1"/>
  <c r="H257" i="1" a="1"/>
  <c r="H257" i="1" s="1"/>
  <c r="H258" i="1" a="1"/>
  <c r="H258" i="1" s="1"/>
  <c r="H259" i="1" a="1"/>
  <c r="H259" i="1" s="1"/>
  <c r="H260" i="1" a="1"/>
  <c r="H260" i="1" s="1"/>
  <c r="H261" i="1" a="1"/>
  <c r="H261" i="1" s="1"/>
  <c r="H262" i="1" a="1"/>
  <c r="H262" i="1" s="1"/>
  <c r="H263" i="1" a="1"/>
  <c r="H263" i="1" s="1"/>
  <c r="H264" i="1" a="1"/>
  <c r="H264" i="1" s="1"/>
  <c r="H265" i="1" a="1"/>
  <c r="H265" i="1" s="1"/>
  <c r="H266" i="1" a="1"/>
  <c r="H266" i="1" s="1"/>
  <c r="H267" i="1" a="1"/>
  <c r="H267" i="1" s="1"/>
  <c r="H268" i="1" a="1"/>
  <c r="H268" i="1" s="1"/>
  <c r="H269" i="1" a="1"/>
  <c r="H269" i="1" s="1"/>
  <c r="H270" i="1" a="1"/>
  <c r="H270" i="1" s="1"/>
  <c r="H271" i="1" a="1"/>
  <c r="H271" i="1" s="1"/>
  <c r="H272" i="1" a="1"/>
  <c r="H272" i="1" s="1"/>
  <c r="H273" i="1" a="1"/>
  <c r="H273" i="1" s="1"/>
  <c r="H274" i="1" a="1"/>
  <c r="H274" i="1" s="1"/>
  <c r="H275" i="1" a="1"/>
  <c r="H275" i="1" s="1"/>
  <c r="H276" i="1" a="1"/>
  <c r="H276" i="1" s="1"/>
  <c r="H277" i="1" a="1"/>
  <c r="H277" i="1" s="1"/>
  <c r="H278" i="1" a="1"/>
  <c r="H278" i="1" s="1"/>
  <c r="H279" i="1" a="1"/>
  <c r="H279" i="1" s="1"/>
  <c r="H280" i="1" a="1"/>
  <c r="H280" i="1" s="1"/>
  <c r="H281" i="1" a="1"/>
  <c r="H281" i="1" s="1"/>
  <c r="H282" i="1" a="1"/>
  <c r="H282" i="1" s="1"/>
  <c r="H283" i="1" a="1"/>
  <c r="H283" i="1" s="1"/>
  <c r="H284" i="1" a="1"/>
  <c r="H284" i="1" s="1"/>
  <c r="H285" i="1" a="1"/>
  <c r="H285" i="1" s="1"/>
  <c r="H286" i="1" a="1"/>
  <c r="H286" i="1" s="1"/>
  <c r="H287" i="1" a="1"/>
  <c r="H287" i="1" s="1"/>
  <c r="H288" i="1" a="1"/>
  <c r="H288" i="1" s="1"/>
  <c r="H289" i="1" a="1"/>
  <c r="H289" i="1" s="1"/>
  <c r="H290" i="1" a="1"/>
  <c r="H290" i="1" s="1"/>
  <c r="H291" i="1" a="1"/>
  <c r="H291" i="1" s="1"/>
  <c r="H292" i="1" a="1"/>
  <c r="H292" i="1" s="1"/>
  <c r="H293" i="1" a="1"/>
  <c r="H293" i="1" s="1"/>
  <c r="H294" i="1" a="1"/>
  <c r="H294" i="1" s="1"/>
  <c r="H295" i="1" a="1"/>
  <c r="H295" i="1" s="1"/>
  <c r="H296" i="1" a="1"/>
  <c r="H296" i="1" s="1"/>
  <c r="H297" i="1" a="1"/>
  <c r="H297" i="1" s="1"/>
  <c r="H298" i="1" a="1"/>
  <c r="H298" i="1" s="1"/>
  <c r="H299" i="1" a="1"/>
  <c r="H299" i="1" s="1"/>
  <c r="H300" i="1" a="1"/>
  <c r="H300" i="1" s="1"/>
  <c r="H301" i="1" a="1"/>
  <c r="H301" i="1" s="1"/>
  <c r="H302" i="1" a="1"/>
  <c r="H302" i="1" s="1"/>
  <c r="H303" i="1" a="1"/>
  <c r="H303" i="1" s="1"/>
  <c r="H304" i="1" a="1"/>
  <c r="H304" i="1" s="1"/>
  <c r="H305" i="1" a="1"/>
  <c r="H305" i="1" s="1"/>
  <c r="H306" i="1" a="1"/>
  <c r="H306" i="1" s="1"/>
  <c r="H307" i="1" a="1"/>
  <c r="H307" i="1" s="1"/>
  <c r="H308" i="1" a="1"/>
  <c r="H308" i="1" s="1"/>
  <c r="H309" i="1" a="1"/>
  <c r="H309" i="1" s="1"/>
  <c r="H310" i="1" a="1"/>
  <c r="H310" i="1" s="1"/>
  <c r="H311" i="1" a="1"/>
  <c r="H311" i="1" s="1"/>
  <c r="H312" i="1" a="1"/>
  <c r="H312" i="1" s="1"/>
  <c r="H313" i="1" a="1"/>
  <c r="H313" i="1" s="1"/>
  <c r="H314" i="1" a="1"/>
  <c r="H314" i="1" s="1"/>
  <c r="H315" i="1" a="1"/>
  <c r="H315" i="1" s="1"/>
  <c r="H316" i="1" a="1"/>
  <c r="H316" i="1" s="1"/>
  <c r="H317" i="1" a="1"/>
  <c r="H317" i="1" s="1"/>
  <c r="H318" i="1" a="1"/>
  <c r="H318" i="1" s="1"/>
  <c r="H319" i="1" a="1"/>
  <c r="H319" i="1" s="1"/>
  <c r="H320" i="1" a="1"/>
  <c r="H320" i="1" s="1"/>
  <c r="H321" i="1" a="1"/>
  <c r="H321" i="1" s="1"/>
  <c r="H322" i="1" a="1"/>
  <c r="H322" i="1" s="1"/>
  <c r="H323" i="1" a="1"/>
  <c r="H323" i="1" s="1"/>
  <c r="H324" i="1" a="1"/>
  <c r="H324" i="1" s="1"/>
  <c r="H325" i="1" a="1"/>
  <c r="H325" i="1" s="1"/>
  <c r="H326" i="1" a="1"/>
  <c r="H326" i="1" s="1"/>
  <c r="H327" i="1" a="1"/>
  <c r="H327" i="1" s="1"/>
  <c r="H328" i="1" a="1"/>
  <c r="H328" i="1" s="1"/>
  <c r="H329" i="1" a="1"/>
  <c r="H329" i="1" s="1"/>
  <c r="H330" i="1" a="1"/>
  <c r="H330" i="1" s="1"/>
  <c r="H331" i="1" a="1"/>
  <c r="H331" i="1" s="1"/>
  <c r="H332" i="1" a="1"/>
  <c r="H332" i="1" s="1"/>
  <c r="H333" i="1" a="1"/>
  <c r="H333" i="1" s="1"/>
  <c r="H334" i="1" a="1"/>
  <c r="H334" i="1" s="1"/>
  <c r="H335" i="1" a="1"/>
  <c r="H335" i="1" s="1"/>
  <c r="H336" i="1" a="1"/>
  <c r="H336" i="1" s="1"/>
  <c r="H337" i="1" a="1"/>
  <c r="H337" i="1" s="1"/>
  <c r="H338" i="1" a="1"/>
  <c r="H338" i="1" s="1"/>
  <c r="H339" i="1" a="1"/>
  <c r="H339" i="1" s="1"/>
  <c r="H340" i="1" a="1"/>
  <c r="H340" i="1" s="1"/>
  <c r="H341" i="1" a="1"/>
  <c r="H341" i="1" s="1"/>
  <c r="H342" i="1" a="1"/>
  <c r="H342" i="1" s="1"/>
  <c r="H343" i="1" a="1"/>
  <c r="H343" i="1" s="1"/>
  <c r="H344" i="1" a="1"/>
  <c r="H344" i="1" s="1"/>
  <c r="H345" i="1" a="1"/>
  <c r="H345" i="1" s="1"/>
  <c r="H346" i="1" a="1"/>
  <c r="H346" i="1" s="1"/>
  <c r="H347" i="1" a="1"/>
  <c r="H347" i="1" s="1"/>
  <c r="H348" i="1" a="1"/>
  <c r="H348" i="1" s="1"/>
  <c r="H349" i="1" a="1"/>
  <c r="H349" i="1" s="1"/>
  <c r="H350" i="1" a="1"/>
  <c r="H350" i="1" s="1"/>
  <c r="H351" i="1" a="1"/>
  <c r="H351" i="1" s="1"/>
  <c r="H352" i="1" a="1"/>
  <c r="H352" i="1" s="1"/>
  <c r="H353" i="1" a="1"/>
  <c r="H353" i="1" s="1"/>
  <c r="H354" i="1" a="1"/>
  <c r="H354" i="1" s="1"/>
  <c r="H355" i="1" a="1"/>
  <c r="H355" i="1" s="1"/>
  <c r="H356" i="1" a="1"/>
  <c r="H356" i="1" s="1"/>
  <c r="H357" i="1" a="1"/>
  <c r="H357" i="1" s="1"/>
  <c r="H358" i="1" a="1"/>
  <c r="H358" i="1" s="1"/>
  <c r="H359" i="1" a="1"/>
  <c r="H359" i="1" s="1"/>
  <c r="H360" i="1" a="1"/>
  <c r="H360" i="1" s="1"/>
  <c r="H361" i="1" a="1"/>
  <c r="H361" i="1"/>
  <c r="H362" i="1" a="1"/>
  <c r="H362" i="1"/>
  <c r="H363" i="1" a="1"/>
  <c r="H363" i="1" s="1"/>
  <c r="H364" i="1" a="1"/>
  <c r="H364" i="1"/>
  <c r="H365" i="1" a="1"/>
  <c r="H365" i="1"/>
  <c r="H366" i="1" a="1"/>
  <c r="H366" i="1"/>
  <c r="H367" i="1" a="1"/>
  <c r="H367" i="1"/>
  <c r="H368" i="1" a="1"/>
  <c r="H368" i="1"/>
  <c r="H369" i="1" a="1"/>
  <c r="H369" i="1"/>
  <c r="H370" i="1" a="1"/>
  <c r="H370" i="1"/>
  <c r="H371" i="1" a="1"/>
  <c r="H371" i="1"/>
  <c r="H372" i="1" a="1"/>
  <c r="H372" i="1"/>
  <c r="H373" i="1" a="1"/>
  <c r="H373" i="1"/>
  <c r="H374" i="1" a="1"/>
  <c r="H374" i="1"/>
  <c r="H375" i="1" a="1"/>
  <c r="H375" i="1"/>
  <c r="H376" i="1" a="1"/>
  <c r="H376" i="1"/>
  <c r="H377" i="1" a="1"/>
  <c r="H377" i="1"/>
  <c r="H378" i="1" a="1"/>
  <c r="H378" i="1"/>
  <c r="H379" i="1" a="1"/>
  <c r="H379" i="1"/>
  <c r="H380" i="1" a="1"/>
  <c r="H380" i="1"/>
  <c r="H381" i="1" a="1"/>
  <c r="H381" i="1"/>
  <c r="H382" i="1" a="1"/>
  <c r="H382" i="1"/>
  <c r="H383" i="1" a="1"/>
  <c r="H383" i="1"/>
  <c r="H384" i="1" a="1"/>
  <c r="H384" i="1"/>
  <c r="H385" i="1" a="1"/>
  <c r="H385" i="1"/>
  <c r="H386" i="1" a="1"/>
  <c r="H386" i="1"/>
  <c r="H387" i="1" a="1"/>
  <c r="H387" i="1"/>
  <c r="H388" i="1" a="1"/>
  <c r="H388" i="1"/>
  <c r="H389" i="1" a="1"/>
  <c r="H389" i="1"/>
  <c r="H390" i="1" a="1"/>
  <c r="H390" i="1"/>
  <c r="H391" i="1" a="1"/>
  <c r="H391" i="1"/>
  <c r="H392" i="1" a="1"/>
  <c r="H392" i="1"/>
  <c r="H393" i="1" a="1"/>
  <c r="H393" i="1"/>
  <c r="H394" i="1" a="1"/>
  <c r="H394" i="1"/>
  <c r="H395" i="1" a="1"/>
  <c r="H395" i="1"/>
  <c r="H396" i="1" a="1"/>
  <c r="H396" i="1"/>
  <c r="H397" i="1" a="1"/>
  <c r="H397" i="1"/>
  <c r="H398" i="1" a="1"/>
  <c r="H398" i="1"/>
  <c r="H399" i="1" a="1"/>
  <c r="H399" i="1"/>
  <c r="H400" i="1" a="1"/>
  <c r="H400" i="1"/>
  <c r="H401" i="1" a="1"/>
  <c r="H401" i="1"/>
  <c r="H402" i="1" a="1"/>
  <c r="H402" i="1"/>
  <c r="H403" i="1" a="1"/>
  <c r="H403" i="1"/>
  <c r="H404" i="1" a="1"/>
  <c r="H404" i="1"/>
  <c r="H405" i="1" a="1"/>
  <c r="H405" i="1"/>
  <c r="H406" i="1" a="1"/>
  <c r="H406" i="1"/>
  <c r="H407" i="1" a="1"/>
  <c r="H407" i="1"/>
  <c r="H408" i="1" a="1"/>
  <c r="H408" i="1"/>
  <c r="H409" i="1" a="1"/>
  <c r="H409" i="1"/>
  <c r="H410" i="1" a="1"/>
  <c r="H410" i="1"/>
  <c r="H411" i="1" a="1"/>
  <c r="H411" i="1" s="1"/>
  <c r="H412" i="1" a="1"/>
  <c r="H412" i="1" s="1"/>
  <c r="H413" i="1" a="1"/>
  <c r="H413" i="1" s="1"/>
  <c r="H414" i="1" a="1"/>
  <c r="H414" i="1" s="1"/>
  <c r="H415" i="1" a="1"/>
  <c r="H415" i="1" s="1"/>
  <c r="H416" i="1" a="1"/>
  <c r="H416" i="1" s="1"/>
  <c r="H417" i="1" a="1"/>
  <c r="H417" i="1" s="1"/>
  <c r="H418" i="1" a="1"/>
  <c r="H418" i="1" s="1"/>
  <c r="H419" i="1" a="1"/>
  <c r="H419" i="1" s="1"/>
  <c r="H420" i="1" a="1"/>
  <c r="H420" i="1" s="1"/>
  <c r="H421" i="1" a="1"/>
  <c r="H421" i="1" s="1"/>
  <c r="H422" i="1" a="1"/>
  <c r="H422" i="1" s="1"/>
  <c r="H423" i="1" a="1"/>
  <c r="H423" i="1" s="1"/>
  <c r="H424" i="1" a="1"/>
  <c r="H424" i="1" s="1"/>
  <c r="H425" i="1" a="1"/>
  <c r="H425" i="1" s="1"/>
  <c r="H426" i="1" a="1"/>
  <c r="H426" i="1" s="1"/>
  <c r="H427" i="1" a="1"/>
  <c r="H427" i="1" s="1"/>
  <c r="H428" i="1" a="1"/>
  <c r="H428" i="1" s="1"/>
  <c r="H429" i="1" a="1"/>
  <c r="H429" i="1" s="1"/>
  <c r="H430" i="1" a="1"/>
  <c r="H430" i="1" s="1"/>
  <c r="H431" i="1" a="1"/>
  <c r="H431" i="1" s="1"/>
  <c r="H432" i="1" a="1"/>
  <c r="H432" i="1" s="1"/>
  <c r="H433" i="1" a="1"/>
  <c r="H433" i="1" s="1"/>
  <c r="H434" i="1" a="1"/>
  <c r="H434" i="1" s="1"/>
  <c r="H435" i="1" a="1"/>
  <c r="H435" i="1" s="1"/>
  <c r="H436" i="1" a="1"/>
  <c r="H436" i="1" s="1"/>
  <c r="H437" i="1" a="1"/>
  <c r="H437" i="1" s="1"/>
  <c r="H438" i="1" a="1"/>
  <c r="H438" i="1" s="1"/>
  <c r="H439" i="1" a="1"/>
  <c r="H439" i="1" s="1"/>
  <c r="H440" i="1" a="1"/>
  <c r="H440" i="1" s="1"/>
  <c r="H441" i="1" a="1"/>
  <c r="H441" i="1" s="1"/>
  <c r="H442" i="1" a="1"/>
  <c r="H442" i="1" s="1"/>
  <c r="H443" i="1" a="1"/>
  <c r="H443" i="1" s="1"/>
  <c r="H444" i="1" a="1"/>
  <c r="H444" i="1" s="1"/>
  <c r="H445" i="1" a="1"/>
  <c r="H445" i="1" s="1"/>
  <c r="H446" i="1" a="1"/>
  <c r="H446" i="1" s="1"/>
  <c r="H447" i="1" a="1"/>
  <c r="H447" i="1" s="1"/>
  <c r="H448" i="1" a="1"/>
  <c r="H448" i="1" s="1"/>
  <c r="H449" i="1" a="1"/>
  <c r="H449" i="1" s="1"/>
  <c r="H450" i="1" a="1"/>
  <c r="H450" i="1" s="1"/>
  <c r="H451" i="1" a="1"/>
  <c r="H451" i="1" s="1"/>
  <c r="H452" i="1" a="1"/>
  <c r="H452" i="1" s="1"/>
  <c r="H453" i="1" a="1"/>
  <c r="H453" i="1" s="1"/>
  <c r="H454" i="1" a="1"/>
  <c r="H454" i="1" s="1"/>
  <c r="H455" i="1" a="1"/>
  <c r="H455" i="1" s="1"/>
  <c r="H456" i="1" a="1"/>
  <c r="H456" i="1" s="1"/>
  <c r="H457" i="1" a="1"/>
  <c r="H457" i="1" s="1"/>
  <c r="H458" i="1" a="1"/>
  <c r="H458" i="1" s="1"/>
  <c r="H459" i="1" a="1"/>
  <c r="H459" i="1" s="1"/>
  <c r="H460" i="1" a="1"/>
  <c r="H460" i="1" s="1"/>
  <c r="H461" i="1" a="1"/>
  <c r="H461" i="1" s="1"/>
  <c r="H462" i="1" a="1"/>
  <c r="H462" i="1" s="1"/>
  <c r="H463" i="1" a="1"/>
  <c r="H463" i="1" s="1"/>
  <c r="H464" i="1" a="1"/>
  <c r="H464" i="1" s="1"/>
  <c r="H465" i="1" a="1"/>
  <c r="H465" i="1" s="1"/>
  <c r="H466" i="1" a="1"/>
  <c r="H466" i="1" s="1"/>
  <c r="H467" i="1" a="1"/>
  <c r="H467" i="1" s="1"/>
  <c r="H468" i="1" a="1"/>
  <c r="H468" i="1" s="1"/>
  <c r="H469" i="1" a="1"/>
  <c r="H469" i="1" s="1"/>
  <c r="H470" i="1" a="1"/>
  <c r="H470" i="1" s="1"/>
  <c r="H471" i="1" a="1"/>
  <c r="H471" i="1" s="1"/>
  <c r="H472" i="1" a="1"/>
  <c r="H472" i="1" s="1"/>
  <c r="H473" i="1" a="1"/>
  <c r="H473" i="1" s="1"/>
  <c r="H474" i="1" a="1"/>
  <c r="H474" i="1" s="1"/>
  <c r="H475" i="1" a="1"/>
  <c r="H475" i="1" s="1"/>
  <c r="H476" i="1" a="1"/>
  <c r="H476" i="1" s="1"/>
  <c r="H477" i="1" a="1"/>
  <c r="H477" i="1" s="1"/>
  <c r="H478" i="1" a="1"/>
  <c r="H478" i="1" s="1"/>
  <c r="H479" i="1" a="1"/>
  <c r="H479" i="1" s="1"/>
  <c r="H480" i="1" a="1"/>
  <c r="H480" i="1" s="1"/>
  <c r="H481" i="1" a="1"/>
  <c r="H481" i="1" s="1"/>
  <c r="H482" i="1" a="1"/>
  <c r="H482" i="1" s="1"/>
  <c r="H483" i="1" a="1"/>
  <c r="H483" i="1" s="1"/>
  <c r="H484" i="1" a="1"/>
  <c r="H484" i="1" s="1"/>
  <c r="H485" i="1" a="1"/>
  <c r="H485" i="1" s="1"/>
  <c r="H486" i="1" a="1"/>
  <c r="H486" i="1" s="1"/>
  <c r="H487" i="1" a="1"/>
  <c r="H487" i="1" s="1"/>
  <c r="H488" i="1" a="1"/>
  <c r="H488" i="1" s="1"/>
  <c r="H489" i="1" a="1"/>
  <c r="H489" i="1" s="1"/>
  <c r="H490" i="1" a="1"/>
  <c r="H490" i="1" s="1"/>
  <c r="H491" i="1" a="1"/>
  <c r="H491" i="1" s="1"/>
  <c r="H492" i="1" a="1"/>
  <c r="H492" i="1" s="1"/>
  <c r="H493" i="1" a="1"/>
  <c r="H493" i="1" s="1"/>
  <c r="H494" i="1" a="1"/>
  <c r="H494" i="1" s="1"/>
  <c r="H495" i="1" a="1"/>
  <c r="H495" i="1" s="1"/>
  <c r="H496" i="1" a="1"/>
  <c r="H496" i="1" s="1"/>
  <c r="H497" i="1" a="1"/>
  <c r="H497" i="1" s="1"/>
  <c r="H498" i="1" a="1"/>
  <c r="H498" i="1" s="1"/>
  <c r="H499" i="1" a="1"/>
  <c r="H499" i="1" s="1"/>
  <c r="H500" i="1" a="1"/>
  <c r="H500" i="1" s="1"/>
  <c r="H501" i="1" a="1"/>
  <c r="H501" i="1" s="1"/>
  <c r="H502" i="1" a="1"/>
  <c r="H502" i="1" s="1"/>
  <c r="H503" i="1" a="1"/>
  <c r="H503" i="1" s="1"/>
  <c r="H504" i="1" a="1"/>
  <c r="H504" i="1" s="1"/>
  <c r="H505" i="1" a="1"/>
  <c r="H505" i="1" s="1"/>
  <c r="H506" i="1" a="1"/>
  <c r="H506" i="1" s="1"/>
  <c r="H507" i="1" a="1"/>
  <c r="H507" i="1" s="1"/>
  <c r="H508" i="1" a="1"/>
  <c r="H508" i="1" s="1"/>
  <c r="H509" i="1" a="1"/>
  <c r="H509" i="1" s="1"/>
  <c r="H510" i="1" a="1"/>
  <c r="H510" i="1" s="1"/>
  <c r="H511" i="1" a="1"/>
  <c r="H511" i="1" s="1"/>
  <c r="H512" i="1" a="1"/>
  <c r="H512" i="1" s="1"/>
  <c r="H513" i="1" a="1"/>
  <c r="H513" i="1" s="1"/>
  <c r="H514" i="1" a="1"/>
  <c r="H514" i="1" s="1"/>
  <c r="H515" i="1" a="1"/>
  <c r="H515" i="1" s="1"/>
  <c r="H516" i="1" a="1"/>
  <c r="H516" i="1" s="1"/>
  <c r="H517" i="1" a="1"/>
  <c r="H517" i="1" s="1"/>
  <c r="H518" i="1" a="1"/>
  <c r="H518" i="1" s="1"/>
  <c r="H519" i="1" a="1"/>
  <c r="H519" i="1" s="1"/>
  <c r="H520" i="1" a="1"/>
  <c r="H520" i="1" s="1"/>
  <c r="H521" i="1" a="1"/>
  <c r="H521" i="1" s="1"/>
  <c r="H522" i="1" a="1"/>
  <c r="H522" i="1" s="1"/>
  <c r="H523" i="1" a="1"/>
  <c r="H523" i="1" s="1"/>
  <c r="H524" i="1" a="1"/>
  <c r="H524" i="1" s="1"/>
  <c r="H525" i="1" a="1"/>
  <c r="H525" i="1" s="1"/>
  <c r="H526" i="1" a="1"/>
  <c r="H526" i="1" s="1"/>
  <c r="H527" i="1" a="1"/>
  <c r="H527" i="1" s="1"/>
  <c r="H528" i="1" a="1"/>
  <c r="H528" i="1" s="1"/>
  <c r="H529" i="1" a="1"/>
  <c r="H529" i="1" s="1"/>
  <c r="H530" i="1" a="1"/>
  <c r="H530" i="1" s="1"/>
  <c r="H531" i="1" a="1"/>
  <c r="H531" i="1" s="1"/>
  <c r="H532" i="1" a="1"/>
  <c r="H532" i="1" s="1"/>
  <c r="H533" i="1" a="1"/>
  <c r="H533" i="1" s="1"/>
  <c r="H534" i="1" a="1"/>
  <c r="H534" i="1" s="1"/>
  <c r="H535" i="1" a="1"/>
  <c r="H535" i="1" s="1"/>
  <c r="H536" i="1" a="1"/>
  <c r="H536" i="1" s="1"/>
  <c r="H537" i="1" a="1"/>
  <c r="H537" i="1" s="1"/>
  <c r="H538" i="1" a="1"/>
  <c r="H538" i="1" s="1"/>
  <c r="H539" i="1" a="1"/>
  <c r="H539" i="1" s="1"/>
  <c r="H540" i="1" a="1"/>
  <c r="H540" i="1" s="1"/>
  <c r="H541" i="1" a="1"/>
  <c r="H541" i="1" s="1"/>
  <c r="H542" i="1" a="1"/>
  <c r="H542" i="1" s="1"/>
  <c r="H543" i="1" a="1"/>
  <c r="H543" i="1" s="1"/>
  <c r="H544" i="1" a="1"/>
  <c r="H544" i="1" s="1"/>
  <c r="H545" i="1" a="1"/>
  <c r="H545" i="1" s="1"/>
  <c r="H546" i="1" a="1"/>
  <c r="H546" i="1" s="1"/>
  <c r="H547" i="1" a="1"/>
  <c r="H547" i="1" s="1"/>
  <c r="H548" i="1" a="1"/>
  <c r="H548" i="1" s="1"/>
  <c r="H549" i="1" a="1"/>
  <c r="H549" i="1" s="1"/>
  <c r="H550" i="1" a="1"/>
  <c r="H550" i="1" s="1"/>
  <c r="H551" i="1" a="1"/>
  <c r="H551" i="1" s="1"/>
  <c r="H552" i="1" a="1"/>
  <c r="H552" i="1" s="1"/>
  <c r="H553" i="1" a="1"/>
  <c r="H553" i="1" s="1"/>
  <c r="H554" i="1" a="1"/>
  <c r="H554" i="1" s="1"/>
  <c r="H555" i="1" a="1"/>
  <c r="H555" i="1" s="1"/>
  <c r="H556" i="1" a="1"/>
  <c r="H556" i="1" s="1"/>
  <c r="H557" i="1" a="1"/>
  <c r="H557" i="1" s="1"/>
  <c r="H558" i="1" a="1"/>
  <c r="H558" i="1" s="1"/>
  <c r="H559" i="1" a="1"/>
  <c r="H559" i="1" s="1"/>
  <c r="H560" i="1" a="1"/>
  <c r="H560" i="1" s="1"/>
  <c r="H561" i="1" a="1"/>
  <c r="H561" i="1" s="1"/>
  <c r="H562" i="1" a="1"/>
  <c r="H562" i="1" s="1"/>
  <c r="H563" i="1" a="1"/>
  <c r="H563" i="1" s="1"/>
  <c r="H564" i="1" a="1"/>
  <c r="H564" i="1" s="1"/>
  <c r="H565" i="1" a="1"/>
  <c r="H565" i="1" s="1"/>
  <c r="H566" i="1" a="1"/>
  <c r="H566" i="1" s="1"/>
  <c r="H567" i="1" a="1"/>
  <c r="H567" i="1" s="1"/>
  <c r="H568" i="1" a="1"/>
  <c r="H568" i="1" s="1"/>
  <c r="H569" i="1" a="1"/>
  <c r="H569" i="1" s="1"/>
  <c r="H570" i="1" a="1"/>
  <c r="H570" i="1" s="1"/>
  <c r="H571" i="1" a="1"/>
  <c r="H571" i="1" s="1"/>
  <c r="H572" i="1" a="1"/>
  <c r="H572" i="1" s="1"/>
  <c r="H573" i="1" a="1"/>
  <c r="H573" i="1" s="1"/>
  <c r="H574" i="1" a="1"/>
  <c r="H574" i="1" s="1"/>
  <c r="H575" i="1" a="1"/>
  <c r="H575" i="1" s="1"/>
  <c r="H576" i="1" a="1"/>
  <c r="H576" i="1" s="1"/>
  <c r="H577" i="1" a="1"/>
  <c r="H577" i="1" s="1"/>
  <c r="H578" i="1" a="1"/>
  <c r="H578" i="1" s="1"/>
  <c r="H579" i="1" a="1"/>
  <c r="H579" i="1" s="1"/>
  <c r="H580" i="1" a="1"/>
  <c r="H580" i="1" s="1"/>
  <c r="H581" i="1" a="1"/>
  <c r="H581" i="1" s="1"/>
  <c r="H582" i="1" a="1"/>
  <c r="H582" i="1" s="1"/>
  <c r="H583" i="1" a="1"/>
  <c r="H583" i="1" s="1"/>
  <c r="H584" i="1" a="1"/>
  <c r="H584" i="1" s="1"/>
  <c r="H585" i="1" a="1"/>
  <c r="H585" i="1" s="1"/>
  <c r="H586" i="1" a="1"/>
  <c r="H586" i="1" s="1"/>
  <c r="H587" i="1" a="1"/>
  <c r="H587" i="1" s="1"/>
  <c r="H588" i="1" a="1"/>
  <c r="H588" i="1" s="1"/>
  <c r="H589" i="1" a="1"/>
  <c r="H589" i="1" s="1"/>
  <c r="H590" i="1" a="1"/>
  <c r="H590" i="1" s="1"/>
  <c r="H591" i="1" a="1"/>
  <c r="H591" i="1" s="1"/>
  <c r="H592" i="1" a="1"/>
  <c r="H592" i="1" s="1"/>
  <c r="H593" i="1" a="1"/>
  <c r="H593" i="1" s="1"/>
  <c r="H594" i="1" a="1"/>
  <c r="H594" i="1" s="1"/>
  <c r="H595" i="1" a="1"/>
  <c r="H595" i="1" s="1"/>
  <c r="H596" i="1" a="1"/>
  <c r="H596" i="1" s="1"/>
  <c r="H597" i="1" a="1"/>
  <c r="H597" i="1" s="1"/>
  <c r="H598" i="1" a="1"/>
  <c r="H598" i="1" s="1"/>
  <c r="H599" i="1" a="1"/>
  <c r="H599" i="1" s="1"/>
  <c r="H600" i="1" a="1"/>
  <c r="H600" i="1" s="1"/>
  <c r="H601" i="1" a="1"/>
  <c r="H601" i="1" s="1"/>
  <c r="H602" i="1" a="1"/>
  <c r="H602" i="1" s="1"/>
  <c r="H603" i="1" a="1"/>
  <c r="H603" i="1" s="1"/>
  <c r="H604" i="1" a="1"/>
  <c r="H604" i="1" s="1"/>
  <c r="H605" i="1" a="1"/>
  <c r="H605" i="1" s="1"/>
  <c r="H606" i="1" a="1"/>
  <c r="H606" i="1" s="1"/>
  <c r="H607" i="1" a="1"/>
  <c r="H607" i="1" s="1"/>
  <c r="H608" i="1" a="1"/>
  <c r="H608" i="1" s="1"/>
  <c r="H609" i="1" a="1"/>
  <c r="H609" i="1" s="1"/>
  <c r="H610" i="1" a="1"/>
  <c r="H610" i="1" s="1"/>
  <c r="H611" i="1" a="1"/>
  <c r="H611" i="1" s="1"/>
  <c r="H612" i="1" a="1"/>
  <c r="H612" i="1" s="1"/>
  <c r="H613" i="1" a="1"/>
  <c r="H613" i="1" s="1"/>
  <c r="H614" i="1" a="1"/>
  <c r="H614" i="1" s="1"/>
  <c r="H615" i="1" a="1"/>
  <c r="H615" i="1" s="1"/>
  <c r="H616" i="1" a="1"/>
  <c r="H616" i="1" s="1"/>
  <c r="H617" i="1" a="1"/>
  <c r="H617" i="1" s="1"/>
  <c r="H618" i="1" a="1"/>
  <c r="H618" i="1" s="1"/>
  <c r="H619" i="1" a="1"/>
  <c r="H619" i="1" s="1"/>
  <c r="H620" i="1" a="1"/>
  <c r="H620" i="1" s="1"/>
  <c r="H621" i="1" a="1"/>
  <c r="H621" i="1" s="1"/>
  <c r="H622" i="1" a="1"/>
  <c r="H622" i="1" s="1"/>
  <c r="H623" i="1" a="1"/>
  <c r="H623" i="1" s="1"/>
  <c r="H624" i="1" a="1"/>
  <c r="H624" i="1" s="1"/>
  <c r="H625" i="1" a="1"/>
  <c r="H625" i="1" s="1"/>
  <c r="H626" i="1" a="1"/>
  <c r="H626" i="1" s="1"/>
  <c r="H627" i="1" a="1"/>
  <c r="H627" i="1" s="1"/>
  <c r="H628" i="1" a="1"/>
  <c r="H628" i="1" s="1"/>
  <c r="H629" i="1" a="1"/>
  <c r="H629" i="1" s="1"/>
  <c r="H630" i="1" a="1"/>
  <c r="H630" i="1" s="1"/>
  <c r="H631" i="1" a="1"/>
  <c r="H631" i="1" s="1"/>
  <c r="H632" i="1" a="1"/>
  <c r="H632" i="1" s="1"/>
  <c r="H633" i="1" a="1"/>
  <c r="H633" i="1" s="1"/>
  <c r="H634" i="1" a="1"/>
  <c r="H634" i="1" s="1"/>
  <c r="H635" i="1" a="1"/>
  <c r="H635" i="1" s="1"/>
  <c r="H636" i="1" a="1"/>
  <c r="H636" i="1" s="1"/>
  <c r="H637" i="1" a="1"/>
  <c r="H637" i="1" s="1"/>
  <c r="H638" i="1" a="1"/>
  <c r="H638" i="1" s="1"/>
  <c r="H639" i="1" a="1"/>
  <c r="H639" i="1" s="1"/>
  <c r="H640" i="1" a="1"/>
  <c r="H640" i="1" s="1"/>
  <c r="H641" i="1" a="1"/>
  <c r="H641" i="1" s="1"/>
  <c r="H642" i="1" a="1"/>
  <c r="H642" i="1" s="1"/>
  <c r="H643" i="1" a="1"/>
  <c r="H643" i="1" s="1"/>
  <c r="H644" i="1" a="1"/>
  <c r="H644" i="1" s="1"/>
  <c r="H645" i="1" a="1"/>
  <c r="H645" i="1" s="1"/>
  <c r="H646" i="1" a="1"/>
  <c r="H646" i="1" s="1"/>
  <c r="H647" i="1" a="1"/>
  <c r="H647" i="1" s="1"/>
  <c r="H648" i="1" a="1"/>
  <c r="H648" i="1" s="1"/>
  <c r="H649" i="1" a="1"/>
  <c r="H649" i="1" s="1"/>
  <c r="H650" i="1" a="1"/>
  <c r="H650" i="1" s="1"/>
  <c r="H651" i="1" a="1"/>
  <c r="H651" i="1" s="1"/>
  <c r="H652" i="1" a="1"/>
  <c r="H652" i="1" s="1"/>
  <c r="H653" i="1" a="1"/>
  <c r="H653" i="1" s="1"/>
  <c r="H654" i="1" a="1"/>
  <c r="H654" i="1" s="1"/>
  <c r="H655" i="1" a="1"/>
  <c r="H655" i="1" s="1"/>
  <c r="H656" i="1" a="1"/>
  <c r="H656" i="1" s="1"/>
  <c r="H657" i="1" a="1"/>
  <c r="H657" i="1" s="1"/>
  <c r="H658" i="1" a="1"/>
  <c r="H658" i="1" s="1"/>
  <c r="H659" i="1" a="1"/>
  <c r="H659" i="1" s="1"/>
  <c r="H660" i="1" a="1"/>
  <c r="H660" i="1" s="1"/>
  <c r="H661" i="1" a="1"/>
  <c r="H661" i="1" s="1"/>
  <c r="H662" i="1" a="1"/>
  <c r="H662" i="1" s="1"/>
  <c r="H663" i="1" a="1"/>
  <c r="H663" i="1" s="1"/>
  <c r="H664" i="1" a="1"/>
  <c r="H664" i="1" s="1"/>
  <c r="H665" i="1" a="1"/>
  <c r="H665" i="1" s="1"/>
  <c r="H666" i="1" a="1"/>
  <c r="H666" i="1" s="1"/>
  <c r="H667" i="1" a="1"/>
  <c r="H667" i="1" s="1"/>
  <c r="H668" i="1" a="1"/>
  <c r="H668" i="1" s="1"/>
  <c r="H669" i="1" a="1"/>
  <c r="H669" i="1" s="1"/>
  <c r="H670" i="1" a="1"/>
  <c r="H670" i="1" s="1"/>
  <c r="H671" i="1" a="1"/>
  <c r="H671" i="1" s="1"/>
  <c r="H672" i="1" a="1"/>
  <c r="H672" i="1" s="1"/>
  <c r="H673" i="1" a="1"/>
  <c r="H673" i="1" s="1"/>
  <c r="H674" i="1" a="1"/>
  <c r="H674" i="1" s="1"/>
  <c r="H675" i="1" a="1"/>
  <c r="H675" i="1" s="1"/>
  <c r="H676" i="1" a="1"/>
  <c r="H676" i="1" s="1"/>
  <c r="H677" i="1" a="1"/>
  <c r="H677" i="1" s="1"/>
  <c r="H678" i="1" a="1"/>
  <c r="H678" i="1" s="1"/>
  <c r="H679" i="1" a="1"/>
  <c r="H679" i="1" s="1"/>
  <c r="H680" i="1" a="1"/>
  <c r="H680" i="1" s="1"/>
  <c r="H681" i="1" a="1"/>
  <c r="H681" i="1" s="1"/>
  <c r="H682" i="1" a="1"/>
  <c r="H682" i="1" s="1"/>
  <c r="H683" i="1" a="1"/>
  <c r="H683" i="1" s="1"/>
  <c r="H684" i="1" a="1"/>
  <c r="H684" i="1" s="1"/>
  <c r="H685" i="1" a="1"/>
  <c r="H685" i="1" s="1"/>
  <c r="H686" i="1" a="1"/>
  <c r="H686" i="1" s="1"/>
  <c r="H687" i="1" a="1"/>
  <c r="H687" i="1" s="1"/>
  <c r="H688" i="1" a="1"/>
  <c r="H688" i="1" s="1"/>
  <c r="H689" i="1" a="1"/>
  <c r="H689" i="1" s="1"/>
  <c r="H690" i="1" a="1"/>
  <c r="H690" i="1" s="1"/>
  <c r="H691" i="1" a="1"/>
  <c r="H691" i="1" s="1"/>
  <c r="H692" i="1" a="1"/>
  <c r="H692" i="1" s="1"/>
  <c r="H693" i="1" a="1"/>
  <c r="H693" i="1" s="1"/>
  <c r="H694" i="1" a="1"/>
  <c r="H694" i="1" s="1"/>
  <c r="H695" i="1" a="1"/>
  <c r="H695" i="1" s="1"/>
  <c r="H696" i="1" a="1"/>
  <c r="H696" i="1" s="1"/>
  <c r="H697" i="1" a="1"/>
  <c r="H697" i="1" s="1"/>
  <c r="H698" i="1" a="1"/>
  <c r="H698" i="1" s="1"/>
  <c r="H699" i="1" a="1"/>
  <c r="H699" i="1" s="1"/>
  <c r="H700" i="1" a="1"/>
  <c r="H700" i="1" s="1"/>
  <c r="H701" i="1" a="1"/>
  <c r="H701" i="1" s="1"/>
  <c r="H702" i="1" a="1"/>
  <c r="H702" i="1" s="1"/>
  <c r="H703" i="1" a="1"/>
  <c r="H703" i="1" s="1"/>
  <c r="H704" i="1" a="1"/>
  <c r="H704" i="1" s="1"/>
  <c r="H705" i="1" a="1"/>
  <c r="H705" i="1" s="1"/>
  <c r="H706" i="1" a="1"/>
  <c r="H706" i="1" s="1"/>
  <c r="H707" i="1" a="1"/>
  <c r="H707" i="1" s="1"/>
  <c r="H708" i="1" a="1"/>
  <c r="H708" i="1" s="1"/>
  <c r="H709" i="1" a="1"/>
  <c r="H709" i="1" s="1"/>
  <c r="H710" i="1" a="1"/>
  <c r="H710" i="1" s="1"/>
  <c r="H711" i="1" a="1"/>
  <c r="H711" i="1" s="1"/>
  <c r="H712" i="1" a="1"/>
  <c r="H712" i="1" s="1"/>
  <c r="H713" i="1" a="1"/>
  <c r="H713" i="1" s="1"/>
  <c r="H714" i="1" a="1"/>
  <c r="H714" i="1" s="1"/>
  <c r="H715" i="1" a="1"/>
  <c r="H715" i="1" s="1"/>
  <c r="H716" i="1" a="1"/>
  <c r="H716" i="1" s="1"/>
  <c r="H2" i="1" a="1"/>
  <c r="H2" i="1" s="1"/>
  <c r="G3" i="1" a="1"/>
  <c r="G3" i="1" s="1"/>
  <c r="G4" i="1" a="1"/>
  <c r="G4" i="1" s="1"/>
  <c r="G5" i="1" a="1"/>
  <c r="G5" i="1" s="1"/>
  <c r="G6" i="1" a="1"/>
  <c r="G6" i="1" s="1"/>
  <c r="G7" i="1" a="1"/>
  <c r="G7" i="1" s="1"/>
  <c r="G8" i="1" a="1"/>
  <c r="G8" i="1" s="1"/>
  <c r="G9" i="1" a="1"/>
  <c r="G9" i="1" s="1"/>
  <c r="G10" i="1" a="1"/>
  <c r="G10" i="1" s="1"/>
  <c r="G11" i="1" a="1"/>
  <c r="G11" i="1" s="1"/>
  <c r="G12" i="1" a="1"/>
  <c r="G12" i="1" s="1"/>
  <c r="G13" i="1" a="1"/>
  <c r="G13" i="1" s="1"/>
  <c r="G14" i="1" a="1"/>
  <c r="G14" i="1" s="1"/>
  <c r="G15" i="1" a="1"/>
  <c r="G15" i="1" s="1"/>
  <c r="G16" i="1" a="1"/>
  <c r="G16" i="1" s="1"/>
  <c r="G17" i="1" a="1"/>
  <c r="G17" i="1" s="1"/>
  <c r="G18" i="1" a="1"/>
  <c r="G18" i="1" s="1"/>
  <c r="G19" i="1" a="1"/>
  <c r="G19" i="1" s="1"/>
  <c r="G20" i="1" a="1"/>
  <c r="G20" i="1" s="1"/>
  <c r="G21" i="1" a="1"/>
  <c r="G21" i="1" s="1"/>
  <c r="G22" i="1" a="1"/>
  <c r="G22" i="1" s="1"/>
  <c r="G23" i="1" a="1"/>
  <c r="G23" i="1" s="1"/>
  <c r="G24" i="1" a="1"/>
  <c r="G24" i="1" s="1"/>
  <c r="G25" i="1" a="1"/>
  <c r="G25" i="1" s="1"/>
  <c r="G26" i="1" a="1"/>
  <c r="G26" i="1" s="1"/>
  <c r="G27" i="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G40" i="1" a="1"/>
  <c r="G40" i="1" s="1"/>
  <c r="G41" i="1" a="1"/>
  <c r="G41" i="1" s="1"/>
  <c r="G42" i="1" a="1"/>
  <c r="G42" i="1" s="1"/>
  <c r="G43" i="1" a="1"/>
  <c r="G43" i="1" s="1"/>
  <c r="G44" i="1" a="1"/>
  <c r="G44" i="1" s="1"/>
  <c r="G45" i="1" a="1"/>
  <c r="G45" i="1" s="1"/>
  <c r="G46" i="1" a="1"/>
  <c r="G46" i="1" s="1"/>
  <c r="G47" i="1" a="1"/>
  <c r="G47" i="1" s="1"/>
  <c r="G48" i="1" a="1"/>
  <c r="G48" i="1" s="1"/>
  <c r="G49" i="1" a="1"/>
  <c r="G49" i="1" s="1"/>
  <c r="G50" i="1" a="1"/>
  <c r="G50" i="1" s="1"/>
  <c r="G51" i="1" a="1"/>
  <c r="G51" i="1" s="1"/>
  <c r="G52" i="1" a="1"/>
  <c r="G52" i="1" s="1"/>
  <c r="G53" i="1" a="1"/>
  <c r="G53" i="1" s="1"/>
  <c r="G54" i="1" a="1"/>
  <c r="G54" i="1" s="1"/>
  <c r="G55" i="1" a="1"/>
  <c r="G55" i="1" s="1"/>
  <c r="G56" i="1" a="1"/>
  <c r="G56" i="1" s="1"/>
  <c r="G57" i="1" a="1"/>
  <c r="G57" i="1" s="1"/>
  <c r="G58" i="1" a="1"/>
  <c r="G58" i="1" s="1"/>
  <c r="G59" i="1" a="1"/>
  <c r="G59" i="1" s="1"/>
  <c r="G60" i="1" a="1"/>
  <c r="G60" i="1" s="1"/>
  <c r="G61" i="1" a="1"/>
  <c r="G61" i="1" s="1"/>
  <c r="G62" i="1" a="1"/>
  <c r="G62" i="1" s="1"/>
  <c r="G63" i="1" a="1"/>
  <c r="G63" i="1" s="1"/>
  <c r="G64" i="1" a="1"/>
  <c r="G64" i="1" s="1"/>
  <c r="G65" i="1" a="1"/>
  <c r="G65" i="1" s="1"/>
  <c r="G66" i="1" a="1"/>
  <c r="G66" i="1" s="1"/>
  <c r="G67" i="1" a="1"/>
  <c r="G67" i="1" s="1"/>
  <c r="G68" i="1" a="1"/>
  <c r="G68" i="1" s="1"/>
  <c r="G69" i="1" a="1"/>
  <c r="G69" i="1" s="1"/>
  <c r="G70" i="1" a="1"/>
  <c r="G70" i="1" s="1"/>
  <c r="G71" i="1" a="1"/>
  <c r="G71" i="1" s="1"/>
  <c r="G72" i="1" a="1"/>
  <c r="G72" i="1" s="1"/>
  <c r="G73" i="1" a="1"/>
  <c r="G73" i="1" s="1"/>
  <c r="G74" i="1" a="1"/>
  <c r="G74" i="1" s="1"/>
  <c r="G75" i="1" a="1"/>
  <c r="G75" i="1" s="1"/>
  <c r="G76" i="1" a="1"/>
  <c r="G76" i="1" s="1"/>
  <c r="G77" i="1" a="1"/>
  <c r="G77" i="1" s="1"/>
  <c r="G78" i="1" a="1"/>
  <c r="G78" i="1" s="1"/>
  <c r="G79" i="1" a="1"/>
  <c r="G79" i="1" s="1"/>
  <c r="G80" i="1" a="1"/>
  <c r="G80" i="1" s="1"/>
  <c r="G81" i="1" a="1"/>
  <c r="G81" i="1" s="1"/>
  <c r="G82" i="1" a="1"/>
  <c r="G82" i="1" s="1"/>
  <c r="G83" i="1" a="1"/>
  <c r="G83" i="1" s="1"/>
  <c r="G84" i="1" a="1"/>
  <c r="G84" i="1" s="1"/>
  <c r="G85" i="1" a="1"/>
  <c r="G85" i="1" s="1"/>
  <c r="G86" i="1" a="1"/>
  <c r="G86" i="1" s="1"/>
  <c r="G87" i="1" a="1"/>
  <c r="G87" i="1" s="1"/>
  <c r="G88" i="1" a="1"/>
  <c r="G88" i="1" s="1"/>
  <c r="G89" i="1" a="1"/>
  <c r="G89" i="1" s="1"/>
  <c r="G90" i="1" a="1"/>
  <c r="G90" i="1" s="1"/>
  <c r="G91" i="1" a="1"/>
  <c r="G91" i="1" s="1"/>
  <c r="G92" i="1" a="1"/>
  <c r="G92" i="1" s="1"/>
  <c r="G93" i="1" a="1"/>
  <c r="G93" i="1" s="1"/>
  <c r="G94" i="1" a="1"/>
  <c r="G94" i="1" s="1"/>
  <c r="G95" i="1" a="1"/>
  <c r="G95" i="1" s="1"/>
  <c r="G96" i="1" a="1"/>
  <c r="G96" i="1" s="1"/>
  <c r="G97" i="1" a="1"/>
  <c r="G97" i="1" s="1"/>
  <c r="G98" i="1" a="1"/>
  <c r="G98" i="1" s="1"/>
  <c r="G99" i="1" a="1"/>
  <c r="G99" i="1" s="1"/>
  <c r="G100" i="1" a="1"/>
  <c r="G100" i="1" s="1"/>
  <c r="G101" i="1" a="1"/>
  <c r="G101" i="1" s="1"/>
  <c r="G102" i="1" a="1"/>
  <c r="G102" i="1" s="1"/>
  <c r="G103" i="1" a="1"/>
  <c r="G103" i="1" s="1"/>
  <c r="G104" i="1" a="1"/>
  <c r="G104" i="1" s="1"/>
  <c r="G105" i="1" a="1"/>
  <c r="G105" i="1" s="1"/>
  <c r="G106" i="1" a="1"/>
  <c r="G106" i="1" s="1"/>
  <c r="G107" i="1" a="1"/>
  <c r="G107" i="1" s="1"/>
  <c r="G108" i="1" a="1"/>
  <c r="G108" i="1" s="1"/>
  <c r="G109" i="1" a="1"/>
  <c r="G109" i="1" s="1"/>
  <c r="G110" i="1" a="1"/>
  <c r="G110" i="1" s="1"/>
  <c r="G111" i="1" a="1"/>
  <c r="G111" i="1" s="1"/>
  <c r="G112" i="1" a="1"/>
  <c r="G112" i="1" s="1"/>
  <c r="G113" i="1" a="1"/>
  <c r="G113" i="1" s="1"/>
  <c r="G114" i="1" a="1"/>
  <c r="G114" i="1" s="1"/>
  <c r="G115" i="1" a="1"/>
  <c r="G115" i="1" s="1"/>
  <c r="G116" i="1" a="1"/>
  <c r="G116" i="1" s="1"/>
  <c r="G117" i="1" a="1"/>
  <c r="G117" i="1" s="1"/>
  <c r="G118" i="1" a="1"/>
  <c r="G118" i="1" s="1"/>
  <c r="G119" i="1" a="1"/>
  <c r="G119" i="1" s="1"/>
  <c r="G120" i="1" a="1"/>
  <c r="G120" i="1" s="1"/>
  <c r="G121" i="1" a="1"/>
  <c r="G121" i="1" s="1"/>
  <c r="G122" i="1" a="1"/>
  <c r="G122" i="1" s="1"/>
  <c r="G123" i="1" a="1"/>
  <c r="G123" i="1" s="1"/>
  <c r="G124" i="1" a="1"/>
  <c r="G124" i="1" s="1"/>
  <c r="G125" i="1" a="1"/>
  <c r="G125" i="1" s="1"/>
  <c r="G126" i="1" a="1"/>
  <c r="G126" i="1" s="1"/>
  <c r="G127" i="1" a="1"/>
  <c r="G127" i="1" s="1"/>
  <c r="G128" i="1" a="1"/>
  <c r="G128" i="1" s="1"/>
  <c r="G129" i="1" a="1"/>
  <c r="G129" i="1" s="1"/>
  <c r="G130" i="1" a="1"/>
  <c r="G130" i="1" s="1"/>
  <c r="G131" i="1" a="1"/>
  <c r="G131" i="1" s="1"/>
  <c r="G132" i="1" a="1"/>
  <c r="G132" i="1" s="1"/>
  <c r="G133" i="1" a="1"/>
  <c r="G133" i="1" s="1"/>
  <c r="G134" i="1" a="1"/>
  <c r="G134" i="1" s="1"/>
  <c r="G135" i="1" a="1"/>
  <c r="G135" i="1" s="1"/>
  <c r="G136" i="1" a="1"/>
  <c r="G136" i="1" s="1"/>
  <c r="G137" i="1" a="1"/>
  <c r="G137" i="1" s="1"/>
  <c r="G138" i="1" a="1"/>
  <c r="G138" i="1" s="1"/>
  <c r="G139" i="1" a="1"/>
  <c r="G139" i="1" s="1"/>
  <c r="G140" i="1" a="1"/>
  <c r="G140" i="1" s="1"/>
  <c r="G141" i="1" a="1"/>
  <c r="G141" i="1" s="1"/>
  <c r="G142" i="1" a="1"/>
  <c r="G142" i="1" s="1"/>
  <c r="G143" i="1" a="1"/>
  <c r="G143" i="1" s="1"/>
  <c r="G144" i="1" a="1"/>
  <c r="G144" i="1" s="1"/>
  <c r="G145" i="1" a="1"/>
  <c r="G145" i="1" s="1"/>
  <c r="G146" i="1" a="1"/>
  <c r="G146" i="1" s="1"/>
  <c r="G147" i="1" a="1"/>
  <c r="G147" i="1" s="1"/>
  <c r="G148" i="1" a="1"/>
  <c r="G148" i="1" s="1"/>
  <c r="G149" i="1" a="1"/>
  <c r="G149" i="1" s="1"/>
  <c r="G150" i="1" a="1"/>
  <c r="G150" i="1" s="1"/>
  <c r="G151" i="1" a="1"/>
  <c r="G151" i="1" s="1"/>
  <c r="G152" i="1" a="1"/>
  <c r="G152" i="1" s="1"/>
  <c r="G153" i="1" a="1"/>
  <c r="G153" i="1" s="1"/>
  <c r="G154" i="1" a="1"/>
  <c r="G154" i="1" s="1"/>
  <c r="G155" i="1" a="1"/>
  <c r="G155" i="1" s="1"/>
  <c r="G156" i="1" a="1"/>
  <c r="G156" i="1" s="1"/>
  <c r="G157" i="1" a="1"/>
  <c r="G157" i="1" s="1"/>
  <c r="G158" i="1" a="1"/>
  <c r="G158" i="1" s="1"/>
  <c r="G159" i="1" a="1"/>
  <c r="G159" i="1" s="1"/>
  <c r="G160" i="1" a="1"/>
  <c r="G160" i="1" s="1"/>
  <c r="G161" i="1" a="1"/>
  <c r="G161" i="1" s="1"/>
  <c r="G162" i="1" a="1"/>
  <c r="G162" i="1" s="1"/>
  <c r="G163" i="1" a="1"/>
  <c r="G163" i="1" s="1"/>
  <c r="G164" i="1" a="1"/>
  <c r="G164" i="1" s="1"/>
  <c r="G165" i="1" a="1"/>
  <c r="G165" i="1" s="1"/>
  <c r="G166" i="1" a="1"/>
  <c r="G166" i="1" s="1"/>
  <c r="G167" i="1" a="1"/>
  <c r="G167" i="1" s="1"/>
  <c r="G168" i="1" a="1"/>
  <c r="G168" i="1" s="1"/>
  <c r="G169" i="1" a="1"/>
  <c r="G169" i="1" s="1"/>
  <c r="G170" i="1" a="1"/>
  <c r="G170" i="1" s="1"/>
  <c r="G171" i="1" a="1"/>
  <c r="G171" i="1" s="1"/>
  <c r="G172" i="1" a="1"/>
  <c r="G172" i="1" s="1"/>
  <c r="G173" i="1" a="1"/>
  <c r="G173" i="1" s="1"/>
  <c r="G174" i="1" a="1"/>
  <c r="G174" i="1" s="1"/>
  <c r="G175" i="1" a="1"/>
  <c r="G175" i="1" s="1"/>
  <c r="G176" i="1" a="1"/>
  <c r="G176" i="1" s="1"/>
  <c r="G177" i="1" a="1"/>
  <c r="G177" i="1" s="1"/>
  <c r="G178" i="1" a="1"/>
  <c r="G178" i="1" s="1"/>
  <c r="G179" i="1" a="1"/>
  <c r="G179" i="1" s="1"/>
  <c r="G180" i="1" a="1"/>
  <c r="G180" i="1" s="1"/>
  <c r="G181" i="1" a="1"/>
  <c r="G181" i="1" s="1"/>
  <c r="G182" i="1" a="1"/>
  <c r="G182" i="1" s="1"/>
  <c r="G183" i="1" a="1"/>
  <c r="G183" i="1" s="1"/>
  <c r="G184" i="1" a="1"/>
  <c r="G184" i="1" s="1"/>
  <c r="G185" i="1" a="1"/>
  <c r="G185" i="1" s="1"/>
  <c r="G186" i="1" a="1"/>
  <c r="G186" i="1" s="1"/>
  <c r="G187" i="1" a="1"/>
  <c r="G187" i="1" s="1"/>
  <c r="G188" i="1" a="1"/>
  <c r="G188" i="1" s="1"/>
  <c r="G189" i="1" a="1"/>
  <c r="G189" i="1" s="1"/>
  <c r="G190" i="1" a="1"/>
  <c r="G190" i="1" s="1"/>
  <c r="G191" i="1" a="1"/>
  <c r="G191" i="1" s="1"/>
  <c r="G192" i="1" a="1"/>
  <c r="G192" i="1" s="1"/>
  <c r="G193" i="1" a="1"/>
  <c r="G193" i="1" s="1"/>
  <c r="G194" i="1" a="1"/>
  <c r="G194" i="1" s="1"/>
  <c r="G195" i="1" a="1"/>
  <c r="G195" i="1" s="1"/>
  <c r="G196" i="1" a="1"/>
  <c r="G196" i="1" s="1"/>
  <c r="G197" i="1" a="1"/>
  <c r="G197" i="1" s="1"/>
  <c r="G198" i="1" a="1"/>
  <c r="G198" i="1" s="1"/>
  <c r="G199" i="1" a="1"/>
  <c r="G199" i="1" s="1"/>
  <c r="G200" i="1" a="1"/>
  <c r="G200" i="1" s="1"/>
  <c r="G201" i="1" a="1"/>
  <c r="G201" i="1" s="1"/>
  <c r="G202" i="1" a="1"/>
  <c r="G202" i="1" s="1"/>
  <c r="G203" i="1" a="1"/>
  <c r="G203" i="1" s="1"/>
  <c r="G204" i="1" a="1"/>
  <c r="G204" i="1" s="1"/>
  <c r="G205" i="1" a="1"/>
  <c r="G205" i="1" s="1"/>
  <c r="G206" i="1" a="1"/>
  <c r="G206" i="1" s="1"/>
  <c r="G207" i="1" a="1"/>
  <c r="G207" i="1" s="1"/>
  <c r="G208" i="1" a="1"/>
  <c r="G208" i="1" s="1"/>
  <c r="G209" i="1" a="1"/>
  <c r="G209" i="1" s="1"/>
  <c r="G210" i="1" a="1"/>
  <c r="G210" i="1" s="1"/>
  <c r="G211" i="1" a="1"/>
  <c r="G211" i="1" s="1"/>
  <c r="G212" i="1" a="1"/>
  <c r="G212" i="1" s="1"/>
  <c r="G213" i="1" a="1"/>
  <c r="G213" i="1" s="1"/>
  <c r="G214" i="1" a="1"/>
  <c r="G214" i="1" s="1"/>
  <c r="G215" i="1" a="1"/>
  <c r="G215" i="1" s="1"/>
  <c r="G216" i="1" a="1"/>
  <c r="G216" i="1" s="1"/>
  <c r="G217" i="1" a="1"/>
  <c r="G217" i="1" s="1"/>
  <c r="G218" i="1" a="1"/>
  <c r="G218" i="1" s="1"/>
  <c r="G219" i="1" a="1"/>
  <c r="G219" i="1" s="1"/>
  <c r="G220" i="1" a="1"/>
  <c r="G220" i="1" s="1"/>
  <c r="G221" i="1" a="1"/>
  <c r="G221" i="1" s="1"/>
  <c r="G222" i="1" a="1"/>
  <c r="G222" i="1" s="1"/>
  <c r="G223" i="1" a="1"/>
  <c r="G223" i="1" s="1"/>
  <c r="G224" i="1" a="1"/>
  <c r="G224" i="1" s="1"/>
  <c r="G225" i="1" a="1"/>
  <c r="G225" i="1" s="1"/>
  <c r="G226" i="1" a="1"/>
  <c r="G226" i="1" s="1"/>
  <c r="G227" i="1" a="1"/>
  <c r="G227" i="1" s="1"/>
  <c r="G228" i="1" a="1"/>
  <c r="G228" i="1" s="1"/>
  <c r="G229" i="1" a="1"/>
  <c r="G229" i="1" s="1"/>
  <c r="G230" i="1" a="1"/>
  <c r="G230" i="1" s="1"/>
  <c r="G231" i="1" a="1"/>
  <c r="G231" i="1" s="1"/>
  <c r="G232" i="1" a="1"/>
  <c r="G232" i="1" s="1"/>
  <c r="G233" i="1" a="1"/>
  <c r="G233" i="1" s="1"/>
  <c r="G234" i="1" a="1"/>
  <c r="G234" i="1" s="1"/>
  <c r="G235" i="1" a="1"/>
  <c r="G235" i="1" s="1"/>
  <c r="G236" i="1" a="1"/>
  <c r="G236" i="1" s="1"/>
  <c r="G237" i="1" a="1"/>
  <c r="G237" i="1" s="1"/>
  <c r="G238" i="1" a="1"/>
  <c r="G238" i="1" s="1"/>
  <c r="G239" i="1" a="1"/>
  <c r="G239" i="1" s="1"/>
  <c r="G240" i="1" a="1"/>
  <c r="G240" i="1" s="1"/>
  <c r="G241" i="1" a="1"/>
  <c r="G241" i="1" s="1"/>
  <c r="G242" i="1" a="1"/>
  <c r="G242" i="1" s="1"/>
  <c r="G243" i="1" a="1"/>
  <c r="G243" i="1" s="1"/>
  <c r="G244" i="1" a="1"/>
  <c r="G244" i="1" s="1"/>
  <c r="G245" i="1" a="1"/>
  <c r="G245" i="1" s="1"/>
  <c r="G246" i="1" a="1"/>
  <c r="G246" i="1" s="1"/>
  <c r="G247" i="1" a="1"/>
  <c r="G247" i="1" s="1"/>
  <c r="G248" i="1" a="1"/>
  <c r="G248" i="1" s="1"/>
  <c r="G249" i="1" a="1"/>
  <c r="G249" i="1" s="1"/>
  <c r="G250" i="1" a="1"/>
  <c r="G250" i="1" s="1"/>
  <c r="G251" i="1" a="1"/>
  <c r="G251" i="1" s="1"/>
  <c r="G252" i="1" a="1"/>
  <c r="G252" i="1" s="1"/>
  <c r="G253" i="1" a="1"/>
  <c r="G253" i="1" s="1"/>
  <c r="G254" i="1" a="1"/>
  <c r="G254" i="1" s="1"/>
  <c r="G255" i="1" a="1"/>
  <c r="G255" i="1" s="1"/>
  <c r="G256" i="1" a="1"/>
  <c r="G256" i="1" s="1"/>
  <c r="G257" i="1" a="1"/>
  <c r="G257" i="1" s="1"/>
  <c r="G258" i="1" a="1"/>
  <c r="G258" i="1" s="1"/>
  <c r="G259" i="1" a="1"/>
  <c r="G259" i="1" s="1"/>
  <c r="G260" i="1" a="1"/>
  <c r="G260" i="1" s="1"/>
  <c r="G261" i="1" a="1"/>
  <c r="G261" i="1" s="1"/>
  <c r="G262" i="1" a="1"/>
  <c r="G262" i="1" s="1"/>
  <c r="G263" i="1" a="1"/>
  <c r="G263" i="1" s="1"/>
  <c r="G264" i="1" a="1"/>
  <c r="G264" i="1" s="1"/>
  <c r="G265" i="1" a="1"/>
  <c r="G265" i="1" s="1"/>
  <c r="G266" i="1" a="1"/>
  <c r="G266" i="1" s="1"/>
  <c r="G267" i="1" a="1"/>
  <c r="G267" i="1" s="1"/>
  <c r="G268" i="1" a="1"/>
  <c r="G268" i="1" s="1"/>
  <c r="G269" i="1" a="1"/>
  <c r="G269" i="1" s="1"/>
  <c r="G270" i="1" a="1"/>
  <c r="G270" i="1" s="1"/>
  <c r="G271" i="1" a="1"/>
  <c r="G271" i="1" s="1"/>
  <c r="G272" i="1" a="1"/>
  <c r="G272" i="1" s="1"/>
  <c r="G273" i="1" a="1"/>
  <c r="G273" i="1" s="1"/>
  <c r="G274" i="1" a="1"/>
  <c r="G274" i="1" s="1"/>
  <c r="G275" i="1" a="1"/>
  <c r="G275" i="1" s="1"/>
  <c r="G276" i="1" a="1"/>
  <c r="G276" i="1" s="1"/>
  <c r="G277" i="1" a="1"/>
  <c r="G277" i="1" s="1"/>
  <c r="G278" i="1" a="1"/>
  <c r="G278" i="1" s="1"/>
  <c r="G279" i="1" a="1"/>
  <c r="G279" i="1" s="1"/>
  <c r="G280" i="1" a="1"/>
  <c r="G280" i="1"/>
  <c r="G281" i="1" a="1"/>
  <c r="G281" i="1" s="1"/>
  <c r="G282" i="1" a="1"/>
  <c r="G282" i="1" s="1"/>
  <c r="G283" i="1" a="1"/>
  <c r="G283" i="1" s="1"/>
  <c r="G284" i="1" a="1"/>
  <c r="G284" i="1" s="1"/>
  <c r="G285" i="1" a="1"/>
  <c r="G285" i="1" s="1"/>
  <c r="G286" i="1" a="1"/>
  <c r="G286" i="1"/>
  <c r="G287" i="1" a="1"/>
  <c r="G287" i="1" s="1"/>
  <c r="G288" i="1" a="1"/>
  <c r="G288" i="1" s="1"/>
  <c r="G289" i="1" a="1"/>
  <c r="G289" i="1" s="1"/>
  <c r="G290" i="1" a="1"/>
  <c r="G290" i="1"/>
  <c r="G291" i="1" a="1"/>
  <c r="G291" i="1" s="1"/>
  <c r="G292" i="1" a="1"/>
  <c r="G292" i="1" s="1"/>
  <c r="G293" i="1" a="1"/>
  <c r="G293" i="1" s="1"/>
  <c r="G294" i="1" a="1"/>
  <c r="G294" i="1" s="1"/>
  <c r="G295" i="1" a="1"/>
  <c r="G295" i="1" s="1"/>
  <c r="G296" i="1" a="1"/>
  <c r="G296" i="1" s="1"/>
  <c r="G297" i="1" a="1"/>
  <c r="G297" i="1" s="1"/>
  <c r="G298" i="1" a="1"/>
  <c r="G298" i="1" s="1"/>
  <c r="G299" i="1" a="1"/>
  <c r="G299" i="1" s="1"/>
  <c r="G300" i="1" a="1"/>
  <c r="G300" i="1" s="1"/>
  <c r="G301" i="1" a="1"/>
  <c r="G301" i="1" s="1"/>
  <c r="G302" i="1" a="1"/>
  <c r="G302" i="1" s="1"/>
  <c r="G303" i="1" a="1"/>
  <c r="G303" i="1" s="1"/>
  <c r="G304" i="1" a="1"/>
  <c r="G304" i="1" s="1"/>
  <c r="G305" i="1" a="1"/>
  <c r="G305" i="1" s="1"/>
  <c r="G306" i="1" a="1"/>
  <c r="G306" i="1" s="1"/>
  <c r="G307" i="1" a="1"/>
  <c r="G307" i="1" s="1"/>
  <c r="G308" i="1" a="1"/>
  <c r="G308" i="1" s="1"/>
  <c r="G309" i="1" a="1"/>
  <c r="G309" i="1" s="1"/>
  <c r="G310" i="1" a="1"/>
  <c r="G310" i="1" s="1"/>
  <c r="G311" i="1" a="1"/>
  <c r="G311" i="1" s="1"/>
  <c r="G312" i="1" a="1"/>
  <c r="G312" i="1" s="1"/>
  <c r="G313" i="1" a="1"/>
  <c r="G313" i="1" s="1"/>
  <c r="G314" i="1" a="1"/>
  <c r="G314" i="1" s="1"/>
  <c r="G315" i="1" a="1"/>
  <c r="G315" i="1" s="1"/>
  <c r="G316" i="1" a="1"/>
  <c r="G316" i="1" s="1"/>
  <c r="G317" i="1" a="1"/>
  <c r="G317" i="1" s="1"/>
  <c r="G318" i="1" a="1"/>
  <c r="G318" i="1" s="1"/>
  <c r="G319" i="1" a="1"/>
  <c r="G319" i="1" s="1"/>
  <c r="G320" i="1" a="1"/>
  <c r="G320" i="1" s="1"/>
  <c r="G321" i="1" a="1"/>
  <c r="G321" i="1" s="1"/>
  <c r="G322" i="1" a="1"/>
  <c r="G322" i="1" s="1"/>
  <c r="G323" i="1" a="1"/>
  <c r="G323" i="1" s="1"/>
  <c r="G324" i="1" a="1"/>
  <c r="G324" i="1" s="1"/>
  <c r="G325" i="1" a="1"/>
  <c r="G325" i="1" s="1"/>
  <c r="G326" i="1" a="1"/>
  <c r="G326" i="1" s="1"/>
  <c r="G327" i="1" a="1"/>
  <c r="G327" i="1" s="1"/>
  <c r="G328" i="1" a="1"/>
  <c r="G328" i="1" s="1"/>
  <c r="G329" i="1" a="1"/>
  <c r="G329" i="1" s="1"/>
  <c r="G330" i="1" a="1"/>
  <c r="G330" i="1" s="1"/>
  <c r="G331" i="1" a="1"/>
  <c r="G331" i="1" s="1"/>
  <c r="G332" i="1" a="1"/>
  <c r="G332" i="1" s="1"/>
  <c r="G333" i="1" a="1"/>
  <c r="G333" i="1" s="1"/>
  <c r="G334" i="1" a="1"/>
  <c r="G334" i="1" s="1"/>
  <c r="G335" i="1" a="1"/>
  <c r="G335" i="1" s="1"/>
  <c r="G336" i="1" a="1"/>
  <c r="G336" i="1" s="1"/>
  <c r="G337" i="1" a="1"/>
  <c r="G337" i="1" s="1"/>
  <c r="G338" i="1" a="1"/>
  <c r="G338" i="1" s="1"/>
  <c r="G339" i="1" a="1"/>
  <c r="G339" i="1" s="1"/>
  <c r="G340" i="1" a="1"/>
  <c r="G340" i="1" s="1"/>
  <c r="G341" i="1" a="1"/>
  <c r="G341" i="1" s="1"/>
  <c r="G342" i="1" a="1"/>
  <c r="G342" i="1" s="1"/>
  <c r="G343" i="1" a="1"/>
  <c r="G343" i="1" s="1"/>
  <c r="G344" i="1" a="1"/>
  <c r="G344" i="1" s="1"/>
  <c r="G345" i="1" a="1"/>
  <c r="G345" i="1" s="1"/>
  <c r="G346" i="1" a="1"/>
  <c r="G346" i="1" s="1"/>
  <c r="G347" i="1" a="1"/>
  <c r="G347" i="1" s="1"/>
  <c r="G348" i="1" a="1"/>
  <c r="G348" i="1" s="1"/>
  <c r="G349" i="1" a="1"/>
  <c r="G349" i="1" s="1"/>
  <c r="G350" i="1" a="1"/>
  <c r="G350" i="1" s="1"/>
  <c r="G351" i="1" a="1"/>
  <c r="G351" i="1" s="1"/>
  <c r="G352" i="1" a="1"/>
  <c r="G352" i="1" s="1"/>
  <c r="G353" i="1" a="1"/>
  <c r="G353" i="1" s="1"/>
  <c r="G354" i="1" a="1"/>
  <c r="G354" i="1" s="1"/>
  <c r="G355" i="1" a="1"/>
  <c r="G355" i="1" s="1"/>
  <c r="G356" i="1" a="1"/>
  <c r="G356" i="1" s="1"/>
  <c r="G357" i="1" a="1"/>
  <c r="G357" i="1" s="1"/>
  <c r="G358" i="1" a="1"/>
  <c r="G358" i="1" s="1"/>
  <c r="G359" i="1" a="1"/>
  <c r="G359" i="1" s="1"/>
  <c r="G360" i="1" a="1"/>
  <c r="G360" i="1" s="1"/>
  <c r="G361" i="1" a="1"/>
  <c r="G361" i="1" s="1"/>
  <c r="G362" i="1" a="1"/>
  <c r="G362" i="1" s="1"/>
  <c r="G363" i="1" a="1"/>
  <c r="G363" i="1" s="1"/>
  <c r="G364" i="1" a="1"/>
  <c r="G364" i="1" s="1"/>
  <c r="G365" i="1" a="1"/>
  <c r="G365" i="1" s="1"/>
  <c r="G366" i="1" a="1"/>
  <c r="G366" i="1" s="1"/>
  <c r="G367" i="1" a="1"/>
  <c r="G367" i="1" s="1"/>
  <c r="G368" i="1" a="1"/>
  <c r="G368" i="1" s="1"/>
  <c r="G369" i="1" a="1"/>
  <c r="G369" i="1" s="1"/>
  <c r="G370" i="1" a="1"/>
  <c r="G370" i="1" s="1"/>
  <c r="G371" i="1" a="1"/>
  <c r="G371" i="1" s="1"/>
  <c r="G372" i="1" a="1"/>
  <c r="G372" i="1" s="1"/>
  <c r="G373" i="1" a="1"/>
  <c r="G373" i="1" s="1"/>
  <c r="G374" i="1" a="1"/>
  <c r="G374" i="1" s="1"/>
  <c r="G375" i="1" a="1"/>
  <c r="G375" i="1" s="1"/>
  <c r="G376" i="1" a="1"/>
  <c r="G376" i="1" s="1"/>
  <c r="G377" i="1" a="1"/>
  <c r="G377" i="1" s="1"/>
  <c r="G378" i="1" a="1"/>
  <c r="G378" i="1" s="1"/>
  <c r="G379" i="1" a="1"/>
  <c r="G379" i="1" s="1"/>
  <c r="G380" i="1" a="1"/>
  <c r="G380" i="1" s="1"/>
  <c r="G381" i="1" a="1"/>
  <c r="G381" i="1" s="1"/>
  <c r="G382" i="1" a="1"/>
  <c r="G382" i="1" s="1"/>
  <c r="G383" i="1" a="1"/>
  <c r="G383" i="1" s="1"/>
  <c r="G384" i="1" a="1"/>
  <c r="G384" i="1" s="1"/>
  <c r="G385" i="1" a="1"/>
  <c r="G385" i="1" s="1"/>
  <c r="G386" i="1" a="1"/>
  <c r="G386" i="1" s="1"/>
  <c r="G387" i="1" a="1"/>
  <c r="G387" i="1" s="1"/>
  <c r="G388" i="1" a="1"/>
  <c r="G388" i="1" s="1"/>
  <c r="G389" i="1" a="1"/>
  <c r="G389" i="1" s="1"/>
  <c r="G390" i="1" a="1"/>
  <c r="G390" i="1" s="1"/>
  <c r="G391" i="1" a="1"/>
  <c r="G391" i="1" s="1"/>
  <c r="G392" i="1" a="1"/>
  <c r="G392" i="1" s="1"/>
  <c r="G393" i="1" a="1"/>
  <c r="G393" i="1" s="1"/>
  <c r="G394" i="1" a="1"/>
  <c r="G394" i="1" s="1"/>
  <c r="G395" i="1" a="1"/>
  <c r="G395" i="1" s="1"/>
  <c r="G396" i="1" a="1"/>
  <c r="G396" i="1" s="1"/>
  <c r="G397" i="1" a="1"/>
  <c r="G397" i="1" s="1"/>
  <c r="G398" i="1" a="1"/>
  <c r="G398" i="1" s="1"/>
  <c r="G399" i="1" a="1"/>
  <c r="G399" i="1" s="1"/>
  <c r="G400" i="1" a="1"/>
  <c r="G400" i="1" s="1"/>
  <c r="G401" i="1" a="1"/>
  <c r="G401" i="1" s="1"/>
  <c r="G402" i="1" a="1"/>
  <c r="G402" i="1" s="1"/>
  <c r="G403" i="1" a="1"/>
  <c r="G403" i="1" s="1"/>
  <c r="G404" i="1" a="1"/>
  <c r="G404" i="1" s="1"/>
  <c r="G405" i="1" a="1"/>
  <c r="G405" i="1" s="1"/>
  <c r="G406" i="1" a="1"/>
  <c r="G406" i="1" s="1"/>
  <c r="G407" i="1" a="1"/>
  <c r="G407" i="1" s="1"/>
  <c r="G408" i="1" a="1"/>
  <c r="G408" i="1" s="1"/>
  <c r="G409" i="1" a="1"/>
  <c r="G409" i="1" s="1"/>
  <c r="G410" i="1" a="1"/>
  <c r="G410" i="1" s="1"/>
  <c r="G411" i="1" a="1"/>
  <c r="G411" i="1" s="1"/>
  <c r="G412" i="1" a="1"/>
  <c r="G412" i="1" s="1"/>
  <c r="G413" i="1" a="1"/>
  <c r="G413" i="1" s="1"/>
  <c r="G414" i="1" a="1"/>
  <c r="G414" i="1" s="1"/>
  <c r="G415" i="1" a="1"/>
  <c r="G415" i="1" s="1"/>
  <c r="G416" i="1" a="1"/>
  <c r="G416" i="1" s="1"/>
  <c r="G417" i="1" a="1"/>
  <c r="G417" i="1" s="1"/>
  <c r="G418" i="1" a="1"/>
  <c r="G418" i="1" s="1"/>
  <c r="G419" i="1" a="1"/>
  <c r="G419" i="1" s="1"/>
  <c r="G420" i="1" a="1"/>
  <c r="G420" i="1" s="1"/>
  <c r="G421" i="1" a="1"/>
  <c r="G421" i="1" s="1"/>
  <c r="G422" i="1" a="1"/>
  <c r="G422" i="1" s="1"/>
  <c r="G423" i="1" a="1"/>
  <c r="G423" i="1" s="1"/>
  <c r="G424" i="1" a="1"/>
  <c r="G424" i="1" s="1"/>
  <c r="G425" i="1" a="1"/>
  <c r="G425" i="1" s="1"/>
  <c r="G426" i="1" a="1"/>
  <c r="G426" i="1" s="1"/>
  <c r="G427" i="1" a="1"/>
  <c r="G427" i="1" s="1"/>
  <c r="G428" i="1" a="1"/>
  <c r="G428" i="1" s="1"/>
  <c r="G429" i="1" a="1"/>
  <c r="G429" i="1" s="1"/>
  <c r="G430" i="1" a="1"/>
  <c r="G430" i="1" s="1"/>
  <c r="G431" i="1" a="1"/>
  <c r="G431" i="1" s="1"/>
  <c r="G432" i="1" a="1"/>
  <c r="G432" i="1" s="1"/>
  <c r="G433" i="1" a="1"/>
  <c r="G433" i="1" s="1"/>
  <c r="G434" i="1" a="1"/>
  <c r="G434" i="1" s="1"/>
  <c r="G435" i="1" a="1"/>
  <c r="G435" i="1" s="1"/>
  <c r="G436" i="1" a="1"/>
  <c r="G436" i="1" s="1"/>
  <c r="G437" i="1" a="1"/>
  <c r="G437" i="1" s="1"/>
  <c r="G438" i="1" a="1"/>
  <c r="G438" i="1" s="1"/>
  <c r="G439" i="1" a="1"/>
  <c r="G439" i="1" s="1"/>
  <c r="G440" i="1" a="1"/>
  <c r="G440" i="1" s="1"/>
  <c r="G441" i="1" a="1"/>
  <c r="G441" i="1" s="1"/>
  <c r="G442" i="1" a="1"/>
  <c r="G442" i="1" s="1"/>
  <c r="G443" i="1" a="1"/>
  <c r="G443" i="1" s="1"/>
  <c r="G444" i="1" a="1"/>
  <c r="G444" i="1" s="1"/>
  <c r="G445" i="1" a="1"/>
  <c r="G445" i="1" s="1"/>
  <c r="G446" i="1" a="1"/>
  <c r="G446" i="1" s="1"/>
  <c r="G447" i="1" a="1"/>
  <c r="G447" i="1" s="1"/>
  <c r="G448" i="1" a="1"/>
  <c r="G448" i="1" s="1"/>
  <c r="G449" i="1" a="1"/>
  <c r="G449" i="1" s="1"/>
  <c r="G450" i="1" a="1"/>
  <c r="G450" i="1" s="1"/>
  <c r="G451" i="1" a="1"/>
  <c r="G451" i="1" s="1"/>
  <c r="G452" i="1" a="1"/>
  <c r="G452" i="1" s="1"/>
  <c r="G453" i="1" a="1"/>
  <c r="G453" i="1" s="1"/>
  <c r="G454" i="1" a="1"/>
  <c r="G454" i="1" s="1"/>
  <c r="G455" i="1" a="1"/>
  <c r="G455" i="1" s="1"/>
  <c r="G456" i="1" a="1"/>
  <c r="G456" i="1" s="1"/>
  <c r="G457" i="1" a="1"/>
  <c r="G457" i="1" s="1"/>
  <c r="G458" i="1" a="1"/>
  <c r="G458" i="1" s="1"/>
  <c r="G459" i="1" a="1"/>
  <c r="G459" i="1" s="1"/>
  <c r="G460" i="1" a="1"/>
  <c r="G460" i="1" s="1"/>
  <c r="G461" i="1" a="1"/>
  <c r="G461" i="1" s="1"/>
  <c r="G462" i="1" a="1"/>
  <c r="G462" i="1" s="1"/>
  <c r="G463" i="1" a="1"/>
  <c r="G463" i="1" s="1"/>
  <c r="G464" i="1" a="1"/>
  <c r="G464" i="1" s="1"/>
  <c r="G465" i="1" a="1"/>
  <c r="G465" i="1" s="1"/>
  <c r="G466" i="1" a="1"/>
  <c r="G466" i="1" s="1"/>
  <c r="G467" i="1" a="1"/>
  <c r="G467" i="1" s="1"/>
  <c r="G468" i="1" a="1"/>
  <c r="G468" i="1" s="1"/>
  <c r="G469" i="1" a="1"/>
  <c r="G469" i="1" s="1"/>
  <c r="G470" i="1" a="1"/>
  <c r="G470" i="1" s="1"/>
  <c r="G471" i="1" a="1"/>
  <c r="G471" i="1" s="1"/>
  <c r="G472" i="1" a="1"/>
  <c r="G472" i="1" s="1"/>
  <c r="G473" i="1" a="1"/>
  <c r="G473" i="1" s="1"/>
  <c r="G474" i="1" a="1"/>
  <c r="G474" i="1" s="1"/>
  <c r="G475" i="1" a="1"/>
  <c r="G475" i="1" s="1"/>
  <c r="G476" i="1" a="1"/>
  <c r="G476" i="1" s="1"/>
  <c r="G477" i="1" a="1"/>
  <c r="G477" i="1" s="1"/>
  <c r="G478" i="1" a="1"/>
  <c r="G478" i="1" s="1"/>
  <c r="G479" i="1" a="1"/>
  <c r="G479" i="1" s="1"/>
  <c r="G480" i="1" a="1"/>
  <c r="G480" i="1" s="1"/>
  <c r="G481" i="1" a="1"/>
  <c r="G481" i="1" s="1"/>
  <c r="G482" i="1" a="1"/>
  <c r="G482" i="1" s="1"/>
  <c r="G483" i="1" a="1"/>
  <c r="G483" i="1" s="1"/>
  <c r="G484" i="1" a="1"/>
  <c r="G484" i="1" s="1"/>
  <c r="G485" i="1" a="1"/>
  <c r="G485" i="1" s="1"/>
  <c r="G486" i="1" a="1"/>
  <c r="G486" i="1" s="1"/>
  <c r="G487" i="1" a="1"/>
  <c r="G487" i="1" s="1"/>
  <c r="G488" i="1" a="1"/>
  <c r="G488" i="1" s="1"/>
  <c r="G489" i="1" a="1"/>
  <c r="G489" i="1" s="1"/>
  <c r="G490" i="1" a="1"/>
  <c r="G490" i="1" s="1"/>
  <c r="G491" i="1" a="1"/>
  <c r="G491" i="1" s="1"/>
  <c r="G492" i="1" a="1"/>
  <c r="G492" i="1" s="1"/>
  <c r="G493" i="1" a="1"/>
  <c r="G493" i="1" s="1"/>
  <c r="G494" i="1" a="1"/>
  <c r="G494" i="1" s="1"/>
  <c r="G495" i="1" a="1"/>
  <c r="G495" i="1" s="1"/>
  <c r="G496" i="1" a="1"/>
  <c r="G496" i="1" s="1"/>
  <c r="G497" i="1" a="1"/>
  <c r="G497" i="1" s="1"/>
  <c r="G498" i="1" a="1"/>
  <c r="G498" i="1" s="1"/>
  <c r="G499" i="1" a="1"/>
  <c r="G499" i="1" s="1"/>
  <c r="G500" i="1" a="1"/>
  <c r="G500" i="1" s="1"/>
  <c r="G501" i="1" a="1"/>
  <c r="G501" i="1" s="1"/>
  <c r="G502" i="1" a="1"/>
  <c r="G502" i="1" s="1"/>
  <c r="G503" i="1" a="1"/>
  <c r="G503" i="1" s="1"/>
  <c r="G504" i="1" a="1"/>
  <c r="G504" i="1" s="1"/>
  <c r="G505" i="1" a="1"/>
  <c r="G505" i="1" s="1"/>
  <c r="G506" i="1" a="1"/>
  <c r="G506" i="1" s="1"/>
  <c r="G507" i="1" a="1"/>
  <c r="G507" i="1" s="1"/>
  <c r="G508" i="1" a="1"/>
  <c r="G508" i="1" s="1"/>
  <c r="G509" i="1" a="1"/>
  <c r="G509" i="1" s="1"/>
  <c r="G510" i="1" a="1"/>
  <c r="G510" i="1" s="1"/>
  <c r="G511" i="1" a="1"/>
  <c r="G511" i="1" s="1"/>
  <c r="G512" i="1" a="1"/>
  <c r="G512" i="1" s="1"/>
  <c r="G513" i="1" a="1"/>
  <c r="G513" i="1" s="1"/>
  <c r="G514" i="1" a="1"/>
  <c r="G514" i="1" s="1"/>
  <c r="G515" i="1" a="1"/>
  <c r="G515" i="1" s="1"/>
  <c r="G516" i="1" a="1"/>
  <c r="G516" i="1" s="1"/>
  <c r="G517" i="1" a="1"/>
  <c r="G517" i="1" s="1"/>
  <c r="G518" i="1" a="1"/>
  <c r="G518" i="1" s="1"/>
  <c r="G519" i="1" a="1"/>
  <c r="G519" i="1" s="1"/>
  <c r="G520" i="1" a="1"/>
  <c r="G520" i="1" s="1"/>
  <c r="G521" i="1" a="1"/>
  <c r="G521" i="1" s="1"/>
  <c r="G522" i="1" a="1"/>
  <c r="G522" i="1" s="1"/>
  <c r="G523" i="1" a="1"/>
  <c r="G523" i="1" s="1"/>
  <c r="G524" i="1" a="1"/>
  <c r="G524" i="1" s="1"/>
  <c r="G525" i="1" a="1"/>
  <c r="G525" i="1" s="1"/>
  <c r="G526" i="1" a="1"/>
  <c r="G526" i="1" s="1"/>
  <c r="G527" i="1" a="1"/>
  <c r="G527" i="1" s="1"/>
  <c r="G528" i="1" a="1"/>
  <c r="G528" i="1" s="1"/>
  <c r="G529" i="1" a="1"/>
  <c r="G529" i="1" s="1"/>
  <c r="G530" i="1" a="1"/>
  <c r="G530" i="1" s="1"/>
  <c r="G531" i="1" a="1"/>
  <c r="G531" i="1" s="1"/>
  <c r="G532" i="1" a="1"/>
  <c r="G532" i="1" s="1"/>
  <c r="G533" i="1" a="1"/>
  <c r="G533" i="1" s="1"/>
  <c r="G534" i="1" a="1"/>
  <c r="G534" i="1" s="1"/>
  <c r="G535" i="1" a="1"/>
  <c r="G535" i="1" s="1"/>
  <c r="G536" i="1" a="1"/>
  <c r="G536" i="1" s="1"/>
  <c r="G537" i="1" a="1"/>
  <c r="G537" i="1" s="1"/>
  <c r="G538" i="1" a="1"/>
  <c r="G538" i="1" s="1"/>
  <c r="G539" i="1" a="1"/>
  <c r="G539" i="1"/>
  <c r="G540" i="1" a="1"/>
  <c r="G540" i="1"/>
  <c r="G541" i="1" a="1"/>
  <c r="G541" i="1"/>
  <c r="G542" i="1" a="1"/>
  <c r="G542" i="1"/>
  <c r="G543" i="1" a="1"/>
  <c r="G543" i="1"/>
  <c r="G544" i="1" a="1"/>
  <c r="G544" i="1"/>
  <c r="G545" i="1" a="1"/>
  <c r="G545" i="1"/>
  <c r="G546" i="1" a="1"/>
  <c r="G546" i="1"/>
  <c r="G547" i="1" a="1"/>
  <c r="G547" i="1"/>
  <c r="G548" i="1" a="1"/>
  <c r="G548" i="1"/>
  <c r="G549" i="1" a="1"/>
  <c r="G549" i="1"/>
  <c r="G550" i="1" a="1"/>
  <c r="G550" i="1"/>
  <c r="G551" i="1" a="1"/>
  <c r="G551" i="1"/>
  <c r="G552" i="1" a="1"/>
  <c r="G552" i="1"/>
  <c r="G553" i="1" a="1"/>
  <c r="G553" i="1"/>
  <c r="G554" i="1" a="1"/>
  <c r="G554" i="1"/>
  <c r="G555" i="1" a="1"/>
  <c r="G555" i="1"/>
  <c r="G556" i="1" a="1"/>
  <c r="G556" i="1"/>
  <c r="G557" i="1" a="1"/>
  <c r="G557" i="1"/>
  <c r="G558" i="1" a="1"/>
  <c r="G558" i="1"/>
  <c r="G559" i="1" a="1"/>
  <c r="G559" i="1"/>
  <c r="G560" i="1" a="1"/>
  <c r="G560" i="1"/>
  <c r="G561" i="1" a="1"/>
  <c r="G561" i="1"/>
  <c r="G562" i="1" a="1"/>
  <c r="G562" i="1"/>
  <c r="G563" i="1" a="1"/>
  <c r="G563" i="1"/>
  <c r="G564" i="1" a="1"/>
  <c r="G564" i="1"/>
  <c r="G565" i="1" a="1"/>
  <c r="G565" i="1"/>
  <c r="G566" i="1" a="1"/>
  <c r="G566" i="1"/>
  <c r="G567" i="1" a="1"/>
  <c r="G567" i="1"/>
  <c r="G568" i="1" a="1"/>
  <c r="G568" i="1"/>
  <c r="G569" i="1" a="1"/>
  <c r="G569" i="1"/>
  <c r="G570" i="1" a="1"/>
  <c r="G570" i="1"/>
  <c r="G571" i="1" a="1"/>
  <c r="G571" i="1"/>
  <c r="G572" i="1" a="1"/>
  <c r="G572" i="1"/>
  <c r="G573" i="1" a="1"/>
  <c r="G573" i="1"/>
  <c r="G574" i="1" a="1"/>
  <c r="G574" i="1"/>
  <c r="G575" i="1" a="1"/>
  <c r="G575" i="1"/>
  <c r="G576" i="1" a="1"/>
  <c r="G576" i="1"/>
  <c r="G577" i="1" a="1"/>
  <c r="G577" i="1"/>
  <c r="G578" i="1" a="1"/>
  <c r="G578" i="1"/>
  <c r="G579" i="1" a="1"/>
  <c r="G579" i="1"/>
  <c r="G580" i="1" a="1"/>
  <c r="G580" i="1"/>
  <c r="G581" i="1" a="1"/>
  <c r="G581" i="1"/>
  <c r="G582" i="1" a="1"/>
  <c r="G582" i="1"/>
  <c r="G583" i="1" a="1"/>
  <c r="G583" i="1"/>
  <c r="G584" i="1" a="1"/>
  <c r="G584" i="1"/>
  <c r="G585" i="1" a="1"/>
  <c r="G585" i="1"/>
  <c r="G586" i="1" a="1"/>
  <c r="G586" i="1"/>
  <c r="G587" i="1" a="1"/>
  <c r="G587" i="1"/>
  <c r="G588" i="1" a="1"/>
  <c r="G588" i="1"/>
  <c r="G589" i="1" a="1"/>
  <c r="G589" i="1"/>
  <c r="G590" i="1" a="1"/>
  <c r="G590" i="1"/>
  <c r="G591" i="1" a="1"/>
  <c r="G591" i="1"/>
  <c r="G592" i="1" a="1"/>
  <c r="G592" i="1"/>
  <c r="G593" i="1" a="1"/>
  <c r="G593" i="1"/>
  <c r="G594" i="1" a="1"/>
  <c r="G594" i="1"/>
  <c r="G595" i="1" a="1"/>
  <c r="G595" i="1"/>
  <c r="G596" i="1" a="1"/>
  <c r="G596" i="1"/>
  <c r="G597" i="1" a="1"/>
  <c r="G597" i="1"/>
  <c r="G598" i="1" a="1"/>
  <c r="G598" i="1"/>
  <c r="G599" i="1" a="1"/>
  <c r="G599" i="1"/>
  <c r="G600" i="1" a="1"/>
  <c r="G600" i="1"/>
  <c r="G601" i="1" a="1"/>
  <c r="G601" i="1"/>
  <c r="G602" i="1" a="1"/>
  <c r="G602" i="1"/>
  <c r="G603" i="1" a="1"/>
  <c r="G603" i="1"/>
  <c r="G604" i="1" a="1"/>
  <c r="G604" i="1"/>
  <c r="G605" i="1" a="1"/>
  <c r="G605" i="1"/>
  <c r="G606" i="1" a="1"/>
  <c r="G606" i="1"/>
  <c r="G607" i="1" a="1"/>
  <c r="G607" i="1"/>
  <c r="G608" i="1" a="1"/>
  <c r="G608" i="1"/>
  <c r="G609" i="1" a="1"/>
  <c r="G609" i="1"/>
  <c r="G610" i="1" a="1"/>
  <c r="G610" i="1"/>
  <c r="G611" i="1" a="1"/>
  <c r="G611" i="1"/>
  <c r="G612" i="1" a="1"/>
  <c r="G612" i="1"/>
  <c r="G613" i="1" a="1"/>
  <c r="G613" i="1"/>
  <c r="G614" i="1" a="1"/>
  <c r="G614" i="1" s="1"/>
  <c r="G615" i="1" a="1"/>
  <c r="G615" i="1" s="1"/>
  <c r="G616" i="1" a="1"/>
  <c r="G616" i="1" s="1"/>
  <c r="G617" i="1" a="1"/>
  <c r="G617" i="1" s="1"/>
  <c r="G618" i="1" a="1"/>
  <c r="G618" i="1" s="1"/>
  <c r="G619" i="1" a="1"/>
  <c r="G619" i="1" s="1"/>
  <c r="G620" i="1" a="1"/>
  <c r="G620" i="1" s="1"/>
  <c r="G621" i="1" a="1"/>
  <c r="G621" i="1" s="1"/>
  <c r="G622" i="1" a="1"/>
  <c r="G622" i="1" s="1"/>
  <c r="G623" i="1" a="1"/>
  <c r="G623" i="1" s="1"/>
  <c r="G624" i="1" a="1"/>
  <c r="G624" i="1" s="1"/>
  <c r="G625" i="1" a="1"/>
  <c r="G625" i="1" s="1"/>
  <c r="G626" i="1" a="1"/>
  <c r="G626" i="1" s="1"/>
  <c r="G627" i="1" a="1"/>
  <c r="G627" i="1" s="1"/>
  <c r="G628" i="1" a="1"/>
  <c r="G628" i="1" s="1"/>
  <c r="G629" i="1" a="1"/>
  <c r="G629" i="1" s="1"/>
  <c r="G630" i="1" a="1"/>
  <c r="G630" i="1" s="1"/>
  <c r="G631" i="1" a="1"/>
  <c r="G631" i="1" s="1"/>
  <c r="G632" i="1" a="1"/>
  <c r="G632" i="1" s="1"/>
  <c r="G633" i="1" a="1"/>
  <c r="G633" i="1" s="1"/>
  <c r="G634" i="1" a="1"/>
  <c r="G634" i="1" s="1"/>
  <c r="G635" i="1" a="1"/>
  <c r="G635" i="1" s="1"/>
  <c r="G636" i="1" a="1"/>
  <c r="G636" i="1" s="1"/>
  <c r="G637" i="1" a="1"/>
  <c r="G637" i="1" s="1"/>
  <c r="G638" i="1" a="1"/>
  <c r="G638" i="1" s="1"/>
  <c r="G639" i="1" a="1"/>
  <c r="G639" i="1" s="1"/>
  <c r="G640" i="1" a="1"/>
  <c r="G640" i="1" s="1"/>
  <c r="G641" i="1" a="1"/>
  <c r="G641" i="1" s="1"/>
  <c r="G642" i="1" a="1"/>
  <c r="G642" i="1" s="1"/>
  <c r="G643" i="1" a="1"/>
  <c r="G643" i="1" s="1"/>
  <c r="G644" i="1" a="1"/>
  <c r="G644" i="1" s="1"/>
  <c r="G645" i="1" a="1"/>
  <c r="G645" i="1" s="1"/>
  <c r="G646" i="1" a="1"/>
  <c r="G646" i="1" s="1"/>
  <c r="G647" i="1" a="1"/>
  <c r="G647" i="1" s="1"/>
  <c r="G648" i="1" a="1"/>
  <c r="G648" i="1" s="1"/>
  <c r="G649" i="1" a="1"/>
  <c r="G649" i="1" s="1"/>
  <c r="G650" i="1" a="1"/>
  <c r="G650" i="1" s="1"/>
  <c r="G651" i="1" a="1"/>
  <c r="G651" i="1" s="1"/>
  <c r="G652" i="1" a="1"/>
  <c r="G652" i="1" s="1"/>
  <c r="G653" i="1" a="1"/>
  <c r="G653" i="1" s="1"/>
  <c r="G654" i="1" a="1"/>
  <c r="G654" i="1" s="1"/>
  <c r="G655" i="1" a="1"/>
  <c r="G655" i="1" s="1"/>
  <c r="G656" i="1" a="1"/>
  <c r="G656" i="1" s="1"/>
  <c r="G657" i="1" a="1"/>
  <c r="G657" i="1" s="1"/>
  <c r="G658" i="1" a="1"/>
  <c r="G658" i="1" s="1"/>
  <c r="G659" i="1" a="1"/>
  <c r="G659" i="1" s="1"/>
  <c r="G660" i="1" a="1"/>
  <c r="G660" i="1" s="1"/>
  <c r="G661" i="1" a="1"/>
  <c r="G661" i="1" s="1"/>
  <c r="G662" i="1" a="1"/>
  <c r="G662" i="1" s="1"/>
  <c r="G663" i="1" a="1"/>
  <c r="G663" i="1" s="1"/>
  <c r="G664" i="1" a="1"/>
  <c r="G664" i="1" s="1"/>
  <c r="G665" i="1" a="1"/>
  <c r="G665" i="1" s="1"/>
  <c r="G666" i="1" a="1"/>
  <c r="G666" i="1" s="1"/>
  <c r="G667" i="1" a="1"/>
  <c r="G667" i="1" s="1"/>
  <c r="G668" i="1" a="1"/>
  <c r="G668" i="1" s="1"/>
  <c r="G669" i="1" a="1"/>
  <c r="G669" i="1" s="1"/>
  <c r="G670" i="1" a="1"/>
  <c r="G670" i="1" s="1"/>
  <c r="G671" i="1" a="1"/>
  <c r="G671" i="1" s="1"/>
  <c r="G672" i="1" a="1"/>
  <c r="G672" i="1" s="1"/>
  <c r="G673" i="1" a="1"/>
  <c r="G673" i="1" s="1"/>
  <c r="G674" i="1" a="1"/>
  <c r="G674" i="1" s="1"/>
  <c r="G675" i="1" a="1"/>
  <c r="G675" i="1" s="1"/>
  <c r="G676" i="1" a="1"/>
  <c r="G676" i="1" s="1"/>
  <c r="G677" i="1" a="1"/>
  <c r="G677" i="1" s="1"/>
  <c r="G678" i="1" a="1"/>
  <c r="G678" i="1" s="1"/>
  <c r="G679" i="1" a="1"/>
  <c r="G679" i="1" s="1"/>
  <c r="G680" i="1" a="1"/>
  <c r="G680" i="1" s="1"/>
  <c r="G681" i="1" a="1"/>
  <c r="G681" i="1" s="1"/>
  <c r="G682" i="1" a="1"/>
  <c r="G682" i="1" s="1"/>
  <c r="G683" i="1" a="1"/>
  <c r="G683" i="1" s="1"/>
  <c r="G684" i="1" a="1"/>
  <c r="G684" i="1" s="1"/>
  <c r="G685" i="1" a="1"/>
  <c r="G685" i="1" s="1"/>
  <c r="G686" i="1" a="1"/>
  <c r="G686" i="1" s="1"/>
  <c r="G687" i="1" a="1"/>
  <c r="G687" i="1" s="1"/>
  <c r="G688" i="1" a="1"/>
  <c r="G688" i="1" s="1"/>
  <c r="G689" i="1" a="1"/>
  <c r="G689" i="1" s="1"/>
  <c r="G690" i="1" a="1"/>
  <c r="G690" i="1" s="1"/>
  <c r="G691" i="1" a="1"/>
  <c r="G691" i="1" s="1"/>
  <c r="G692" i="1" a="1"/>
  <c r="G692" i="1" s="1"/>
  <c r="G693" i="1" a="1"/>
  <c r="G693" i="1" s="1"/>
  <c r="G694" i="1" a="1"/>
  <c r="G694" i="1" s="1"/>
  <c r="G695" i="1" a="1"/>
  <c r="G695" i="1" s="1"/>
  <c r="G696" i="1" a="1"/>
  <c r="G696" i="1" s="1"/>
  <c r="G697" i="1" a="1"/>
  <c r="G697" i="1" s="1"/>
  <c r="G698" i="1" a="1"/>
  <c r="G698" i="1" s="1"/>
  <c r="G699" i="1" a="1"/>
  <c r="G699" i="1" s="1"/>
  <c r="G700" i="1" a="1"/>
  <c r="G700" i="1" s="1"/>
  <c r="G701" i="1" a="1"/>
  <c r="G701" i="1" s="1"/>
  <c r="G702" i="1" a="1"/>
  <c r="G702" i="1" s="1"/>
  <c r="G703" i="1" a="1"/>
  <c r="G703" i="1" s="1"/>
  <c r="G704" i="1" a="1"/>
  <c r="G704" i="1" s="1"/>
  <c r="G705" i="1" a="1"/>
  <c r="G705" i="1" s="1"/>
  <c r="G706" i="1" a="1"/>
  <c r="G706" i="1" s="1"/>
  <c r="G707" i="1" a="1"/>
  <c r="G707" i="1" s="1"/>
  <c r="G708" i="1" a="1"/>
  <c r="G708" i="1" s="1"/>
  <c r="G709" i="1" a="1"/>
  <c r="G709" i="1" s="1"/>
  <c r="G710" i="1" a="1"/>
  <c r="G710" i="1" s="1"/>
  <c r="G711" i="1" a="1"/>
  <c r="G711" i="1" s="1"/>
  <c r="G712" i="1" a="1"/>
  <c r="G712" i="1" s="1"/>
  <c r="G713" i="1" a="1"/>
  <c r="G713" i="1" s="1"/>
  <c r="G714" i="1" a="1"/>
  <c r="G714" i="1" s="1"/>
  <c r="G715" i="1" a="1"/>
  <c r="G715" i="1" s="1"/>
  <c r="G716" i="1" a="1"/>
  <c r="G716" i="1" s="1"/>
  <c r="G2" i="1" a="1"/>
  <c r="G2" i="1" s="1"/>
  <c r="F3" i="1" a="1"/>
  <c r="F3" i="1"/>
  <c r="F4" i="1" a="1"/>
  <c r="F4" i="1"/>
  <c r="F5" i="1" a="1"/>
  <c r="F5" i="1"/>
  <c r="F6" i="1" a="1"/>
  <c r="F6" i="1"/>
  <c r="F7" i="1" a="1"/>
  <c r="F7" i="1"/>
  <c r="F8" i="1" a="1"/>
  <c r="F8" i="1"/>
  <c r="F9" i="1" a="1"/>
  <c r="F9" i="1"/>
  <c r="F10" i="1" a="1"/>
  <c r="F10" i="1"/>
  <c r="F11" i="1" a="1"/>
  <c r="F11" i="1"/>
  <c r="F12" i="1" a="1"/>
  <c r="F12" i="1"/>
  <c r="F13" i="1" a="1"/>
  <c r="F13" i="1"/>
  <c r="F14" i="1" a="1"/>
  <c r="F14" i="1"/>
  <c r="F15" i="1" a="1"/>
  <c r="F15" i="1"/>
  <c r="F16" i="1" a="1"/>
  <c r="F16" i="1"/>
  <c r="F17" i="1" a="1"/>
  <c r="F17" i="1"/>
  <c r="F18" i="1" a="1"/>
  <c r="F18" i="1"/>
  <c r="F19" i="1" a="1"/>
  <c r="F19" i="1"/>
  <c r="F20" i="1" a="1"/>
  <c r="F20" i="1"/>
  <c r="F21" i="1" a="1"/>
  <c r="F21" i="1"/>
  <c r="F22" i="1" a="1"/>
  <c r="F22" i="1"/>
  <c r="F23" i="1" a="1"/>
  <c r="F23" i="1"/>
  <c r="F24" i="1" a="1"/>
  <c r="F24" i="1"/>
  <c r="F25" i="1" a="1"/>
  <c r="F25" i="1"/>
  <c r="F26" i="1" a="1"/>
  <c r="F26" i="1"/>
  <c r="F27" i="1" a="1"/>
  <c r="F27" i="1"/>
  <c r="F28" i="1" a="1"/>
  <c r="F28" i="1"/>
  <c r="F29" i="1" a="1"/>
  <c r="F29" i="1"/>
  <c r="F30" i="1" a="1"/>
  <c r="F30" i="1"/>
  <c r="F31" i="1" a="1"/>
  <c r="F31" i="1"/>
  <c r="F32" i="1" a="1"/>
  <c r="F32" i="1"/>
  <c r="F33" i="1" a="1"/>
  <c r="F33" i="1"/>
  <c r="F34" i="1" a="1"/>
  <c r="F34" i="1"/>
  <c r="F35" i="1" a="1"/>
  <c r="F35" i="1"/>
  <c r="F36" i="1" a="1"/>
  <c r="F36" i="1"/>
  <c r="F37" i="1" a="1"/>
  <c r="F37" i="1"/>
  <c r="F38" i="1" a="1"/>
  <c r="F38" i="1"/>
  <c r="F39" i="1" a="1"/>
  <c r="F39" i="1"/>
  <c r="F40" i="1" a="1"/>
  <c r="F40" i="1"/>
  <c r="F41" i="1" a="1"/>
  <c r="F41" i="1"/>
  <c r="F42" i="1" a="1"/>
  <c r="F42" i="1"/>
  <c r="F43" i="1" a="1"/>
  <c r="F43" i="1"/>
  <c r="F44" i="1" a="1"/>
  <c r="F44" i="1"/>
  <c r="F45" i="1" a="1"/>
  <c r="F45" i="1"/>
  <c r="F46" i="1" a="1"/>
  <c r="F46" i="1"/>
  <c r="F47" i="1" a="1"/>
  <c r="F47" i="1"/>
  <c r="F48" i="1" a="1"/>
  <c r="F48" i="1"/>
  <c r="F49" i="1" a="1"/>
  <c r="F49" i="1"/>
  <c r="F50" i="1" a="1"/>
  <c r="F50" i="1"/>
  <c r="F51" i="1" a="1"/>
  <c r="F51" i="1"/>
  <c r="F52" i="1" a="1"/>
  <c r="F52" i="1"/>
  <c r="F53" i="1" a="1"/>
  <c r="F53" i="1"/>
  <c r="F54" i="1" a="1"/>
  <c r="F54" i="1"/>
  <c r="F55" i="1" a="1"/>
  <c r="F55" i="1"/>
  <c r="F56" i="1" a="1"/>
  <c r="F56" i="1"/>
  <c r="F57" i="1" a="1"/>
  <c r="F57" i="1"/>
  <c r="F58" i="1" a="1"/>
  <c r="F58" i="1"/>
  <c r="F59" i="1" a="1"/>
  <c r="F59" i="1"/>
  <c r="F60" i="1" a="1"/>
  <c r="F60" i="1"/>
  <c r="F61" i="1" a="1"/>
  <c r="F61" i="1"/>
  <c r="F62" i="1" a="1"/>
  <c r="F62" i="1"/>
  <c r="F63" i="1" a="1"/>
  <c r="F63" i="1"/>
  <c r="F64" i="1" a="1"/>
  <c r="F64" i="1"/>
  <c r="F65" i="1" a="1"/>
  <c r="F65" i="1"/>
  <c r="F66" i="1" a="1"/>
  <c r="F66" i="1"/>
  <c r="F67" i="1" a="1"/>
  <c r="F67" i="1"/>
  <c r="F68" i="1" a="1"/>
  <c r="F68" i="1"/>
  <c r="F69" i="1" a="1"/>
  <c r="F69" i="1"/>
  <c r="F70" i="1" a="1"/>
  <c r="F70" i="1"/>
  <c r="F71" i="1" a="1"/>
  <c r="F71" i="1"/>
  <c r="F72" i="1" a="1"/>
  <c r="F72" i="1"/>
  <c r="F73" i="1" a="1"/>
  <c r="F73" i="1"/>
  <c r="F74" i="1" a="1"/>
  <c r="F74" i="1"/>
  <c r="F75" i="1" a="1"/>
  <c r="F75" i="1"/>
  <c r="F76" i="1" a="1"/>
  <c r="F76" i="1"/>
  <c r="F77" i="1" a="1"/>
  <c r="F77" i="1"/>
  <c r="F78" i="1" a="1"/>
  <c r="F78" i="1"/>
  <c r="F79" i="1" a="1"/>
  <c r="F79" i="1"/>
  <c r="F80" i="1" a="1"/>
  <c r="F80" i="1"/>
  <c r="F81" i="1" a="1"/>
  <c r="F81" i="1"/>
  <c r="F82" i="1" a="1"/>
  <c r="F82" i="1"/>
  <c r="F83" i="1" a="1"/>
  <c r="F83" i="1"/>
  <c r="F84" i="1" a="1"/>
  <c r="F84" i="1"/>
  <c r="F85" i="1" a="1"/>
  <c r="F85" i="1"/>
  <c r="F86" i="1" a="1"/>
  <c r="F86" i="1"/>
  <c r="F87" i="1" a="1"/>
  <c r="F87" i="1"/>
  <c r="F88" i="1" a="1"/>
  <c r="F88" i="1"/>
  <c r="F89" i="1" a="1"/>
  <c r="F89" i="1"/>
  <c r="F90" i="1" a="1"/>
  <c r="F90" i="1"/>
  <c r="F91" i="1" a="1"/>
  <c r="F91" i="1"/>
  <c r="F92" i="1" a="1"/>
  <c r="F92" i="1"/>
  <c r="F93" i="1" a="1"/>
  <c r="F93" i="1"/>
  <c r="F94" i="1" a="1"/>
  <c r="F94" i="1"/>
  <c r="F95" i="1" a="1"/>
  <c r="F95" i="1"/>
  <c r="F96" i="1" a="1"/>
  <c r="F96" i="1"/>
  <c r="F97" i="1" a="1"/>
  <c r="F97" i="1"/>
  <c r="F98" i="1" a="1"/>
  <c r="F98" i="1"/>
  <c r="F99" i="1" a="1"/>
  <c r="F99" i="1"/>
  <c r="F100" i="1" a="1"/>
  <c r="F100" i="1"/>
  <c r="F101" i="1" a="1"/>
  <c r="F101" i="1"/>
  <c r="F102" i="1" a="1"/>
  <c r="F102" i="1"/>
  <c r="F103" i="1" a="1"/>
  <c r="F103" i="1"/>
  <c r="F104" i="1" a="1"/>
  <c r="F104" i="1"/>
  <c r="F105" i="1" a="1"/>
  <c r="F105" i="1"/>
  <c r="F106" i="1" a="1"/>
  <c r="F106" i="1"/>
  <c r="F107" i="1" a="1"/>
  <c r="F107" i="1"/>
  <c r="F108" i="1" a="1"/>
  <c r="F108" i="1"/>
  <c r="F109" i="1" a="1"/>
  <c r="F109" i="1"/>
  <c r="F110" i="1" a="1"/>
  <c r="F110" i="1"/>
  <c r="F111" i="1" a="1"/>
  <c r="F111" i="1"/>
  <c r="F112" i="1" a="1"/>
  <c r="F112" i="1"/>
  <c r="F113" i="1" a="1"/>
  <c r="F113" i="1"/>
  <c r="F114" i="1" a="1"/>
  <c r="F114" i="1" s="1"/>
  <c r="F115" i="1" a="1"/>
  <c r="F115" i="1" s="1"/>
  <c r="F116" i="1" a="1"/>
  <c r="F116" i="1" s="1"/>
  <c r="F117" i="1" a="1"/>
  <c r="F117" i="1" s="1"/>
  <c r="F118" i="1" a="1"/>
  <c r="F118" i="1" s="1"/>
  <c r="F119" i="1" a="1"/>
  <c r="F119" i="1" s="1"/>
  <c r="F120" i="1" a="1"/>
  <c r="F120" i="1" s="1"/>
  <c r="F121" i="1" a="1"/>
  <c r="F121" i="1" s="1"/>
  <c r="F122" i="1" a="1"/>
  <c r="F122" i="1" s="1"/>
  <c r="F123" i="1" a="1"/>
  <c r="F123" i="1" s="1"/>
  <c r="F124" i="1" a="1"/>
  <c r="F124" i="1" s="1"/>
  <c r="F125" i="1" a="1"/>
  <c r="F125" i="1" s="1"/>
  <c r="F126" i="1" a="1"/>
  <c r="F126" i="1" s="1"/>
  <c r="F127" i="1" a="1"/>
  <c r="F127" i="1" s="1"/>
  <c r="F128" i="1" a="1"/>
  <c r="F128" i="1" s="1"/>
  <c r="F129" i="1" a="1"/>
  <c r="F129" i="1" s="1"/>
  <c r="F130" i="1" a="1"/>
  <c r="F130" i="1" s="1"/>
  <c r="F131" i="1" a="1"/>
  <c r="F131" i="1" s="1"/>
  <c r="F132" i="1" a="1"/>
  <c r="F132" i="1" s="1"/>
  <c r="F133" i="1" a="1"/>
  <c r="F133" i="1" s="1"/>
  <c r="F134" i="1" a="1"/>
  <c r="F134" i="1" s="1"/>
  <c r="F135" i="1" a="1"/>
  <c r="F135" i="1" s="1"/>
  <c r="F136" i="1" a="1"/>
  <c r="F136" i="1" s="1"/>
  <c r="F137" i="1" a="1"/>
  <c r="F137" i="1" s="1"/>
  <c r="F138" i="1" a="1"/>
  <c r="F138" i="1" s="1"/>
  <c r="F139" i="1" a="1"/>
  <c r="F139" i="1" s="1"/>
  <c r="F140" i="1" a="1"/>
  <c r="F140" i="1" s="1"/>
  <c r="F141" i="1" a="1"/>
  <c r="F141" i="1" s="1"/>
  <c r="F142" i="1" a="1"/>
  <c r="F142" i="1" s="1"/>
  <c r="F143" i="1" a="1"/>
  <c r="F143" i="1" s="1"/>
  <c r="F144" i="1" a="1"/>
  <c r="F144" i="1" s="1"/>
  <c r="F145" i="1" a="1"/>
  <c r="F145" i="1" s="1"/>
  <c r="F146" i="1" a="1"/>
  <c r="F146" i="1" s="1"/>
  <c r="F147" i="1" a="1"/>
  <c r="F147" i="1" s="1"/>
  <c r="F148" i="1" a="1"/>
  <c r="F148" i="1" s="1"/>
  <c r="F149" i="1" a="1"/>
  <c r="F149" i="1" s="1"/>
  <c r="F150" i="1" a="1"/>
  <c r="F150" i="1" s="1"/>
  <c r="F151" i="1" a="1"/>
  <c r="F151" i="1" s="1"/>
  <c r="F152" i="1" a="1"/>
  <c r="F152" i="1" s="1"/>
  <c r="F153" i="1" a="1"/>
  <c r="F153" i="1" s="1"/>
  <c r="F154" i="1" a="1"/>
  <c r="F154" i="1" s="1"/>
  <c r="F155" i="1" a="1"/>
  <c r="F155" i="1" s="1"/>
  <c r="F156" i="1" a="1"/>
  <c r="F156" i="1" s="1"/>
  <c r="F157" i="1" a="1"/>
  <c r="F157" i="1" s="1"/>
  <c r="F158" i="1" a="1"/>
  <c r="F158" i="1" s="1"/>
  <c r="F159" i="1" a="1"/>
  <c r="F159" i="1" s="1"/>
  <c r="F160" i="1" a="1"/>
  <c r="F160" i="1" s="1"/>
  <c r="F161" i="1" a="1"/>
  <c r="F161" i="1" s="1"/>
  <c r="F162" i="1" a="1"/>
  <c r="F162" i="1" s="1"/>
  <c r="F163" i="1" a="1"/>
  <c r="F163" i="1" s="1"/>
  <c r="F164" i="1" a="1"/>
  <c r="F164" i="1" s="1"/>
  <c r="F165" i="1" a="1"/>
  <c r="F165" i="1" s="1"/>
  <c r="F166" i="1" a="1"/>
  <c r="F166" i="1" s="1"/>
  <c r="F167" i="1" a="1"/>
  <c r="F167" i="1" s="1"/>
  <c r="F168" i="1" a="1"/>
  <c r="F168" i="1" s="1"/>
  <c r="F169" i="1" a="1"/>
  <c r="F169" i="1" s="1"/>
  <c r="F170" i="1" a="1"/>
  <c r="F170" i="1" s="1"/>
  <c r="F171" i="1" a="1"/>
  <c r="F171" i="1" s="1"/>
  <c r="F172" i="1" a="1"/>
  <c r="F172" i="1" s="1"/>
  <c r="F173" i="1" a="1"/>
  <c r="F173" i="1" s="1"/>
  <c r="F174" i="1" a="1"/>
  <c r="F174" i="1" s="1"/>
  <c r="F175" i="1" a="1"/>
  <c r="F175" i="1" s="1"/>
  <c r="F176" i="1" a="1"/>
  <c r="F176" i="1" s="1"/>
  <c r="F177" i="1" a="1"/>
  <c r="F177" i="1" s="1"/>
  <c r="F178" i="1" a="1"/>
  <c r="F178" i="1" s="1"/>
  <c r="F179" i="1" a="1"/>
  <c r="F179" i="1" s="1"/>
  <c r="F180" i="1" a="1"/>
  <c r="F180" i="1" s="1"/>
  <c r="F181" i="1" a="1"/>
  <c r="F181" i="1" s="1"/>
  <c r="F182" i="1" a="1"/>
  <c r="F182" i="1"/>
  <c r="F183" i="1" a="1"/>
  <c r="F183" i="1"/>
  <c r="F184" i="1" a="1"/>
  <c r="F184" i="1"/>
  <c r="F185" i="1" a="1"/>
  <c r="F185" i="1"/>
  <c r="F186" i="1" a="1"/>
  <c r="F186" i="1"/>
  <c r="F187" i="1" a="1"/>
  <c r="F187" i="1"/>
  <c r="F188" i="1" a="1"/>
  <c r="F188" i="1"/>
  <c r="F189" i="1" a="1"/>
  <c r="F189" i="1"/>
  <c r="F190" i="1" a="1"/>
  <c r="F190" i="1"/>
  <c r="F191" i="1" a="1"/>
  <c r="F191" i="1"/>
  <c r="F192" i="1" a="1"/>
  <c r="F192" i="1"/>
  <c r="F193" i="1" a="1"/>
  <c r="F193" i="1"/>
  <c r="F194" i="1" a="1"/>
  <c r="F194" i="1"/>
  <c r="F195" i="1" a="1"/>
  <c r="F195" i="1"/>
  <c r="F196" i="1" a="1"/>
  <c r="F196" i="1"/>
  <c r="F197" i="1" a="1"/>
  <c r="F197" i="1"/>
  <c r="F198" i="1" a="1"/>
  <c r="F198" i="1"/>
  <c r="F199" i="1" a="1"/>
  <c r="F199" i="1"/>
  <c r="F200" i="1" a="1"/>
  <c r="F200" i="1"/>
  <c r="F201" i="1" a="1"/>
  <c r="F201" i="1"/>
  <c r="F202" i="1" a="1"/>
  <c r="F202" i="1"/>
  <c r="F203" i="1" a="1"/>
  <c r="F203" i="1"/>
  <c r="F204" i="1" a="1"/>
  <c r="F204" i="1"/>
  <c r="F205" i="1" a="1"/>
  <c r="F205" i="1"/>
  <c r="F206" i="1" a="1"/>
  <c r="F206" i="1"/>
  <c r="F207" i="1" a="1"/>
  <c r="F207" i="1"/>
  <c r="F208" i="1" a="1"/>
  <c r="F208" i="1"/>
  <c r="F209" i="1" a="1"/>
  <c r="F209" i="1"/>
  <c r="F210" i="1" a="1"/>
  <c r="F210" i="1"/>
  <c r="F211" i="1" a="1"/>
  <c r="F211" i="1"/>
  <c r="F212" i="1" a="1"/>
  <c r="F212" i="1"/>
  <c r="F213" i="1" a="1"/>
  <c r="F213" i="1"/>
  <c r="F214" i="1" a="1"/>
  <c r="F214" i="1"/>
  <c r="F215" i="1" a="1"/>
  <c r="F215" i="1"/>
  <c r="F216" i="1" a="1"/>
  <c r="F216" i="1" s="1"/>
  <c r="F217" i="1" a="1"/>
  <c r="F217" i="1" s="1"/>
  <c r="F218" i="1" a="1"/>
  <c r="F218" i="1" s="1"/>
  <c r="F219" i="1" a="1"/>
  <c r="F219" i="1" s="1"/>
  <c r="F220" i="1" a="1"/>
  <c r="F220" i="1" s="1"/>
  <c r="F221" i="1" a="1"/>
  <c r="F221" i="1" s="1"/>
  <c r="F222" i="1" a="1"/>
  <c r="F222" i="1" s="1"/>
  <c r="F223" i="1" a="1"/>
  <c r="F223" i="1" s="1"/>
  <c r="F224" i="1" a="1"/>
  <c r="F224" i="1" s="1"/>
  <c r="F225" i="1" a="1"/>
  <c r="F225" i="1" s="1"/>
  <c r="F226" i="1" a="1"/>
  <c r="F226" i="1" s="1"/>
  <c r="F227" i="1" a="1"/>
  <c r="F227" i="1" s="1"/>
  <c r="F228" i="1" a="1"/>
  <c r="F228" i="1" s="1"/>
  <c r="F229" i="1" a="1"/>
  <c r="F229" i="1" s="1"/>
  <c r="F230" i="1" a="1"/>
  <c r="F230" i="1" s="1"/>
  <c r="F231" i="1" a="1"/>
  <c r="F231" i="1" s="1"/>
  <c r="F232" i="1" a="1"/>
  <c r="F232" i="1" s="1"/>
  <c r="F233" i="1" a="1"/>
  <c r="F233" i="1" s="1"/>
  <c r="F234" i="1" a="1"/>
  <c r="F234" i="1" s="1"/>
  <c r="F235" i="1" a="1"/>
  <c r="F235" i="1" s="1"/>
  <c r="F236" i="1" a="1"/>
  <c r="F236" i="1" s="1"/>
  <c r="F237" i="1" a="1"/>
  <c r="F237" i="1" s="1"/>
  <c r="F238" i="1" a="1"/>
  <c r="F238" i="1" s="1"/>
  <c r="F239" i="1" a="1"/>
  <c r="F239" i="1" s="1"/>
  <c r="F240" i="1" a="1"/>
  <c r="F240" i="1" s="1"/>
  <c r="F241" i="1" a="1"/>
  <c r="F241" i="1" s="1"/>
  <c r="F242" i="1" a="1"/>
  <c r="F242" i="1" s="1"/>
  <c r="F243" i="1" a="1"/>
  <c r="F243" i="1" s="1"/>
  <c r="F244" i="1" a="1"/>
  <c r="F244" i="1" s="1"/>
  <c r="F245" i="1" a="1"/>
  <c r="F245" i="1" s="1"/>
  <c r="F246" i="1" a="1"/>
  <c r="F246" i="1" s="1"/>
  <c r="F247" i="1" a="1"/>
  <c r="F247" i="1" s="1"/>
  <c r="F248" i="1" a="1"/>
  <c r="F248" i="1" s="1"/>
  <c r="F249" i="1" a="1"/>
  <c r="F249" i="1" s="1"/>
  <c r="F250" i="1" a="1"/>
  <c r="F250" i="1" s="1"/>
  <c r="F251" i="1" a="1"/>
  <c r="F251" i="1" s="1"/>
  <c r="F252" i="1" a="1"/>
  <c r="F252" i="1" s="1"/>
  <c r="F253" i="1" a="1"/>
  <c r="F253" i="1" s="1"/>
  <c r="F254" i="1" a="1"/>
  <c r="F254" i="1" s="1"/>
  <c r="F255" i="1" a="1"/>
  <c r="F255" i="1" s="1"/>
  <c r="F256" i="1" a="1"/>
  <c r="F256" i="1" s="1"/>
  <c r="F257" i="1" a="1"/>
  <c r="F257" i="1" s="1"/>
  <c r="F258" i="1" a="1"/>
  <c r="F258" i="1" s="1"/>
  <c r="F259" i="1" a="1"/>
  <c r="F259" i="1" s="1"/>
  <c r="F260" i="1" a="1"/>
  <c r="F260" i="1" s="1"/>
  <c r="F261" i="1" a="1"/>
  <c r="F261" i="1" s="1"/>
  <c r="F262" i="1" a="1"/>
  <c r="F262" i="1" s="1"/>
  <c r="F263" i="1" a="1"/>
  <c r="F263" i="1" s="1"/>
  <c r="F264" i="1" a="1"/>
  <c r="F264" i="1" s="1"/>
  <c r="F265" i="1" a="1"/>
  <c r="F265" i="1" s="1"/>
  <c r="F266" i="1" a="1"/>
  <c r="F266" i="1" s="1"/>
  <c r="F267" i="1" a="1"/>
  <c r="F267" i="1" s="1"/>
  <c r="F268" i="1" a="1"/>
  <c r="F268" i="1" s="1"/>
  <c r="F269" i="1" a="1"/>
  <c r="F269" i="1" s="1"/>
  <c r="F270" i="1" a="1"/>
  <c r="F270" i="1" s="1"/>
  <c r="F271" i="1" a="1"/>
  <c r="F271" i="1" s="1"/>
  <c r="F272" i="1" a="1"/>
  <c r="F272" i="1" s="1"/>
  <c r="F273" i="1" a="1"/>
  <c r="F273" i="1" s="1"/>
  <c r="F274" i="1" a="1"/>
  <c r="F274" i="1" s="1"/>
  <c r="F275" i="1" a="1"/>
  <c r="F275" i="1" s="1"/>
  <c r="F276" i="1" a="1"/>
  <c r="F276" i="1" s="1"/>
  <c r="F277" i="1" a="1"/>
  <c r="F277" i="1" s="1"/>
  <c r="F278" i="1" a="1"/>
  <c r="F278" i="1" s="1"/>
  <c r="F279" i="1" a="1"/>
  <c r="F279" i="1" s="1"/>
  <c r="F280" i="1" a="1"/>
  <c r="F280" i="1" s="1"/>
  <c r="F281" i="1" a="1"/>
  <c r="F281" i="1" s="1"/>
  <c r="F282" i="1" a="1"/>
  <c r="F282" i="1" s="1"/>
  <c r="F283" i="1" a="1"/>
  <c r="F283" i="1" s="1"/>
  <c r="F284" i="1" a="1"/>
  <c r="F284" i="1" s="1"/>
  <c r="F285" i="1" a="1"/>
  <c r="F285" i="1" s="1"/>
  <c r="F286" i="1" a="1"/>
  <c r="F286" i="1" s="1"/>
  <c r="F287" i="1" a="1"/>
  <c r="F287" i="1" s="1"/>
  <c r="F288" i="1" a="1"/>
  <c r="F288" i="1" s="1"/>
  <c r="F289" i="1" a="1"/>
  <c r="F289" i="1" s="1"/>
  <c r="F290" i="1" a="1"/>
  <c r="F290" i="1" s="1"/>
  <c r="F291" i="1" a="1"/>
  <c r="F291" i="1" s="1"/>
  <c r="F292" i="1" a="1"/>
  <c r="F292" i="1" s="1"/>
  <c r="F293" i="1" a="1"/>
  <c r="F293" i="1" s="1"/>
  <c r="F294" i="1" a="1"/>
  <c r="F294" i="1" s="1"/>
  <c r="F295" i="1" a="1"/>
  <c r="F295" i="1" s="1"/>
  <c r="F296" i="1" a="1"/>
  <c r="F296" i="1" s="1"/>
  <c r="F297" i="1" a="1"/>
  <c r="F297" i="1" s="1"/>
  <c r="F298" i="1" a="1"/>
  <c r="F298" i="1" s="1"/>
  <c r="F299" i="1" a="1"/>
  <c r="F299" i="1" s="1"/>
  <c r="F300" i="1" a="1"/>
  <c r="F300" i="1" s="1"/>
  <c r="F301" i="1" a="1"/>
  <c r="F301" i="1" s="1"/>
  <c r="F302" i="1" a="1"/>
  <c r="F302" i="1" s="1"/>
  <c r="F303" i="1" a="1"/>
  <c r="F303" i="1" s="1"/>
  <c r="F304" i="1" a="1"/>
  <c r="F304" i="1" s="1"/>
  <c r="F305" i="1" a="1"/>
  <c r="F305" i="1" s="1"/>
  <c r="F306" i="1" a="1"/>
  <c r="F306" i="1" s="1"/>
  <c r="F307" i="1" a="1"/>
  <c r="F307" i="1" s="1"/>
  <c r="F308" i="1" a="1"/>
  <c r="F308" i="1" s="1"/>
  <c r="F309" i="1" a="1"/>
  <c r="F309" i="1" s="1"/>
  <c r="F310" i="1" a="1"/>
  <c r="F310" i="1" s="1"/>
  <c r="F311" i="1" a="1"/>
  <c r="F311" i="1" s="1"/>
  <c r="F312" i="1" a="1"/>
  <c r="F312" i="1" s="1"/>
  <c r="F313" i="1" a="1"/>
  <c r="F313" i="1" s="1"/>
  <c r="F314" i="1" a="1"/>
  <c r="F314" i="1" s="1"/>
  <c r="F315" i="1" a="1"/>
  <c r="F315" i="1" s="1"/>
  <c r="F316" i="1" a="1"/>
  <c r="F316" i="1" s="1"/>
  <c r="F317" i="1" a="1"/>
  <c r="F317" i="1" s="1"/>
  <c r="F318" i="1" a="1"/>
  <c r="F318" i="1" s="1"/>
  <c r="F319" i="1" a="1"/>
  <c r="F319" i="1" s="1"/>
  <c r="F320" i="1" a="1"/>
  <c r="F320" i="1" s="1"/>
  <c r="F321" i="1" a="1"/>
  <c r="F321" i="1" s="1"/>
  <c r="F322" i="1" a="1"/>
  <c r="F322" i="1" s="1"/>
  <c r="F323" i="1" a="1"/>
  <c r="F323" i="1" s="1"/>
  <c r="F324" i="1" a="1"/>
  <c r="F324" i="1" s="1"/>
  <c r="F325" i="1" a="1"/>
  <c r="F325" i="1" s="1"/>
  <c r="F326" i="1" a="1"/>
  <c r="F326" i="1" s="1"/>
  <c r="F327" i="1" a="1"/>
  <c r="F327" i="1" s="1"/>
  <c r="F328" i="1" a="1"/>
  <c r="F328" i="1" s="1"/>
  <c r="F329" i="1" a="1"/>
  <c r="F329" i="1" s="1"/>
  <c r="F330" i="1" a="1"/>
  <c r="F330" i="1" s="1"/>
  <c r="F331" i="1" a="1"/>
  <c r="F331" i="1" s="1"/>
  <c r="F332" i="1" a="1"/>
  <c r="F332" i="1" s="1"/>
  <c r="F333" i="1" a="1"/>
  <c r="F333" i="1" s="1"/>
  <c r="F334" i="1" a="1"/>
  <c r="F334" i="1" s="1"/>
  <c r="F335" i="1" a="1"/>
  <c r="F335" i="1" s="1"/>
  <c r="F336" i="1" a="1"/>
  <c r="F336" i="1" s="1"/>
  <c r="F337" i="1" a="1"/>
  <c r="F337" i="1" s="1"/>
  <c r="F338" i="1" a="1"/>
  <c r="F338" i="1" s="1"/>
  <c r="F339" i="1" a="1"/>
  <c r="F339" i="1" s="1"/>
  <c r="F340" i="1" a="1"/>
  <c r="F340" i="1" s="1"/>
  <c r="F341" i="1" a="1"/>
  <c r="F341" i="1" s="1"/>
  <c r="F342" i="1" a="1"/>
  <c r="F342" i="1" s="1"/>
  <c r="F343" i="1" a="1"/>
  <c r="F343" i="1" s="1"/>
  <c r="F344" i="1" a="1"/>
  <c r="F344" i="1" s="1"/>
  <c r="F345" i="1" a="1"/>
  <c r="F345" i="1" s="1"/>
  <c r="F346" i="1" a="1"/>
  <c r="F346" i="1" s="1"/>
  <c r="F347" i="1" a="1"/>
  <c r="F347" i="1" s="1"/>
  <c r="F348" i="1" a="1"/>
  <c r="F348" i="1" s="1"/>
  <c r="F349" i="1" a="1"/>
  <c r="F349" i="1" s="1"/>
  <c r="F350" i="1" a="1"/>
  <c r="F350" i="1" s="1"/>
  <c r="F351" i="1" a="1"/>
  <c r="F351" i="1" s="1"/>
  <c r="F352" i="1" a="1"/>
  <c r="F352" i="1" s="1"/>
  <c r="F353" i="1" a="1"/>
  <c r="F353" i="1" s="1"/>
  <c r="F354" i="1" a="1"/>
  <c r="F354" i="1" s="1"/>
  <c r="F355" i="1" a="1"/>
  <c r="F355" i="1" s="1"/>
  <c r="F356" i="1" a="1"/>
  <c r="F356" i="1" s="1"/>
  <c r="F357" i="1" a="1"/>
  <c r="F357" i="1" s="1"/>
  <c r="F358" i="1" a="1"/>
  <c r="F358" i="1" s="1"/>
  <c r="F359" i="1" a="1"/>
  <c r="F359" i="1" s="1"/>
  <c r="F360" i="1" a="1"/>
  <c r="F360" i="1" s="1"/>
  <c r="F361" i="1" a="1"/>
  <c r="F361" i="1"/>
  <c r="F362" i="1" a="1"/>
  <c r="F362" i="1"/>
  <c r="F363" i="1" a="1"/>
  <c r="F363" i="1" s="1"/>
  <c r="F364" i="1" a="1"/>
  <c r="F364" i="1"/>
  <c r="F365" i="1" a="1"/>
  <c r="F365" i="1"/>
  <c r="F366" i="1" a="1"/>
  <c r="F366" i="1"/>
  <c r="F367" i="1" a="1"/>
  <c r="F367" i="1"/>
  <c r="F368" i="1" a="1"/>
  <c r="F368" i="1"/>
  <c r="F369" i="1" a="1"/>
  <c r="F369" i="1"/>
  <c r="F370" i="1" a="1"/>
  <c r="F370" i="1"/>
  <c r="F371" i="1" a="1"/>
  <c r="F371" i="1"/>
  <c r="F372" i="1" a="1"/>
  <c r="F372" i="1"/>
  <c r="F373" i="1" a="1"/>
  <c r="F373" i="1"/>
  <c r="F374" i="1" a="1"/>
  <c r="F374" i="1"/>
  <c r="F375" i="1" a="1"/>
  <c r="F375" i="1"/>
  <c r="F376" i="1" a="1"/>
  <c r="F376" i="1"/>
  <c r="F377" i="1" a="1"/>
  <c r="F377" i="1"/>
  <c r="F378" i="1" a="1"/>
  <c r="F378" i="1"/>
  <c r="F379" i="1" a="1"/>
  <c r="F379" i="1"/>
  <c r="F380" i="1" a="1"/>
  <c r="F380" i="1"/>
  <c r="F381" i="1" a="1"/>
  <c r="F381" i="1"/>
  <c r="F382" i="1" a="1"/>
  <c r="F382" i="1"/>
  <c r="F383" i="1" a="1"/>
  <c r="F383" i="1"/>
  <c r="F384" i="1" a="1"/>
  <c r="F384" i="1"/>
  <c r="F385" i="1" a="1"/>
  <c r="F385" i="1"/>
  <c r="F386" i="1" a="1"/>
  <c r="F386" i="1"/>
  <c r="F387" i="1" a="1"/>
  <c r="F387" i="1"/>
  <c r="F388" i="1" a="1"/>
  <c r="F388" i="1"/>
  <c r="F389" i="1" a="1"/>
  <c r="F389" i="1"/>
  <c r="F390" i="1" a="1"/>
  <c r="F390" i="1"/>
  <c r="F391" i="1" a="1"/>
  <c r="F391" i="1"/>
  <c r="F392" i="1" a="1"/>
  <c r="F392" i="1"/>
  <c r="F393" i="1" a="1"/>
  <c r="F393" i="1"/>
  <c r="F394" i="1" a="1"/>
  <c r="F394" i="1"/>
  <c r="F395" i="1" a="1"/>
  <c r="F395" i="1"/>
  <c r="F396" i="1" a="1"/>
  <c r="F396" i="1"/>
  <c r="F397" i="1" a="1"/>
  <c r="F397" i="1"/>
  <c r="F398" i="1" a="1"/>
  <c r="F398" i="1"/>
  <c r="F399" i="1" a="1"/>
  <c r="F399" i="1"/>
  <c r="F400" i="1" a="1"/>
  <c r="F400" i="1"/>
  <c r="F401" i="1" a="1"/>
  <c r="F401" i="1"/>
  <c r="F402" i="1" a="1"/>
  <c r="F402" i="1"/>
  <c r="F403" i="1" a="1"/>
  <c r="F403" i="1"/>
  <c r="F404" i="1" a="1"/>
  <c r="F404" i="1"/>
  <c r="F405" i="1" a="1"/>
  <c r="F405" i="1"/>
  <c r="F406" i="1" a="1"/>
  <c r="F406" i="1"/>
  <c r="F407" i="1" a="1"/>
  <c r="F407" i="1"/>
  <c r="F408" i="1" a="1"/>
  <c r="F408" i="1"/>
  <c r="F409" i="1" a="1"/>
  <c r="F409" i="1"/>
  <c r="F410" i="1" a="1"/>
  <c r="F410" i="1"/>
  <c r="F411" i="1" a="1"/>
  <c r="F411" i="1"/>
  <c r="F412" i="1" a="1"/>
  <c r="F412" i="1"/>
  <c r="F413" i="1" a="1"/>
  <c r="F413" i="1"/>
  <c r="F414" i="1" a="1"/>
  <c r="F414" i="1"/>
  <c r="F415" i="1" a="1"/>
  <c r="F415" i="1"/>
  <c r="F416" i="1" a="1"/>
  <c r="F416" i="1"/>
  <c r="F417" i="1" a="1"/>
  <c r="F417" i="1"/>
  <c r="F418" i="1" a="1"/>
  <c r="F418" i="1"/>
  <c r="F419" i="1" a="1"/>
  <c r="F419" i="1" s="1"/>
  <c r="F420" i="1" a="1"/>
  <c r="F420" i="1" s="1"/>
  <c r="F421" i="1" a="1"/>
  <c r="F421" i="1" s="1"/>
  <c r="F422" i="1" a="1"/>
  <c r="F422" i="1" s="1"/>
  <c r="F423" i="1" a="1"/>
  <c r="F423" i="1" s="1"/>
  <c r="F424" i="1" a="1"/>
  <c r="F424" i="1" s="1"/>
  <c r="F425" i="1" a="1"/>
  <c r="F425" i="1" s="1"/>
  <c r="F426" i="1" a="1"/>
  <c r="F426" i="1" s="1"/>
  <c r="F427" i="1" a="1"/>
  <c r="F427" i="1" s="1"/>
  <c r="F428" i="1" a="1"/>
  <c r="F428" i="1" s="1"/>
  <c r="F429" i="1" a="1"/>
  <c r="F429" i="1" s="1"/>
  <c r="F430" i="1" a="1"/>
  <c r="F430" i="1" s="1"/>
  <c r="F431" i="1" a="1"/>
  <c r="F431" i="1" s="1"/>
  <c r="F432" i="1" a="1"/>
  <c r="F432" i="1" s="1"/>
  <c r="F433" i="1" a="1"/>
  <c r="F433" i="1" s="1"/>
  <c r="F434" i="1" a="1"/>
  <c r="F434" i="1" s="1"/>
  <c r="F435" i="1" a="1"/>
  <c r="F435" i="1" s="1"/>
  <c r="F436" i="1" a="1"/>
  <c r="F436" i="1" s="1"/>
  <c r="F437" i="1" a="1"/>
  <c r="F437" i="1" s="1"/>
  <c r="F438" i="1" a="1"/>
  <c r="F438" i="1" s="1"/>
  <c r="F439" i="1" a="1"/>
  <c r="F439" i="1" s="1"/>
  <c r="F440" i="1" a="1"/>
  <c r="F440" i="1" s="1"/>
  <c r="F441" i="1" a="1"/>
  <c r="F441" i="1" s="1"/>
  <c r="F442" i="1" a="1"/>
  <c r="F442" i="1" s="1"/>
  <c r="F443" i="1" a="1"/>
  <c r="F443" i="1" s="1"/>
  <c r="F444" i="1" a="1"/>
  <c r="F444" i="1" s="1"/>
  <c r="F445" i="1" a="1"/>
  <c r="F445" i="1" s="1"/>
  <c r="F446" i="1" a="1"/>
  <c r="F446" i="1" s="1"/>
  <c r="F447" i="1" a="1"/>
  <c r="F447" i="1" s="1"/>
  <c r="F448" i="1" a="1"/>
  <c r="F448" i="1" s="1"/>
  <c r="F449" i="1" a="1"/>
  <c r="F449" i="1" s="1"/>
  <c r="F450" i="1" a="1"/>
  <c r="F450" i="1" s="1"/>
  <c r="F451" i="1" a="1"/>
  <c r="F451" i="1" s="1"/>
  <c r="F452" i="1" a="1"/>
  <c r="F452" i="1" s="1"/>
  <c r="F453" i="1" a="1"/>
  <c r="F453" i="1" s="1"/>
  <c r="F454" i="1" a="1"/>
  <c r="F454" i="1" s="1"/>
  <c r="F455" i="1" a="1"/>
  <c r="F455" i="1" s="1"/>
  <c r="F456" i="1" a="1"/>
  <c r="F456" i="1" s="1"/>
  <c r="F457" i="1" a="1"/>
  <c r="F457" i="1" s="1"/>
  <c r="F458" i="1" a="1"/>
  <c r="F458" i="1" s="1"/>
  <c r="F459" i="1" a="1"/>
  <c r="F459" i="1" s="1"/>
  <c r="F460" i="1" a="1"/>
  <c r="F460" i="1" s="1"/>
  <c r="F461" i="1" a="1"/>
  <c r="F461" i="1" s="1"/>
  <c r="F462" i="1" a="1"/>
  <c r="F462" i="1" s="1"/>
  <c r="F463" i="1" a="1"/>
  <c r="F463" i="1" s="1"/>
  <c r="F464" i="1" a="1"/>
  <c r="F464" i="1" s="1"/>
  <c r="F465" i="1" a="1"/>
  <c r="F465" i="1" s="1"/>
  <c r="F466" i="1" a="1"/>
  <c r="F466" i="1" s="1"/>
  <c r="F467" i="1" a="1"/>
  <c r="F467" i="1" s="1"/>
  <c r="F468" i="1" a="1"/>
  <c r="F468" i="1" s="1"/>
  <c r="F469" i="1" a="1"/>
  <c r="F469" i="1" s="1"/>
  <c r="F470" i="1" a="1"/>
  <c r="F470" i="1" s="1"/>
  <c r="F471" i="1" a="1"/>
  <c r="F471" i="1" s="1"/>
  <c r="F472" i="1" a="1"/>
  <c r="F472" i="1" s="1"/>
  <c r="F473" i="1" a="1"/>
  <c r="F473" i="1" s="1"/>
  <c r="F474" i="1" a="1"/>
  <c r="F474" i="1" s="1"/>
  <c r="F475" i="1" a="1"/>
  <c r="F475" i="1" s="1"/>
  <c r="F476" i="1" a="1"/>
  <c r="F476" i="1" s="1"/>
  <c r="F477" i="1" a="1"/>
  <c r="F477" i="1" s="1"/>
  <c r="F478" i="1" a="1"/>
  <c r="F478" i="1" s="1"/>
  <c r="F479" i="1" a="1"/>
  <c r="F479" i="1" s="1"/>
  <c r="F480" i="1" a="1"/>
  <c r="F480" i="1" s="1"/>
  <c r="F481" i="1" a="1"/>
  <c r="F481" i="1" s="1"/>
  <c r="F482" i="1" a="1"/>
  <c r="F482" i="1" s="1"/>
  <c r="F483" i="1" a="1"/>
  <c r="F483" i="1" s="1"/>
  <c r="F484" i="1" a="1"/>
  <c r="F484" i="1" s="1"/>
  <c r="F485" i="1" a="1"/>
  <c r="F485" i="1" s="1"/>
  <c r="F486" i="1" a="1"/>
  <c r="F486" i="1" s="1"/>
  <c r="F487" i="1" a="1"/>
  <c r="F487" i="1" s="1"/>
  <c r="F488" i="1" a="1"/>
  <c r="F488" i="1" s="1"/>
  <c r="F489" i="1" a="1"/>
  <c r="F489" i="1" s="1"/>
  <c r="F490" i="1" a="1"/>
  <c r="F490" i="1" s="1"/>
  <c r="F491" i="1" a="1"/>
  <c r="F491" i="1" s="1"/>
  <c r="F492" i="1" a="1"/>
  <c r="F492" i="1" s="1"/>
  <c r="F493" i="1" a="1"/>
  <c r="F493" i="1" s="1"/>
  <c r="F494" i="1" a="1"/>
  <c r="F494" i="1" s="1"/>
  <c r="F495" i="1" a="1"/>
  <c r="F495" i="1" s="1"/>
  <c r="F496" i="1" a="1"/>
  <c r="F496" i="1" s="1"/>
  <c r="F497" i="1" a="1"/>
  <c r="F497" i="1" s="1"/>
  <c r="F498" i="1" a="1"/>
  <c r="F498" i="1" s="1"/>
  <c r="F499" i="1" a="1"/>
  <c r="F499" i="1" s="1"/>
  <c r="F500" i="1" a="1"/>
  <c r="F500" i="1" s="1"/>
  <c r="F501" i="1" a="1"/>
  <c r="F501" i="1" s="1"/>
  <c r="F502" i="1" a="1"/>
  <c r="F502" i="1" s="1"/>
  <c r="F503" i="1" a="1"/>
  <c r="F503" i="1" s="1"/>
  <c r="F504" i="1" a="1"/>
  <c r="F504" i="1" s="1"/>
  <c r="F505" i="1" a="1"/>
  <c r="F505" i="1" s="1"/>
  <c r="F506" i="1" a="1"/>
  <c r="F506" i="1" s="1"/>
  <c r="F507" i="1" a="1"/>
  <c r="F507" i="1" s="1"/>
  <c r="F508" i="1" a="1"/>
  <c r="F508" i="1" s="1"/>
  <c r="F509" i="1" a="1"/>
  <c r="F509" i="1" s="1"/>
  <c r="F510" i="1" a="1"/>
  <c r="F510" i="1" s="1"/>
  <c r="F511" i="1" a="1"/>
  <c r="F511" i="1" s="1"/>
  <c r="F512" i="1" a="1"/>
  <c r="F512" i="1" s="1"/>
  <c r="F513" i="1" a="1"/>
  <c r="F513" i="1" s="1"/>
  <c r="F514" i="1" a="1"/>
  <c r="F514" i="1" s="1"/>
  <c r="F515" i="1" a="1"/>
  <c r="F515" i="1" s="1"/>
  <c r="F516" i="1" a="1"/>
  <c r="F516" i="1" s="1"/>
  <c r="F517" i="1" a="1"/>
  <c r="F517" i="1" s="1"/>
  <c r="F518" i="1" a="1"/>
  <c r="F518" i="1" s="1"/>
  <c r="F519" i="1" a="1"/>
  <c r="F519" i="1" s="1"/>
  <c r="F520" i="1" a="1"/>
  <c r="F520" i="1" s="1"/>
  <c r="F521" i="1" a="1"/>
  <c r="F521" i="1" s="1"/>
  <c r="F522" i="1" a="1"/>
  <c r="F522" i="1" s="1"/>
  <c r="F523" i="1" a="1"/>
  <c r="F523" i="1" s="1"/>
  <c r="F524" i="1" a="1"/>
  <c r="F524" i="1" s="1"/>
  <c r="F525" i="1" a="1"/>
  <c r="F525" i="1" s="1"/>
  <c r="F526" i="1" a="1"/>
  <c r="F526" i="1" s="1"/>
  <c r="F527" i="1" a="1"/>
  <c r="F527" i="1" s="1"/>
  <c r="F528" i="1" a="1"/>
  <c r="F528" i="1" s="1"/>
  <c r="F529" i="1" a="1"/>
  <c r="F529" i="1" s="1"/>
  <c r="F530" i="1" a="1"/>
  <c r="F530" i="1" s="1"/>
  <c r="F531" i="1" a="1"/>
  <c r="F531" i="1" s="1"/>
  <c r="F532" i="1" a="1"/>
  <c r="F532" i="1" s="1"/>
  <c r="F533" i="1" a="1"/>
  <c r="F533" i="1" s="1"/>
  <c r="F534" i="1" a="1"/>
  <c r="F534" i="1" s="1"/>
  <c r="F535" i="1" a="1"/>
  <c r="F535" i="1" s="1"/>
  <c r="F536" i="1" a="1"/>
  <c r="F536" i="1" s="1"/>
  <c r="F537" i="1" a="1"/>
  <c r="F537" i="1" s="1"/>
  <c r="F538" i="1" a="1"/>
  <c r="F538" i="1" s="1"/>
  <c r="F539" i="1" a="1"/>
  <c r="F539" i="1"/>
  <c r="F540" i="1" a="1"/>
  <c r="F540" i="1"/>
  <c r="F541" i="1" a="1"/>
  <c r="F541" i="1"/>
  <c r="F542" i="1" a="1"/>
  <c r="F542" i="1"/>
  <c r="F543" i="1" a="1"/>
  <c r="F543" i="1"/>
  <c r="F544" i="1" a="1"/>
  <c r="F544" i="1"/>
  <c r="F545" i="1" a="1"/>
  <c r="F545" i="1"/>
  <c r="F546" i="1" a="1"/>
  <c r="F546" i="1"/>
  <c r="F547" i="1" a="1"/>
  <c r="F547" i="1"/>
  <c r="F548" i="1" a="1"/>
  <c r="F548" i="1"/>
  <c r="F549" i="1" a="1"/>
  <c r="F549" i="1"/>
  <c r="F550" i="1" a="1"/>
  <c r="F550" i="1"/>
  <c r="F551" i="1" a="1"/>
  <c r="F551" i="1"/>
  <c r="F552" i="1" a="1"/>
  <c r="F552" i="1"/>
  <c r="F553" i="1" a="1"/>
  <c r="F553" i="1"/>
  <c r="F554" i="1" a="1"/>
  <c r="F554" i="1"/>
  <c r="F555" i="1" a="1"/>
  <c r="F555" i="1"/>
  <c r="F556" i="1" a="1"/>
  <c r="F556" i="1"/>
  <c r="F557" i="1" a="1"/>
  <c r="F557" i="1"/>
  <c r="F558" i="1" a="1"/>
  <c r="F558" i="1"/>
  <c r="F559" i="1" a="1"/>
  <c r="F559" i="1"/>
  <c r="F560" i="1" a="1"/>
  <c r="F560" i="1"/>
  <c r="F561" i="1" a="1"/>
  <c r="F561" i="1"/>
  <c r="F562" i="1" a="1"/>
  <c r="F562" i="1"/>
  <c r="F563" i="1" a="1"/>
  <c r="F563" i="1"/>
  <c r="F564" i="1" a="1"/>
  <c r="F564" i="1"/>
  <c r="F565" i="1" a="1"/>
  <c r="F565" i="1"/>
  <c r="F566" i="1" a="1"/>
  <c r="F566" i="1"/>
  <c r="F567" i="1" a="1"/>
  <c r="F567" i="1"/>
  <c r="F568" i="1" a="1"/>
  <c r="F568" i="1"/>
  <c r="F569" i="1" a="1"/>
  <c r="F569" i="1"/>
  <c r="F570" i="1" a="1"/>
  <c r="F570" i="1"/>
  <c r="F571" i="1" a="1"/>
  <c r="F571" i="1"/>
  <c r="F572" i="1" a="1"/>
  <c r="F572" i="1"/>
  <c r="F573" i="1" a="1"/>
  <c r="F573" i="1"/>
  <c r="F574" i="1" a="1"/>
  <c r="F574" i="1"/>
  <c r="F575" i="1" a="1"/>
  <c r="F575" i="1"/>
  <c r="F576" i="1" a="1"/>
  <c r="F576" i="1"/>
  <c r="F577" i="1" a="1"/>
  <c r="F577" i="1"/>
  <c r="F578" i="1" a="1"/>
  <c r="F578" i="1"/>
  <c r="F579" i="1" a="1"/>
  <c r="F579" i="1"/>
  <c r="F580" i="1" a="1"/>
  <c r="F580" i="1"/>
  <c r="F581" i="1" a="1"/>
  <c r="F581" i="1"/>
  <c r="F582" i="1" a="1"/>
  <c r="F582" i="1"/>
  <c r="F583" i="1" a="1"/>
  <c r="F583" i="1"/>
  <c r="F584" i="1" a="1"/>
  <c r="F584" i="1"/>
  <c r="F585" i="1" a="1"/>
  <c r="F585" i="1"/>
  <c r="F586" i="1" a="1"/>
  <c r="F586" i="1"/>
  <c r="F587" i="1" a="1"/>
  <c r="F587" i="1"/>
  <c r="F588" i="1" a="1"/>
  <c r="F588" i="1"/>
  <c r="F589" i="1" a="1"/>
  <c r="F589" i="1"/>
  <c r="F590" i="1" a="1"/>
  <c r="F590" i="1"/>
  <c r="F591" i="1" a="1"/>
  <c r="F591" i="1"/>
  <c r="F592" i="1" a="1"/>
  <c r="F592" i="1"/>
  <c r="F593" i="1" a="1"/>
  <c r="F593" i="1"/>
  <c r="F594" i="1" a="1"/>
  <c r="F594" i="1"/>
  <c r="F595" i="1" a="1"/>
  <c r="F595" i="1"/>
  <c r="F596" i="1" a="1"/>
  <c r="F596" i="1"/>
  <c r="F597" i="1" a="1"/>
  <c r="F597" i="1"/>
  <c r="F598" i="1" a="1"/>
  <c r="F598" i="1"/>
  <c r="F599" i="1" a="1"/>
  <c r="F599" i="1"/>
  <c r="F600" i="1" a="1"/>
  <c r="F600" i="1"/>
  <c r="F601" i="1" a="1"/>
  <c r="F601" i="1"/>
  <c r="F602" i="1" a="1"/>
  <c r="F602" i="1"/>
  <c r="F603" i="1" a="1"/>
  <c r="F603" i="1"/>
  <c r="F604" i="1" a="1"/>
  <c r="F604" i="1"/>
  <c r="F605" i="1" a="1"/>
  <c r="F605" i="1"/>
  <c r="F606" i="1" a="1"/>
  <c r="F606" i="1"/>
  <c r="F607" i="1" a="1"/>
  <c r="F607" i="1"/>
  <c r="F608" i="1" a="1"/>
  <c r="F608" i="1"/>
  <c r="F609" i="1" a="1"/>
  <c r="F609" i="1"/>
  <c r="F610" i="1" a="1"/>
  <c r="F610" i="1"/>
  <c r="F611" i="1" a="1"/>
  <c r="F611" i="1"/>
  <c r="F612" i="1" a="1"/>
  <c r="F612" i="1" s="1"/>
  <c r="F613" i="1" a="1"/>
  <c r="F613" i="1" s="1"/>
  <c r="F614" i="1" a="1"/>
  <c r="F614" i="1" s="1"/>
  <c r="F615" i="1" a="1"/>
  <c r="F615" i="1" s="1"/>
  <c r="F616" i="1" a="1"/>
  <c r="F616" i="1" s="1"/>
  <c r="F617" i="1" a="1"/>
  <c r="F617" i="1" s="1"/>
  <c r="F618" i="1" a="1"/>
  <c r="F618" i="1" s="1"/>
  <c r="F619" i="1" a="1"/>
  <c r="F619" i="1" s="1"/>
  <c r="F620" i="1" a="1"/>
  <c r="F620" i="1" s="1"/>
  <c r="F621" i="1" a="1"/>
  <c r="F621" i="1" s="1"/>
  <c r="F622" i="1" a="1"/>
  <c r="F622" i="1" s="1"/>
  <c r="F623" i="1" a="1"/>
  <c r="F623" i="1" s="1"/>
  <c r="F624" i="1" a="1"/>
  <c r="F624" i="1" s="1"/>
  <c r="F625" i="1" a="1"/>
  <c r="F625" i="1" s="1"/>
  <c r="F626" i="1" a="1"/>
  <c r="F626" i="1" s="1"/>
  <c r="F627" i="1" a="1"/>
  <c r="F627" i="1" s="1"/>
  <c r="F628" i="1" a="1"/>
  <c r="F628" i="1" s="1"/>
  <c r="F629" i="1" a="1"/>
  <c r="F629" i="1" s="1"/>
  <c r="F630" i="1" a="1"/>
  <c r="F630" i="1" s="1"/>
  <c r="F631" i="1" a="1"/>
  <c r="F631" i="1" s="1"/>
  <c r="F632" i="1" a="1"/>
  <c r="F632" i="1" s="1"/>
  <c r="F633" i="1" a="1"/>
  <c r="F633" i="1" s="1"/>
  <c r="F634" i="1" a="1"/>
  <c r="F634" i="1" s="1"/>
  <c r="F635" i="1" a="1"/>
  <c r="F635" i="1" s="1"/>
  <c r="F636" i="1" a="1"/>
  <c r="F636" i="1" s="1"/>
  <c r="F637" i="1" a="1"/>
  <c r="F637" i="1" s="1"/>
  <c r="F638" i="1" a="1"/>
  <c r="F638" i="1" s="1"/>
  <c r="F639" i="1" a="1"/>
  <c r="F639" i="1" s="1"/>
  <c r="F640" i="1" a="1"/>
  <c r="F640" i="1" s="1"/>
  <c r="F641" i="1" a="1"/>
  <c r="F641" i="1" s="1"/>
  <c r="F642" i="1" a="1"/>
  <c r="F642" i="1" s="1"/>
  <c r="F643" i="1" a="1"/>
  <c r="F643" i="1" s="1"/>
  <c r="F644" i="1" a="1"/>
  <c r="F644" i="1" s="1"/>
  <c r="F645" i="1" a="1"/>
  <c r="F645" i="1" s="1"/>
  <c r="F646" i="1" a="1"/>
  <c r="F646" i="1" s="1"/>
  <c r="F647" i="1" a="1"/>
  <c r="F647" i="1" s="1"/>
  <c r="F648" i="1" a="1"/>
  <c r="F648" i="1" s="1"/>
  <c r="F649" i="1" a="1"/>
  <c r="F649" i="1" s="1"/>
  <c r="F650" i="1" a="1"/>
  <c r="F650" i="1" s="1"/>
  <c r="F651" i="1" a="1"/>
  <c r="F651" i="1" s="1"/>
  <c r="F652" i="1" a="1"/>
  <c r="F652" i="1" s="1"/>
  <c r="F653" i="1" a="1"/>
  <c r="F653" i="1" s="1"/>
  <c r="F654" i="1" a="1"/>
  <c r="F654" i="1" s="1"/>
  <c r="F655" i="1" a="1"/>
  <c r="F655" i="1" s="1"/>
  <c r="F656" i="1" a="1"/>
  <c r="F656" i="1" s="1"/>
  <c r="F657" i="1" a="1"/>
  <c r="F657" i="1" s="1"/>
  <c r="F658" i="1" a="1"/>
  <c r="F658" i="1" s="1"/>
  <c r="F659" i="1" a="1"/>
  <c r="F659" i="1" s="1"/>
  <c r="F660" i="1" a="1"/>
  <c r="F660" i="1" s="1"/>
  <c r="F661" i="1" a="1"/>
  <c r="F661" i="1" s="1"/>
  <c r="F662" i="1" a="1"/>
  <c r="F662" i="1" s="1"/>
  <c r="F663" i="1" a="1"/>
  <c r="F663" i="1" s="1"/>
  <c r="F664" i="1" a="1"/>
  <c r="F664" i="1" s="1"/>
  <c r="F665" i="1" a="1"/>
  <c r="F665" i="1" s="1"/>
  <c r="F666" i="1" a="1"/>
  <c r="F666" i="1" s="1"/>
  <c r="F667" i="1" a="1"/>
  <c r="F667" i="1" s="1"/>
  <c r="F668" i="1" a="1"/>
  <c r="F668" i="1" s="1"/>
  <c r="F669" i="1" a="1"/>
  <c r="F669" i="1" s="1"/>
  <c r="F670" i="1" a="1"/>
  <c r="F670" i="1" s="1"/>
  <c r="F671" i="1" a="1"/>
  <c r="F671" i="1" s="1"/>
  <c r="F672" i="1" a="1"/>
  <c r="F672" i="1" s="1"/>
  <c r="F673" i="1" a="1"/>
  <c r="F673" i="1" s="1"/>
  <c r="F674" i="1" a="1"/>
  <c r="F674" i="1" s="1"/>
  <c r="F675" i="1" a="1"/>
  <c r="F675" i="1" s="1"/>
  <c r="F676" i="1" a="1"/>
  <c r="F676" i="1" s="1"/>
  <c r="F677" i="1" a="1"/>
  <c r="F677" i="1" s="1"/>
  <c r="F678" i="1" a="1"/>
  <c r="F678" i="1" s="1"/>
  <c r="F679" i="1" a="1"/>
  <c r="F679" i="1" s="1"/>
  <c r="F680" i="1" a="1"/>
  <c r="F680" i="1" s="1"/>
  <c r="F681" i="1" a="1"/>
  <c r="F681" i="1" s="1"/>
  <c r="F682" i="1" a="1"/>
  <c r="F682" i="1" s="1"/>
  <c r="F683" i="1" a="1"/>
  <c r="F683" i="1" s="1"/>
  <c r="F684" i="1" a="1"/>
  <c r="F684" i="1" s="1"/>
  <c r="F685" i="1" a="1"/>
  <c r="F685" i="1" s="1"/>
  <c r="F686" i="1" a="1"/>
  <c r="F686" i="1" s="1"/>
  <c r="F687" i="1" a="1"/>
  <c r="F687" i="1" s="1"/>
  <c r="F688" i="1" a="1"/>
  <c r="F688" i="1" s="1"/>
  <c r="F689" i="1" a="1"/>
  <c r="F689" i="1" s="1"/>
  <c r="F690" i="1" a="1"/>
  <c r="F690" i="1" s="1"/>
  <c r="F691" i="1" a="1"/>
  <c r="F691" i="1" s="1"/>
  <c r="F692" i="1" a="1"/>
  <c r="F692" i="1" s="1"/>
  <c r="F693" i="1" a="1"/>
  <c r="F693" i="1" s="1"/>
  <c r="F694" i="1" a="1"/>
  <c r="F694" i="1" s="1"/>
  <c r="F695" i="1" a="1"/>
  <c r="F695" i="1" s="1"/>
  <c r="F696" i="1" a="1"/>
  <c r="F696" i="1" s="1"/>
  <c r="F697" i="1" a="1"/>
  <c r="F697" i="1" s="1"/>
  <c r="F698" i="1" a="1"/>
  <c r="F698" i="1" s="1"/>
  <c r="F699" i="1" a="1"/>
  <c r="F699" i="1" s="1"/>
  <c r="F700" i="1" a="1"/>
  <c r="F700" i="1" s="1"/>
  <c r="F701" i="1" a="1"/>
  <c r="F701" i="1" s="1"/>
  <c r="F702" i="1" a="1"/>
  <c r="F702" i="1" s="1"/>
  <c r="F703" i="1" a="1"/>
  <c r="F703" i="1" s="1"/>
  <c r="F704" i="1" a="1"/>
  <c r="F704" i="1" s="1"/>
  <c r="F705" i="1" a="1"/>
  <c r="F705" i="1" s="1"/>
  <c r="F706" i="1" a="1"/>
  <c r="F706" i="1" s="1"/>
  <c r="F707" i="1" a="1"/>
  <c r="F707" i="1" s="1"/>
  <c r="F708" i="1" a="1"/>
  <c r="F708" i="1" s="1"/>
  <c r="F709" i="1" a="1"/>
  <c r="F709" i="1" s="1"/>
  <c r="F710" i="1" a="1"/>
  <c r="F710" i="1" s="1"/>
  <c r="F711" i="1" a="1"/>
  <c r="F711" i="1" s="1"/>
  <c r="F712" i="1" a="1"/>
  <c r="F712" i="1" s="1"/>
  <c r="F713" i="1" a="1"/>
  <c r="F713" i="1" s="1"/>
  <c r="F714" i="1" a="1"/>
  <c r="F714" i="1" s="1"/>
  <c r="F715" i="1" a="1"/>
  <c r="F715" i="1" s="1"/>
  <c r="F716" i="1" a="1"/>
  <c r="F716" i="1" s="1"/>
  <c r="F2" i="1" a="1"/>
  <c r="F2" i="1" s="1"/>
  <c r="E46" i="1" a="1"/>
  <c r="E46" i="1" s="1"/>
  <c r="E3" i="1" a="1"/>
  <c r="E3" i="1" s="1"/>
  <c r="E4" i="1" a="1"/>
  <c r="E4" i="1" s="1"/>
  <c r="E5" i="1" a="1"/>
  <c r="E5" i="1" s="1"/>
  <c r="E6" i="1" a="1"/>
  <c r="E6" i="1" s="1"/>
  <c r="E7" i="1" a="1"/>
  <c r="E7" i="1" s="1"/>
  <c r="E8" i="1" a="1"/>
  <c r="E8" i="1" s="1"/>
  <c r="E9" i="1" a="1"/>
  <c r="E9" i="1" s="1"/>
  <c r="E10" i="1" a="1"/>
  <c r="E10" i="1" s="1"/>
  <c r="E11" i="1" a="1"/>
  <c r="E11" i="1" s="1"/>
  <c r="E12" i="1" a="1"/>
  <c r="E12" i="1" s="1"/>
  <c r="E13" i="1" a="1"/>
  <c r="E13" i="1" s="1"/>
  <c r="E14" i="1" a="1"/>
  <c r="E14" i="1" s="1"/>
  <c r="E15" i="1" a="1"/>
  <c r="E15" i="1" s="1"/>
  <c r="E16" i="1" a="1"/>
  <c r="E16" i="1" s="1"/>
  <c r="E17" i="1" a="1"/>
  <c r="E17" i="1" s="1"/>
  <c r="E18" i="1" a="1"/>
  <c r="E18" i="1" s="1"/>
  <c r="E19" i="1" a="1"/>
  <c r="E19" i="1" s="1"/>
  <c r="E20" i="1" a="1"/>
  <c r="E20" i="1" s="1"/>
  <c r="E21" i="1" a="1"/>
  <c r="E21" i="1" s="1"/>
  <c r="E22" i="1" a="1"/>
  <c r="E22" i="1" s="1"/>
  <c r="E23" i="1" a="1"/>
  <c r="E23" i="1" s="1"/>
  <c r="E24" i="1" a="1"/>
  <c r="E24" i="1" s="1"/>
  <c r="E25" i="1" a="1"/>
  <c r="E25" i="1" s="1"/>
  <c r="E26" i="1" a="1"/>
  <c r="E26" i="1" s="1"/>
  <c r="E27" i="1" a="1"/>
  <c r="E27" i="1" s="1"/>
  <c r="E28" i="1" a="1"/>
  <c r="E28" i="1" s="1"/>
  <c r="E29" i="1" a="1"/>
  <c r="E29" i="1" s="1"/>
  <c r="E30" i="1" a="1"/>
  <c r="E30" i="1" s="1"/>
  <c r="E31" i="1" a="1"/>
  <c r="E31" i="1" s="1"/>
  <c r="E32" i="1" a="1"/>
  <c r="E32" i="1" s="1"/>
  <c r="E33" i="1" a="1"/>
  <c r="E33" i="1" s="1"/>
  <c r="E34" i="1" a="1"/>
  <c r="E34" i="1" s="1"/>
  <c r="E35" i="1" a="1"/>
  <c r="E35" i="1" s="1"/>
  <c r="E36" i="1" a="1"/>
  <c r="E36" i="1" s="1"/>
  <c r="E37" i="1" a="1"/>
  <c r="E37" i="1" s="1"/>
  <c r="E38" i="1" a="1"/>
  <c r="E38" i="1" s="1"/>
  <c r="E39" i="1" a="1"/>
  <c r="E39" i="1" s="1"/>
  <c r="E40" i="1" a="1"/>
  <c r="E40" i="1" s="1"/>
  <c r="E41" i="1" a="1"/>
  <c r="E41" i="1" s="1"/>
  <c r="E42" i="1" a="1"/>
  <c r="E42" i="1" s="1"/>
  <c r="E43" i="1" a="1"/>
  <c r="E43" i="1" s="1"/>
  <c r="E44" i="1" a="1"/>
  <c r="E44" i="1" s="1"/>
  <c r="E45" i="1" a="1"/>
  <c r="E45" i="1" s="1"/>
  <c r="E552" i="1" a="1"/>
  <c r="E552" i="1" s="1"/>
  <c r="E47" i="1" a="1"/>
  <c r="E47" i="1"/>
  <c r="E48" i="1" a="1"/>
  <c r="E48" i="1"/>
  <c r="E49" i="1" a="1"/>
  <c r="E49" i="1"/>
  <c r="E50" i="1" a="1"/>
  <c r="E50" i="1"/>
  <c r="E51" i="1" a="1"/>
  <c r="E51" i="1"/>
  <c r="E52" i="1" a="1"/>
  <c r="E52" i="1"/>
  <c r="E53" i="1" a="1"/>
  <c r="E53" i="1"/>
  <c r="E54" i="1" a="1"/>
  <c r="E54" i="1"/>
  <c r="E55" i="1" a="1"/>
  <c r="E55" i="1"/>
  <c r="E56" i="1" a="1"/>
  <c r="E56" i="1"/>
  <c r="E57" i="1" a="1"/>
  <c r="E57" i="1"/>
  <c r="E58" i="1" a="1"/>
  <c r="E58" i="1"/>
  <c r="E59" i="1" a="1"/>
  <c r="E59" i="1"/>
  <c r="E60" i="1" a="1"/>
  <c r="E60" i="1"/>
  <c r="E61" i="1" a="1"/>
  <c r="E61" i="1"/>
  <c r="E62" i="1" a="1"/>
  <c r="E62" i="1"/>
  <c r="E63" i="1" a="1"/>
  <c r="E63" i="1"/>
  <c r="E64" i="1" a="1"/>
  <c r="E64" i="1"/>
  <c r="E65" i="1" a="1"/>
  <c r="E65" i="1"/>
  <c r="E66" i="1" a="1"/>
  <c r="E66" i="1"/>
  <c r="E67" i="1" a="1"/>
  <c r="E67" i="1"/>
  <c r="E68" i="1" a="1"/>
  <c r="E68" i="1"/>
  <c r="E69" i="1" a="1"/>
  <c r="E69" i="1"/>
  <c r="E70" i="1" a="1"/>
  <c r="E70" i="1"/>
  <c r="E71" i="1" a="1"/>
  <c r="E71" i="1"/>
  <c r="E72" i="1" a="1"/>
  <c r="E72" i="1"/>
  <c r="E73" i="1" a="1"/>
  <c r="E73" i="1"/>
  <c r="E74" i="1" a="1"/>
  <c r="E74" i="1"/>
  <c r="E75" i="1" a="1"/>
  <c r="E75" i="1"/>
  <c r="E76" i="1" a="1"/>
  <c r="E76" i="1"/>
  <c r="E77" i="1" a="1"/>
  <c r="E77" i="1"/>
  <c r="E78" i="1" a="1"/>
  <c r="E78" i="1"/>
  <c r="E79" i="1" a="1"/>
  <c r="E79" i="1"/>
  <c r="E80" i="1" a="1"/>
  <c r="E80" i="1"/>
  <c r="E81" i="1" a="1"/>
  <c r="E81" i="1"/>
  <c r="E82" i="1" a="1"/>
  <c r="E82" i="1"/>
  <c r="E83" i="1" a="1"/>
  <c r="E83" i="1"/>
  <c r="E84" i="1" a="1"/>
  <c r="E84" i="1"/>
  <c r="E85" i="1" a="1"/>
  <c r="E85" i="1"/>
  <c r="E86" i="1" a="1"/>
  <c r="E86" i="1"/>
  <c r="E87" i="1" a="1"/>
  <c r="E87" i="1"/>
  <c r="E88" i="1" a="1"/>
  <c r="E88" i="1"/>
  <c r="E89" i="1" a="1"/>
  <c r="E89" i="1"/>
  <c r="E90" i="1" a="1"/>
  <c r="E90" i="1"/>
  <c r="E91" i="1" a="1"/>
  <c r="E91" i="1"/>
  <c r="E92" i="1" a="1"/>
  <c r="E92" i="1"/>
  <c r="E93" i="1" a="1"/>
  <c r="E93" i="1"/>
  <c r="E94" i="1" a="1"/>
  <c r="E94" i="1"/>
  <c r="E95" i="1" a="1"/>
  <c r="E95" i="1"/>
  <c r="E96" i="1" a="1"/>
  <c r="E96" i="1"/>
  <c r="E97" i="1" a="1"/>
  <c r="E97" i="1"/>
  <c r="E98" i="1" a="1"/>
  <c r="E98" i="1"/>
  <c r="E99" i="1" a="1"/>
  <c r="E99" i="1"/>
  <c r="E100" i="1" a="1"/>
  <c r="E100" i="1"/>
  <c r="E101" i="1" a="1"/>
  <c r="E101" i="1"/>
  <c r="E102" i="1" a="1"/>
  <c r="E102" i="1"/>
  <c r="E103" i="1" a="1"/>
  <c r="E103" i="1"/>
  <c r="E104" i="1" a="1"/>
  <c r="E104" i="1"/>
  <c r="E105" i="1" a="1"/>
  <c r="E105" i="1"/>
  <c r="E106" i="1" a="1"/>
  <c r="E106" i="1"/>
  <c r="E107" i="1" a="1"/>
  <c r="E107" i="1"/>
  <c r="E108" i="1" a="1"/>
  <c r="E108" i="1"/>
  <c r="E109" i="1" a="1"/>
  <c r="E109" i="1"/>
  <c r="E110" i="1" a="1"/>
  <c r="E110" i="1"/>
  <c r="E111" i="1" a="1"/>
  <c r="E111" i="1" s="1"/>
  <c r="E112" i="1" a="1"/>
  <c r="E112" i="1"/>
  <c r="E113" i="1" a="1"/>
  <c r="E113" i="1"/>
  <c r="E114" i="1" a="1"/>
  <c r="E114" i="1" s="1"/>
  <c r="E115" i="1" a="1"/>
  <c r="E115" i="1" s="1"/>
  <c r="E116" i="1" a="1"/>
  <c r="E116" i="1"/>
  <c r="E117" i="1" a="1"/>
  <c r="E117" i="1"/>
  <c r="E118" i="1" a="1"/>
  <c r="E118" i="1"/>
  <c r="E119" i="1" a="1"/>
  <c r="E119" i="1"/>
  <c r="E120" i="1" a="1"/>
  <c r="E120" i="1"/>
  <c r="E121" i="1" a="1"/>
  <c r="E121" i="1"/>
  <c r="E122" i="1" a="1"/>
  <c r="E122" i="1"/>
  <c r="E123" i="1" a="1"/>
  <c r="E123" i="1"/>
  <c r="E124" i="1" a="1"/>
  <c r="E124" i="1"/>
  <c r="E125" i="1" a="1"/>
  <c r="E125" i="1"/>
  <c r="E126" i="1" a="1"/>
  <c r="E126" i="1"/>
  <c r="E127" i="1" a="1"/>
  <c r="E127" i="1"/>
  <c r="E128" i="1" a="1"/>
  <c r="E128" i="1"/>
  <c r="E129" i="1" a="1"/>
  <c r="E129" i="1"/>
  <c r="E130" i="1" a="1"/>
  <c r="E130" i="1"/>
  <c r="E131" i="1" a="1"/>
  <c r="E131" i="1"/>
  <c r="E132" i="1" a="1"/>
  <c r="E132" i="1"/>
  <c r="E133" i="1" a="1"/>
  <c r="E133" i="1"/>
  <c r="E134" i="1" a="1"/>
  <c r="E134" i="1"/>
  <c r="E135" i="1" a="1"/>
  <c r="E135" i="1"/>
  <c r="E136" i="1" a="1"/>
  <c r="E136" i="1"/>
  <c r="E137" i="1" a="1"/>
  <c r="E137" i="1"/>
  <c r="E138" i="1" a="1"/>
  <c r="E138" i="1"/>
  <c r="E139" i="1" a="1"/>
  <c r="E139" i="1"/>
  <c r="E140" i="1" a="1"/>
  <c r="E140" i="1"/>
  <c r="E141" i="1" a="1"/>
  <c r="E141" i="1"/>
  <c r="E142" i="1" a="1"/>
  <c r="E142" i="1"/>
  <c r="E143" i="1" a="1"/>
  <c r="E143" i="1"/>
  <c r="E144" i="1" a="1"/>
  <c r="E144" i="1"/>
  <c r="E145" i="1" a="1"/>
  <c r="E145" i="1"/>
  <c r="E146" i="1" a="1"/>
  <c r="E146" i="1"/>
  <c r="E147" i="1" a="1"/>
  <c r="E147" i="1"/>
  <c r="E148" i="1" a="1"/>
  <c r="E148" i="1"/>
  <c r="E149" i="1" a="1"/>
  <c r="E149" i="1"/>
  <c r="E150" i="1" a="1"/>
  <c r="E150" i="1"/>
  <c r="E151" i="1" a="1"/>
  <c r="E151" i="1"/>
  <c r="E152" i="1" a="1"/>
  <c r="E152" i="1"/>
  <c r="E153" i="1" a="1"/>
  <c r="E153" i="1"/>
  <c r="E154" i="1" a="1"/>
  <c r="E154" i="1"/>
  <c r="E155" i="1" a="1"/>
  <c r="E155" i="1"/>
  <c r="E156" i="1" a="1"/>
  <c r="E156" i="1"/>
  <c r="E157" i="1" a="1"/>
  <c r="E157" i="1"/>
  <c r="E158" i="1" a="1"/>
  <c r="E158" i="1"/>
  <c r="E159" i="1" a="1"/>
  <c r="E159" i="1"/>
  <c r="E160" i="1" a="1"/>
  <c r="E160" i="1"/>
  <c r="E161" i="1" a="1"/>
  <c r="E161" i="1"/>
  <c r="E162" i="1" a="1"/>
  <c r="E162" i="1"/>
  <c r="E163" i="1" a="1"/>
  <c r="E163" i="1"/>
  <c r="E164" i="1" a="1"/>
  <c r="E164" i="1"/>
  <c r="E165" i="1" a="1"/>
  <c r="E165" i="1"/>
  <c r="E166" i="1" a="1"/>
  <c r="E166" i="1"/>
  <c r="E167" i="1" a="1"/>
  <c r="E167" i="1"/>
  <c r="E168" i="1" a="1"/>
  <c r="E168" i="1"/>
  <c r="E169" i="1" a="1"/>
  <c r="E169" i="1"/>
  <c r="E170" i="1" a="1"/>
  <c r="E170" i="1"/>
  <c r="E171" i="1" a="1"/>
  <c r="E171" i="1"/>
  <c r="E172" i="1" a="1"/>
  <c r="E172" i="1"/>
  <c r="E173" i="1" a="1"/>
  <c r="E173" i="1"/>
  <c r="E174" i="1" a="1"/>
  <c r="E174" i="1" s="1"/>
  <c r="E175" i="1" a="1"/>
  <c r="E175" i="1" s="1"/>
  <c r="E176" i="1" a="1"/>
  <c r="E176" i="1" s="1"/>
  <c r="E177" i="1" a="1"/>
  <c r="E177" i="1" s="1"/>
  <c r="E178" i="1" a="1"/>
  <c r="E178" i="1" s="1"/>
  <c r="E179" i="1" a="1"/>
  <c r="E179" i="1" s="1"/>
  <c r="E180" i="1" a="1"/>
  <c r="E180" i="1" s="1"/>
  <c r="E181" i="1" a="1"/>
  <c r="E181" i="1"/>
  <c r="E182" i="1" a="1"/>
  <c r="E182" i="1"/>
  <c r="E183" i="1" a="1"/>
  <c r="E183" i="1"/>
  <c r="E184" i="1" a="1"/>
  <c r="E184" i="1"/>
  <c r="E185" i="1" a="1"/>
  <c r="E185" i="1"/>
  <c r="E186" i="1" a="1"/>
  <c r="E186" i="1"/>
  <c r="E187" i="1" a="1"/>
  <c r="E187" i="1"/>
  <c r="E188" i="1" a="1"/>
  <c r="E188" i="1"/>
  <c r="E189" i="1" a="1"/>
  <c r="E189" i="1"/>
  <c r="E190" i="1" a="1"/>
  <c r="E190" i="1" s="1"/>
  <c r="E191" i="1" a="1"/>
  <c r="E191" i="1" s="1"/>
  <c r="E192" i="1" a="1"/>
  <c r="E192" i="1" s="1"/>
  <c r="E193" i="1" a="1"/>
  <c r="E193" i="1" s="1"/>
  <c r="E194" i="1" a="1"/>
  <c r="E194" i="1" s="1"/>
  <c r="E195" i="1" a="1"/>
  <c r="E195" i="1" s="1"/>
  <c r="E196" i="1" a="1"/>
  <c r="E196" i="1" s="1"/>
  <c r="E197" i="1" a="1"/>
  <c r="E197" i="1" s="1"/>
  <c r="E198" i="1" a="1"/>
  <c r="E198" i="1" s="1"/>
  <c r="E199" i="1" a="1"/>
  <c r="E199" i="1" s="1"/>
  <c r="E200" i="1" a="1"/>
  <c r="E200" i="1" s="1"/>
  <c r="E201" i="1" a="1"/>
  <c r="E201" i="1" s="1"/>
  <c r="E202" i="1" a="1"/>
  <c r="E202" i="1" s="1"/>
  <c r="E203" i="1" a="1"/>
  <c r="E203" i="1" s="1"/>
  <c r="E204" i="1" a="1"/>
  <c r="E204" i="1" s="1"/>
  <c r="E205" i="1" a="1"/>
  <c r="E205" i="1"/>
  <c r="E206" i="1" a="1"/>
  <c r="E206" i="1"/>
  <c r="E207" i="1" a="1"/>
  <c r="E207" i="1"/>
  <c r="E208" i="1" a="1"/>
  <c r="E208" i="1"/>
  <c r="E209" i="1" a="1"/>
  <c r="E209" i="1"/>
  <c r="E210" i="1" a="1"/>
  <c r="E210" i="1"/>
  <c r="E211" i="1" a="1"/>
  <c r="E211" i="1"/>
  <c r="E212" i="1" a="1"/>
  <c r="E212" i="1"/>
  <c r="E213" i="1" a="1"/>
  <c r="E213" i="1"/>
  <c r="E214" i="1" a="1"/>
  <c r="E214" i="1"/>
  <c r="E215" i="1" a="1"/>
  <c r="E215" i="1"/>
  <c r="E216" i="1" a="1"/>
  <c r="E216" i="1"/>
  <c r="E217" i="1" a="1"/>
  <c r="E217" i="1"/>
  <c r="E218" i="1" a="1"/>
  <c r="E218" i="1"/>
  <c r="E219" i="1" a="1"/>
  <c r="E219" i="1"/>
  <c r="E220" i="1" a="1"/>
  <c r="E220" i="1"/>
  <c r="E221" i="1" a="1"/>
  <c r="E221" i="1"/>
  <c r="E222" i="1" a="1"/>
  <c r="E222" i="1"/>
  <c r="E223" i="1" a="1"/>
  <c r="E223" i="1"/>
  <c r="E224" i="1" a="1"/>
  <c r="E224" i="1"/>
  <c r="E225" i="1" a="1"/>
  <c r="E225" i="1"/>
  <c r="E226" i="1" a="1"/>
  <c r="E226" i="1"/>
  <c r="E227" i="1" a="1"/>
  <c r="E227" i="1"/>
  <c r="E228" i="1" a="1"/>
  <c r="E228" i="1"/>
  <c r="E229" i="1" a="1"/>
  <c r="E229" i="1"/>
  <c r="E230" i="1" a="1"/>
  <c r="E230" i="1"/>
  <c r="E231" i="1" a="1"/>
  <c r="E231" i="1"/>
  <c r="E232" i="1" a="1"/>
  <c r="E232" i="1"/>
  <c r="E233" i="1" a="1"/>
  <c r="E233" i="1"/>
  <c r="E234" i="1" a="1"/>
  <c r="E234" i="1"/>
  <c r="E235" i="1" a="1"/>
  <c r="E235" i="1"/>
  <c r="E236" i="1" a="1"/>
  <c r="E236" i="1"/>
  <c r="E237" i="1" a="1"/>
  <c r="E237" i="1"/>
  <c r="E238" i="1" a="1"/>
  <c r="E238" i="1"/>
  <c r="E239" i="1" a="1"/>
  <c r="E239" i="1"/>
  <c r="E240" i="1" a="1"/>
  <c r="E240" i="1"/>
  <c r="E241" i="1" a="1"/>
  <c r="E241" i="1"/>
  <c r="E242" i="1" a="1"/>
  <c r="E242" i="1"/>
  <c r="E243" i="1" a="1"/>
  <c r="E243" i="1" s="1"/>
  <c r="E244" i="1" a="1"/>
  <c r="E244" i="1"/>
  <c r="E245" i="1" a="1"/>
  <c r="E245" i="1"/>
  <c r="E246" i="1" a="1"/>
  <c r="E246" i="1"/>
  <c r="E247" i="1" a="1"/>
  <c r="E247" i="1"/>
  <c r="E248" i="1" a="1"/>
  <c r="E248" i="1"/>
  <c r="E249" i="1" a="1"/>
  <c r="E249" i="1"/>
  <c r="E250" i="1" a="1"/>
  <c r="E250" i="1"/>
  <c r="E251" i="1" a="1"/>
  <c r="E251" i="1"/>
  <c r="E252" i="1" a="1"/>
  <c r="E252" i="1"/>
  <c r="E253" i="1" a="1"/>
  <c r="E253" i="1"/>
  <c r="E254" i="1" a="1"/>
  <c r="E254" i="1"/>
  <c r="E255" i="1" a="1"/>
  <c r="E255" i="1"/>
  <c r="E256" i="1" a="1"/>
  <c r="E256" i="1"/>
  <c r="E257" i="1" a="1"/>
  <c r="E257" i="1"/>
  <c r="E258" i="1" a="1"/>
  <c r="E258" i="1"/>
  <c r="E259" i="1" a="1"/>
  <c r="E259" i="1"/>
  <c r="E260" i="1" a="1"/>
  <c r="E260" i="1"/>
  <c r="E261" i="1" a="1"/>
  <c r="E261" i="1"/>
  <c r="E262" i="1" a="1"/>
  <c r="E262" i="1"/>
  <c r="E263" i="1" a="1"/>
  <c r="E263" i="1"/>
  <c r="E264" i="1" a="1"/>
  <c r="E264" i="1"/>
  <c r="E265" i="1" a="1"/>
  <c r="E265" i="1"/>
  <c r="E266" i="1" a="1"/>
  <c r="E266" i="1"/>
  <c r="E267" i="1" a="1"/>
  <c r="E267" i="1"/>
  <c r="E268" i="1" a="1"/>
  <c r="E268" i="1"/>
  <c r="E269" i="1" a="1"/>
  <c r="E269" i="1" s="1"/>
  <c r="E270" i="1" a="1"/>
  <c r="E270" i="1"/>
  <c r="E271" i="1" a="1"/>
  <c r="E271" i="1"/>
  <c r="E272" i="1" a="1"/>
  <c r="E272" i="1"/>
  <c r="E273" i="1" a="1"/>
  <c r="E273" i="1"/>
  <c r="E274" i="1" a="1"/>
  <c r="E274" i="1"/>
  <c r="E275" i="1" a="1"/>
  <c r="E275" i="1"/>
  <c r="E276" i="1" a="1"/>
  <c r="E276" i="1"/>
  <c r="E277" i="1" a="1"/>
  <c r="E277" i="1"/>
  <c r="E278" i="1" a="1"/>
  <c r="E278" i="1"/>
  <c r="E279" i="1" a="1"/>
  <c r="E279" i="1"/>
  <c r="E280" i="1" a="1"/>
  <c r="E280" i="1"/>
  <c r="E281" i="1" a="1"/>
  <c r="E281" i="1"/>
  <c r="E282" i="1" a="1"/>
  <c r="E282" i="1"/>
  <c r="E283" i="1" a="1"/>
  <c r="E283" i="1"/>
  <c r="E284" i="1" a="1"/>
  <c r="E284" i="1"/>
  <c r="E285" i="1" a="1"/>
  <c r="E285" i="1"/>
  <c r="E286" i="1" a="1"/>
  <c r="E286" i="1" s="1"/>
  <c r="E287" i="1" a="1"/>
  <c r="E287" i="1" s="1"/>
  <c r="E288" i="1" a="1"/>
  <c r="E288" i="1" s="1"/>
  <c r="E289" i="1" a="1"/>
  <c r="E289" i="1" s="1"/>
  <c r="E290" i="1" a="1"/>
  <c r="E290" i="1" s="1"/>
  <c r="E291" i="1" a="1"/>
  <c r="E291" i="1" s="1"/>
  <c r="E292" i="1" a="1"/>
  <c r="E292" i="1" s="1"/>
  <c r="E293" i="1" a="1"/>
  <c r="E293" i="1" s="1"/>
  <c r="E294" i="1" a="1"/>
  <c r="E294" i="1" s="1"/>
  <c r="E295" i="1" a="1"/>
  <c r="E295" i="1"/>
  <c r="E296" i="1" a="1"/>
  <c r="E296" i="1"/>
  <c r="E297" i="1" a="1"/>
  <c r="E297" i="1"/>
  <c r="E298" i="1" a="1"/>
  <c r="E298" i="1"/>
  <c r="E299" i="1" a="1"/>
  <c r="E299" i="1"/>
  <c r="E300" i="1" a="1"/>
  <c r="E300" i="1"/>
  <c r="E301" i="1" a="1"/>
  <c r="E301" i="1"/>
  <c r="E302" i="1" a="1"/>
  <c r="E302" i="1"/>
  <c r="E303" i="1" a="1"/>
  <c r="E303" i="1"/>
  <c r="E304" i="1" a="1"/>
  <c r="E304" i="1"/>
  <c r="E305" i="1" a="1"/>
  <c r="E305" i="1"/>
  <c r="E306" i="1" a="1"/>
  <c r="E306" i="1"/>
  <c r="E307" i="1" a="1"/>
  <c r="E307" i="1"/>
  <c r="E308" i="1" a="1"/>
  <c r="E308" i="1"/>
  <c r="E309" i="1" a="1"/>
  <c r="E309" i="1"/>
  <c r="E310" i="1" a="1"/>
  <c r="E310" i="1" s="1"/>
  <c r="E311" i="1" a="1"/>
  <c r="E311" i="1"/>
  <c r="E312" i="1" a="1"/>
  <c r="E312" i="1"/>
  <c r="E313" i="1" a="1"/>
  <c r="E313" i="1"/>
  <c r="E314" i="1" a="1"/>
  <c r="E314" i="1"/>
  <c r="E315" i="1" a="1"/>
  <c r="E315" i="1"/>
  <c r="E316" i="1" a="1"/>
  <c r="E316" i="1"/>
  <c r="E317" i="1" a="1"/>
  <c r="E317" i="1"/>
  <c r="E318" i="1" a="1"/>
  <c r="E318" i="1"/>
  <c r="E319" i="1" a="1"/>
  <c r="E319" i="1"/>
  <c r="E320" i="1" a="1"/>
  <c r="E320" i="1"/>
  <c r="E321" i="1" a="1"/>
  <c r="E321" i="1"/>
  <c r="E322" i="1" a="1"/>
  <c r="E322" i="1"/>
  <c r="E323" i="1" a="1"/>
  <c r="E323" i="1"/>
  <c r="E324" i="1" a="1"/>
  <c r="E324" i="1"/>
  <c r="E325" i="1" a="1"/>
  <c r="E325" i="1"/>
  <c r="E326" i="1" a="1"/>
  <c r="E326" i="1"/>
  <c r="E327" i="1" a="1"/>
  <c r="E327" i="1"/>
  <c r="E328" i="1" a="1"/>
  <c r="E328" i="1"/>
  <c r="E329" i="1" a="1"/>
  <c r="E329" i="1"/>
  <c r="E330" i="1" a="1"/>
  <c r="E330" i="1"/>
  <c r="E331" i="1" a="1"/>
  <c r="E331" i="1"/>
  <c r="E332" i="1" a="1"/>
  <c r="E332" i="1"/>
  <c r="E333" i="1" a="1"/>
  <c r="E333" i="1"/>
  <c r="E334" i="1" a="1"/>
  <c r="E334" i="1"/>
  <c r="E335" i="1" a="1"/>
  <c r="E335" i="1"/>
  <c r="E336" i="1" a="1"/>
  <c r="E336" i="1"/>
  <c r="E337" i="1" a="1"/>
  <c r="E337" i="1"/>
  <c r="E338" i="1" a="1"/>
  <c r="E338" i="1"/>
  <c r="E339" i="1" a="1"/>
  <c r="E339" i="1"/>
  <c r="E340" i="1" a="1"/>
  <c r="E340" i="1"/>
  <c r="E341" i="1" a="1"/>
  <c r="E341" i="1"/>
  <c r="E342" i="1" a="1"/>
  <c r="E342" i="1"/>
  <c r="E343" i="1" a="1"/>
  <c r="E343" i="1"/>
  <c r="E344" i="1" a="1"/>
  <c r="E344" i="1"/>
  <c r="E345" i="1" a="1"/>
  <c r="E345" i="1"/>
  <c r="E346" i="1" a="1"/>
  <c r="E346" i="1"/>
  <c r="E347" i="1" a="1"/>
  <c r="E347" i="1"/>
  <c r="E348" i="1" a="1"/>
  <c r="E348" i="1"/>
  <c r="E349" i="1" a="1"/>
  <c r="E349" i="1"/>
  <c r="E350" i="1" a="1"/>
  <c r="E350" i="1"/>
  <c r="E351" i="1" a="1"/>
  <c r="E351" i="1"/>
  <c r="E352" i="1" a="1"/>
  <c r="E352" i="1" s="1"/>
  <c r="E353" i="1" a="1"/>
  <c r="E353" i="1" s="1"/>
  <c r="E354" i="1" a="1"/>
  <c r="E354" i="1" s="1"/>
  <c r="E355" i="1" a="1"/>
  <c r="E355" i="1" s="1"/>
  <c r="E356" i="1" a="1"/>
  <c r="E356" i="1" s="1"/>
  <c r="E357" i="1" a="1"/>
  <c r="E357" i="1" s="1"/>
  <c r="E358" i="1" a="1"/>
  <c r="E358" i="1" s="1"/>
  <c r="E359" i="1" a="1"/>
  <c r="E359" i="1" s="1"/>
  <c r="E360" i="1" a="1"/>
  <c r="E360" i="1"/>
  <c r="E361" i="1" a="1"/>
  <c r="E361" i="1"/>
  <c r="E362" i="1" a="1"/>
  <c r="E362" i="1"/>
  <c r="E363" i="1" a="1"/>
  <c r="E363" i="1"/>
  <c r="E364" i="1" a="1"/>
  <c r="E364" i="1"/>
  <c r="E365" i="1" a="1"/>
  <c r="E365" i="1"/>
  <c r="E366" i="1" a="1"/>
  <c r="E366" i="1"/>
  <c r="E367" i="1" a="1"/>
  <c r="E367" i="1"/>
  <c r="E368" i="1" a="1"/>
  <c r="E368" i="1"/>
  <c r="E369" i="1" a="1"/>
  <c r="E369" i="1"/>
  <c r="E370" i="1" a="1"/>
  <c r="E370" i="1"/>
  <c r="E371" i="1" a="1"/>
  <c r="E371" i="1"/>
  <c r="E372" i="1" a="1"/>
  <c r="E372" i="1"/>
  <c r="E373" i="1" a="1"/>
  <c r="E373" i="1"/>
  <c r="E374" i="1" a="1"/>
  <c r="E374" i="1" s="1"/>
  <c r="E375" i="1" a="1"/>
  <c r="E375" i="1" s="1"/>
  <c r="E376" i="1" a="1"/>
  <c r="E376" i="1" s="1"/>
  <c r="E377" i="1" a="1"/>
  <c r="E377" i="1" s="1"/>
  <c r="E378" i="1" a="1"/>
  <c r="E378" i="1" s="1"/>
  <c r="E379" i="1" a="1"/>
  <c r="E379" i="1" s="1"/>
  <c r="E380" i="1" a="1"/>
  <c r="E380" i="1" s="1"/>
  <c r="E381" i="1" a="1"/>
  <c r="E381" i="1" s="1"/>
  <c r="E382" i="1" a="1"/>
  <c r="E382" i="1" s="1"/>
  <c r="E383" i="1" a="1"/>
  <c r="E383" i="1" s="1"/>
  <c r="E384" i="1" a="1"/>
  <c r="E384" i="1"/>
  <c r="E385" i="1" a="1"/>
  <c r="E385" i="1"/>
  <c r="E386" i="1" a="1"/>
  <c r="E386" i="1"/>
  <c r="E387" i="1" a="1"/>
  <c r="E387" i="1"/>
  <c r="E388" i="1" a="1"/>
  <c r="E388" i="1"/>
  <c r="E389" i="1" a="1"/>
  <c r="E389" i="1"/>
  <c r="E390" i="1" a="1"/>
  <c r="E390" i="1"/>
  <c r="E391" i="1" a="1"/>
  <c r="E391" i="1"/>
  <c r="E392" i="1" a="1"/>
  <c r="E392" i="1"/>
  <c r="E393" i="1" a="1"/>
  <c r="E393" i="1"/>
  <c r="E394" i="1" a="1"/>
  <c r="E394" i="1"/>
  <c r="E395" i="1" a="1"/>
  <c r="E395" i="1"/>
  <c r="E396" i="1" a="1"/>
  <c r="E396" i="1"/>
  <c r="E397" i="1" a="1"/>
  <c r="E397" i="1"/>
  <c r="E398" i="1" a="1"/>
  <c r="E398" i="1"/>
  <c r="E399" i="1" a="1"/>
  <c r="E399" i="1"/>
  <c r="E400" i="1" a="1"/>
  <c r="E400" i="1"/>
  <c r="E401" i="1" a="1"/>
  <c r="E401" i="1"/>
  <c r="E402" i="1" a="1"/>
  <c r="E402" i="1"/>
  <c r="E403" i="1" a="1"/>
  <c r="E403" i="1"/>
  <c r="E404" i="1" a="1"/>
  <c r="E404" i="1"/>
  <c r="E405" i="1" a="1"/>
  <c r="E405" i="1"/>
  <c r="E406" i="1" a="1"/>
  <c r="E406" i="1"/>
  <c r="E407" i="1" a="1"/>
  <c r="E407" i="1"/>
  <c r="E408" i="1" a="1"/>
  <c r="E408" i="1"/>
  <c r="E409" i="1" a="1"/>
  <c r="E409" i="1"/>
  <c r="E410" i="1" a="1"/>
  <c r="E410" i="1"/>
  <c r="E411" i="1" a="1"/>
  <c r="E411" i="1"/>
  <c r="E412" i="1" a="1"/>
  <c r="E412" i="1"/>
  <c r="E413" i="1" a="1"/>
  <c r="E413" i="1"/>
  <c r="E414" i="1" a="1"/>
  <c r="E414" i="1"/>
  <c r="E415" i="1" a="1"/>
  <c r="E415" i="1"/>
  <c r="E416" i="1" a="1"/>
  <c r="E416" i="1"/>
  <c r="E417" i="1" a="1"/>
  <c r="E417" i="1"/>
  <c r="E418" i="1" a="1"/>
  <c r="E418" i="1"/>
  <c r="E419" i="1" a="1"/>
  <c r="E419" i="1"/>
  <c r="E420" i="1" a="1"/>
  <c r="E420" i="1"/>
  <c r="E421" i="1" a="1"/>
  <c r="E421" i="1"/>
  <c r="E422" i="1" a="1"/>
  <c r="E422" i="1"/>
  <c r="E423" i="1" a="1"/>
  <c r="E423" i="1"/>
  <c r="E424" i="1" a="1"/>
  <c r="E424" i="1"/>
  <c r="E425" i="1" a="1"/>
  <c r="E425" i="1"/>
  <c r="E426" i="1" a="1"/>
  <c r="E426" i="1"/>
  <c r="E427" i="1" a="1"/>
  <c r="E427" i="1"/>
  <c r="E428" i="1" a="1"/>
  <c r="E428" i="1"/>
  <c r="E429" i="1" a="1"/>
  <c r="E429" i="1"/>
  <c r="E430" i="1" a="1"/>
  <c r="E430" i="1"/>
  <c r="E431" i="1" a="1"/>
  <c r="E431" i="1"/>
  <c r="E432" i="1" a="1"/>
  <c r="E432" i="1"/>
  <c r="E433" i="1" a="1"/>
  <c r="E433" i="1"/>
  <c r="E434" i="1" a="1"/>
  <c r="E434" i="1"/>
  <c r="E435" i="1" a="1"/>
  <c r="E435" i="1"/>
  <c r="E436" i="1" a="1"/>
  <c r="E436" i="1"/>
  <c r="E437" i="1" a="1"/>
  <c r="E437" i="1"/>
  <c r="E438" i="1" a="1"/>
  <c r="E438" i="1"/>
  <c r="E439" i="1" a="1"/>
  <c r="E439" i="1"/>
  <c r="E440" i="1" a="1"/>
  <c r="E440" i="1"/>
  <c r="E441" i="1" a="1"/>
  <c r="E441" i="1"/>
  <c r="E442" i="1" a="1"/>
  <c r="E442" i="1"/>
  <c r="E443" i="1" a="1"/>
  <c r="E443" i="1"/>
  <c r="E444" i="1" a="1"/>
  <c r="E444" i="1"/>
  <c r="E445" i="1" a="1"/>
  <c r="E445" i="1"/>
  <c r="E446" i="1" a="1"/>
  <c r="E446" i="1"/>
  <c r="E447" i="1" a="1"/>
  <c r="E447" i="1"/>
  <c r="E448" i="1" a="1"/>
  <c r="E448" i="1" s="1"/>
  <c r="E449" i="1" a="1"/>
  <c r="E449" i="1"/>
  <c r="E450" i="1" a="1"/>
  <c r="E450" i="1"/>
  <c r="E451" i="1" a="1"/>
  <c r="E451" i="1"/>
  <c r="E452" i="1" a="1"/>
  <c r="E452" i="1"/>
  <c r="E453" i="1" a="1"/>
  <c r="E453" i="1"/>
  <c r="E454" i="1" a="1"/>
  <c r="E454" i="1"/>
  <c r="E455" i="1" a="1"/>
  <c r="E455" i="1"/>
  <c r="E456" i="1" a="1"/>
  <c r="E456" i="1"/>
  <c r="E457" i="1" a="1"/>
  <c r="E457" i="1"/>
  <c r="E458" i="1" a="1"/>
  <c r="E458" i="1"/>
  <c r="E459" i="1" a="1"/>
  <c r="E459" i="1"/>
  <c r="E460" i="1" a="1"/>
  <c r="E460" i="1"/>
  <c r="E461" i="1" a="1"/>
  <c r="E461" i="1"/>
  <c r="E462" i="1" a="1"/>
  <c r="E462" i="1"/>
  <c r="E463" i="1" a="1"/>
  <c r="E463" i="1"/>
  <c r="E464" i="1" a="1"/>
  <c r="E464" i="1"/>
  <c r="E465" i="1" a="1"/>
  <c r="E465" i="1"/>
  <c r="E466" i="1" a="1"/>
  <c r="E466" i="1"/>
  <c r="E467" i="1" a="1"/>
  <c r="E467" i="1"/>
  <c r="E468" i="1" a="1"/>
  <c r="E468" i="1"/>
  <c r="E469" i="1" a="1"/>
  <c r="E469" i="1" s="1"/>
  <c r="E470" i="1" a="1"/>
  <c r="E470" i="1" s="1"/>
  <c r="E471" i="1" a="1"/>
  <c r="E471" i="1" s="1"/>
  <c r="E472" i="1" a="1"/>
  <c r="E472" i="1" s="1"/>
  <c r="E473" i="1" a="1"/>
  <c r="E473" i="1" s="1"/>
  <c r="E474" i="1" a="1"/>
  <c r="E474" i="1"/>
  <c r="E475" i="1" a="1"/>
  <c r="E475" i="1"/>
  <c r="E476" i="1" a="1"/>
  <c r="E476" i="1"/>
  <c r="E477" i="1" a="1"/>
  <c r="E477" i="1"/>
  <c r="E478" i="1" a="1"/>
  <c r="E478" i="1"/>
  <c r="E479" i="1" a="1"/>
  <c r="E479" i="1"/>
  <c r="E480" i="1" a="1"/>
  <c r="E480" i="1"/>
  <c r="E481" i="1" a="1"/>
  <c r="E481" i="1"/>
  <c r="E482" i="1" a="1"/>
  <c r="E482" i="1"/>
  <c r="E483" i="1" a="1"/>
  <c r="E483" i="1"/>
  <c r="E484" i="1" a="1"/>
  <c r="E484" i="1"/>
  <c r="E485" i="1" a="1"/>
  <c r="E485" i="1"/>
  <c r="E486" i="1" a="1"/>
  <c r="E486" i="1"/>
  <c r="E487" i="1" a="1"/>
  <c r="E487" i="1"/>
  <c r="E488" i="1" a="1"/>
  <c r="E488" i="1"/>
  <c r="E489" i="1" a="1"/>
  <c r="E489" i="1"/>
  <c r="E490" i="1" a="1"/>
  <c r="E490" i="1"/>
  <c r="E491" i="1" a="1"/>
  <c r="E491" i="1"/>
  <c r="E492" i="1" a="1"/>
  <c r="E492" i="1"/>
  <c r="E493" i="1" a="1"/>
  <c r="E493" i="1"/>
  <c r="E494" i="1" a="1"/>
  <c r="E494" i="1"/>
  <c r="E495" i="1" a="1"/>
  <c r="E495" i="1"/>
  <c r="E496" i="1" a="1"/>
  <c r="E496" i="1"/>
  <c r="E497" i="1" a="1"/>
  <c r="E497" i="1"/>
  <c r="E498" i="1" a="1"/>
  <c r="E498" i="1"/>
  <c r="E499" i="1" a="1"/>
  <c r="E499" i="1"/>
  <c r="E500" i="1" a="1"/>
  <c r="E500" i="1"/>
  <c r="E501" i="1" a="1"/>
  <c r="E501" i="1"/>
  <c r="E502" i="1" a="1"/>
  <c r="E502" i="1"/>
  <c r="E503" i="1" a="1"/>
  <c r="E503" i="1"/>
  <c r="E504" i="1" a="1"/>
  <c r="E504" i="1"/>
  <c r="E505" i="1" a="1"/>
  <c r="E505" i="1"/>
  <c r="E506" i="1" a="1"/>
  <c r="E506" i="1"/>
  <c r="E507" i="1" a="1"/>
  <c r="E507" i="1"/>
  <c r="E508" i="1" a="1"/>
  <c r="E508" i="1"/>
  <c r="E509" i="1" a="1"/>
  <c r="E509" i="1"/>
  <c r="E510" i="1" a="1"/>
  <c r="E510" i="1"/>
  <c r="E511" i="1" a="1"/>
  <c r="E511" i="1"/>
  <c r="E512" i="1" a="1"/>
  <c r="E512" i="1"/>
  <c r="E513" i="1" a="1"/>
  <c r="E513" i="1"/>
  <c r="E514" i="1" a="1"/>
  <c r="E514" i="1"/>
  <c r="E515" i="1" a="1"/>
  <c r="E515" i="1"/>
  <c r="E516" i="1" a="1"/>
  <c r="E516" i="1"/>
  <c r="E517" i="1" a="1"/>
  <c r="E517" i="1"/>
  <c r="E518" i="1" a="1"/>
  <c r="E518" i="1"/>
  <c r="E519" i="1" a="1"/>
  <c r="E519" i="1"/>
  <c r="E520" i="1" a="1"/>
  <c r="E520" i="1"/>
  <c r="E521" i="1" a="1"/>
  <c r="E521" i="1"/>
  <c r="E522" i="1" a="1"/>
  <c r="E522" i="1"/>
  <c r="E523" i="1" a="1"/>
  <c r="E523" i="1"/>
  <c r="E524" i="1" a="1"/>
  <c r="E524" i="1"/>
  <c r="E525" i="1" a="1"/>
  <c r="E525" i="1"/>
  <c r="E526" i="1" a="1"/>
  <c r="E526" i="1"/>
  <c r="E527" i="1" a="1"/>
  <c r="E527" i="1"/>
  <c r="E528" i="1" a="1"/>
  <c r="E528" i="1"/>
  <c r="E529" i="1" a="1"/>
  <c r="E529" i="1"/>
  <c r="E530" i="1" a="1"/>
  <c r="E530" i="1"/>
  <c r="E531" i="1" a="1"/>
  <c r="E531" i="1"/>
  <c r="E532" i="1" a="1"/>
  <c r="E532" i="1"/>
  <c r="E533" i="1" a="1"/>
  <c r="E533" i="1"/>
  <c r="E534" i="1" a="1"/>
  <c r="E534" i="1"/>
  <c r="E535" i="1" a="1"/>
  <c r="E535" i="1"/>
  <c r="E536" i="1" a="1"/>
  <c r="E536" i="1"/>
  <c r="E537" i="1" a="1"/>
  <c r="E537" i="1"/>
  <c r="E538" i="1" a="1"/>
  <c r="E538" i="1"/>
  <c r="E539" i="1" a="1"/>
  <c r="E539" i="1"/>
  <c r="E540" i="1" a="1"/>
  <c r="E540" i="1"/>
  <c r="E541" i="1" a="1"/>
  <c r="E541" i="1"/>
  <c r="E542" i="1" a="1"/>
  <c r="E542" i="1"/>
  <c r="E543" i="1" a="1"/>
  <c r="E543" i="1"/>
  <c r="E544" i="1" a="1"/>
  <c r="E544" i="1"/>
  <c r="E545" i="1" a="1"/>
  <c r="E545" i="1"/>
  <c r="E546" i="1" a="1"/>
  <c r="E546" i="1"/>
  <c r="E547" i="1" a="1"/>
  <c r="E547" i="1"/>
  <c r="E548" i="1" a="1"/>
  <c r="E548" i="1"/>
  <c r="E549" i="1" a="1"/>
  <c r="E549" i="1"/>
  <c r="E550" i="1" a="1"/>
  <c r="E550" i="1"/>
  <c r="E551" i="1" a="1"/>
  <c r="E551" i="1"/>
  <c r="E553" i="1" a="1"/>
  <c r="E553" i="1" s="1"/>
  <c r="E554" i="1" a="1"/>
  <c r="E554" i="1" s="1"/>
  <c r="E555" i="1" a="1"/>
  <c r="E555" i="1" s="1"/>
  <c r="E556" i="1" a="1"/>
  <c r="E556" i="1" s="1"/>
  <c r="E557" i="1" a="1"/>
  <c r="E557" i="1" s="1"/>
  <c r="E558" i="1" a="1"/>
  <c r="E558" i="1" s="1"/>
  <c r="E559" i="1" a="1"/>
  <c r="E559" i="1" s="1"/>
  <c r="E560" i="1" a="1"/>
  <c r="E560" i="1" s="1"/>
  <c r="E561" i="1" a="1"/>
  <c r="E561" i="1" s="1"/>
  <c r="E562" i="1" a="1"/>
  <c r="E562" i="1" s="1"/>
  <c r="E563" i="1" a="1"/>
  <c r="E563" i="1"/>
  <c r="E564" i="1" a="1"/>
  <c r="E564" i="1"/>
  <c r="E565" i="1" a="1"/>
  <c r="E565" i="1"/>
  <c r="E566" i="1" a="1"/>
  <c r="E566" i="1"/>
  <c r="E567" i="1" a="1"/>
  <c r="E567" i="1"/>
  <c r="E568" i="1" a="1"/>
  <c r="E568" i="1"/>
  <c r="E569" i="1" a="1"/>
  <c r="E569" i="1"/>
  <c r="E570" i="1" a="1"/>
  <c r="E570" i="1"/>
  <c r="E571" i="1" a="1"/>
  <c r="E571" i="1"/>
  <c r="E572" i="1" a="1"/>
  <c r="E572" i="1"/>
  <c r="E573" i="1" a="1"/>
  <c r="E573" i="1"/>
  <c r="E574" i="1" a="1"/>
  <c r="E574" i="1"/>
  <c r="E575" i="1" a="1"/>
  <c r="E575" i="1"/>
  <c r="E576" i="1" a="1"/>
  <c r="E576" i="1"/>
  <c r="E577" i="1" a="1"/>
  <c r="E577" i="1"/>
  <c r="E578" i="1" a="1"/>
  <c r="E578" i="1"/>
  <c r="E579" i="1" a="1"/>
  <c r="E579" i="1"/>
  <c r="E580" i="1" a="1"/>
  <c r="E580" i="1"/>
  <c r="E581" i="1" a="1"/>
  <c r="E581" i="1"/>
  <c r="E582" i="1" a="1"/>
  <c r="E582" i="1"/>
  <c r="E583" i="1" a="1"/>
  <c r="E583" i="1"/>
  <c r="E584" i="1" a="1"/>
  <c r="E584" i="1"/>
  <c r="E585" i="1" a="1"/>
  <c r="E585" i="1"/>
  <c r="E586" i="1" a="1"/>
  <c r="E586" i="1"/>
  <c r="E587" i="1" a="1"/>
  <c r="E587" i="1"/>
  <c r="E588" i="1" a="1"/>
  <c r="E588" i="1"/>
  <c r="E589" i="1" a="1"/>
  <c r="E589" i="1"/>
  <c r="E590" i="1" a="1"/>
  <c r="E590" i="1"/>
  <c r="E591" i="1" a="1"/>
  <c r="E591" i="1"/>
  <c r="E592" i="1" a="1"/>
  <c r="E592" i="1"/>
  <c r="E593" i="1" a="1"/>
  <c r="E593" i="1"/>
  <c r="E594" i="1" a="1"/>
  <c r="E594" i="1"/>
  <c r="E595" i="1" a="1"/>
  <c r="E595" i="1"/>
  <c r="E596" i="1" a="1"/>
  <c r="E596" i="1"/>
  <c r="E597" i="1" a="1"/>
  <c r="E597" i="1"/>
  <c r="E598" i="1" a="1"/>
  <c r="E598" i="1"/>
  <c r="E599" i="1" a="1"/>
  <c r="E599" i="1"/>
  <c r="E600" i="1" a="1"/>
  <c r="E600" i="1"/>
  <c r="E601" i="1" a="1"/>
  <c r="E601" i="1"/>
  <c r="E602" i="1" a="1"/>
  <c r="E602" i="1"/>
  <c r="E603" i="1" a="1"/>
  <c r="E603" i="1"/>
  <c r="E604" i="1" a="1"/>
  <c r="E604" i="1"/>
  <c r="E605" i="1" a="1"/>
  <c r="E605" i="1"/>
  <c r="E606" i="1" a="1"/>
  <c r="E606" i="1"/>
  <c r="E607" i="1" a="1"/>
  <c r="E607" i="1"/>
  <c r="E608" i="1" a="1"/>
  <c r="E608" i="1"/>
  <c r="E609" i="1" a="1"/>
  <c r="E609" i="1"/>
  <c r="E610" i="1" a="1"/>
  <c r="E610" i="1"/>
  <c r="E611" i="1" a="1"/>
  <c r="E611" i="1"/>
  <c r="E612" i="1" a="1"/>
  <c r="E612" i="1"/>
  <c r="E613" i="1" a="1"/>
  <c r="E613" i="1"/>
  <c r="E614" i="1" a="1"/>
  <c r="E614" i="1"/>
  <c r="E615" i="1" a="1"/>
  <c r="E615" i="1"/>
  <c r="E616" i="1" a="1"/>
  <c r="E616" i="1"/>
  <c r="E617" i="1" a="1"/>
  <c r="E617" i="1"/>
  <c r="E618" i="1" a="1"/>
  <c r="E618" i="1"/>
  <c r="E619" i="1" a="1"/>
  <c r="E619" i="1"/>
  <c r="E620" i="1" a="1"/>
  <c r="E620" i="1"/>
  <c r="E621" i="1" a="1"/>
  <c r="E621" i="1"/>
  <c r="E622" i="1" a="1"/>
  <c r="E622" i="1"/>
  <c r="E623" i="1" a="1"/>
  <c r="E623" i="1"/>
  <c r="E624" i="1" a="1"/>
  <c r="E624" i="1"/>
  <c r="E625" i="1" a="1"/>
  <c r="E625" i="1" s="1"/>
  <c r="E626" i="1" a="1"/>
  <c r="E626" i="1" s="1"/>
  <c r="E627" i="1" a="1"/>
  <c r="E627" i="1" s="1"/>
  <c r="E628" i="1" a="1"/>
  <c r="E628" i="1" s="1"/>
  <c r="E629" i="1" a="1"/>
  <c r="E629" i="1"/>
  <c r="E630" i="1" a="1"/>
  <c r="E630" i="1"/>
  <c r="E631" i="1" a="1"/>
  <c r="E631" i="1"/>
  <c r="E632" i="1" a="1"/>
  <c r="E632" i="1"/>
  <c r="E633" i="1" a="1"/>
  <c r="E633" i="1"/>
  <c r="E634" i="1" a="1"/>
  <c r="E634" i="1"/>
  <c r="E635" i="1" a="1"/>
  <c r="E635" i="1"/>
  <c r="E636" i="1" a="1"/>
  <c r="E636" i="1"/>
  <c r="E637" i="1" a="1"/>
  <c r="E637" i="1"/>
  <c r="E638" i="1" a="1"/>
  <c r="E638" i="1"/>
  <c r="E639" i="1" a="1"/>
  <c r="E639" i="1"/>
  <c r="E640" i="1" a="1"/>
  <c r="E640" i="1"/>
  <c r="E641" i="1" a="1"/>
  <c r="E641" i="1"/>
  <c r="E642" i="1" a="1"/>
  <c r="E642" i="1"/>
  <c r="E643" i="1" a="1"/>
  <c r="E643" i="1"/>
  <c r="E644" i="1" a="1"/>
  <c r="E644" i="1"/>
  <c r="E645" i="1" a="1"/>
  <c r="E645" i="1" s="1"/>
  <c r="E646" i="1" a="1"/>
  <c r="E646" i="1" s="1"/>
  <c r="E647" i="1" a="1"/>
  <c r="E647" i="1" s="1"/>
  <c r="E648" i="1" a="1"/>
  <c r="E648" i="1" s="1"/>
  <c r="E649" i="1" a="1"/>
  <c r="E649" i="1" s="1"/>
  <c r="E650" i="1" a="1"/>
  <c r="E650" i="1" s="1"/>
  <c r="E651" i="1" a="1"/>
  <c r="E651" i="1" s="1"/>
  <c r="E652" i="1" a="1"/>
  <c r="E652" i="1" s="1"/>
  <c r="E653" i="1" a="1"/>
  <c r="E653" i="1"/>
  <c r="E654" i="1" a="1"/>
  <c r="E654" i="1"/>
  <c r="E655" i="1" a="1"/>
  <c r="E655" i="1"/>
  <c r="E656" i="1" a="1"/>
  <c r="E656" i="1"/>
  <c r="E657" i="1" a="1"/>
  <c r="E657" i="1"/>
  <c r="E658" i="1" a="1"/>
  <c r="E658" i="1"/>
  <c r="E659" i="1" a="1"/>
  <c r="E659" i="1"/>
  <c r="E660" i="1" a="1"/>
  <c r="E660" i="1"/>
  <c r="E661" i="1" a="1"/>
  <c r="E661" i="1"/>
  <c r="E662" i="1" a="1"/>
  <c r="E662" i="1"/>
  <c r="E663" i="1" a="1"/>
  <c r="E663" i="1"/>
  <c r="E664" i="1" a="1"/>
  <c r="E664" i="1"/>
  <c r="E665" i="1" a="1"/>
  <c r="E665" i="1"/>
  <c r="E666" i="1" a="1"/>
  <c r="E666" i="1"/>
  <c r="E667" i="1" a="1"/>
  <c r="E667" i="1"/>
  <c r="E668" i="1" a="1"/>
  <c r="E668" i="1"/>
  <c r="E669" i="1" a="1"/>
  <c r="E669" i="1"/>
  <c r="E670" i="1" a="1"/>
  <c r="E670" i="1"/>
  <c r="E671" i="1" a="1"/>
  <c r="E671" i="1"/>
  <c r="E672" i="1" a="1"/>
  <c r="E672" i="1"/>
  <c r="E673" i="1" a="1"/>
  <c r="E673" i="1"/>
  <c r="E674" i="1" a="1"/>
  <c r="E674" i="1"/>
  <c r="E675" i="1" a="1"/>
  <c r="E675" i="1"/>
  <c r="E676" i="1" a="1"/>
  <c r="E676" i="1"/>
  <c r="E677" i="1" a="1"/>
  <c r="E677" i="1"/>
  <c r="E678" i="1" a="1"/>
  <c r="E678" i="1"/>
  <c r="E679" i="1" a="1"/>
  <c r="E679" i="1"/>
  <c r="E680" i="1" a="1"/>
  <c r="E680" i="1"/>
  <c r="E681" i="1" a="1"/>
  <c r="E681" i="1"/>
  <c r="E682" i="1" a="1"/>
  <c r="E682" i="1"/>
  <c r="E683" i="1" a="1"/>
  <c r="E683" i="1"/>
  <c r="E684" i="1" a="1"/>
  <c r="E684" i="1"/>
  <c r="E685" i="1" a="1"/>
  <c r="E685" i="1"/>
  <c r="E686" i="1" a="1"/>
  <c r="E686" i="1"/>
  <c r="E687" i="1" a="1"/>
  <c r="E687" i="1"/>
  <c r="E688" i="1" a="1"/>
  <c r="E688" i="1"/>
  <c r="E689" i="1" a="1"/>
  <c r="E689" i="1"/>
  <c r="E690" i="1" a="1"/>
  <c r="E690" i="1"/>
  <c r="E691" i="1" a="1"/>
  <c r="E691" i="1"/>
  <c r="E692" i="1" a="1"/>
  <c r="E692" i="1"/>
  <c r="E693" i="1" a="1"/>
  <c r="E693" i="1"/>
  <c r="E694" i="1" a="1"/>
  <c r="E694" i="1"/>
  <c r="E695" i="1" a="1"/>
  <c r="E695" i="1"/>
  <c r="E696" i="1" a="1"/>
  <c r="E696" i="1"/>
  <c r="E697" i="1" a="1"/>
  <c r="E697" i="1"/>
  <c r="E698" i="1" a="1"/>
  <c r="E698" i="1"/>
  <c r="E699" i="1" a="1"/>
  <c r="E699" i="1"/>
  <c r="E700" i="1" a="1"/>
  <c r="E700" i="1"/>
  <c r="E701" i="1" a="1"/>
  <c r="E701" i="1"/>
  <c r="E702" i="1" a="1"/>
  <c r="E702" i="1"/>
  <c r="E703" i="1" a="1"/>
  <c r="E703" i="1"/>
  <c r="E704" i="1" a="1"/>
  <c r="E704" i="1"/>
  <c r="E705" i="1" a="1"/>
  <c r="E705" i="1"/>
  <c r="E706" i="1" a="1"/>
  <c r="E706" i="1"/>
  <c r="E707" i="1" a="1"/>
  <c r="E707" i="1"/>
  <c r="E708" i="1" a="1"/>
  <c r="E708" i="1"/>
  <c r="E709" i="1" a="1"/>
  <c r="E709" i="1"/>
  <c r="E710" i="1" a="1"/>
  <c r="E710" i="1"/>
  <c r="E711" i="1" a="1"/>
  <c r="E711" i="1"/>
  <c r="E712" i="1" a="1"/>
  <c r="E712" i="1"/>
  <c r="E713" i="1" a="1"/>
  <c r="E713" i="1"/>
  <c r="E714" i="1" a="1"/>
  <c r="E714" i="1"/>
  <c r="E715" i="1" a="1"/>
  <c r="E715" i="1"/>
  <c r="E716" i="1" a="1"/>
  <c r="E716" i="1"/>
  <c r="E2" i="1" a="1"/>
  <c r="E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8D2316-37B6-324B-9592-880CCED3AB4E}" name="cnes_cnv_equipebr132935186_212_98_254" type="6" refreshedVersion="8" background="1" saveData="1">
    <textPr sourceFile="/Users/alessandrojatoba/Downloads/cnes_cnv_equipebr132935186_212_98_254.csv" decimal="," thousands="." semicolon="1">
      <textFields count="12">
        <textField/>
        <textField/>
        <textField/>
        <textField/>
        <textField/>
        <textField/>
        <textField/>
        <textField/>
        <textField/>
        <textField/>
        <textField/>
        <textField/>
      </textFields>
    </textPr>
  </connection>
  <connection id="2" xr16:uid="{4AAFCF67-1DA9-0448-947E-963A04A6E289}" name="cnes_cnv_equipebr141509186_212_98_254" type="6" refreshedVersion="8" background="1" saveData="1">
    <textPr sourceFile="/Users/alessandrojatoba/Downloads/cnes_cnv_equipebr141509186_212_98_254.csv" decimal="," thousands="." semicolon="1">
      <textFields count="12">
        <textField/>
        <textField/>
        <textField/>
        <textField/>
        <textField/>
        <textField/>
        <textField/>
        <textField/>
        <textField/>
        <textField/>
        <textField/>
        <textField/>
      </textFields>
    </textPr>
  </connection>
  <connection id="3" xr16:uid="{4BFD0240-7603-644F-9B32-422914E0828C}" name="cnes_cnv_equipebr142024186_212_98_254" type="6" refreshedVersion="8" background="1" saveData="1">
    <textPr sourceFile="/Users/alessandrojatoba/Downloads/cnes_cnv_equipebr142024186_212_98_254.csv" decimal="," thousands="." semicolon="1">
      <textFields count="12">
        <textField/>
        <textField/>
        <textField/>
        <textField/>
        <textField/>
        <textField/>
        <textField/>
        <textField/>
        <textField/>
        <textField/>
        <textField/>
        <textField/>
      </textFields>
    </textPr>
  </connection>
  <connection id="4" xr16:uid="{16F996B1-8EF0-0A4E-885D-02790CE2CAD6}" name="cnes_cnv_servc2br190248186_212_98_254" type="6" refreshedVersion="8" background="1" saveData="1">
    <textPr sourceFile="/Users/alessandrojatoba/Downloads/cnes_cnv_servc2br190248186_212_98_254.csv" decimal="," thousands="." semicolon="1">
      <textFields count="12">
        <textField/>
        <textField/>
        <textField/>
        <textField/>
        <textField/>
        <textField/>
        <textField/>
        <textField/>
        <textField/>
        <textField/>
        <textField/>
        <textField/>
      </textFields>
    </textPr>
  </connection>
  <connection id="5" xr16:uid="{5CEDA417-3E27-EF41-BAE7-86BC41F6C39D}" name="deepseek_csv_20260103_403e55" type="6" refreshedVersion="8" background="1" saveData="1">
    <textPr sourceFile="/Users/alessandrojatoba/Downloads/deepseek_csv_20260103_403e55.txt" decimal="," thousands="." semicolon="1">
      <textFields count="3">
        <textField/>
        <textField/>
        <textField/>
      </textFields>
    </textPr>
  </connection>
  <connection id="6" xr16:uid="{23D39319-F95B-0C4A-84B2-6306BDD7171A}" name="deepseek_csv_20260103_47bacb" type="6" refreshedVersion="8" background="1" saveData="1">
    <textPr sourceFile="/Users/alessandrojatoba/Downloads/deepseek_csv_20260103_47bacb.txt" decimal="," thousands="." semicolon="1">
      <textFields count="3">
        <textField/>
        <textField/>
        <textField/>
      </textFields>
    </textPr>
  </connection>
  <connection id="7" xr16:uid="{8A40646B-2754-104E-8C11-B2D56A6C946D}" name="deepseek_csv_20260103_6c6bf3" type="6" refreshedVersion="8" background="1" saveData="1">
    <textPr sourceFile="/Users/alessandrojatoba/Downloads/deepseek_csv_20260103_6c6bf3.txt" decimal="," thousands="." semicolon="1">
      <textFields count="3">
        <textField/>
        <textField/>
        <textField/>
      </textFields>
    </textPr>
  </connection>
  <connection id="8" xr16:uid="{F36A7923-167C-3241-9F7B-71022642A5E6}" name="deepseek_csv_20260104_20d45e" type="6" refreshedVersion="8" background="1" saveData="1">
    <textPr sourceFile="/Users/alessandrojatoba/Downloads/deepseek_csv_20260104_20d45e.txt" decimal="," thousands="." semicolon="1">
      <textFields count="3">
        <textField/>
        <textField/>
        <textField/>
      </textFields>
    </textPr>
  </connection>
  <connection id="9" xr16:uid="{94F091B7-269E-0741-B861-9F117F6000F4}" name="deepseek_csv_20260104_4f976d" type="6" refreshedVersion="8" background="1" saveData="1">
    <textPr sourceFile="/Users/alessandrojatoba/Downloads/deepseek_csv_20260104_4f976d.txt" decimal="," thousands="." semicolon="1">
      <textFields count="3">
        <textField/>
        <textField/>
        <textField/>
      </textFields>
    </textPr>
  </connection>
  <connection id="10" xr16:uid="{55F4ADEC-47FF-ED44-A998-C873C241192C}" name="deepseek_csv_20260104_5c32f5" type="6" refreshedVersion="8" background="1" saveData="1">
    <textPr sourceFile="/Users/alessandrojatoba/Downloads/deepseek_csv_20260104_5c32f5.txt" decimal="," thousands="." semicolon="1">
      <textFields count="3">
        <textField/>
        <textField/>
        <textField/>
      </textFields>
    </textPr>
  </connection>
  <connection id="11" xr16:uid="{F3235890-88DD-5841-81E3-591BE3FA2E26}" name="deepseek_csv_20260104_79b2e0" type="6" refreshedVersion="8" background="1" saveData="1">
    <textPr sourceFile="/Users/alessandrojatoba/Downloads/deepseek_csv_20260104_79b2e0.txt" decimal="," thousands="." semicolon="1">
      <textFields count="3">
        <textField/>
        <textField/>
        <textField/>
      </textFields>
    </textPr>
  </connection>
  <connection id="12" xr16:uid="{6FF7C47F-C51F-EE42-867F-0675DE217DFA}" name="deepseek_csv_20260104_df6ff8" type="6" refreshedVersion="8" background="1" saveData="1">
    <textPr sourceFile="/Users/alessandrojatoba/Downloads/deepseek_csv_20260104_df6ff8.txt" decimal="," thousands="." semicolon="1">
      <textFields count="3">
        <textField/>
        <textField/>
        <textField/>
      </textFields>
    </textPr>
  </connection>
  <connection id="13" xr16:uid="{110A6332-B316-D849-9F0E-B8E9953CBB9C}" name="deepseek_csv_20260104_efcd65" type="6" refreshedVersion="8" background="1" saveData="1">
    <textPr sourceFile="/Users/alessandrojatoba/Downloads/deepseek_csv_20260104_efcd65.txt" decimal="," thousands="." semicolon="1">
      <textFields count="3">
        <textField/>
        <textField/>
        <textField/>
      </textFields>
    </textPr>
  </connection>
  <connection id="14" xr16:uid="{8262A6DE-7AB7-0A41-A03D-A36E1128FFF5}" name="deepseek_csv_20260104_f19835" type="6" refreshedVersion="8" background="1" saveData="1">
    <textPr sourceFile="/Users/alessandrojatoba/Downloads/deepseek_csv_20260104_f19835.txt" decimal="," thousands="." semicolon="1">
      <textFields count="3">
        <textField/>
        <textField/>
        <textField/>
      </textFields>
    </textPr>
  </connection>
  <connection id="15" xr16:uid="{0C136D0D-09AC-4242-9D9D-C19F5AA8D10D}" name="deepseek_csv_20260105_5d445e" type="6" refreshedVersion="8" background="1" saveData="1">
    <textPr sourceFile="/Users/alessandrojatoba/Downloads/deepseek_csv_20260105_5d445e.txt" decimal="," thousands="." semicolon="1">
      <textFields count="3">
        <textField/>
        <textField/>
        <textField/>
      </textFields>
    </textPr>
  </connection>
  <connection id="16" xr16:uid="{9A32404C-D236-3443-BEF7-FC78D6DBCCCD}" name="deepseek_csv_20260105_fcc3b6" type="6" refreshedVersion="8" background="1" saveData="1">
    <textPr sourceFile="/Users/alessandrojatoba/Downloads/deepseek_csv_20260105_fcc3b6.txt" decimal="," thousands="." semicolon="1">
      <textFields count="3">
        <textField/>
        <textField/>
        <textField/>
      </textFields>
    </textPr>
  </connection>
  <connection id="17" xr16:uid="{4212EC2B-180D-DB46-9377-CAA53EA28A12}" name="sinannet_cnv_denguebbr213106186_212_98_254" type="6" refreshedVersion="8" background="1" saveData="1">
    <textPr sourceFile="/Users/alessandrojatoba/Downloads/sinannet_cnv_denguebbr213106186_212_98_254.csv" decimal="," thousands="." semicolon="1">
      <textFields count="13">
        <textField/>
        <textField/>
        <textField/>
        <textField/>
        <textField/>
        <textField/>
        <textField/>
        <textField/>
        <textField/>
        <textField/>
        <textField/>
        <textField/>
        <textField/>
      </textFields>
    </textPr>
  </connection>
  <connection id="18" xr16:uid="{768AD3F6-6156-FF43-864A-A8DB0C1CFC1E}" name="sinannet_cnv_denguebbr213744186_212_98_254" type="6" refreshedVersion="8" background="1" saveData="1">
    <textPr sourceFile="/Users/alessandrojatoba/Downloads/sinannet_cnv_denguebbr213744186_212_98_254.csv" decimal="," thousands="." semicolon="1">
      <textFields count="13">
        <textField/>
        <textField/>
        <textField/>
        <textField/>
        <textField/>
        <textField/>
        <textField/>
        <textField/>
        <textField/>
        <textField/>
        <textField/>
        <textField/>
        <textField/>
      </textFields>
    </textP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<sst xmlns="http://schemas.openxmlformats.org/spreadsheetml/2006/main" count="12267" uniqueCount="371">
  <si>
    <t>Ano</t>
  </si>
  <si>
    <t>São Paulo (SP)</t>
  </si>
  <si>
    <t>3304557</t>
  </si>
  <si>
    <t>Rio de Janeiro (RJ)</t>
  </si>
  <si>
    <t>Brasília (DF)</t>
  </si>
  <si>
    <t>5300108</t>
  </si>
  <si>
    <t>2304400</t>
  </si>
  <si>
    <t>Fortaleza (CE)</t>
  </si>
  <si>
    <t>2927408</t>
  </si>
  <si>
    <t>Salvador (BA)</t>
  </si>
  <si>
    <t>3106200</t>
  </si>
  <si>
    <t>Belo Horizonte (MG)</t>
  </si>
  <si>
    <t>Manaus (AM)</t>
  </si>
  <si>
    <t>1302603</t>
  </si>
  <si>
    <t>4106902</t>
  </si>
  <si>
    <t>Curitiba (PR)</t>
  </si>
  <si>
    <t>2611606</t>
  </si>
  <si>
    <t>Recife (PE)</t>
  </si>
  <si>
    <t>5208707</t>
  </si>
  <si>
    <t>Goiânia (GO)</t>
  </si>
  <si>
    <t>1501402</t>
  </si>
  <si>
    <t>Belém (PA)</t>
  </si>
  <si>
    <t>4314902</t>
  </si>
  <si>
    <t>Porto Alegre (RS)</t>
  </si>
  <si>
    <t>3518800</t>
  </si>
  <si>
    <t>Guarulhos (SP)</t>
  </si>
  <si>
    <t>3509502</t>
  </si>
  <si>
    <t>Campinas (SP)</t>
  </si>
  <si>
    <t>2111300</t>
  </si>
  <si>
    <t>São Luís (MA)</t>
  </si>
  <si>
    <t>2704302</t>
  </si>
  <si>
    <t>Maceió (AL)</t>
  </si>
  <si>
    <t>5002704</t>
  </si>
  <si>
    <t>Campo Grande (MS)</t>
  </si>
  <si>
    <t>3304904</t>
  </si>
  <si>
    <t>São Gonçalo (RJ)</t>
  </si>
  <si>
    <t>2211001</t>
  </si>
  <si>
    <t>Teresina (PI)</t>
  </si>
  <si>
    <t>2507507</t>
  </si>
  <si>
    <t>João Pessoa (PB)</t>
  </si>
  <si>
    <t>3301702</t>
  </si>
  <si>
    <t>Duque de Caxias (RJ)</t>
  </si>
  <si>
    <t>3303500</t>
  </si>
  <si>
    <t>Nova Iguaçu (RJ)</t>
  </si>
  <si>
    <t>3548708</t>
  </si>
  <si>
    <t>São Bernardo do Campo (SP)</t>
  </si>
  <si>
    <t>2408102</t>
  </si>
  <si>
    <t>Natal (RN)</t>
  </si>
  <si>
    <t>3547809</t>
  </si>
  <si>
    <t>Santo André (SP)</t>
  </si>
  <si>
    <t>3552205</t>
  </si>
  <si>
    <t>Sorocaba (SP)</t>
  </si>
  <si>
    <t>3170206</t>
  </si>
  <si>
    <t>Uberlândia (MG)</t>
  </si>
  <si>
    <t>3534401</t>
  </si>
  <si>
    <t>Osasco (SP)</t>
  </si>
  <si>
    <t>3543402</t>
  </si>
  <si>
    <t>Ribeirão Preto (SP)</t>
  </si>
  <si>
    <t>3549904</t>
  </si>
  <si>
    <t>São José dos Campos (SP)</t>
  </si>
  <si>
    <t>5103403</t>
  </si>
  <si>
    <t>Cuiabá (MT)</t>
  </si>
  <si>
    <t>2607901</t>
  </si>
  <si>
    <t>Jaboatão dos Guararapes (PE)</t>
  </si>
  <si>
    <t>4209102</t>
  </si>
  <si>
    <t>Joinville (SC)</t>
  </si>
  <si>
    <t>2910800</t>
  </si>
  <si>
    <t>Feira de Santana (BA)</t>
  </si>
  <si>
    <t>3118601</t>
  </si>
  <si>
    <t>Contagem (MG)</t>
  </si>
  <si>
    <t>2800308</t>
  </si>
  <si>
    <t>Aracaju (SE)</t>
  </si>
  <si>
    <t>4205407</t>
  </si>
  <si>
    <t>Florianópolis (SC)</t>
  </si>
  <si>
    <t>4113700</t>
  </si>
  <si>
    <t>Londrina (PR)</t>
  </si>
  <si>
    <t>Serra (ES)</t>
  </si>
  <si>
    <t>3205002</t>
  </si>
  <si>
    <t>3136702</t>
  </si>
  <si>
    <t>Juiz de Fora (MG)</t>
  </si>
  <si>
    <t>5201405</t>
  </si>
  <si>
    <t>Aparecida de Goiânia (GO)</t>
  </si>
  <si>
    <t>3301009</t>
  </si>
  <si>
    <t>Campos dos Goytacazes (RJ)</t>
  </si>
  <si>
    <t>3300456</t>
  </si>
  <si>
    <t>Belford Roxo (RJ)</t>
  </si>
  <si>
    <t>1100205</t>
  </si>
  <si>
    <t>Porto Velho (RO)</t>
  </si>
  <si>
    <t>3303302</t>
  </si>
  <si>
    <t>Niterói (RJ)</t>
  </si>
  <si>
    <t>1500800</t>
  </si>
  <si>
    <t>Ananindeua (PA)</t>
  </si>
  <si>
    <t>3205200</t>
  </si>
  <si>
    <t>Vila Velha (ES)</t>
  </si>
  <si>
    <t>3549805</t>
  </si>
  <si>
    <t>São José do Rio Preto (SP)</t>
  </si>
  <si>
    <t>1600303</t>
  </si>
  <si>
    <t>Macapá (AP)</t>
  </si>
  <si>
    <t>1400100</t>
  </si>
  <si>
    <t>Boa Vista (RR)</t>
  </si>
  <si>
    <t>4305108</t>
  </si>
  <si>
    <t>Caxias do Sul (RS)</t>
  </si>
  <si>
    <t>3530607</t>
  </si>
  <si>
    <t>Mogi das Cruzes (SP)</t>
  </si>
  <si>
    <t>3305109</t>
  </si>
  <si>
    <t>São João de Meriti (RJ)</t>
  </si>
  <si>
    <t>3525904</t>
  </si>
  <si>
    <t>Jundiaí (SP)</t>
  </si>
  <si>
    <t>2504009</t>
  </si>
  <si>
    <t>Campina Grande (PB)</t>
  </si>
  <si>
    <t>3538709</t>
  </si>
  <si>
    <t>Piracicaba (SP)</t>
  </si>
  <si>
    <t>3143302</t>
  </si>
  <si>
    <t>Montes Claros (MG)</t>
  </si>
  <si>
    <t>3106705</t>
  </si>
  <si>
    <t>Betim (MG)</t>
  </si>
  <si>
    <t>4115200</t>
  </si>
  <si>
    <t>Maringá (PR)</t>
  </si>
  <si>
    <t>3548500</t>
  </si>
  <si>
    <t>Santos (SP)</t>
  </si>
  <si>
    <t>3529401</t>
  </si>
  <si>
    <t>Mauá (SP)</t>
  </si>
  <si>
    <t>5201108</t>
  </si>
  <si>
    <t>Anápolis (GO)</t>
  </si>
  <si>
    <t>2611101</t>
  </si>
  <si>
    <t>Petrolina (PE)</t>
  </si>
  <si>
    <t>2604106</t>
  </si>
  <si>
    <t>Caruaru (PE)</t>
  </si>
  <si>
    <t>3513801</t>
  </si>
  <si>
    <t>Diadema (SP)</t>
  </si>
  <si>
    <t>CNES - Recursos FÌsicos - Hospitalar - Leitos de internaÁ„o - Brasil</t>
  </si>
  <si>
    <t>Quantidade existente por MunicÌpio e Ano/mÍs compet.</t>
  </si>
  <si>
    <t>MunicÌpio: 110020 PORTO VELHO, 130260 MANAUS, 140010 BOA VISTA, 150080 ANANINDEUA, 150140 BELEM, 160030 MACAPA, 211130 SAO LUIS, 221100 TERESINA, 230440 FORTALEZA, 240810 NATAL, 250400 CAMPINA GRANDE, 250750 JOAO PESSOA, 260410 CARUARU, 260790 JABOATAO DOS GUARARAPES, 261110 PETROLINA, 261160 RECIFE, 270430 MACEIO, 280030 ARACAJU, 291080 FEIRA DE SANTANA, 292740 SALVADOR, 310620 BELO HORIZONTE, 310670 BETIM, 311860 CONTAGEM, 313670 JUIZ DE FORA, 314330 MONTES CLAROS, 317020 UBERLANDIA, 320500 SERRA, 320520 VILA VELHA, 330045 BELFORD ROXO, 330100 CAMPOS DOS GOYTACAZES, 330170 DUQUE DE CAXIAS, 330330 NITEROI, 330350 NOVA IGUACU, 330455 RIO DE JANEIRO, 330490 SAO GONCALO, 330510 SAO JOAO DE MERITI, 350950 CAMPINAS, 351380 DIADEMA, 351880 GUARULHOS, 352590 JUNDIAI, 352940 MAUA, 353060 MOGI DAS CRUZES, 353440 OSASCO, 353870 PIRACICABA, 354340 RIBEIRAO PRETO, 354780 SANTO ANDRE, 354850 SANTOS, 354870 SAO BERNARDO DO CAMPO, 354980 SAO JOSE DO RIO PRETO, 354990 SAO JOSE DOS CAMPOS, 355030 SAO PAULO, 355220 SOROCABA, 410690 CURITIBA, 411370 LONDRINA, 411520 MARINGA, 420540 FLORIANOPOLIS, 420910 JOINVILLE, 430510 CAXIAS DO SUL, 431490 PORTO ALEGRE, 500270 CAMPO GRANDE, 510340 CUIABA, 520110 ANAPOLIS, 520140 APARECIDA DE GOIANIA, 520870 GOIANIA, 530010 BRASILIA</t>
  </si>
  <si>
    <t>PerÌodo:Nov/2015, Nov/2016, Nov/2017, Nov/2018, Nov/2019, Nov/2020, Nov/2021, Nov/2022, Nov/2023, Nov/2024, Nov/2025</t>
  </si>
  <si>
    <t>MunicÌpio</t>
  </si>
  <si>
    <t>2015/Nov</t>
  </si>
  <si>
    <t>2016/Nov</t>
  </si>
  <si>
    <t>2017/Nov</t>
  </si>
  <si>
    <t>2018/Nov</t>
  </si>
  <si>
    <t>2019/Nov</t>
  </si>
  <si>
    <t>2020/Nov</t>
  </si>
  <si>
    <t>2021/Nov</t>
  </si>
  <si>
    <t>2022/Nov</t>
  </si>
  <si>
    <t>2023/Nov</t>
  </si>
  <si>
    <t>2024/Nov</t>
  </si>
  <si>
    <t>2025/Nov</t>
  </si>
  <si>
    <t>110020 PORTO VELHO</t>
  </si>
  <si>
    <t>130260 MANAUS</t>
  </si>
  <si>
    <t>140010 BOA VISTA</t>
  </si>
  <si>
    <t>150080 ANANINDEUA</t>
  </si>
  <si>
    <t>150140 BELEM</t>
  </si>
  <si>
    <t>160030 MACAPA</t>
  </si>
  <si>
    <t>211130 SAO LUIS</t>
  </si>
  <si>
    <t>221100 TERESINA</t>
  </si>
  <si>
    <t>230440 FORTALEZA</t>
  </si>
  <si>
    <t>240810 NATAL</t>
  </si>
  <si>
    <t>250400 CAMPINA GRANDE</t>
  </si>
  <si>
    <t>250750 JOAO PESSOA</t>
  </si>
  <si>
    <t>260410 CARUARU</t>
  </si>
  <si>
    <t>260790 JABOATAO DOS GUARARAPES</t>
  </si>
  <si>
    <t>261110 PETROLINA</t>
  </si>
  <si>
    <t>261160 RECIFE</t>
  </si>
  <si>
    <t>270430 MACEIO</t>
  </si>
  <si>
    <t>280030 ARACAJU</t>
  </si>
  <si>
    <t>291080 FEIRA DE SANTANA</t>
  </si>
  <si>
    <t>292740 SALVADOR</t>
  </si>
  <si>
    <t>310620 BELO HORIZONTE</t>
  </si>
  <si>
    <t>310670 BETIM</t>
  </si>
  <si>
    <t>311860 CONTAGEM</t>
  </si>
  <si>
    <t>313670 JUIZ DE FORA</t>
  </si>
  <si>
    <t>314330 MONTES CLAROS</t>
  </si>
  <si>
    <t>317020 UBERLANDIA</t>
  </si>
  <si>
    <t>320500 SERRA</t>
  </si>
  <si>
    <t>320520 VILA VELHA</t>
  </si>
  <si>
    <t>330045 BELFORD ROXO</t>
  </si>
  <si>
    <t>330100 CAMPOS DOS GOYTACAZES</t>
  </si>
  <si>
    <t>330170 DUQUE DE CAXIAS</t>
  </si>
  <si>
    <t>330330 NITEROI</t>
  </si>
  <si>
    <t>330350 NOVA IGUACU</t>
  </si>
  <si>
    <t>330455 RIO DE JANEIRO</t>
  </si>
  <si>
    <t>330490 SAO GONCALO</t>
  </si>
  <si>
    <t>330510 SAO JOAO DE MERITI</t>
  </si>
  <si>
    <t>350950 CAMPINAS</t>
  </si>
  <si>
    <t>351380 DIADEMA</t>
  </si>
  <si>
    <t>351880 GUARULHOS</t>
  </si>
  <si>
    <t>352590 JUNDIAI</t>
  </si>
  <si>
    <t>352940 MAUA</t>
  </si>
  <si>
    <t>353060 MOGI DAS CRUZES</t>
  </si>
  <si>
    <t>353440 OSASCO</t>
  </si>
  <si>
    <t>353870 PIRACICABA</t>
  </si>
  <si>
    <t>354340 RIBEIRAO PRETO</t>
  </si>
  <si>
    <t>354780 SANTO ANDRE</t>
  </si>
  <si>
    <t>354850 SANTOS</t>
  </si>
  <si>
    <t>354870 SAO BERNARDO DO CAMPO</t>
  </si>
  <si>
    <t>354980 SAO JOSE DO RIO PRETO</t>
  </si>
  <si>
    <t>354990 SAO JOSE DOS CAMPOS</t>
  </si>
  <si>
    <t>355030 SAO PAULO</t>
  </si>
  <si>
    <t>355220 SOROCABA</t>
  </si>
  <si>
    <t>410690 CURITIBA</t>
  </si>
  <si>
    <t>411370 LONDRINA</t>
  </si>
  <si>
    <t>411520 MARINGA</t>
  </si>
  <si>
    <t>420540 FLORIANOPOLIS</t>
  </si>
  <si>
    <t>420910 JOINVILLE</t>
  </si>
  <si>
    <t>430510 CAXIAS DO SUL</t>
  </si>
  <si>
    <t>431490 PORTO ALEGRE</t>
  </si>
  <si>
    <t>500270 CAMPO GRANDE</t>
  </si>
  <si>
    <t>510340 CUIABA</t>
  </si>
  <si>
    <t>520110 ANAPOLIS</t>
  </si>
  <si>
    <t>520140 APARECIDA DE GOIANIA</t>
  </si>
  <si>
    <t>520870 GOIANIA</t>
  </si>
  <si>
    <t>530010 BRASILIA</t>
  </si>
  <si>
    <t>Total</t>
  </si>
  <si>
    <t xml:space="preserve"> A partir da competÍncia de Janeiro 2010 os dados referentes</t>
  </si>
  <si>
    <t xml:space="preserve"> a leitos Complementares foram retirados da consulta referente</t>
  </si>
  <si>
    <t xml:space="preserve"> a leitos de InternaÁ„o, passando a constituir uma consulta especÌfica conforme descrito na Nota TÈcnica.</t>
  </si>
  <si>
    <t xml:space="preserve"> Fonte: MinistÈrio da Sa˙de - Cadastro Nacional dos Estabelecimentos de Sa˙de do Brasil - CNES</t>
  </si>
  <si>
    <t xml:space="preserve"> Nota:</t>
  </si>
  <si>
    <t xml:space="preserve"> - Os dados relativos ao Cadastro Nacional de Estabelecimentos de Sa˙de (CNES) exibidos no TABNET referem-se aos registros constantes no Banco de Dados Nacional do CNES com status ATIVO.</t>
  </si>
  <si>
    <t xml:space="preserve"> - A partir do processamento de junho de 2012, houve mudanÁa na classificaÁ„o da natureza e esfera dos estabelecimentos. Com isso, temos que:</t>
  </si>
  <si>
    <t xml:space="preserve"> </t>
  </si>
  <si>
    <t xml:space="preserve"> AtÈ maio de 2012 estas informaÁıes est„o disponÌveis como "Natureza" e "Esfera Administrativa".</t>
  </si>
  <si>
    <t xml:space="preserve"> De junho de 2012 a outubro de 2015, est„o disponÌveis tanto como "Natureza" e "Esfera Administrativa", como "Natureza JurÌdica" e "Esfera JurÌdica".</t>
  </si>
  <si>
    <t xml:space="preserve"> A partir de novembro de 2015, est„o disponÌveis como "Natureza JurÌdica" e "Esfera JurÌdica".</t>
  </si>
  <si>
    <t>Munic√≠pio</t>
  </si>
  <si>
    <t>Valor</t>
  </si>
  <si>
    <t>-</t>
  </si>
  <si>
    <t>CNES - Estabelecimentos - ClassificaÁ„o do ServiÁo - Brasil</t>
  </si>
  <si>
    <t>Quantidade por MunicÌpio e Ano/mÍs compet.</t>
  </si>
  <si>
    <t>MunicÌpio: 110020 PORTO VELHO, 140010 BOA VISTA, 150080 ANANINDEUA, 160030 MACAPA, 250400 CAMPINA GRANDE, 260410 CARUARU, 261110 PETROLINA, 280030 ARACAJU, 310670 BETIM, 311860 CONTAGEM, 313670 JUIZ DE FORA, 314330 MONTES CLAROS, 320500 SERRA, 320520 VILA VELHA, 330045 BELFORD ROXO, 330100 CAMPOS DOS GOYTACAZES, 330330 NITEROI, 330510 SAO JOAO DE MERITI, 351380 DIADEMA, 352590 JUNDIAI, 352940 MAUA, 353060 MOGI DAS CRUZES, 353870 PIRACICABA, 354850 SANTOS, 354980 SAO JOSE DO RIO PRETO, 411370 LONDRINA, 411520 MARINGA, 420540 FLORIANOPOLIS, 430510 CAXIAS DO SUL, 520110 ANAPOLIS, 520140 APARECIDA DE GOIANIA</t>
  </si>
  <si>
    <t>ClassificaÁ„o do ServiÁo: 140006 140 SERVICO DE URGENCIA E EMERGENCIA / 006 PRONTO ATENDIMENTO CLINICO</t>
  </si>
  <si>
    <t>CNES - Estabelecimentos com Tipo de Atendimento Prestado - InternaÁ„o - Brasil</t>
  </si>
  <si>
    <t>SUS por MunicÌpio e Ano/mÍs compet.</t>
  </si>
  <si>
    <t>Tipo de Estabelecimento: HOSPITAL GERAL</t>
  </si>
  <si>
    <t>410690 CURITiba</t>
  </si>
  <si>
    <t>CNES - Equipes de Sa˙de - Brasil</t>
  </si>
  <si>
    <t>MunicÌpio: 110020 PORTO VELHO, 130260 MANAUS, 140010 BOA VISTA, 150140 BELEM, 160030 MACAPA, 211130 SAO LUIS, 221100 TERESINA, 230440 FORTALEZA, 240810 NATAL, 250750 JOAO PESSOA, 260790 JABOATAO DOS GUARARAPES, 261160 RECIFE, 270430 MACEIO, 280030 ARACAJU, 291080 FEIRA DE SANTANA, 292740 SALVADOR, 310620 BELO HORIZONTE, 311860 CONTAGEM, 313670 JUIZ DE FORA, 317020 UBERLANDIA, 320500 SERRA, 320520 VILA VELHA, 330045 BELFORD ROXO, 330100 CAMPOS DOS GOYTACAZES, 330170 DUQUE DE CAXIAS, 330330 NITEROI, 330350 NOVA IGUACU, 330455 RIO DE JANEIRO, 330490 SAO GONCALO, 330510 SAO JOAO DE MERITI, 350950 CAMPINAS, 351880 GUARULHOS, 352590 JUNDIAI, 353060 MOGI DAS CRUZES, 353440 OSASCO, 354340 RIBEIRAO PRETO, 354780 SANTO ANDRE, 354870 SAO BERNARDO DO CAMPO, 354980 SAO JOSE DO RIO PRETO, 354990 SAO JOSE DOS CAMPOS, 355030 SAO PAULO, 355220 SOROCABA, 410690 CURITIBA, 411370 LONDRINA, 420540 FLORIANOPOLIS, 420910 JOINVILLE, 430510 CAXIAS DO SUL, 431490 PORTO ALEGRE, 500270 CAMPO GRANDE, 510340 CUIABA, 520140 APARECIDA DE GOIANIA, 520870 GOIANIA, 530010 BRASILIA</t>
  </si>
  <si>
    <t>Tipo da Equipe: 01 ESF - EQUIPE DE SAUDE DA FAMILIA</t>
  </si>
  <si>
    <t>530010 BRASILia</t>
  </si>
  <si>
    <t>Quantidade</t>
  </si>
  <si>
    <t>MunicÌpio: 110020 PORTO VELHO, 130260 MANAUS, 140010 BOA VISTA, 150080 ANANINDEUA, 150140 BELEM, 160030 MACAPA, 211130 SAO LUIS, 221100 TERESINA, 230440 FORTALEZA, 240810 NATAL, 250400 CAMPINA GRANDE, 250750 JOAO PESSOA, 260410 CARUARU, 260790 JABOATAO DOS GUARARAPES, 261110 PETROLINA, 261160 RECIFE, 270150 CAMPO GRANDE, 270430 MACEIO, 280030 ARACAJU, 291080 FEIRA DE SANTANA, 292740 SALVADOR, 310620 BELO HORIZONTE, 310670 BETIM, 311860 CONTAGEM, 313670 JUIZ DE FORA, 314330 MONTES CLAROS, 317020 UBERLANDIA, 320500 SERRA, 320520 VILA VELHA, 330045 BELFORD ROXO, 330100 CAMPOS DOS GOYTACAZES, 330170 DUQUE DE CAXIAS, 330330 NITEROI, 330350 NOVA IGUACU, 330455 RIO DE JANEIRO, 330490 SAO GONCALO, 330510 SAO JOAO DE MERITI, 350950 CAMPINAS, 351380 DIADEMA, 351880 GUARULHOS, 352590 JUNDIAI, 352940 MAUA, 353060 MOGI DAS CRUZES, 353440 OSASCO, 353870 PIRACICABA, 354340 RIBEIRAO PRETO, 354780 SANTO ANDRE, 354850 SANTOS, 354870 SAO BERNARDO DO CAMPO, 354980 SAO JOSE DO RIO PRETO, 354990 SAO JOSE DOS CAMPOS, 355030 SAO PAULO, 355220 SOROCABA, 410690 CURITIBA, 411370 LONDRINA, 411520 MARINGA, 420540 FLORIANOPOLIS, 420910 JOINVILLE, 430510 CAXIAS DO SUL, 431490 PORTO ALEGRE, 510340 CUIABA, 520110 ANAPOLIS, 520140 APARECIDA DE GOIANIA, 520870 GOIANIA, 530010 BRASILIA</t>
  </si>
  <si>
    <t>Tipo da Equipe: 16 EAB1 - EQUIPE DE ATENCAO BASICA TIPO I</t>
  </si>
  <si>
    <t>Tipo da Equipe: 04 EACS - EQUIPE DE AGENTES COMUNITARIOS DE SAUDE</t>
  </si>
  <si>
    <t>Tipo da Equipe: 17 EAB2 - EQUIPE DE ATENCAO BASICA TIPO II</t>
  </si>
  <si>
    <t>CNES - Recursos Humanos - Profissionais - IndivÌduos - segundo CBO 2002 - Brasil</t>
  </si>
  <si>
    <t>MunicÌpio: 110020 PORTO VELHO, 130260 MANAUS, 140010 BOA VISTA, 150080 ANANINDEUA, 160030 MACAPA, 211130 SAO LUIS, 221100 TERESINA, 230440 FORTALEZA, 240810 NATAL, 250400 CAMPINA GRANDE, 250750 JOAO PESSOA, 260410 CARUARU, 260790 JABOATAO DOS GUARARAPES, 261110 PETROLINA, 261160 RECIFE, 270430 MACEIO, 280030 ARACAJU, 291080 FEIRA DE SANTANA, 292740 SALVADOR, 310620 BELO HORIZONTE, 310670 BETIM, 311860 CONTAGEM, 313670 JUIZ DE FORA, 314330 MONTES CLAROS, 316556 SEM-PEIXE, 317020 UBERLANDIA, 320500 SERRA, 330045 BELFORD ROXO, 330100 CAMPOS DOS GOYTACAZES, 330170 DUQUE DE CAXIAS, 330330 NITEROI, 330350 NOVA IGUACU, 330455 RIO DE JANEIRO, 330490 SAO GONCALO, 330510 SAO JOAO DE MERITI, 350950 CAMPINAS, 351380 DIADEMA, 351880 GUARULHOS, 352590 JUNDIAI, 352940 MAUA, 353060 MOGI DAS CRUZES, 353440 OSASCO, 353870 PIRACICABA, 354340 RIBEIRAO PRETO, 354780 SANTO ANDRE, 354850 SANTOS, 354870 SAO BERNARDO DO CAMPO, 354980 SAO JOSE DO RIO PRETO, 354990 SAO JOSE DOS CAMPOS, 355030 SAO PAULO, 355220 SOROCABA, 410690 CURITIBA, 411370 LONDRINA, 411520 MARINGA, 420540 FLORIANOPOLIS, 420910 JOINVILLE, 430510 CAXIAS DO SUL, 431490 PORTO ALEGRE, 500270 CAMPO GRANDE, 510340 CUIABA, 520110 ANAPOLIS, 520140 APARECIDA DE GOIANIA, 520870 GOIANIA, 530010 BRASILIA</t>
  </si>
  <si>
    <t>OcupaÁıes de NÌvel Superior: Enfermeiro</t>
  </si>
  <si>
    <t>316556 SEM-PEIXE</t>
  </si>
  <si>
    <t>MÈdicos: MÈdico ClÌnico</t>
  </si>
  <si>
    <t>292740 SALvADOR</t>
  </si>
  <si>
    <t>ft_enfermeiros</t>
  </si>
  <si>
    <t>ft_medicos_clinicos</t>
  </si>
  <si>
    <t>ft_equipes_acs</t>
  </si>
  <si>
    <t>ci_leitos_internacao</t>
  </si>
  <si>
    <t>ci_hospitais_internacao</t>
  </si>
  <si>
    <t>ci_pa_clinico</t>
  </si>
  <si>
    <t>aps_equipes_esf</t>
  </si>
  <si>
    <t>municipio</t>
  </si>
  <si>
    <t>ano</t>
  </si>
  <si>
    <t>valor</t>
  </si>
  <si>
    <t>DENGUE - NotificaÁıes registradas no Sistema de InformaÁ„o de Agravos de NotificaÁ„o - Brasil</t>
  </si>
  <si>
    <t>Casos Prov·veis por MunicÌpio de notificaÁ„o e Ano notificaÁ„o</t>
  </si>
  <si>
    <t>MunicÌpio de notificaÁ„o: 110020 PORTO VELHO, 130260 MANAUS, 140010 BOA VISTA, 150080 ANANINDEUA, 150140 BELEM, 160030 MACAPA, 211130 SAO LUIS, 221100 TERESINA, 230440 FORTALEZA, 240810 NATAL, 250400 CAMPINA GRANDE, 250750 JOAO PESSOA, 260410 CARUARU, 260790 JABOATAO DOS GUARARAPES, 261110 PETROLINA, 261160 RECIFE, 270430 MACEIO, 280030 ARACAJU, 291080 FEIRA DE SANTANA, 292740 SALVADOR, 310620 BELO HORIZONTE, 310670 BETIM, 311860 CONTAGEM, 313670 JUIZ DE FORA, 314330 MONTES CLAROS, 317020 UBERLANDIA, 320500 SERRA, 320520 VILA VELHA, 330045 BELFORD ROXO, 330100 CAMPOS DOS GOYTACAZES, 330170 DUQUE DE CAXIAS, 330330 NITEROI, 330350 NOVA IGUACU, 330455 RIO DE JANEIRO, 330490 SAO GONCALO, 330510 SAO JOAO DE MERITI, 350950 CAMPINAS, 351380 DIADEMA, 351880 GUARULHOS, 352590 JUNDIAI, 352940 MAUA, 353060 MOGI DAS CRUZES, 353440 OSASCO, 353870 PIRACICABA, 354340 RIBEIRAO PRETO, 354780 SANTO ANDRE, 354850 SANTOS, 354870 SAO BERNARDO DO CAMPO, 354980 SAO JOSE DO RIO PRETO, 354990 SAO JOSE DOS CAMPOS, 355030 SAO PAULO, 355220 SOROCABA, 410690 CURITIBA, 411370 LONDRINA, 411520 MARINGA, 420540 FLORIANOPOLIS, 420910 JOINVILLE, 430510 CAXIAS DO SUL, 431490 PORTO ALEGRE, 500270 CAMPO GRANDE, 510340 CUIABA, 520110 ANAPOLIS, 520140 APARECIDA DE GOIANIA, 520870 GOIANIA, 530010 BRASILIA</t>
  </si>
  <si>
    <t>PerÌodo:2015-2025</t>
  </si>
  <si>
    <t>MunicÌpio de notificaÁ„o</t>
  </si>
  <si>
    <t xml:space="preserve"> Fonte: MinistÈrio da Sa˙de/SVSA - Sistema de InformaÁ„o de Agravos de NotificaÁ„o - Sinan Net</t>
  </si>
  <si>
    <t xml:space="preserve"> Notas:</t>
  </si>
  <si>
    <t xml:space="preserve"> Para os casos prov·veis foram incluÌdas todas notificaÁıes, exceto casos descartados.</t>
  </si>
  <si>
    <t xml:space="preserve"> As bases de dados de dengue aqui disponÌveis compıem um banco ˙nico a partir de 2014, podendo haver pequenas divergÍncias com os dados disponibilizados pelo CGARB</t>
  </si>
  <si>
    <t xml:space="preserve"> (CoordenaÁ„o Geral de Vigil‚ncia de Arboviroses - CGARB) em sua sÈrie histÛrica, que para tal, realiza an·lise ano a ano, com a base congelada para cada ano analisado.</t>
  </si>
  <si>
    <t xml:space="preserve"> Para tabular os casos graves (classificaÁ„o final igual a dengue com complicaÁıes, febre hemorr·gica da dengue, sÌndrome do choque da dengue, dengue com sinais de alarme</t>
  </si>
  <si>
    <t xml:space="preserve"> e dengue grave) È necess·rio considerar tambÈm o critÈrio de confirmaÁ„o (laboratorial e clÌnico-epidemiolÛgico).</t>
  </si>
  <si>
    <t xml:space="preserve"> A partir de 2020 o estado do EspÌrito Santo passou a utilizar o sistema e-SUS Vigil‚ncia em Sa˙de. Portanto, para os casos de Arboviroses urbanas do EspÌrito Santo foram</t>
  </si>
  <si>
    <t xml:space="preserve"> considerados apenas os dados disponibilizados pelo Sinan online (dengue e chikungunya) e Sinan Net (zika).</t>
  </si>
  <si>
    <t xml:space="preserve"> PerÌodos DisponÌveis ou perÌodo - Correspondem aos anos de notificaÁ„o dos casos e semana epidemiolÛgica, em cada perÌodo pode apresentar notificaÁıes com data de notificaÁ„o</t>
  </si>
  <si>
    <t xml:space="preserve"> do ano anterior (semana epidemiolÛgica 52 ou 53) e posterior (semana epidemiolÛgica 01).</t>
  </si>
  <si>
    <t xml:space="preserve"> Para c·lculo da incidÍncia recomenda-se utilizar locais de residÍncia.</t>
  </si>
  <si>
    <t xml:space="preserve"> Dados de 2014 atualizados em 13/07/2015.</t>
  </si>
  <si>
    <t xml:space="preserve"> Dados de 2015 atualizados em 27/09/2016.</t>
  </si>
  <si>
    <t xml:space="preserve"> Dados de 2016 atualizados em 06/07/2017.</t>
  </si>
  <si>
    <t xml:space="preserve"> Dados de 2017 atualizados em 18/07/2018.</t>
  </si>
  <si>
    <t xml:space="preserve"> Dados de 2018 atualizados em 01/10/2019.</t>
  </si>
  <si>
    <t xml:space="preserve"> Dados de 2019 atualizados em 10/07/2020.</t>
  </si>
  <si>
    <t xml:space="preserve"> Dados de 2020 atualizados em 23/07/2021.</t>
  </si>
  <si>
    <t xml:space="preserve"> Dados de 2021 atualizados em 12/07/2022.</t>
  </si>
  <si>
    <t xml:space="preserve"> Dados de 2022 atualizados em 18/07/2023.</t>
  </si>
  <si>
    <t xml:space="preserve"> Dados de 2023 atualizados em 04/06/2024 ‡s 07 horas, incluÌdos os dados do ES em 29/12/2025.</t>
  </si>
  <si>
    <t xml:space="preserve"> Dados de 2024 atualizados em 28/07/2025 ‡s 18:30 horas, incluÌdos os dados do ES em 29/12/2025.</t>
  </si>
  <si>
    <t xml:space="preserve"> Dados de 2025 atualizados em 29/12/2025 ‡s 03:00 horas, sujeitos ‡ revis„o e incluÌdos os dados do ES em 29/12/2025.</t>
  </si>
  <si>
    <t xml:space="preserve"> * Dados disponibilizados no TABNET em dezembro de 2025.</t>
  </si>
  <si>
    <t>EvoluÁ„o: ”bito pelo agravo notificado</t>
  </si>
  <si>
    <t>notificacoes_dengue</t>
  </si>
  <si>
    <t>codigo_mun</t>
  </si>
  <si>
    <t>nome_munic</t>
  </si>
  <si>
    <t>populacao</t>
  </si>
  <si>
    <t>internacoes_diabetes</t>
  </si>
  <si>
    <t>cirurgias_eletivas</t>
  </si>
  <si>
    <t>exames_diagnosticos</t>
  </si>
  <si>
    <t>internacoes_hipertensao</t>
  </si>
  <si>
    <t>consultas_pre_natais</t>
  </si>
  <si>
    <t>consultas_atencao_primaria</t>
  </si>
  <si>
    <t>casos_notificados</t>
  </si>
  <si>
    <t>Porto Velho</t>
  </si>
  <si>
    <t>Rio Branco</t>
  </si>
  <si>
    <t>Manaus</t>
  </si>
  <si>
    <t>Boa Vista</t>
  </si>
  <si>
    <t>Ananindeua</t>
  </si>
  <si>
    <t>Belem</t>
  </si>
  <si>
    <t>Macapa</t>
  </si>
  <si>
    <t>Palmas</t>
  </si>
  <si>
    <t>Sao Luis</t>
  </si>
  <si>
    <t>Teresina</t>
  </si>
  <si>
    <t>Fortaleza</t>
  </si>
  <si>
    <t>Natal</t>
  </si>
  <si>
    <t>Campina Grande</t>
  </si>
  <si>
    <t>Joao Pessoa</t>
  </si>
  <si>
    <t>Caruaru</t>
  </si>
  <si>
    <t>Jaboatao Dos Guararapes</t>
  </si>
  <si>
    <t>Petrolina</t>
  </si>
  <si>
    <t>Recife</t>
  </si>
  <si>
    <t>Maceio</t>
  </si>
  <si>
    <t>Aracaju</t>
  </si>
  <si>
    <t>Feira De Santana</t>
  </si>
  <si>
    <t>Salvador</t>
  </si>
  <si>
    <t>Belo Horizonte</t>
  </si>
  <si>
    <t>Betim</t>
  </si>
  <si>
    <t>Contagem</t>
  </si>
  <si>
    <t>Juiz De Fora</t>
  </si>
  <si>
    <t>Montes Claros</t>
  </si>
  <si>
    <t>Uberlandia</t>
  </si>
  <si>
    <t>Serra</t>
  </si>
  <si>
    <t>Vila Velha</t>
  </si>
  <si>
    <t>Belford Roxo</t>
  </si>
  <si>
    <t>Campos Dos Goytacazes</t>
  </si>
  <si>
    <t>Duque De Caxias</t>
  </si>
  <si>
    <t>Niteroi</t>
  </si>
  <si>
    <t>Nova Iguacu</t>
  </si>
  <si>
    <t>Rio De Janeiro</t>
  </si>
  <si>
    <t>Sao Goncalo</t>
  </si>
  <si>
    <t>Sao Joao De Meriti</t>
  </si>
  <si>
    <t>Campinas</t>
  </si>
  <si>
    <t>Diadema</t>
  </si>
  <si>
    <t>Guarulhos</t>
  </si>
  <si>
    <t>Jundiai</t>
  </si>
  <si>
    <t>Maua</t>
  </si>
  <si>
    <t>Mogi Das Cruzes</t>
  </si>
  <si>
    <t>Osasco</t>
  </si>
  <si>
    <t>Piracicaba</t>
  </si>
  <si>
    <t>Ribeirao Preto</t>
  </si>
  <si>
    <t>Santo Andre</t>
  </si>
  <si>
    <t>Santos</t>
  </si>
  <si>
    <t>Sao Bernardo Do Campo</t>
  </si>
  <si>
    <t>Sao Jose Do Rio Preto</t>
  </si>
  <si>
    <t>Sao Jose Dos Campos</t>
  </si>
  <si>
    <t>Sao Paulo</t>
  </si>
  <si>
    <t>Sorocaba</t>
  </si>
  <si>
    <t>Curitiba</t>
  </si>
  <si>
    <t>Londrina</t>
  </si>
  <si>
    <t>Maringa</t>
  </si>
  <si>
    <t>Florianopolis</t>
  </si>
  <si>
    <t>Joinville</t>
  </si>
  <si>
    <t>Caxias Do Sul</t>
  </si>
  <si>
    <t>Porto Alegre</t>
  </si>
  <si>
    <t>Campo Grande</t>
  </si>
  <si>
    <t>Cuiaba</t>
  </si>
  <si>
    <t>Anapolis</t>
  </si>
  <si>
    <t>Aparecida De Goiania</t>
  </si>
  <si>
    <t>Goiania</t>
  </si>
  <si>
    <t>Brasilia</t>
  </si>
  <si>
    <t>casos_notificados_srag</t>
  </si>
  <si>
    <t>notificacoes_srag</t>
  </si>
  <si>
    <t>cod_munic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</si>
</sst>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0"/>
      <color indexed="64"/>
      <name val="Aptos Narrow"/>
      <family val="2"/>
      <scheme val="minor"/>
    </font>
    <font>
      <sz val="10"/>
      <color indexed="64"/>
      <name val="Aptos Narrow"/>
      <family val="2"/>
      <scheme val="minor"/>
    </font>
    <font>
      <b/>
      <sz val="11"/>
      <color rgb="FF000000"/>
      <name val="Calibri"/>
      <family val="2"/>
    </font>
    <font>
      <sz val="11"/>
      <color rgb="FF000000"/>
      <name val="Calibri"/>
      <family val="2"/>
    </font>
    <font>
      <sz val="10"/>
      <color rgb="FF4D4D4C"/>
      <name val="Inherit"/>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2" fillId="0" borderId="0" xfId="0" applyFont="1" applyAlignment="1">
      <alignment horizontal="center"/>
    </xf>
    <xf numFmtId="0" fontId="1" fillId="0" borderId="0" xfId="0" applyFont="1" applyAlignment="1">
      <alignment horizontal="center" vertical="center"/>
    </xf>
    <xf numFmtId="1" fontId="2" fillId="0" borderId="0" xfId="0" applyNumberFormat="1" applyFont="1" applyAlignment="1">
      <alignment horizontal="center"/>
    </xf>
    <xf numFmtId="1" fontId="2" fillId="0" borderId="0" xfId="0" applyNumberFormat="1" applyFont="1" applyAlignment="1">
      <alignment horizontal="center" wrapText="1"/>
    </xf>
    <xf numFmtId="1" fontId="1" fillId="0" borderId="0" xfId="0" applyNumberFormat="1" applyFont="1" applyAlignment="1">
      <alignment horizontal="center" vertical="center" wrapText="1"/>
    </xf>
    <xf numFmtId="1" fontId="1" fillId="0" borderId="0" xfId="0" applyNumberFormat="1" applyFont="1" applyAlignment="1">
      <alignment horizontal="center" vertical="center"/>
    </xf>
    <xf numFmtId="1" fontId="3" fillId="0" borderId="0" xfId="0" applyNumberFormat="1" applyFont="1" applyAlignment="1">
      <alignment horizontal="left"/>
    </xf>
    <xf numFmtId="0" fontId="3" fillId="0" borderId="0" xfId="0" applyFont="1" applyAlignment="1">
      <alignment horizontal="center"/>
    </xf>
    <xf numFmtId="1" fontId="3" fillId="0" borderId="0" xfId="0" applyNumberFormat="1" applyFont="1" applyAlignment="1">
      <alignment horizontal="center"/>
    </xf>
    <xf numFmtId="1" fontId="4" fillId="0" borderId="0" xfId="0" applyNumberFormat="1" applyFont="1" applyAlignment="1">
      <alignment horizontal="center"/>
    </xf>
    <xf numFmtId="1" fontId="4" fillId="0" borderId="0" xfId="0" applyNumberFormat="1" applyFont="1" applyAlignment="1">
      <alignment horizontal="left"/>
    </xf>
    <xf numFmtId="0" fontId="4" fillId="0" borderId="0" xfId="0" applyFont="1"/>
    <xf numFmtId="1" fontId="4" fillId="0" borderId="0" xfId="0" applyNumberFormat="1" applyFont="1"/>
    <xf numFmtId="1" fontId="4" fillId="0" borderId="0" xfId="0" applyNumberFormat="1" applyFont="1" applyAlignment="1">
      <alignment horizontal="right"/>
    </xf>
    <xf numFmtId="0" fontId="3" fillId="0" borderId="0" xfId="0" applyFont="1" applyAlignment="1">
      <alignment horizontal="left"/>
    </xf>
    <xf numFmtId="0" fontId="4" fillId="0" borderId="0" xfId="0" applyFont="1" applyAlignment="1">
      <alignment horizontal="left"/>
    </xf>
    <xf numFmtId="0" fontId="5"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eepseek_csv_20260104_df6ff8" connectionId="12" xr16:uid="{FAA7F8E6-9BB7-294E-80E1-7FF386025B55}"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eepseek_csv_20260104_4f976d" connectionId="9" xr16:uid="{1EA969B6-5F18-6340-8FB8-5FF9EBF8C51B}"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cnes_cnv_equipebr142024186_212_98_254" connectionId="3" xr16:uid="{6B513919-73DD-4C44-9C66-014A51CBD674}"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eepseek_csv_20260104_f19835" connectionId="14" xr16:uid="{D341EABF-D2DA-CC4F-98AB-E467B200DC9B}"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eepseek_csv_20260103_47bacb" connectionId="6" xr16:uid="{8C233391-7B90-5E4B-8426-C341CFFEEE22}" autoFormatId="16"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cnes_cnv_servc2br190248186_212_98_254" connectionId="4" xr16:uid="{8AD209DE-E3BE-B84F-A18F-B2DDEF4C1C87}" autoFormatId="16"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eepseek_csv_20260103_403e55" connectionId="5" xr16:uid="{BD863431-91FB-AC4A-A2AA-F92CEBA23ACC}" autoFormatId="16" applyNumberFormats="0" applyBorderFormats="0" applyFontFormats="1" applyPatternFormats="1"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eepseek_csv_20260103_6c6bf3" connectionId="7" xr16:uid="{58019CF5-D897-5449-8079-3C4F4D77241C}" autoFormatId="16" applyNumberFormats="0" applyBorderFormats="0" applyFontFormats="1" applyPatternFormats="1"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cnes_cnv_equipebr132935186_212_98_254" connectionId="1" xr16:uid="{E49A8E61-02D5-EA46-A27F-01B7EAAAAFF5}" autoFormatId="16" applyNumberFormats="0" applyBorderFormats="0" applyFontFormats="1" applyPatternFormats="1"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deepseek_csv_20260104_20d45e" connectionId="8" xr16:uid="{1710E4C7-2C56-8F48-A4D5-561B0CE41DF7}" autoFormatId="16" applyNumberFormats="0" applyBorderFormats="0" applyFontFormats="1" applyPatternFormats="1" applyAlignmentFormats="0" applyWidthHeightFormats="0"/>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deepseek_csv_20260104_79b2e0" connectionId="11" xr16:uid="{3FAF2FE1-1483-7641-8133-4F1089758C14}" autoFormatId="16" applyNumberFormats="0" applyBorderFormats="0" applyFontFormats="1" applyPatternFormats="1" applyAlignmentFormats="0" applyWidthHeightFormats="0"/>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cnes_cnv_equipebr141509186_212_98_254" connectionId="2" xr16:uid="{8A32C831-BABE-F641-B6F7-709B83550293}" autoFormatId="16" applyNumberFormats="0" applyBorderFormats="0" applyFontFormats="1" applyPatternFormats="1" applyAlignmentFormats="0" applyWidthHeightFormats="0"/>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deepseek_csv_20260104_efcd65" connectionId="13" xr16:uid="{5F6B7901-2601-3F40-8850-307ECB4DD61B}" autoFormatId="16" applyNumberFormats="0" applyBorderFormats="0" applyFontFormats="1" applyPatternFormats="1" applyAlignmentFormats="0" applyWidthHeightFormats="0"/>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deepseek_csv_20260104_5c32f5" connectionId="10" xr16:uid="{1AC4525E-23F7-A948-8BEB-33E1C043B465}" autoFormatId="16" applyNumberFormats="0" applyBorderFormats="0" applyFontFormats="1" applyPatternFormats="1" applyAlignmentFormats="0" applyWidthHeightFormats="0"/>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deepseek_csv_20260105_5d445e" connectionId="15" xr16:uid="{5BEE558C-F4C2-9C41-87B2-280EACB35AEF}" autoFormatId="16" applyNumberFormats="0" applyBorderFormats="0" applyFontFormats="1" applyPatternFormats="1" applyAlignmentFormats="0" applyWidthHeightFormats="0"/>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sinannet_cnv_denguebbr213106186_212_98_254" connectionId="17" xr16:uid="{F195FEE9-9A6E-1B42-9750-46F7108008F5}" autoFormatId="16" applyNumberFormats="0" applyBorderFormats="0" applyFontFormats="1" applyPatternFormats="1" applyAlignmentFormats="0" applyWidthHeightFormats="0"/>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deepseek_csv_20260105_fcc3b6" connectionId="16" xr16:uid="{CC2E4F30-094D-5949-8242-C4AEDA618834}" autoFormatId="16" applyNumberFormats="0" applyBorderFormats="0" applyFontFormats="1" applyPatternFormats="1" applyAlignmentFormats="0" applyWidthHeightFormats="0"/>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sinannet_cnv_denguebbr213744186_212_98_254" connectionId="18" xr16:uid="{517AB46F-3991-6241-845A-728CF4D5195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6.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queryTable" Target="../queryTables/queryTable3.xml"/></Relationships>
</file>

<file path=xl/worksheets/_rels/sheet7.xml.rels><?xml version="1.0" encoding="UTF-8" standalone="yes"?>
<Relationships xmlns="http://schemas.openxmlformats.org/package/2006/relationships"><Relationship Id="rId1" Type="http://schemas.openxmlformats.org/officeDocument/2006/relationships/queryTable" Target="../queryTables/queryTable5.xml"/></Relationships>
</file>

<file path=xl/worksheets/_rels/sheet8.xml.rels><?xml version="1.0" encoding="UTF-8" standalone="yes"?>
<Relationships xmlns="http://schemas.openxmlformats.org/package/2006/relationships"><Relationship Id="rId2" Type="http://schemas.openxmlformats.org/officeDocument/2006/relationships/queryTable" Target="../queryTables/queryTable7.xml"/><Relationship Id="rId1" Type="http://schemas.openxmlformats.org/officeDocument/2006/relationships/queryTable" Target="../queryTables/queryTable6.xml"/></Relationships>
</file>

<file path=xl/worksheets/_rels/sheet9.xml.rels><?xml version="1.0" encoding="UTF-8" standalone="yes"?>
<Relationships xmlns="http://schemas.openxmlformats.org/package/2006/relationships"><Relationship Id="rId1" Type="http://schemas.openxmlformats.org/officeDocument/2006/relationships/queryTable" Target="../queryTables/queryTable8.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queryTable" Target="../queryTables/queryTable9.xml"/></Relationships>
</file>

<file path=xl/worksheets/_rels/sheet11.xml.rels><?xml version="1.0" encoding="UTF-8" standalone="yes"?>
<Relationships xmlns="http://schemas.openxmlformats.org/package/2006/relationships"><Relationship Id="rId2" Type="http://schemas.openxmlformats.org/officeDocument/2006/relationships/queryTable" Target="../queryTables/queryTable13.xml"/><Relationship Id="rId1" Type="http://schemas.openxmlformats.org/officeDocument/2006/relationships/queryTable" Target="../queryTables/queryTable12.xml"/></Relationships>
</file>

<file path=xl/worksheets/_rels/sheet12.xml.rels><?xml version="1.0" encoding="UTF-8" standalone="yes"?>
<Relationships xmlns="http://schemas.openxmlformats.org/package/2006/relationships"><Relationship Id="rId1" Type="http://schemas.openxmlformats.org/officeDocument/2006/relationships/queryTable" Target="../queryTables/queryTable14.xml"/></Relationships>
</file>

<file path=xl/worksheets/_rels/sheet13.xml.rels><?xml version="1.0" encoding="UTF-8" standalone="yes"?>
<Relationships xmlns="http://schemas.openxmlformats.org/package/2006/relationships"><Relationship Id="rId2" Type="http://schemas.openxmlformats.org/officeDocument/2006/relationships/queryTable" Target="../queryTables/queryTable16.xml"/><Relationship Id="rId1" Type="http://schemas.openxmlformats.org/officeDocument/2006/relationships/queryTable" Target="../queryTables/queryTable15.xml"/></Relationships>
</file>

<file path=xl/worksheets/_rels/sheet14.xml.rels><?xml version="1.0" encoding="UTF-8" standalone="yes"?>
<Relationships xmlns="http://schemas.openxmlformats.org/package/2006/relationships"><Relationship Id="rId2" Type="http://schemas.openxmlformats.org/officeDocument/2006/relationships/queryTable" Target="../queryTables/queryTable18.xml"/><Relationship Id="rId1" Type="http://schemas.openxmlformats.org/officeDocument/2006/relationships/queryTable" Target="../queryTables/query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16"/>
  <sheetViews>
    <sheetView tabSelected="1" zoomScale="150" zoomScaleNormal="150" workbookViewId="0">
      <pane ySplit="1" topLeftCell="A672" activePane="bottomLeft" state="frozen"/>
      <selection pane="bottomLeft" activeCell="M709" sqref="M709"/>
    </sheetView>
  </sheetViews>
  <sheetFormatPr baseColWidth="10" defaultColWidth="8.83203125" defaultRowHeight="15"/>
  <cols>
    <col min="1" max="1" width="15.6640625" style="1" customWidth="1"/>
    <col min="2" max="3" width="11.5" style="3" customWidth="1"/>
    <col min="4" max="4" width="9.1640625" bestFit="1" customWidth="1"/>
    <col min="5" max="5" width="21.6640625" bestFit="1" customWidth="1"/>
    <col min="6" max="6" width="12.83203125" customWidth="1"/>
    <col min="7" max="7" width="13.33203125" customWidth="1"/>
    <col min="8" max="8" width="12.1640625" bestFit="1" customWidth="1"/>
    <col min="9" max="10" width="12.1640625" customWidth="1"/>
    <col min="11" max="11" width="14" customWidth="1"/>
    <col min="12" max="13" width="17.83203125" customWidth="1"/>
    <col min="14" max="14" width="18" bestFit="1" customWidth="1"/>
    <col min="15" max="15" width="14.6640625" bestFit="1" customWidth="1"/>
    <col min="16" max="16" width="17.83203125" bestFit="1" customWidth="1"/>
    <col min="17" max="17" width="20.6640625" bestFit="1" customWidth="1"/>
    <col min="18" max="18" width="17.6640625" bestFit="1" customWidth="1"/>
    <col min="19" max="19" width="23.1640625" bestFit="1" customWidth="1"/>
  </cols>
  <sheetData>
    <row r="1" spans="1:19">
      <c r="A1" s="2" t="s">
        <v>292</v>
      </c>
      <c r="B1" s="6" t="s">
        <v>370</v>
      </c>
      <c r="C1" s="5" t="s">
        <v>257</v>
      </c>
      <c r="D1" s="9" t="s">
        <v>293</v>
      </c>
      <c r="E1" t="s">
        <v>250</v>
      </c>
      <c r="F1" t="s">
        <v>249</v>
      </c>
      <c r="G1" t="s">
        <v>251</v>
      </c>
      <c r="H1" t="s">
        <v>252</v>
      </c>
      <c r="I1" t="s">
        <v>253</v>
      </c>
      <c r="J1" t="s">
        <v>254</v>
      </c>
      <c r="K1" t="s">
        <v>255</v>
      </c>
      <c r="L1" t="s">
        <v>290</v>
      </c>
      <c r="M1" t="s">
        <v>369</v>
      </c>
      <c r="N1" s="9" t="s">
        <v>294</v>
      </c>
      <c r="O1" s="9" t="s">
        <v>295</v>
      </c>
      <c r="P1" s="9" t="s">
        <v>296</v>
      </c>
      <c r="Q1" s="9" t="s">
        <v>297</v>
      </c>
      <c r="R1" s="9" t="s">
        <v>298</v>
      </c>
      <c r="S1" s="9" t="s">
        <v>299</v>
      </c>
    </row>
    <row r="2" spans="1:19">
      <c r="A2" s="1" t="s">
        <v>87</v>
      </c>
      <c r="B2" s="3">
        <v>110020</v>
      </c>
      <c r="C2" s="3">
        <v>2015</v>
      </c>
      <c r="D2" cm="1">
        <f t="array" aca="1" ref="D2" ca="1">IFERROR(INDEX(fesp!$D:$D, MATCH(1, (VALUE(LEFT(fesp!$A:$A,6))=VALUE(LEFT(B2,6)))*(fesp!$C:$C=C2), 0)), "")</f>
        <v>502748</v>
      </c>
      <c r="E2" cm="1">
        <f t="array" aca="1" ref="E2" ca="1">IFERROR(INDEX(ft_medicos_clinicos!$C:$C, MATCH(1, (VALUE(LEFT(ft_medicos_clinicos!$A:$A,6))=VALUE(LEFT(B2,6)))*(ft_medicos_clinicos!$B:$B=C2), 0)), "")</f>
        <v>324</v>
      </c>
      <c r="F2" cm="1">
        <f t="array" aca="1" ref="F2" ca="1">IFERROR(INDEX(ft_enfermeiros!$C:$C, MATCH(1, (VALUE(LEFT(ft_enfermeiros!$A:$A,6))=VALUE(LEFT(B2,6)))*(ft_enfermeiros!$B:$B=C2), 0)), "")</f>
        <v>505</v>
      </c>
      <c r="G2" t="str" cm="1">
        <f t="array" aca="1" ref="G2" ca="1">IFERROR(INDEX(ft_equipes_acs!$C:$C, MATCH(1, (VALUE(LEFT(ft_equipes_acs!$A:$A,6))=VALUE(LEFT(B2,6)))*(ft_equipes_acs!$B:$B=C2), 0)), "")</f>
        <v>-</v>
      </c>
      <c r="H2" cm="1">
        <f t="array" aca="1" ref="H2" ca="1">IFERROR(INDEX(ci_leitos_internacao!$C:$C, MATCH(1, (VALUE(LEFT(ci_leitos_internacao!$A:$A,6))=VALUE(LEFT(B2,6)))*(ci_leitos_internacao!$B:$B=C2), 0)), "")</f>
        <v>1654</v>
      </c>
      <c r="I2" cm="1">
        <f t="array" aca="1" ref="I2" ca="1">IFERROR(INDEX(ci_hospitais_internacao!$C:$C, MATCH(1, (VALUE(LEFT(ci_hospitais_internacao!$A:$A,6))=VALUE(LEFT(B2,6)))*(ci_hospitais_internacao!$B:$B=C2), 0)), "")</f>
        <v>7</v>
      </c>
      <c r="J2" cm="1">
        <f t="array" aca="1" ref="J2" ca="1">IFERROR(INDEX(ci_pa_clinico!$C:$C, MATCH(1, (VALUE(LEFT(ci_pa_clinico!$A:$A,6))=VALUE(LEFT(B2,6)))*(ci_pa_clinico!$B:$B=C2), 0)), "")</f>
        <v>5</v>
      </c>
      <c r="K2" cm="1">
        <f t="array" aca="1" ref="K2" ca="1">IFERROR(INDEX(aps_equipes_esf!$C:$C, MATCH(1, (VALUE(LEFT(aps_equipes_esf!$A:$A,6))=VALUE(LEFT(B2,6)))*(aps_equipes_esf!$B:$B=C2), 0)), "")</f>
        <v>19</v>
      </c>
      <c r="L2" cm="1">
        <f t="array" aca="1" ref="L2" ca="1">IFERROR(INDEX(casos!$C:$C, MATCH(1, (VALUE(LEFT(casos!$A:$A,6))=VALUE(LEFT(B2,6)))*(casos!$B:$B=C2), 0)), "")</f>
        <v>233</v>
      </c>
      <c r="M2" cm="1">
        <f t="array" ref="M2">IFERROR(INDEX(srag!$D:$D, MATCH(1, (VALUE(LEFT(srag!$A:$A,6))=VALUE(LEFT(B2,6)))*(srag!$C:$C=C2), 0)), "")</f>
        <v>21</v>
      </c>
      <c r="N2" cm="1">
        <f t="array" aca="1" ref="N2" ca="1">IFERROR(INDEX(fesp!$E:$E, MATCH(1, (VALUE(LEFT(fesp!$A:$A,6))=VALUE(LEFT(B2,6)))*(fesp!$C:$C=C2), 0)), "")</f>
        <v>114</v>
      </c>
      <c r="O2" cm="1">
        <f t="array" aca="1" ref="O2" ca="1">IFERROR(INDEX(fesp!$F:$F, MATCH(1, (VALUE(LEFT(fesp!$A:$A,6))=VALUE(LEFT(B2,6)))*(fesp!$C:$C=C2), 0)), "")</f>
        <v>652</v>
      </c>
      <c r="P2" cm="1">
        <f t="array" aca="1" ref="P2" ca="1">IFERROR(INDEX(fesp!$G:$G, MATCH(1, (VALUE(LEFT(fesp!$A:$A,6))=VALUE(LEFT(B2,6)))*(fesp!$C:$C=C2), 0)), "")</f>
        <v>4574081</v>
      </c>
      <c r="Q2" cm="1">
        <f t="array" aca="1" ref="Q2" ca="1">IFERROR(INDEX(fesp!$H:$H, MATCH(1, (VALUE(LEFT(fesp!$A:$A,6))=VALUE(LEFT(B2,6)))*(fesp!$C:$C=C2), 0)), "")</f>
        <v>25</v>
      </c>
      <c r="R2" cm="1">
        <f t="array" aca="1" ref="R2" ca="1">IFERROR(INDEX(fesp!$I:$I, MATCH(1, (VALUE(LEFT(fesp!$A:$A,6))=VALUE(LEFT(B2,6)))*(fesp!$C:$C=C2), 0)), "")</f>
        <v>35047</v>
      </c>
      <c r="S2" cm="1">
        <f t="array" aca="1" ref="S2" ca="1">IFERROR(INDEX(fesp!$J:$J, MATCH(1, (VALUE(LEFT(fesp!$A:$A,6))=VALUE(LEFT(B2,6)))*(fesp!$C:$C=C2), 0)), "")</f>
        <v>171666</v>
      </c>
    </row>
    <row r="3" spans="1:19">
      <c r="A3" s="1" t="s">
        <v>87</v>
      </c>
      <c r="B3" s="3">
        <v>110020</v>
      </c>
      <c r="C3" s="3">
        <v>2016</v>
      </c>
      <c r="D3" cm="1">
        <f t="array" ref="D3">IFERROR(INDEX(fesp!$D:$D, MATCH(1, (VALUE(LEFT(fesp!$A:$A,6))=VALUE(LEFT(B3,6)))*(fesp!$C:$C=C3), 0)), "")</f>
        <v>0</v>
      </c>
      <c r="E3" cm="1">
        <f t="array" aca="1" ref="E3" ca="1">IFERROR(INDEX(ft_medicos_clinicos!$C:$C, MATCH(1, (VALUE(LEFT(ft_medicos_clinicos!$A:$A,6))=VALUE(LEFT(B3,6)))*(ft_medicos_clinicos!$B:$B=C3), 0)), "")</f>
        <v>305</v>
      </c>
      <c r="F3" cm="1">
        <f t="array" aca="1" ref="F3" ca="1">IFERROR(INDEX(ft_enfermeiros!$C:$C, MATCH(1, (VALUE(LEFT(ft_enfermeiros!$A:$A,6))=VALUE(LEFT(B3,6)))*(ft_enfermeiros!$B:$B=C3), 0)), "")</f>
        <v>604</v>
      </c>
      <c r="G3" t="str" cm="1">
        <f t="array" aca="1" ref="G3" ca="1">IFERROR(INDEX(ft_equipes_acs!$C:$C, MATCH(1, (VALUE(LEFT(ft_equipes_acs!$A:$A,6))=VALUE(LEFT(B3,6)))*(ft_equipes_acs!$B:$B=C3), 0)), "")</f>
        <v>-</v>
      </c>
      <c r="H3" cm="1">
        <f t="array" aca="1" ref="H3" ca="1">IFERROR(INDEX(ci_leitos_internacao!$C:$C, MATCH(1, (VALUE(LEFT(ci_leitos_internacao!$A:$A,6))=VALUE(LEFT(B3,6)))*(ci_leitos_internacao!$B:$B=C3), 0)), "")</f>
        <v>1666</v>
      </c>
      <c r="I3" cm="1">
        <f t="array" aca="1" ref="I3" ca="1">IFERROR(INDEX(ci_hospitais_internacao!$C:$C, MATCH(1, (VALUE(LEFT(ci_hospitais_internacao!$A:$A,6))=VALUE(LEFT(B3,6)))*(ci_hospitais_internacao!$B:$B=C3), 0)), "")</f>
        <v>6</v>
      </c>
      <c r="J3" cm="1">
        <f t="array" aca="1" ref="J3" ca="1">IFERROR(INDEX(ci_pa_clinico!$C:$C, MATCH(1, (VALUE(LEFT(ci_pa_clinico!$A:$A,6))=VALUE(LEFT(B3,6)))*(ci_pa_clinico!$B:$B=C3), 0)), "")</f>
        <v>6</v>
      </c>
      <c r="K3" cm="1">
        <f t="array" aca="1" ref="K3" ca="1">IFERROR(INDEX(aps_equipes_esf!$C:$C, MATCH(1, (VALUE(LEFT(aps_equipes_esf!$A:$A,6))=VALUE(LEFT(B3,6)))*(aps_equipes_esf!$B:$B=C3), 0)), "")</f>
        <v>18</v>
      </c>
      <c r="L3" cm="1">
        <f t="array" aca="1" ref="L3" ca="1">IFERROR(INDEX(casos!$C:$C, MATCH(1, (VALUE(LEFT(casos!$A:$A,6))=VALUE(LEFT(B3,6)))*(casos!$B:$B=C3), 0)), "")</f>
        <v>1009</v>
      </c>
      <c r="M3" cm="1">
        <f t="array" ref="M3">IFERROR(INDEX(srag!$D:$D, MATCH(1, (VALUE(LEFT(srag!$A:$A,6))=VALUE(LEFT(B3,6)))*(srag!$C:$C=C3), 0)), "")</f>
        <v>62</v>
      </c>
      <c r="N3" cm="1">
        <f t="array" ref="N3">IFERROR(INDEX(fesp!$E:$E, MATCH(1, (VALUE(LEFT(fesp!$A:$A,6))=VALUE(LEFT(B3,6)))*(fesp!$C:$C=C3), 0)), "")</f>
        <v>114</v>
      </c>
      <c r="O3" cm="1">
        <f t="array" ref="O3">IFERROR(INDEX(fesp!$F:$F, MATCH(1, (VALUE(LEFT(fesp!$A:$A,6))=VALUE(LEFT(B3,6)))*(fesp!$C:$C=C3), 0)), "")</f>
        <v>2413</v>
      </c>
      <c r="P3" cm="1">
        <f t="array" ref="P3">IFERROR(INDEX(fesp!$G:$G, MATCH(1, (VALUE(LEFT(fesp!$A:$A,6))=VALUE(LEFT(B3,6)))*(fesp!$C:$C=C3), 0)), "")</f>
        <v>4546321</v>
      </c>
      <c r="Q3" cm="1">
        <f t="array" ref="Q3">IFERROR(INDEX(fesp!$H:$H, MATCH(1, (VALUE(LEFT(fesp!$A:$A,6))=VALUE(LEFT(B3,6)))*(fesp!$C:$C=C3), 0)), "")</f>
        <v>39</v>
      </c>
      <c r="R3" cm="1">
        <f t="array" ref="R3">IFERROR(INDEX(fesp!$I:$I, MATCH(1, (VALUE(LEFT(fesp!$A:$A,6))=VALUE(LEFT(B3,6)))*(fesp!$C:$C=C3), 0)), "")</f>
        <v>29870</v>
      </c>
      <c r="S3" cm="1">
        <f t="array" ref="S3">IFERROR(INDEX(fesp!$J:$J, MATCH(1, (VALUE(LEFT(fesp!$A:$A,6))=VALUE(LEFT(B3,6)))*(fesp!$C:$C=C3), 0)), "")</f>
        <v>165475</v>
      </c>
    </row>
    <row r="4" spans="1:19">
      <c r="A4" s="1" t="s">
        <v>87</v>
      </c>
      <c r="B4" s="3" t="s">
        <v>86</v>
      </c>
      <c r="C4" s="3">
        <v>2017</v>
      </c>
      <c r="D4" cm="1">
        <f t="array" ref="D4">IFERROR(INDEX(fesp!$D:$D, MATCH(1, (VALUE(LEFT(fesp!$A:$A,6))=VALUE(LEFT(B4,6)))*(fesp!$C:$C=C4), 0)), "")</f>
        <v>0</v>
      </c>
      <c r="E4" cm="1">
        <f t="array" aca="1" ref="E4" ca="1">IFERROR(INDEX(ft_medicos_clinicos!$C:$C, MATCH(1, (VALUE(LEFT(ft_medicos_clinicos!$A:$A,6))=VALUE(LEFT(B4,6)))*(ft_medicos_clinicos!$B:$B=C4), 0)), "")</f>
        <v>322</v>
      </c>
      <c r="F4" cm="1">
        <f t="array" aca="1" ref="F4" ca="1">IFERROR(INDEX(ft_enfermeiros!$C:$C, MATCH(1, (VALUE(LEFT(ft_enfermeiros!$A:$A,6))=VALUE(LEFT(B4,6)))*(ft_enfermeiros!$B:$B=C4), 0)), "")</f>
        <v>645</v>
      </c>
      <c r="G4" cm="1">
        <f t="array" aca="1" ref="G4" ca="1">IFERROR(INDEX(ft_equipes_acs!$C:$C, MATCH(1, (VALUE(LEFT(ft_equipes_acs!$A:$A,6))=VALUE(LEFT(B4,6)))*(ft_equipes_acs!$B:$B=C4), 0)), "")</f>
        <v>1</v>
      </c>
      <c r="H4" cm="1">
        <f t="array" aca="1" ref="H4" ca="1">IFERROR(INDEX(ci_leitos_internacao!$C:$C, MATCH(1, (VALUE(LEFT(ci_leitos_internacao!$A:$A,6))=VALUE(LEFT(B4,6)))*(ci_leitos_internacao!$B:$B=C4), 0)), "")</f>
        <v>1715</v>
      </c>
      <c r="I4" cm="1">
        <f t="array" aca="1" ref="I4" ca="1">IFERROR(INDEX(ci_hospitais_internacao!$C:$C, MATCH(1, (VALUE(LEFT(ci_hospitais_internacao!$A:$A,6))=VALUE(LEFT(B4,6)))*(ci_hospitais_internacao!$B:$B=C4), 0)), "")</f>
        <v>6</v>
      </c>
      <c r="J4" cm="1">
        <f t="array" aca="1" ref="J4" ca="1">IFERROR(INDEX(ci_pa_clinico!$C:$C, MATCH(1, (VALUE(LEFT(ci_pa_clinico!$A:$A,6))=VALUE(LEFT(B4,6)))*(ci_pa_clinico!$B:$B=C4), 0)), "")</f>
        <v>6</v>
      </c>
      <c r="K4" cm="1">
        <f t="array" aca="1" ref="K4" ca="1">IFERROR(INDEX(aps_equipes_esf!$C:$C, MATCH(1, (VALUE(LEFT(aps_equipes_esf!$A:$A,6))=VALUE(LEFT(B4,6)))*(aps_equipes_esf!$B:$B=C4), 0)), "")</f>
        <v>24</v>
      </c>
      <c r="L4" cm="1">
        <f t="array" aca="1" ref="L4" ca="1">IFERROR(INDEX(casos!$C:$C, MATCH(1, (VALUE(LEFT(casos!$A:$A,6))=VALUE(LEFT(B4,6)))*(casos!$B:$B=C4), 0)), "")</f>
        <v>357</v>
      </c>
      <c r="M4" cm="1">
        <f t="array" ref="M4">IFERROR(INDEX(srag!$D:$D, MATCH(1, (VALUE(LEFT(srag!$A:$A,6))=VALUE(LEFT(B4,6)))*(srag!$C:$C=C4), 0)), "")</f>
        <v>10</v>
      </c>
      <c r="N4" cm="1">
        <f t="array" ref="N4">IFERROR(INDEX(fesp!$E:$E, MATCH(1, (VALUE(LEFT(fesp!$A:$A,6))=VALUE(LEFT(B4,6)))*(fesp!$C:$C=C4), 0)), "")</f>
        <v>85</v>
      </c>
      <c r="O4" cm="1">
        <f t="array" ref="O4">IFERROR(INDEX(fesp!$F:$F, MATCH(1, (VALUE(LEFT(fesp!$A:$A,6))=VALUE(LEFT(B4,6)))*(fesp!$C:$C=C4), 0)), "")</f>
        <v>892</v>
      </c>
      <c r="P4" cm="1">
        <f t="array" ref="P4">IFERROR(INDEX(fesp!$G:$G, MATCH(1, (VALUE(LEFT(fesp!$A:$A,6))=VALUE(LEFT(B4,6)))*(fesp!$C:$C=C4), 0)), "")</f>
        <v>4765730</v>
      </c>
      <c r="Q4" cm="1">
        <f t="array" ref="Q4">IFERROR(INDEX(fesp!$H:$H, MATCH(1, (VALUE(LEFT(fesp!$A:$A,6))=VALUE(LEFT(B4,6)))*(fesp!$C:$C=C4), 0)), "")</f>
        <v>25</v>
      </c>
      <c r="R4" cm="1">
        <f t="array" ref="R4">IFERROR(INDEX(fesp!$I:$I, MATCH(1, (VALUE(LEFT(fesp!$A:$A,6))=VALUE(LEFT(B4,6)))*(fesp!$C:$C=C4), 0)), "")</f>
        <v>24180</v>
      </c>
      <c r="S4" cm="1">
        <f t="array" ref="S4">IFERROR(INDEX(fesp!$J:$J, MATCH(1, (VALUE(LEFT(fesp!$A:$A,6))=VALUE(LEFT(B4,6)))*(fesp!$C:$C=C4), 0)), "")</f>
        <v>85781</v>
      </c>
    </row>
    <row r="5" spans="1:19">
      <c r="A5" s="1" t="s">
        <v>87</v>
      </c>
      <c r="B5" s="3" t="s">
        <v>86</v>
      </c>
      <c r="C5" s="3">
        <v>2018</v>
      </c>
      <c r="D5" cm="1">
        <f t="array" ref="D5">IFERROR(INDEX(fesp!$D:$D, MATCH(1, (VALUE(LEFT(fesp!$A:$A,6))=VALUE(LEFT(B5,6)))*(fesp!$C:$C=C5), 0)), "")</f>
        <v>0</v>
      </c>
      <c r="E5" cm="1">
        <f t="array" aca="1" ref="E5" ca="1">IFERROR(INDEX(ft_medicos_clinicos!$C:$C, MATCH(1, (VALUE(LEFT(ft_medicos_clinicos!$A:$A,6))=VALUE(LEFT(B5,6)))*(ft_medicos_clinicos!$B:$B=C5), 0)), "")</f>
        <v>324</v>
      </c>
      <c r="F5" cm="1">
        <f t="array" aca="1" ref="F5" ca="1">IFERROR(INDEX(ft_enfermeiros!$C:$C, MATCH(1, (VALUE(LEFT(ft_enfermeiros!$A:$A,6))=VALUE(LEFT(B5,6)))*(ft_enfermeiros!$B:$B=C5), 0)), "")</f>
        <v>706</v>
      </c>
      <c r="G5" t="str" cm="1">
        <f t="array" aca="1" ref="G5" ca="1">IFERROR(INDEX(ft_equipes_acs!$C:$C, MATCH(1, (VALUE(LEFT(ft_equipes_acs!$A:$A,6))=VALUE(LEFT(B5,6)))*(ft_equipes_acs!$B:$B=C5), 0)), "")</f>
        <v>-</v>
      </c>
      <c r="H5" cm="1">
        <f t="array" aca="1" ref="H5" ca="1">IFERROR(INDEX(ci_leitos_internacao!$C:$C, MATCH(1, (VALUE(LEFT(ci_leitos_internacao!$A:$A,6))=VALUE(LEFT(B5,6)))*(ci_leitos_internacao!$B:$B=C5), 0)), "")</f>
        <v>1772</v>
      </c>
      <c r="I5" cm="1">
        <f t="array" aca="1" ref="I5" ca="1">IFERROR(INDEX(ci_hospitais_internacao!$C:$C, MATCH(1, (VALUE(LEFT(ci_hospitais_internacao!$A:$A,6))=VALUE(LEFT(B5,6)))*(ci_hospitais_internacao!$B:$B=C5), 0)), "")</f>
        <v>6</v>
      </c>
      <c r="J5" cm="1">
        <f t="array" aca="1" ref="J5" ca="1">IFERROR(INDEX(ci_pa_clinico!$C:$C, MATCH(1, (VALUE(LEFT(ci_pa_clinico!$A:$A,6))=VALUE(LEFT(B5,6)))*(ci_pa_clinico!$B:$B=C5), 0)), "")</f>
        <v>6</v>
      </c>
      <c r="K5" cm="1">
        <f t="array" aca="1" ref="K5" ca="1">IFERROR(INDEX(aps_equipes_esf!$C:$C, MATCH(1, (VALUE(LEFT(aps_equipes_esf!$A:$A,6))=VALUE(LEFT(B5,6)))*(aps_equipes_esf!$B:$B=C5), 0)), "")</f>
        <v>32</v>
      </c>
      <c r="L5" cm="1">
        <f t="array" aca="1" ref="L5" ca="1">IFERROR(INDEX(casos!$C:$C, MATCH(1, (VALUE(LEFT(casos!$A:$A,6))=VALUE(LEFT(B5,6)))*(casos!$B:$B=C5), 0)), "")</f>
        <v>114</v>
      </c>
      <c r="M5" cm="1">
        <f t="array" ref="M5">IFERROR(INDEX(srag!$D:$D, MATCH(1, (VALUE(LEFT(srag!$A:$A,6))=VALUE(LEFT(B5,6)))*(srag!$C:$C=C5), 0)), "")</f>
        <v>19</v>
      </c>
      <c r="N5" cm="1">
        <f t="array" ref="N5">IFERROR(INDEX(fesp!$E:$E, MATCH(1, (VALUE(LEFT(fesp!$A:$A,6))=VALUE(LEFT(B5,6)))*(fesp!$C:$C=C5), 0)), "")</f>
        <v>96</v>
      </c>
      <c r="O5" cm="1">
        <f t="array" ref="O5">IFERROR(INDEX(fesp!$F:$F, MATCH(1, (VALUE(LEFT(fesp!$A:$A,6))=VALUE(LEFT(B5,6)))*(fesp!$C:$C=C5), 0)), "")</f>
        <v>1480</v>
      </c>
      <c r="P5" cm="1">
        <f t="array" ref="P5">IFERROR(INDEX(fesp!$G:$G, MATCH(1, (VALUE(LEFT(fesp!$A:$A,6))=VALUE(LEFT(B5,6)))*(fesp!$C:$C=C5), 0)), "")</f>
        <v>5243163</v>
      </c>
      <c r="Q5" cm="1">
        <f t="array" ref="Q5">IFERROR(INDEX(fesp!$H:$H, MATCH(1, (VALUE(LEFT(fesp!$A:$A,6))=VALUE(LEFT(B5,6)))*(fesp!$C:$C=C5), 0)), "")</f>
        <v>17</v>
      </c>
      <c r="R5" cm="1">
        <f t="array" ref="R5">IFERROR(INDEX(fesp!$I:$I, MATCH(1, (VALUE(LEFT(fesp!$A:$A,6))=VALUE(LEFT(B5,6)))*(fesp!$C:$C=C5), 0)), "")</f>
        <v>7469</v>
      </c>
      <c r="S5" cm="1">
        <f t="array" ref="S5">IFERROR(INDEX(fesp!$J:$J, MATCH(1, (VALUE(LEFT(fesp!$A:$A,6))=VALUE(LEFT(B5,6)))*(fesp!$C:$C=C5), 0)), "")</f>
        <v>1365</v>
      </c>
    </row>
    <row r="6" spans="1:19">
      <c r="A6" s="1" t="s">
        <v>87</v>
      </c>
      <c r="B6" s="3" t="s">
        <v>86</v>
      </c>
      <c r="C6" s="3">
        <v>2019</v>
      </c>
      <c r="D6" cm="1">
        <f t="array" ref="D6">IFERROR(INDEX(fesp!$D:$D, MATCH(1, (VALUE(LEFT(fesp!$A:$A,6))=VALUE(LEFT(B6,6)))*(fesp!$C:$C=C6), 0)), "")</f>
        <v>0</v>
      </c>
      <c r="E6" cm="1">
        <f t="array" aca="1" ref="E6" ca="1">IFERROR(INDEX(ft_medicos_clinicos!$C:$C, MATCH(1, (VALUE(LEFT(ft_medicos_clinicos!$A:$A,6))=VALUE(LEFT(B6,6)))*(ft_medicos_clinicos!$B:$B=C6), 0)), "")</f>
        <v>328</v>
      </c>
      <c r="F6" cm="1">
        <f t="array" aca="1" ref="F6" ca="1">IFERROR(INDEX(ft_enfermeiros!$C:$C, MATCH(1, (VALUE(LEFT(ft_enfermeiros!$A:$A,6))=VALUE(LEFT(B6,6)))*(ft_enfermeiros!$B:$B=C6), 0)), "")</f>
        <v>785</v>
      </c>
      <c r="G6" t="str" cm="1">
        <f t="array" aca="1" ref="G6" ca="1">IFERROR(INDEX(ft_equipes_acs!$C:$C, MATCH(1, (VALUE(LEFT(ft_equipes_acs!$A:$A,6))=VALUE(LEFT(B6,6)))*(ft_equipes_acs!$B:$B=C6), 0)), "")</f>
        <v>-</v>
      </c>
      <c r="H6" cm="1">
        <f t="array" aca="1" ref="H6" ca="1">IFERROR(INDEX(ci_leitos_internacao!$C:$C, MATCH(1, (VALUE(LEFT(ci_leitos_internacao!$A:$A,6))=VALUE(LEFT(B6,6)))*(ci_leitos_internacao!$B:$B=C6), 0)), "")</f>
        <v>1851</v>
      </c>
      <c r="I6" cm="1">
        <f t="array" aca="1" ref="I6" ca="1">IFERROR(INDEX(ci_hospitais_internacao!$C:$C, MATCH(1, (VALUE(LEFT(ci_hospitais_internacao!$A:$A,6))=VALUE(LEFT(B6,6)))*(ci_hospitais_internacao!$B:$B=C6), 0)), "")</f>
        <v>8</v>
      </c>
      <c r="J6" cm="1">
        <f t="array" aca="1" ref="J6" ca="1">IFERROR(INDEX(ci_pa_clinico!$C:$C, MATCH(1, (VALUE(LEFT(ci_pa_clinico!$A:$A,6))=VALUE(LEFT(B6,6)))*(ci_pa_clinico!$B:$B=C6), 0)), "")</f>
        <v>6</v>
      </c>
      <c r="K6" cm="1">
        <f t="array" aca="1" ref="K6" ca="1">IFERROR(INDEX(aps_equipes_esf!$C:$C, MATCH(1, (VALUE(LEFT(aps_equipes_esf!$A:$A,6))=VALUE(LEFT(B6,6)))*(aps_equipes_esf!$B:$B=C6), 0)), "")</f>
        <v>28</v>
      </c>
      <c r="L6" cm="1">
        <f t="array" aca="1" ref="L6" ca="1">IFERROR(INDEX(casos!$C:$C, MATCH(1, (VALUE(LEFT(casos!$A:$A,6))=VALUE(LEFT(B6,6)))*(casos!$B:$B=C6), 0)), "")</f>
        <v>181</v>
      </c>
      <c r="M6" cm="1">
        <f t="array" ref="M6">IFERROR(INDEX(srag!$D:$D, MATCH(1, (VALUE(LEFT(srag!$A:$A,6))=VALUE(LEFT(B6,6)))*(srag!$C:$C=C6), 0)), "")</f>
        <v>63</v>
      </c>
      <c r="N6" cm="1">
        <f t="array" ref="N6">IFERROR(INDEX(fesp!$E:$E, MATCH(1, (VALUE(LEFT(fesp!$A:$A,6))=VALUE(LEFT(B6,6)))*(fesp!$C:$C=C6), 0)), "")</f>
        <v>116</v>
      </c>
      <c r="O6" cm="1">
        <f t="array" ref="O6">IFERROR(INDEX(fesp!$F:$F, MATCH(1, (VALUE(LEFT(fesp!$A:$A,6))=VALUE(LEFT(B6,6)))*(fesp!$C:$C=C6), 0)), "")</f>
        <v>2950</v>
      </c>
      <c r="P6" cm="1">
        <f t="array" ref="P6">IFERROR(INDEX(fesp!$G:$G, MATCH(1, (VALUE(LEFT(fesp!$A:$A,6))=VALUE(LEFT(B6,6)))*(fesp!$C:$C=C6), 0)), "")</f>
        <v>5397213</v>
      </c>
      <c r="Q6" cm="1">
        <f t="array" ref="Q6">IFERROR(INDEX(fesp!$H:$H, MATCH(1, (VALUE(LEFT(fesp!$A:$A,6))=VALUE(LEFT(B6,6)))*(fesp!$C:$C=C6), 0)), "")</f>
        <v>26</v>
      </c>
      <c r="R6" cm="1">
        <f t="array" ref="R6">IFERROR(INDEX(fesp!$I:$I, MATCH(1, (VALUE(LEFT(fesp!$A:$A,6))=VALUE(LEFT(B6,6)))*(fesp!$C:$C=C6), 0)), "")</f>
        <v>6023</v>
      </c>
      <c r="S6" cm="1">
        <f t="array" ref="S6">IFERROR(INDEX(fesp!$J:$J, MATCH(1, (VALUE(LEFT(fesp!$A:$A,6))=VALUE(LEFT(B6,6)))*(fesp!$C:$C=C6), 0)), "")</f>
        <v>210</v>
      </c>
    </row>
    <row r="7" spans="1:19">
      <c r="A7" s="1" t="s">
        <v>87</v>
      </c>
      <c r="B7" s="3" t="s">
        <v>86</v>
      </c>
      <c r="C7" s="3">
        <v>2020</v>
      </c>
      <c r="D7" cm="1">
        <f t="array" ref="D7">IFERROR(INDEX(fesp!$D:$D, MATCH(1, (VALUE(LEFT(fesp!$A:$A,6))=VALUE(LEFT(B7,6)))*(fesp!$C:$C=C7), 0)), "")</f>
        <v>0</v>
      </c>
      <c r="E7" cm="1">
        <f t="array" aca="1" ref="E7" ca="1">IFERROR(INDEX(ft_medicos_clinicos!$C:$C, MATCH(1, (VALUE(LEFT(ft_medicos_clinicos!$A:$A,6))=VALUE(LEFT(B7,6)))*(ft_medicos_clinicos!$B:$B=C7), 0)), "")</f>
        <v>421</v>
      </c>
      <c r="F7" cm="1">
        <f t="array" aca="1" ref="F7" ca="1">IFERROR(INDEX(ft_enfermeiros!$C:$C, MATCH(1, (VALUE(LEFT(ft_enfermeiros!$A:$A,6))=VALUE(LEFT(B7,6)))*(ft_enfermeiros!$B:$B=C7), 0)), "")</f>
        <v>1041</v>
      </c>
      <c r="G7" t="str" cm="1">
        <f t="array" aca="1" ref="G7" ca="1">IFERROR(INDEX(ft_equipes_acs!$C:$C, MATCH(1, (VALUE(LEFT(ft_equipes_acs!$A:$A,6))=VALUE(LEFT(B7,6)))*(ft_equipes_acs!$B:$B=C7), 0)), "")</f>
        <v>-</v>
      </c>
      <c r="H7" cm="1">
        <f t="array" aca="1" ref="H7" ca="1">IFERROR(INDEX(ci_leitos_internacao!$C:$C, MATCH(1, (VALUE(LEFT(ci_leitos_internacao!$A:$A,6))=VALUE(LEFT(B7,6)))*(ci_leitos_internacao!$B:$B=C7), 0)), "")</f>
        <v>1871</v>
      </c>
      <c r="I7" cm="1">
        <f t="array" aca="1" ref="I7" ca="1">IFERROR(INDEX(ci_hospitais_internacao!$C:$C, MATCH(1, (VALUE(LEFT(ci_hospitais_internacao!$A:$A,6))=VALUE(LEFT(B7,6)))*(ci_hospitais_internacao!$B:$B=C7), 0)), "")</f>
        <v>7</v>
      </c>
      <c r="J7" cm="1">
        <f t="array" aca="1" ref="J7" ca="1">IFERROR(INDEX(ci_pa_clinico!$C:$C, MATCH(1, (VALUE(LEFT(ci_pa_clinico!$A:$A,6))=VALUE(LEFT(B7,6)))*(ci_pa_clinico!$B:$B=C7), 0)), "")</f>
        <v>6</v>
      </c>
      <c r="K7" cm="1">
        <f t="array" aca="1" ref="K7" ca="1">IFERROR(INDEX(aps_equipes_esf!$C:$C, MATCH(1, (VALUE(LEFT(aps_equipes_esf!$A:$A,6))=VALUE(LEFT(B7,6)))*(aps_equipes_esf!$B:$B=C7), 0)), "")</f>
        <v>3</v>
      </c>
      <c r="L7" cm="1">
        <f t="array" aca="1" ref="L7" ca="1">IFERROR(INDEX(casos!$C:$C, MATCH(1, (VALUE(LEFT(casos!$A:$A,6))=VALUE(LEFT(B7,6)))*(casos!$B:$B=C7), 0)), "")</f>
        <v>309</v>
      </c>
      <c r="M7" cm="1">
        <f t="array" ref="M7">IFERROR(INDEX(srag!$D:$D, MATCH(1, (VALUE(LEFT(srag!$A:$A,6))=VALUE(LEFT(B7,6)))*(srag!$C:$C=C7), 0)), "")</f>
        <v>3483</v>
      </c>
      <c r="N7" cm="1">
        <f t="array" ref="N7">IFERROR(INDEX(fesp!$E:$E, MATCH(1, (VALUE(LEFT(fesp!$A:$A,6))=VALUE(LEFT(B7,6)))*(fesp!$C:$C=C7), 0)), "")</f>
        <v>227</v>
      </c>
      <c r="O7" cm="1">
        <f t="array" ref="O7">IFERROR(INDEX(fesp!$F:$F, MATCH(1, (VALUE(LEFT(fesp!$A:$A,6))=VALUE(LEFT(B7,6)))*(fesp!$C:$C=C7), 0)), "")</f>
        <v>1155</v>
      </c>
      <c r="P7" cm="1">
        <f t="array" ref="P7">IFERROR(INDEX(fesp!$G:$G, MATCH(1, (VALUE(LEFT(fesp!$A:$A,6))=VALUE(LEFT(B7,6)))*(fesp!$C:$C=C7), 0)), "")</f>
        <v>4105324</v>
      </c>
      <c r="Q7" cm="1">
        <f t="array" ref="Q7">IFERROR(INDEX(fesp!$H:$H, MATCH(1, (VALUE(LEFT(fesp!$A:$A,6))=VALUE(LEFT(B7,6)))*(fesp!$C:$C=C7), 0)), "")</f>
        <v>71</v>
      </c>
      <c r="R7" cm="1">
        <f t="array" ref="R7">IFERROR(INDEX(fesp!$I:$I, MATCH(1, (VALUE(LEFT(fesp!$A:$A,6))=VALUE(LEFT(B7,6)))*(fesp!$C:$C=C7), 0)), "")</f>
        <v>3322</v>
      </c>
      <c r="S7" cm="1">
        <f t="array" ref="S7">IFERROR(INDEX(fesp!$J:$J, MATCH(1, (VALUE(LEFT(fesp!$A:$A,6))=VALUE(LEFT(B7,6)))*(fesp!$C:$C=C7), 0)), "")</f>
        <v>0</v>
      </c>
    </row>
    <row r="8" spans="1:19">
      <c r="A8" s="1" t="s">
        <v>87</v>
      </c>
      <c r="B8" s="3" t="s">
        <v>86</v>
      </c>
      <c r="C8" s="3">
        <v>2021</v>
      </c>
      <c r="D8" cm="1">
        <f t="array" ref="D8">IFERROR(INDEX(fesp!$D:$D, MATCH(1, (VALUE(LEFT(fesp!$A:$A,6))=VALUE(LEFT(B8,6)))*(fesp!$C:$C=C8), 0)), "")</f>
        <v>0</v>
      </c>
      <c r="E8" cm="1">
        <f t="array" aca="1" ref="E8" ca="1">IFERROR(INDEX(ft_medicos_clinicos!$C:$C, MATCH(1, (VALUE(LEFT(ft_medicos_clinicos!$A:$A,6))=VALUE(LEFT(B8,6)))*(ft_medicos_clinicos!$B:$B=C8), 0)), "")</f>
        <v>467</v>
      </c>
      <c r="F8" cm="1">
        <f t="array" aca="1" ref="F8" ca="1">IFERROR(INDEX(ft_enfermeiros!$C:$C, MATCH(1, (VALUE(LEFT(ft_enfermeiros!$A:$A,6))=VALUE(LEFT(B8,6)))*(ft_enfermeiros!$B:$B=C8), 0)), "")</f>
        <v>1078</v>
      </c>
      <c r="G8" t="str" cm="1">
        <f t="array" aca="1" ref="G8" ca="1">IFERROR(INDEX(ft_equipes_acs!$C:$C, MATCH(1, (VALUE(LEFT(ft_equipes_acs!$A:$A,6))=VALUE(LEFT(B8,6)))*(ft_equipes_acs!$B:$B=C8), 0)), "")</f>
        <v>-</v>
      </c>
      <c r="H8" cm="1">
        <f t="array" aca="1" ref="H8" ca="1">IFERROR(INDEX(ci_leitos_internacao!$C:$C, MATCH(1, (VALUE(LEFT(ci_leitos_internacao!$A:$A,6))=VALUE(LEFT(B8,6)))*(ci_leitos_internacao!$B:$B=C8), 0)), "")</f>
        <v>1887</v>
      </c>
      <c r="I8" cm="1">
        <f t="array" aca="1" ref="I8" ca="1">IFERROR(INDEX(ci_hospitais_internacao!$C:$C, MATCH(1, (VALUE(LEFT(ci_hospitais_internacao!$A:$A,6))=VALUE(LEFT(B8,6)))*(ci_hospitais_internacao!$B:$B=C8), 0)), "")</f>
        <v>8</v>
      </c>
      <c r="J8" cm="1">
        <f t="array" aca="1" ref="J8" ca="1">IFERROR(INDEX(ci_pa_clinico!$C:$C, MATCH(1, (VALUE(LEFT(ci_pa_clinico!$A:$A,6))=VALUE(LEFT(B8,6)))*(ci_pa_clinico!$B:$B=C8), 0)), "")</f>
        <v>6</v>
      </c>
      <c r="K8" cm="1">
        <f t="array" aca="1" ref="K8" ca="1">IFERROR(INDEX(aps_equipes_esf!$C:$C, MATCH(1, (VALUE(LEFT(aps_equipes_esf!$A:$A,6))=VALUE(LEFT(B8,6)))*(aps_equipes_esf!$B:$B=C8), 0)), "")</f>
        <v>2</v>
      </c>
      <c r="L8" cm="1">
        <f t="array" aca="1" ref="L8" ca="1">IFERROR(INDEX(casos!$C:$C, MATCH(1, (VALUE(LEFT(casos!$A:$A,6))=VALUE(LEFT(B8,6)))*(casos!$B:$B=C8), 0)), "")</f>
        <v>212</v>
      </c>
      <c r="M8" cm="1">
        <f t="array" ref="M8">IFERROR(INDEX(srag!$D:$D, MATCH(1, (VALUE(LEFT(srag!$A:$A,6))=VALUE(LEFT(B8,6)))*(srag!$C:$C=C8), 0)), "")</f>
        <v>6682</v>
      </c>
      <c r="N8" cm="1">
        <f t="array" ref="N8">IFERROR(INDEX(fesp!$E:$E, MATCH(1, (VALUE(LEFT(fesp!$A:$A,6))=VALUE(LEFT(B8,6)))*(fesp!$C:$C=C8), 0)), "")</f>
        <v>277</v>
      </c>
      <c r="O8" cm="1">
        <f t="array" ref="O8">IFERROR(INDEX(fesp!$F:$F, MATCH(1, (VALUE(LEFT(fesp!$A:$A,6))=VALUE(LEFT(B8,6)))*(fesp!$C:$C=C8), 0)), "")</f>
        <v>1441</v>
      </c>
      <c r="P8" cm="1">
        <f t="array" ref="P8">IFERROR(INDEX(fesp!$G:$G, MATCH(1, (VALUE(LEFT(fesp!$A:$A,6))=VALUE(LEFT(B8,6)))*(fesp!$C:$C=C8), 0)), "")</f>
        <v>5205099</v>
      </c>
      <c r="Q8" cm="1">
        <f t="array" ref="Q8">IFERROR(INDEX(fesp!$H:$H, MATCH(1, (VALUE(LEFT(fesp!$A:$A,6))=VALUE(LEFT(B8,6)))*(fesp!$C:$C=C8), 0)), "")</f>
        <v>53</v>
      </c>
      <c r="R8" cm="1">
        <f t="array" ref="R8">IFERROR(INDEX(fesp!$I:$I, MATCH(1, (VALUE(LEFT(fesp!$A:$A,6))=VALUE(LEFT(B8,6)))*(fesp!$C:$C=C8), 0)), "")</f>
        <v>1893</v>
      </c>
      <c r="S8" cm="1">
        <f t="array" ref="S8">IFERROR(INDEX(fesp!$J:$J, MATCH(1, (VALUE(LEFT(fesp!$A:$A,6))=VALUE(LEFT(B8,6)))*(fesp!$C:$C=C8), 0)), "")</f>
        <v>0</v>
      </c>
    </row>
    <row r="9" spans="1:19">
      <c r="A9" s="1" t="s">
        <v>87</v>
      </c>
      <c r="B9" s="3" t="s">
        <v>86</v>
      </c>
      <c r="C9" s="3">
        <v>2022</v>
      </c>
      <c r="D9" cm="1">
        <f t="array" ref="D9">IFERROR(INDEX(fesp!$D:$D, MATCH(1, (VALUE(LEFT(fesp!$A:$A,6))=VALUE(LEFT(B9,6)))*(fesp!$C:$C=C9), 0)), "")</f>
        <v>460434</v>
      </c>
      <c r="E9" cm="1">
        <f t="array" aca="1" ref="E9" ca="1">IFERROR(INDEX(ft_medicos_clinicos!$C:$C, MATCH(1, (VALUE(LEFT(ft_medicos_clinicos!$A:$A,6))=VALUE(LEFT(B9,6)))*(ft_medicos_clinicos!$B:$B=C9), 0)), "")</f>
        <v>460</v>
      </c>
      <c r="F9" cm="1">
        <f t="array" aca="1" ref="F9" ca="1">IFERROR(INDEX(ft_enfermeiros!$C:$C, MATCH(1, (VALUE(LEFT(ft_enfermeiros!$A:$A,6))=VALUE(LEFT(B9,6)))*(ft_enfermeiros!$B:$B=C9), 0)), "")</f>
        <v>1090</v>
      </c>
      <c r="G9" t="str" cm="1">
        <f t="array" aca="1" ref="G9" ca="1">IFERROR(INDEX(ft_equipes_acs!$C:$C, MATCH(1, (VALUE(LEFT(ft_equipes_acs!$A:$A,6))=VALUE(LEFT(B9,6)))*(ft_equipes_acs!$B:$B=C9), 0)), "")</f>
        <v>-</v>
      </c>
      <c r="H9" cm="1">
        <f t="array" aca="1" ref="H9" ca="1">IFERROR(INDEX(ci_leitos_internacao!$C:$C, MATCH(1, (VALUE(LEFT(ci_leitos_internacao!$A:$A,6))=VALUE(LEFT(B9,6)))*(ci_leitos_internacao!$B:$B=C9), 0)), "")</f>
        <v>1899</v>
      </c>
      <c r="I9" cm="1">
        <f t="array" aca="1" ref="I9" ca="1">IFERROR(INDEX(ci_hospitais_internacao!$C:$C, MATCH(1, (VALUE(LEFT(ci_hospitais_internacao!$A:$A,6))=VALUE(LEFT(B9,6)))*(ci_hospitais_internacao!$B:$B=C9), 0)), "")</f>
        <v>7</v>
      </c>
      <c r="J9" cm="1">
        <f t="array" aca="1" ref="J9" ca="1">IFERROR(INDEX(ci_pa_clinico!$C:$C, MATCH(1, (VALUE(LEFT(ci_pa_clinico!$A:$A,6))=VALUE(LEFT(B9,6)))*(ci_pa_clinico!$B:$B=C9), 0)), "")</f>
        <v>6</v>
      </c>
      <c r="K9" cm="1">
        <f t="array" aca="1" ref="K9" ca="1">IFERROR(INDEX(aps_equipes_esf!$C:$C, MATCH(1, (VALUE(LEFT(aps_equipes_esf!$A:$A,6))=VALUE(LEFT(B9,6)))*(aps_equipes_esf!$B:$B=C9), 0)), "")</f>
        <v>2</v>
      </c>
      <c r="L9" cm="1">
        <f t="array" aca="1" ref="L9" ca="1">IFERROR(INDEX(casos!$C:$C, MATCH(1, (VALUE(LEFT(casos!$A:$A,6))=VALUE(LEFT(B9,6)))*(casos!$B:$B=C9), 0)), "")</f>
        <v>2021</v>
      </c>
      <c r="M9" cm="1">
        <f t="array" ref="M9">IFERROR(INDEX(srag!$D:$D, MATCH(1, (VALUE(LEFT(srag!$A:$A,6))=VALUE(LEFT(B9,6)))*(srag!$C:$C=C9), 0)), "")</f>
        <v>1270</v>
      </c>
      <c r="N9" cm="1">
        <f t="array" ref="N9">IFERROR(INDEX(fesp!$E:$E, MATCH(1, (VALUE(LEFT(fesp!$A:$A,6))=VALUE(LEFT(B9,6)))*(fesp!$C:$C=C9), 0)), "")</f>
        <v>153</v>
      </c>
      <c r="O9" cm="1">
        <f t="array" ref="O9">IFERROR(INDEX(fesp!$F:$F, MATCH(1, (VALUE(LEFT(fesp!$A:$A,6))=VALUE(LEFT(B9,6)))*(fesp!$C:$C=C9), 0)), "")</f>
        <v>1874</v>
      </c>
      <c r="P9" cm="1">
        <f t="array" ref="P9">IFERROR(INDEX(fesp!$G:$G, MATCH(1, (VALUE(LEFT(fesp!$A:$A,6))=VALUE(LEFT(B9,6)))*(fesp!$C:$C=C9), 0)), "")</f>
        <v>5880989</v>
      </c>
      <c r="Q9" cm="1">
        <f t="array" ref="Q9">IFERROR(INDEX(fesp!$H:$H, MATCH(1, (VALUE(LEFT(fesp!$A:$A,6))=VALUE(LEFT(B9,6)))*(fesp!$C:$C=C9), 0)), "")</f>
        <v>51</v>
      </c>
      <c r="R9" cm="1">
        <f t="array" ref="R9">IFERROR(INDEX(fesp!$I:$I, MATCH(1, (VALUE(LEFT(fesp!$A:$A,6))=VALUE(LEFT(B9,6)))*(fesp!$C:$C=C9), 0)), "")</f>
        <v>4957</v>
      </c>
      <c r="S9" cm="1">
        <f t="array" ref="S9">IFERROR(INDEX(fesp!$J:$J, MATCH(1, (VALUE(LEFT(fesp!$A:$A,6))=VALUE(LEFT(B9,6)))*(fesp!$C:$C=C9), 0)), "")</f>
        <v>1</v>
      </c>
    </row>
    <row r="10" spans="1:19">
      <c r="A10" s="1" t="s">
        <v>87</v>
      </c>
      <c r="B10" s="3" t="s">
        <v>86</v>
      </c>
      <c r="C10" s="3">
        <v>2023</v>
      </c>
      <c r="D10" cm="1">
        <f t="array" ref="D10">IFERROR(INDEX(fesp!$D:$D, MATCH(1, (VALUE(LEFT(fesp!$A:$A,6))=VALUE(LEFT(B10,6)))*(fesp!$C:$C=C10), 0)), "")</f>
        <v>0</v>
      </c>
      <c r="E10" cm="1">
        <f t="array" aca="1" ref="E10" ca="1">IFERROR(INDEX(ft_medicos_clinicos!$C:$C, MATCH(1, (VALUE(LEFT(ft_medicos_clinicos!$A:$A,6))=VALUE(LEFT(B10,6)))*(ft_medicos_clinicos!$B:$B=C10), 0)), "")</f>
        <v>474</v>
      </c>
      <c r="F10" cm="1">
        <f t="array" aca="1" ref="F10" ca="1">IFERROR(INDEX(ft_enfermeiros!$C:$C, MATCH(1, (VALUE(LEFT(ft_enfermeiros!$A:$A,6))=VALUE(LEFT(B10,6)))*(ft_enfermeiros!$B:$B=C10), 0)), "")</f>
        <v>1179</v>
      </c>
      <c r="G10" t="str" cm="1">
        <f t="array" aca="1" ref="G10" ca="1">IFERROR(INDEX(ft_equipes_acs!$C:$C, MATCH(1, (VALUE(LEFT(ft_equipes_acs!$A:$A,6))=VALUE(LEFT(B10,6)))*(ft_equipes_acs!$B:$B=C10), 0)), "")</f>
        <v>-</v>
      </c>
      <c r="H10" cm="1">
        <f t="array" aca="1" ref="H10" ca="1">IFERROR(INDEX(ci_leitos_internacao!$C:$C, MATCH(1, (VALUE(LEFT(ci_leitos_internacao!$A:$A,6))=VALUE(LEFT(B10,6)))*(ci_leitos_internacao!$B:$B=C10), 0)), "")</f>
        <v>1892</v>
      </c>
      <c r="I10" cm="1">
        <f t="array" aca="1" ref="I10" ca="1">IFERROR(INDEX(ci_hospitais_internacao!$C:$C, MATCH(1, (VALUE(LEFT(ci_hospitais_internacao!$A:$A,6))=VALUE(LEFT(B10,6)))*(ci_hospitais_internacao!$B:$B=C10), 0)), "")</f>
        <v>7</v>
      </c>
      <c r="J10" cm="1">
        <f t="array" aca="1" ref="J10" ca="1">IFERROR(INDEX(ci_pa_clinico!$C:$C, MATCH(1, (VALUE(LEFT(ci_pa_clinico!$A:$A,6))=VALUE(LEFT(B10,6)))*(ci_pa_clinico!$B:$B=C10), 0)), "")</f>
        <v>6</v>
      </c>
      <c r="K10" cm="1">
        <f t="array" aca="1" ref="K10" ca="1">IFERROR(INDEX(aps_equipes_esf!$C:$C, MATCH(1, (VALUE(LEFT(aps_equipes_esf!$A:$A,6))=VALUE(LEFT(B10,6)))*(aps_equipes_esf!$B:$B=C10), 0)), "")</f>
        <v>2</v>
      </c>
      <c r="L10" cm="1">
        <f t="array" aca="1" ref="L10" ca="1">IFERROR(INDEX(casos!$C:$C, MATCH(1, (VALUE(LEFT(casos!$A:$A,6))=VALUE(LEFT(B10,6)))*(casos!$B:$B=C10), 0)), "")</f>
        <v>1160</v>
      </c>
      <c r="M10" cm="1">
        <f t="array" ref="M10">IFERROR(INDEX(srag!$D:$D, MATCH(1, (VALUE(LEFT(srag!$A:$A,6))=VALUE(LEFT(B10,6)))*(srag!$C:$C=C10), 0)), "")</f>
        <v>642</v>
      </c>
      <c r="N10" cm="1">
        <f t="array" ref="N10">IFERROR(INDEX(fesp!$E:$E, MATCH(1, (VALUE(LEFT(fesp!$A:$A,6))=VALUE(LEFT(B10,6)))*(fesp!$C:$C=C10), 0)), "")</f>
        <v>173</v>
      </c>
      <c r="O10" cm="1">
        <f t="array" ref="O10">IFERROR(INDEX(fesp!$F:$F, MATCH(1, (VALUE(LEFT(fesp!$A:$A,6))=VALUE(LEFT(B10,6)))*(fesp!$C:$C=C10), 0)), "")</f>
        <v>1880</v>
      </c>
      <c r="P10" cm="1">
        <f t="array" ref="P10">IFERROR(INDEX(fesp!$G:$G, MATCH(1, (VALUE(LEFT(fesp!$A:$A,6))=VALUE(LEFT(B10,6)))*(fesp!$C:$C=C10), 0)), "")</f>
        <v>5655048</v>
      </c>
      <c r="Q10" cm="1">
        <f t="array" ref="Q10">IFERROR(INDEX(fesp!$H:$H, MATCH(1, (VALUE(LEFT(fesp!$A:$A,6))=VALUE(LEFT(B10,6)))*(fesp!$C:$C=C10), 0)), "")</f>
        <v>28</v>
      </c>
      <c r="R10" cm="1">
        <f t="array" ref="R10">IFERROR(INDEX(fesp!$I:$I, MATCH(1, (VALUE(LEFT(fesp!$A:$A,6))=VALUE(LEFT(B10,6)))*(fesp!$C:$C=C10), 0)), "")</f>
        <v>5489</v>
      </c>
      <c r="S10" cm="1">
        <f t="array" ref="S10">IFERROR(INDEX(fesp!$J:$J, MATCH(1, (VALUE(LEFT(fesp!$A:$A,6))=VALUE(LEFT(B10,6)))*(fesp!$C:$C=C10), 0)), "")</f>
        <v>0</v>
      </c>
    </row>
    <row r="11" spans="1:19">
      <c r="A11" s="1" t="s">
        <v>87</v>
      </c>
      <c r="B11" s="3" t="s">
        <v>86</v>
      </c>
      <c r="C11" s="3">
        <v>2024</v>
      </c>
      <c r="D11" cm="1">
        <f t="array" ref="D11">IFERROR(INDEX(fesp!$D:$D, MATCH(1, (VALUE(LEFT(fesp!$A:$A,6))=VALUE(LEFT(B11,6)))*(fesp!$C:$C=C11), 0)), "")</f>
        <v>0</v>
      </c>
      <c r="E11" cm="1">
        <f t="array" aca="1" ref="E11" ca="1">IFERROR(INDEX(ft_medicos_clinicos!$C:$C, MATCH(1, (VALUE(LEFT(ft_medicos_clinicos!$A:$A,6))=VALUE(LEFT(B11,6)))*(ft_medicos_clinicos!$B:$B=C11), 0)), "")</f>
        <v>550</v>
      </c>
      <c r="F11" cm="1">
        <f t="array" aca="1" ref="F11" ca="1">IFERROR(INDEX(ft_enfermeiros!$C:$C, MATCH(1, (VALUE(LEFT(ft_enfermeiros!$A:$A,6))=VALUE(LEFT(B11,6)))*(ft_enfermeiros!$B:$B=C11), 0)), "")</f>
        <v>1130</v>
      </c>
      <c r="G11" t="str" cm="1">
        <f t="array" aca="1" ref="G11" ca="1">IFERROR(INDEX(ft_equipes_acs!$C:$C, MATCH(1, (VALUE(LEFT(ft_equipes_acs!$A:$A,6))=VALUE(LEFT(B11,6)))*(ft_equipes_acs!$B:$B=C11), 0)), "")</f>
        <v>-</v>
      </c>
      <c r="H11" cm="1">
        <f t="array" aca="1" ref="H11" ca="1">IFERROR(INDEX(ci_leitos_internacao!$C:$C, MATCH(1, (VALUE(LEFT(ci_leitos_internacao!$A:$A,6))=VALUE(LEFT(B11,6)))*(ci_leitos_internacao!$B:$B=C11), 0)), "")</f>
        <v>1909</v>
      </c>
      <c r="I11" cm="1">
        <f t="array" aca="1" ref="I11" ca="1">IFERROR(INDEX(ci_hospitais_internacao!$C:$C, MATCH(1, (VALUE(LEFT(ci_hospitais_internacao!$A:$A,6))=VALUE(LEFT(B11,6)))*(ci_hospitais_internacao!$B:$B=C11), 0)), "")</f>
        <v>9</v>
      </c>
      <c r="J11" cm="1">
        <f t="array" aca="1" ref="J11" ca="1">IFERROR(INDEX(ci_pa_clinico!$C:$C, MATCH(1, (VALUE(LEFT(ci_pa_clinico!$A:$A,6))=VALUE(LEFT(B11,6)))*(ci_pa_clinico!$B:$B=C11), 0)), "")</f>
        <v>6</v>
      </c>
      <c r="K11" cm="1">
        <f t="array" aca="1" ref="K11" ca="1">IFERROR(INDEX(aps_equipes_esf!$C:$C, MATCH(1, (VALUE(LEFT(aps_equipes_esf!$A:$A,6))=VALUE(LEFT(B11,6)))*(aps_equipes_esf!$B:$B=C11), 0)), "")</f>
        <v>2</v>
      </c>
      <c r="L11" cm="1">
        <f t="array" aca="1" ref="L11" ca="1">IFERROR(INDEX(casos!$C:$C, MATCH(1, (VALUE(LEFT(casos!$A:$A,6))=VALUE(LEFT(B11,6)))*(casos!$B:$B=C11), 0)), "")</f>
        <v>613</v>
      </c>
      <c r="M11" cm="1">
        <f t="array" ref="M11">IFERROR(INDEX(srag!$D:$D, MATCH(1, (VALUE(LEFT(srag!$A:$A,6))=VALUE(LEFT(B11,6)))*(srag!$C:$C=C11), 0)), "")</f>
        <v>719</v>
      </c>
      <c r="N11" cm="1">
        <f t="array" ref="N11">IFERROR(INDEX(fesp!$E:$E, MATCH(1, (VALUE(LEFT(fesp!$A:$A,6))=VALUE(LEFT(B11,6)))*(fesp!$C:$C=C11), 0)), "")</f>
        <v>110</v>
      </c>
      <c r="O11" cm="1">
        <f t="array" ref="O11">IFERROR(INDEX(fesp!$F:$F, MATCH(1, (VALUE(LEFT(fesp!$A:$A,6))=VALUE(LEFT(B11,6)))*(fesp!$C:$C=C11), 0)), "")</f>
        <v>2923</v>
      </c>
      <c r="P11" cm="1">
        <f t="array" ref="P11">IFERROR(INDEX(fesp!$G:$G, MATCH(1, (VALUE(LEFT(fesp!$A:$A,6))=VALUE(LEFT(B11,6)))*(fesp!$C:$C=C11), 0)), "")</f>
        <v>6506314</v>
      </c>
      <c r="Q11" cm="1">
        <f t="array" ref="Q11">IFERROR(INDEX(fesp!$H:$H, MATCH(1, (VALUE(LEFT(fesp!$A:$A,6))=VALUE(LEFT(B11,6)))*(fesp!$C:$C=C11), 0)), "")</f>
        <v>20</v>
      </c>
      <c r="R11" cm="1">
        <f t="array" ref="R11">IFERROR(INDEX(fesp!$I:$I, MATCH(1, (VALUE(LEFT(fesp!$A:$A,6))=VALUE(LEFT(B11,6)))*(fesp!$C:$C=C11), 0)), "")</f>
        <v>5907</v>
      </c>
      <c r="S11" cm="1">
        <f t="array" ref="S11">IFERROR(INDEX(fesp!$J:$J, MATCH(1, (VALUE(LEFT(fesp!$A:$A,6))=VALUE(LEFT(B11,6)))*(fesp!$C:$C=C11), 0)), "")</f>
        <v>1</v>
      </c>
    </row>
    <row r="12" spans="1:19">
      <c r="A12" s="1" t="s">
        <v>87</v>
      </c>
      <c r="B12" s="3">
        <v>1100205</v>
      </c>
      <c r="C12" s="3">
        <v>2025</v>
      </c>
      <c r="D12" cm="1">
        <f t="array" ref="D12">IFERROR(INDEX(fesp!$D:$D, MATCH(1, (VALUE(LEFT(fesp!$A:$A,6))=VALUE(LEFT(B12,6)))*(fesp!$C:$C=C12), 0)), "")</f>
        <v>0</v>
      </c>
      <c r="E12" cm="1">
        <f t="array" aca="1" ref="E12" ca="1">IFERROR(INDEX(ft_medicos_clinicos!$C:$C, MATCH(1, (VALUE(LEFT(ft_medicos_clinicos!$A:$A,6))=VALUE(LEFT(B12,6)))*(ft_medicos_clinicos!$B:$B=C12), 0)), "")</f>
        <v>607</v>
      </c>
      <c r="F12" cm="1">
        <f t="array" aca="1" ref="F12" ca="1">IFERROR(INDEX(ft_enfermeiros!$C:$C, MATCH(1, (VALUE(LEFT(ft_enfermeiros!$A:$A,6))=VALUE(LEFT(B12,6)))*(ft_enfermeiros!$B:$B=C12), 0)), "")</f>
        <v>1145</v>
      </c>
      <c r="G12" t="str" cm="1">
        <f t="array" aca="1" ref="G12" ca="1">IFERROR(INDEX(ft_equipes_acs!$C:$C, MATCH(1, (VALUE(LEFT(ft_equipes_acs!$A:$A,6))=VALUE(LEFT(B12,6)))*(ft_equipes_acs!$B:$B=C12), 0)), "")</f>
        <v>-</v>
      </c>
      <c r="H12" cm="1">
        <f t="array" aca="1" ref="H12" ca="1">IFERROR(INDEX(ci_leitos_internacao!$C:$C, MATCH(1, (VALUE(LEFT(ci_leitos_internacao!$A:$A,6))=VALUE(LEFT(B12,6)))*(ci_leitos_internacao!$B:$B=C12), 0)), "")</f>
        <v>1967</v>
      </c>
      <c r="I12" cm="1">
        <f t="array" aca="1" ref="I12" ca="1">IFERROR(INDEX(ci_hospitais_internacao!$C:$C, MATCH(1, (VALUE(LEFT(ci_hospitais_internacao!$A:$A,6))=VALUE(LEFT(B12,6)))*(ci_hospitais_internacao!$B:$B=C12), 0)), "")</f>
        <v>12</v>
      </c>
      <c r="J12" cm="1">
        <f t="array" aca="1" ref="J12" ca="1">IFERROR(INDEX(ci_pa_clinico!$C:$C, MATCH(1, (VALUE(LEFT(ci_pa_clinico!$A:$A,6))=VALUE(LEFT(B12,6)))*(ci_pa_clinico!$B:$B=C12), 0)), "")</f>
        <v>6</v>
      </c>
      <c r="K12" cm="1">
        <f t="array" aca="1" ref="K12" ca="1">IFERROR(INDEX(aps_equipes_esf!$C:$C, MATCH(1, (VALUE(LEFT(aps_equipes_esf!$A:$A,6))=VALUE(LEFT(B12,6)))*(aps_equipes_esf!$B:$B=C12), 0)), "")</f>
        <v>2</v>
      </c>
      <c r="L12" cm="1">
        <f t="array" aca="1" ref="L12" ca="1">IFERROR(INDEX(casos!$C:$C, MATCH(1, (VALUE(LEFT(casos!$A:$A,6))=VALUE(LEFT(B12,6)))*(casos!$B:$B=C12), 0)), "")</f>
        <v>211</v>
      </c>
      <c r="M12" cm="1">
        <f t="array" ref="M12">IFERROR(INDEX(srag!$D:$D, MATCH(1, (VALUE(LEFT(srag!$A:$A,6))=VALUE(LEFT(B12,6)))*(srag!$C:$C=C12), 0)), "")</f>
        <v>812</v>
      </c>
      <c r="N12" cm="1">
        <f t="array" ref="N12">IFERROR(INDEX(fesp!$E:$E, MATCH(1, (VALUE(LEFT(fesp!$A:$A,6))=VALUE(LEFT(B12,6)))*(fesp!$C:$C=C12), 0)), "")</f>
        <v>79</v>
      </c>
      <c r="O12" cm="1">
        <f t="array" ref="O12">IFERROR(INDEX(fesp!$F:$F, MATCH(1, (VALUE(LEFT(fesp!$A:$A,6))=VALUE(LEFT(B12,6)))*(fesp!$C:$C=C12), 0)), "")</f>
        <v>6053</v>
      </c>
      <c r="P12" cm="1">
        <f t="array" ref="P12">IFERROR(INDEX(fesp!$G:$G, MATCH(1, (VALUE(LEFT(fesp!$A:$A,6))=VALUE(LEFT(B12,6)))*(fesp!$C:$C=C12), 0)), "")</f>
        <v>5348012</v>
      </c>
      <c r="Q12" cm="1">
        <f t="array" ref="Q12">IFERROR(INDEX(fesp!$H:$H, MATCH(1, (VALUE(LEFT(fesp!$A:$A,6))=VALUE(LEFT(B12,6)))*(fesp!$C:$C=C12), 0)), "")</f>
        <v>34</v>
      </c>
      <c r="R12" cm="1">
        <f t="array" ref="R12">IFERROR(INDEX(fesp!$I:$I, MATCH(1, (VALUE(LEFT(fesp!$A:$A,6))=VALUE(LEFT(B12,6)))*(fesp!$C:$C=C12), 0)), "")</f>
        <v>1401</v>
      </c>
      <c r="S12" cm="1">
        <f t="array" ref="S12">IFERROR(INDEX(fesp!$J:$J, MATCH(1, (VALUE(LEFT(fesp!$A:$A,6))=VALUE(LEFT(B12,6)))*(fesp!$C:$C=C12), 0)), "")</f>
        <v>0</v>
      </c>
    </row>
    <row r="13" spans="1:19">
      <c r="A13" s="1" t="s">
        <v>12</v>
      </c>
      <c r="B13" s="3">
        <v>1302603</v>
      </c>
      <c r="C13" s="3">
        <v>2015</v>
      </c>
      <c r="D13" cm="1">
        <f t="array" ref="D13">IFERROR(INDEX(fesp!$D:$D, MATCH(1, (VALUE(LEFT(fesp!$A:$A,6))=VALUE(LEFT(B13,6)))*(fesp!$C:$C=C13), 0)), "")</f>
        <v>2057711</v>
      </c>
      <c r="E13" cm="1">
        <f t="array" aca="1" ref="E13" ca="1">IFERROR(INDEX(ft_medicos_clinicos!$C:$C, MATCH(1, (VALUE(LEFT(ft_medicos_clinicos!$A:$A,6))=VALUE(LEFT(B13,6)))*(ft_medicos_clinicos!$B:$B=C13), 0)), "")</f>
        <v>660</v>
      </c>
      <c r="F13" cm="1">
        <f t="array" aca="1" ref="F13" ca="1">IFERROR(INDEX(ft_enfermeiros!$C:$C, MATCH(1, (VALUE(LEFT(ft_enfermeiros!$A:$A,6))=VALUE(LEFT(B13,6)))*(ft_enfermeiros!$B:$B=C13), 0)), "")</f>
        <v>1521</v>
      </c>
      <c r="G13" t="str" cm="1">
        <f t="array" aca="1" ref="G13" ca="1">IFERROR(INDEX(ft_equipes_acs!$C:$C, MATCH(1, (VALUE(LEFT(ft_equipes_acs!$A:$A,6))=VALUE(LEFT(B13,6)))*(ft_equipes_acs!$B:$B=C13), 0)), "")</f>
        <v/>
      </c>
      <c r="H13" cm="1">
        <f t="array" aca="1" ref="H13" ca="1">IFERROR(INDEX(ci_leitos_internacao!$C:$C, MATCH(1, (VALUE(LEFT(ci_leitos_internacao!$A:$A,6))=VALUE(LEFT(B13,6)))*(ci_leitos_internacao!$B:$B=C13), 0)), "")</f>
        <v>3425</v>
      </c>
      <c r="I13" cm="1">
        <f t="array" aca="1" ref="I13" ca="1">IFERROR(INDEX(ci_hospitais_internacao!$C:$C, MATCH(1, (VALUE(LEFT(ci_hospitais_internacao!$A:$A,6))=VALUE(LEFT(B13,6)))*(ci_hospitais_internacao!$B:$B=C13), 0)), "")</f>
        <v>14</v>
      </c>
      <c r="J13" t="str" cm="1">
        <f t="array" aca="1" ref="J13" ca="1">IFERROR(INDEX(ci_pa_clinico!$C:$C, MATCH(1, (VALUE(LEFT(ci_pa_clinico!$A:$A,6))=VALUE(LEFT(B13,6)))*(ci_pa_clinico!$B:$B=C13), 0)), "")</f>
        <v/>
      </c>
      <c r="K13" cm="1">
        <f t="array" aca="1" ref="K13" ca="1">IFERROR(INDEX(aps_equipes_esf!$C:$C, MATCH(1, (VALUE(LEFT(aps_equipes_esf!$A:$A,6))=VALUE(LEFT(B13,6)))*(aps_equipes_esf!$B:$B=C13), 0)), "")</f>
        <v>111</v>
      </c>
      <c r="L13" cm="1">
        <f t="array" aca="1" ref="L13" ca="1">IFERROR(INDEX(casos!$C:$C, MATCH(1, (VALUE(LEFT(casos!$A:$A,6))=VALUE(LEFT(B13,6)))*(casos!$B:$B=C13), 0)), "")</f>
        <v>1620</v>
      </c>
      <c r="M13" cm="1">
        <f t="array" ref="M13">IFERROR(INDEX(srag!$D:$D, MATCH(1, (VALUE(LEFT(srag!$A:$A,6))=VALUE(LEFT(B13,6)))*(srag!$C:$C=C13), 0)), "")</f>
        <v>36</v>
      </c>
      <c r="N13" cm="1">
        <f t="array" ref="N13">IFERROR(INDEX(fesp!$E:$E, MATCH(1, (VALUE(LEFT(fesp!$A:$A,6))=VALUE(LEFT(B13,6)))*(fesp!$C:$C=C13), 0)), "")</f>
        <v>649</v>
      </c>
      <c r="O13" cm="1">
        <f t="array" ref="O13">IFERROR(INDEX(fesp!$F:$F, MATCH(1, (VALUE(LEFT(fesp!$A:$A,6))=VALUE(LEFT(B13,6)))*(fesp!$C:$C=C13), 0)), "")</f>
        <v>18779</v>
      </c>
      <c r="P13" cm="1">
        <f t="array" ref="P13">IFERROR(INDEX(fesp!$G:$G, MATCH(1, (VALUE(LEFT(fesp!$A:$A,6))=VALUE(LEFT(B13,6)))*(fesp!$C:$C=C13), 0)), "")</f>
        <v>15325905</v>
      </c>
      <c r="Q13" cm="1">
        <f t="array" ref="Q13">IFERROR(INDEX(fesp!$H:$H, MATCH(1, (VALUE(LEFT(fesp!$A:$A,6))=VALUE(LEFT(B13,6)))*(fesp!$C:$C=C13), 0)), "")</f>
        <v>471</v>
      </c>
      <c r="R13" cm="1">
        <f t="array" ref="R13">IFERROR(INDEX(fesp!$I:$I, MATCH(1, (VALUE(LEFT(fesp!$A:$A,6))=VALUE(LEFT(B13,6)))*(fesp!$C:$C=C13), 0)), "")</f>
        <v>98777</v>
      </c>
      <c r="S13" cm="1">
        <f t="array" ref="S13">IFERROR(INDEX(fesp!$J:$J, MATCH(1, (VALUE(LEFT(fesp!$A:$A,6))=VALUE(LEFT(B13,6)))*(fesp!$C:$C=C13), 0)), "")</f>
        <v>1016036</v>
      </c>
    </row>
    <row r="14" spans="1:19">
      <c r="A14" s="1" t="s">
        <v>12</v>
      </c>
      <c r="B14" s="3" t="s">
        <v>13</v>
      </c>
      <c r="C14" s="3">
        <v>2016</v>
      </c>
      <c r="D14" cm="1">
        <f t="array" ref="D14">IFERROR(INDEX(fesp!$D:$D, MATCH(1, (VALUE(LEFT(fesp!$A:$A,6))=VALUE(LEFT(B14,6)))*(fesp!$C:$C=C14), 0)), "")</f>
        <v>0</v>
      </c>
      <c r="E14" cm="1">
        <f t="array" aca="1" ref="E14" ca="1">IFERROR(INDEX(ft_medicos_clinicos!$C:$C, MATCH(1, (VALUE(LEFT(ft_medicos_clinicos!$A:$A,6))=VALUE(LEFT(B14,6)))*(ft_medicos_clinicos!$B:$B=C14), 0)), "")</f>
        <v>686</v>
      </c>
      <c r="F14" cm="1">
        <f t="array" aca="1" ref="F14" ca="1">IFERROR(INDEX(ft_enfermeiros!$C:$C, MATCH(1, (VALUE(LEFT(ft_enfermeiros!$A:$A,6))=VALUE(LEFT(B14,6)))*(ft_enfermeiros!$B:$B=C14), 0)), "")</f>
        <v>1451</v>
      </c>
      <c r="G14" t="str" cm="1">
        <f t="array" aca="1" ref="G14" ca="1">IFERROR(INDEX(ft_equipes_acs!$C:$C, MATCH(1, (VALUE(LEFT(ft_equipes_acs!$A:$A,6))=VALUE(LEFT(B14,6)))*(ft_equipes_acs!$B:$B=C14), 0)), "")</f>
        <v/>
      </c>
      <c r="H14" cm="1">
        <f t="array" aca="1" ref="H14" ca="1">IFERROR(INDEX(ci_leitos_internacao!$C:$C, MATCH(1, (VALUE(LEFT(ci_leitos_internacao!$A:$A,6))=VALUE(LEFT(B14,6)))*(ci_leitos_internacao!$B:$B=C14), 0)), "")</f>
        <v>3482</v>
      </c>
      <c r="I14" cm="1">
        <f t="array" aca="1" ref="I14" ca="1">IFERROR(INDEX(ci_hospitais_internacao!$C:$C, MATCH(1, (VALUE(LEFT(ci_hospitais_internacao!$A:$A,6))=VALUE(LEFT(B14,6)))*(ci_hospitais_internacao!$B:$B=C14), 0)), "")</f>
        <v>11</v>
      </c>
      <c r="J14" t="str" cm="1">
        <f t="array" aca="1" ref="J14" ca="1">IFERROR(INDEX(ci_pa_clinico!$C:$C, MATCH(1, (VALUE(LEFT(ci_pa_clinico!$A:$A,6))=VALUE(LEFT(B14,6)))*(ci_pa_clinico!$B:$B=C14), 0)), "")</f>
        <v/>
      </c>
      <c r="K14" cm="1">
        <f t="array" aca="1" ref="K14" ca="1">IFERROR(INDEX(aps_equipes_esf!$C:$C, MATCH(1, (VALUE(LEFT(aps_equipes_esf!$A:$A,6))=VALUE(LEFT(B14,6)))*(aps_equipes_esf!$B:$B=C14), 0)), "")</f>
        <v>120</v>
      </c>
      <c r="L14" cm="1">
        <f t="array" aca="1" ref="L14" ca="1">IFERROR(INDEX(casos!$C:$C, MATCH(1, (VALUE(LEFT(casos!$A:$A,6))=VALUE(LEFT(B14,6)))*(casos!$B:$B=C14), 0)), "")</f>
        <v>5359</v>
      </c>
      <c r="M14" cm="1">
        <f t="array" ref="M14">IFERROR(INDEX(srag!$D:$D, MATCH(1, (VALUE(LEFT(srag!$A:$A,6))=VALUE(LEFT(B14,6)))*(srag!$C:$C=C14), 0)), "")</f>
        <v>132</v>
      </c>
      <c r="N14" cm="1">
        <f t="array" ref="N14">IFERROR(INDEX(fesp!$E:$E, MATCH(1, (VALUE(LEFT(fesp!$A:$A,6))=VALUE(LEFT(B14,6)))*(fesp!$C:$C=C14), 0)), "")</f>
        <v>697</v>
      </c>
      <c r="O14" cm="1">
        <f t="array" ref="O14">IFERROR(INDEX(fesp!$F:$F, MATCH(1, (VALUE(LEFT(fesp!$A:$A,6))=VALUE(LEFT(B14,6)))*(fesp!$C:$C=C14), 0)), "")</f>
        <v>20256</v>
      </c>
      <c r="P14" cm="1">
        <f t="array" ref="P14">IFERROR(INDEX(fesp!$G:$G, MATCH(1, (VALUE(LEFT(fesp!$A:$A,6))=VALUE(LEFT(B14,6)))*(fesp!$C:$C=C14), 0)), "")</f>
        <v>15059115</v>
      </c>
      <c r="Q14" cm="1">
        <f t="array" ref="Q14">IFERROR(INDEX(fesp!$H:$H, MATCH(1, (VALUE(LEFT(fesp!$A:$A,6))=VALUE(LEFT(B14,6)))*(fesp!$C:$C=C14), 0)), "")</f>
        <v>495</v>
      </c>
      <c r="R14" cm="1">
        <f t="array" ref="R14">IFERROR(INDEX(fesp!$I:$I, MATCH(1, (VALUE(LEFT(fesp!$A:$A,6))=VALUE(LEFT(B14,6)))*(fesp!$C:$C=C14), 0)), "")</f>
        <v>170116</v>
      </c>
      <c r="S14" cm="1">
        <f t="array" ref="S14">IFERROR(INDEX(fesp!$J:$J, MATCH(1, (VALUE(LEFT(fesp!$A:$A,6))=VALUE(LEFT(B14,6)))*(fesp!$C:$C=C14), 0)), "")</f>
        <v>1138916</v>
      </c>
    </row>
    <row r="15" spans="1:19">
      <c r="A15" s="1" t="s">
        <v>12</v>
      </c>
      <c r="B15" s="3" t="s">
        <v>13</v>
      </c>
      <c r="C15" s="3">
        <v>2017</v>
      </c>
      <c r="D15" cm="1">
        <f t="array" ref="D15">IFERROR(INDEX(fesp!$D:$D, MATCH(1, (VALUE(LEFT(fesp!$A:$A,6))=VALUE(LEFT(B15,6)))*(fesp!$C:$C=C15), 0)), "")</f>
        <v>0</v>
      </c>
      <c r="E15" cm="1">
        <f t="array" aca="1" ref="E15" ca="1">IFERROR(INDEX(ft_medicos_clinicos!$C:$C, MATCH(1, (VALUE(LEFT(ft_medicos_clinicos!$A:$A,6))=VALUE(LEFT(B15,6)))*(ft_medicos_clinicos!$B:$B=C15), 0)), "")</f>
        <v>714</v>
      </c>
      <c r="F15" cm="1">
        <f t="array" aca="1" ref="F15" ca="1">IFERROR(INDEX(ft_enfermeiros!$C:$C, MATCH(1, (VALUE(LEFT(ft_enfermeiros!$A:$A,6))=VALUE(LEFT(B15,6)))*(ft_enfermeiros!$B:$B=C15), 0)), "")</f>
        <v>1877</v>
      </c>
      <c r="G15" t="str" cm="1">
        <f t="array" aca="1" ref="G15" ca="1">IFERROR(INDEX(ft_equipes_acs!$C:$C, MATCH(1, (VALUE(LEFT(ft_equipes_acs!$A:$A,6))=VALUE(LEFT(B15,6)))*(ft_equipes_acs!$B:$B=C15), 0)), "")</f>
        <v/>
      </c>
      <c r="H15" cm="1">
        <f t="array" aca="1" ref="H15" ca="1">IFERROR(INDEX(ci_leitos_internacao!$C:$C, MATCH(1, (VALUE(LEFT(ci_leitos_internacao!$A:$A,6))=VALUE(LEFT(B15,6)))*(ci_leitos_internacao!$B:$B=C15), 0)), "")</f>
        <v>3453</v>
      </c>
      <c r="I15" cm="1">
        <f t="array" aca="1" ref="I15" ca="1">IFERROR(INDEX(ci_hospitais_internacao!$C:$C, MATCH(1, (VALUE(LEFT(ci_hospitais_internacao!$A:$A,6))=VALUE(LEFT(B15,6)))*(ci_hospitais_internacao!$B:$B=C15), 0)), "")</f>
        <v>11</v>
      </c>
      <c r="J15" t="str" cm="1">
        <f t="array" aca="1" ref="J15" ca="1">IFERROR(INDEX(ci_pa_clinico!$C:$C, MATCH(1, (VALUE(LEFT(ci_pa_clinico!$A:$A,6))=VALUE(LEFT(B15,6)))*(ci_pa_clinico!$B:$B=C15), 0)), "")</f>
        <v/>
      </c>
      <c r="K15" cm="1">
        <f t="array" aca="1" ref="K15" ca="1">IFERROR(INDEX(aps_equipes_esf!$C:$C, MATCH(1, (VALUE(LEFT(aps_equipes_esf!$A:$A,6))=VALUE(LEFT(B15,6)))*(aps_equipes_esf!$B:$B=C15), 0)), "")</f>
        <v>115</v>
      </c>
      <c r="L15" cm="1">
        <f t="array" aca="1" ref="L15" ca="1">IFERROR(INDEX(casos!$C:$C, MATCH(1, (VALUE(LEFT(casos!$A:$A,6))=VALUE(LEFT(B15,6)))*(casos!$B:$B=C15), 0)), "")</f>
        <v>2554</v>
      </c>
      <c r="M15" cm="1">
        <f t="array" ref="M15">IFERROR(INDEX(srag!$D:$D, MATCH(1, (VALUE(LEFT(srag!$A:$A,6))=VALUE(LEFT(B15,6)))*(srag!$C:$C=C15), 0)), "")</f>
        <v>487</v>
      </c>
      <c r="N15" cm="1">
        <f t="array" ref="N15">IFERROR(INDEX(fesp!$E:$E, MATCH(1, (VALUE(LEFT(fesp!$A:$A,6))=VALUE(LEFT(B15,6)))*(fesp!$C:$C=C15), 0)), "")</f>
        <v>551</v>
      </c>
      <c r="O15" cm="1">
        <f t="array" ref="O15">IFERROR(INDEX(fesp!$F:$F, MATCH(1, (VALUE(LEFT(fesp!$A:$A,6))=VALUE(LEFT(B15,6)))*(fesp!$C:$C=C15), 0)), "")</f>
        <v>21578</v>
      </c>
      <c r="P15" cm="1">
        <f t="array" ref="P15">IFERROR(INDEX(fesp!$G:$G, MATCH(1, (VALUE(LEFT(fesp!$A:$A,6))=VALUE(LEFT(B15,6)))*(fesp!$C:$C=C15), 0)), "")</f>
        <v>15386998</v>
      </c>
      <c r="Q15" cm="1">
        <f t="array" ref="Q15">IFERROR(INDEX(fesp!$H:$H, MATCH(1, (VALUE(LEFT(fesp!$A:$A,6))=VALUE(LEFT(B15,6)))*(fesp!$C:$C=C15), 0)), "")</f>
        <v>449</v>
      </c>
      <c r="R15" cm="1">
        <f t="array" ref="R15">IFERROR(INDEX(fesp!$I:$I, MATCH(1, (VALUE(LEFT(fesp!$A:$A,6))=VALUE(LEFT(B15,6)))*(fesp!$C:$C=C15), 0)), "")</f>
        <v>140573</v>
      </c>
      <c r="S15" cm="1">
        <f t="array" ref="S15">IFERROR(INDEX(fesp!$J:$J, MATCH(1, (VALUE(LEFT(fesp!$A:$A,6))=VALUE(LEFT(B15,6)))*(fesp!$C:$C=C15), 0)), "")</f>
        <v>900600</v>
      </c>
    </row>
    <row r="16" spans="1:19">
      <c r="A16" s="1" t="s">
        <v>12</v>
      </c>
      <c r="B16" s="3" t="s">
        <v>13</v>
      </c>
      <c r="C16" s="3">
        <v>2018</v>
      </c>
      <c r="D16" cm="1">
        <f t="array" ref="D16">IFERROR(INDEX(fesp!$D:$D, MATCH(1, (VALUE(LEFT(fesp!$A:$A,6))=VALUE(LEFT(B16,6)))*(fesp!$C:$C=C16), 0)), "")</f>
        <v>0</v>
      </c>
      <c r="E16" cm="1">
        <f t="array" aca="1" ref="E16" ca="1">IFERROR(INDEX(ft_medicos_clinicos!$C:$C, MATCH(1, (VALUE(LEFT(ft_medicos_clinicos!$A:$A,6))=VALUE(LEFT(B16,6)))*(ft_medicos_clinicos!$B:$B=C16), 0)), "")</f>
        <v>738</v>
      </c>
      <c r="F16" cm="1">
        <f t="array" aca="1" ref="F16" ca="1">IFERROR(INDEX(ft_enfermeiros!$C:$C, MATCH(1, (VALUE(LEFT(ft_enfermeiros!$A:$A,6))=VALUE(LEFT(B16,6)))*(ft_enfermeiros!$B:$B=C16), 0)), "")</f>
        <v>2063</v>
      </c>
      <c r="G16" t="str" cm="1">
        <f t="array" aca="1" ref="G16" ca="1">IFERROR(INDEX(ft_equipes_acs!$C:$C, MATCH(1, (VALUE(LEFT(ft_equipes_acs!$A:$A,6))=VALUE(LEFT(B16,6)))*(ft_equipes_acs!$B:$B=C16), 0)), "")</f>
        <v/>
      </c>
      <c r="H16" cm="1">
        <f t="array" aca="1" ref="H16" ca="1">IFERROR(INDEX(ci_leitos_internacao!$C:$C, MATCH(1, (VALUE(LEFT(ci_leitos_internacao!$A:$A,6))=VALUE(LEFT(B16,6)))*(ci_leitos_internacao!$B:$B=C16), 0)), "")</f>
        <v>3425</v>
      </c>
      <c r="I16" cm="1">
        <f t="array" aca="1" ref="I16" ca="1">IFERROR(INDEX(ci_hospitais_internacao!$C:$C, MATCH(1, (VALUE(LEFT(ci_hospitais_internacao!$A:$A,6))=VALUE(LEFT(B16,6)))*(ci_hospitais_internacao!$B:$B=C16), 0)), "")</f>
        <v>11</v>
      </c>
      <c r="J16" t="str" cm="1">
        <f t="array" aca="1" ref="J16" ca="1">IFERROR(INDEX(ci_pa_clinico!$C:$C, MATCH(1, (VALUE(LEFT(ci_pa_clinico!$A:$A,6))=VALUE(LEFT(B16,6)))*(ci_pa_clinico!$B:$B=C16), 0)), "")</f>
        <v/>
      </c>
      <c r="K16" cm="1">
        <f t="array" aca="1" ref="K16" ca="1">IFERROR(INDEX(aps_equipes_esf!$C:$C, MATCH(1, (VALUE(LEFT(aps_equipes_esf!$A:$A,6))=VALUE(LEFT(B16,6)))*(aps_equipes_esf!$B:$B=C16), 0)), "")</f>
        <v>124</v>
      </c>
      <c r="L16" cm="1">
        <f t="array" aca="1" ref="L16" ca="1">IFERROR(INDEX(casos!$C:$C, MATCH(1, (VALUE(LEFT(casos!$A:$A,6))=VALUE(LEFT(B16,6)))*(casos!$B:$B=C16), 0)), "")</f>
        <v>1303</v>
      </c>
      <c r="M16" cm="1">
        <f t="array" ref="M16">IFERROR(INDEX(srag!$D:$D, MATCH(1, (VALUE(LEFT(srag!$A:$A,6))=VALUE(LEFT(B16,6)))*(srag!$C:$C=C16), 0)), "")</f>
        <v>230</v>
      </c>
      <c r="N16" cm="1">
        <f t="array" ref="N16">IFERROR(INDEX(fesp!$E:$E, MATCH(1, (VALUE(LEFT(fesp!$A:$A,6))=VALUE(LEFT(B16,6)))*(fesp!$C:$C=C16), 0)), "")</f>
        <v>702</v>
      </c>
      <c r="O16" cm="1">
        <f t="array" ref="O16">IFERROR(INDEX(fesp!$F:$F, MATCH(1, (VALUE(LEFT(fesp!$A:$A,6))=VALUE(LEFT(B16,6)))*(fesp!$C:$C=C16), 0)), "")</f>
        <v>21114</v>
      </c>
      <c r="P16" cm="1">
        <f t="array" ref="P16">IFERROR(INDEX(fesp!$G:$G, MATCH(1, (VALUE(LEFT(fesp!$A:$A,6))=VALUE(LEFT(B16,6)))*(fesp!$C:$C=C16), 0)), "")</f>
        <v>14543338</v>
      </c>
      <c r="Q16" cm="1">
        <f t="array" ref="Q16">IFERROR(INDEX(fesp!$H:$H, MATCH(1, (VALUE(LEFT(fesp!$A:$A,6))=VALUE(LEFT(B16,6)))*(fesp!$C:$C=C16), 0)), "")</f>
        <v>399</v>
      </c>
      <c r="R16" cm="1">
        <f t="array" ref="R16">IFERROR(INDEX(fesp!$I:$I, MATCH(1, (VALUE(LEFT(fesp!$A:$A,6))=VALUE(LEFT(B16,6)))*(fesp!$C:$C=C16), 0)), "")</f>
        <v>69709</v>
      </c>
      <c r="S16" cm="1">
        <f t="array" ref="S16">IFERROR(INDEX(fesp!$J:$J, MATCH(1, (VALUE(LEFT(fesp!$A:$A,6))=VALUE(LEFT(B16,6)))*(fesp!$C:$C=C16), 0)), "")</f>
        <v>760578</v>
      </c>
    </row>
    <row r="17" spans="1:19">
      <c r="A17" s="1" t="s">
        <v>12</v>
      </c>
      <c r="B17" s="3" t="s">
        <v>13</v>
      </c>
      <c r="C17" s="3">
        <v>2019</v>
      </c>
      <c r="D17" cm="1">
        <f t="array" ref="D17">IFERROR(INDEX(fesp!$D:$D, MATCH(1, (VALUE(LEFT(fesp!$A:$A,6))=VALUE(LEFT(B17,6)))*(fesp!$C:$C=C17), 0)), "")</f>
        <v>0</v>
      </c>
      <c r="E17" cm="1">
        <f t="array" aca="1" ref="E17" ca="1">IFERROR(INDEX(ft_medicos_clinicos!$C:$C, MATCH(1, (VALUE(LEFT(ft_medicos_clinicos!$A:$A,6))=VALUE(LEFT(B17,6)))*(ft_medicos_clinicos!$B:$B=C17), 0)), "")</f>
        <v>903</v>
      </c>
      <c r="F17" cm="1">
        <f t="array" aca="1" ref="F17" ca="1">IFERROR(INDEX(ft_enfermeiros!$C:$C, MATCH(1, (VALUE(LEFT(ft_enfermeiros!$A:$A,6))=VALUE(LEFT(B17,6)))*(ft_enfermeiros!$B:$B=C17), 0)), "")</f>
        <v>2041</v>
      </c>
      <c r="G17" t="str" cm="1">
        <f t="array" aca="1" ref="G17" ca="1">IFERROR(INDEX(ft_equipes_acs!$C:$C, MATCH(1, (VALUE(LEFT(ft_equipes_acs!$A:$A,6))=VALUE(LEFT(B17,6)))*(ft_equipes_acs!$B:$B=C17), 0)), "")</f>
        <v/>
      </c>
      <c r="H17" cm="1">
        <f t="array" aca="1" ref="H17" ca="1">IFERROR(INDEX(ci_leitos_internacao!$C:$C, MATCH(1, (VALUE(LEFT(ci_leitos_internacao!$A:$A,6))=VALUE(LEFT(B17,6)))*(ci_leitos_internacao!$B:$B=C17), 0)), "")</f>
        <v>3338</v>
      </c>
      <c r="I17" cm="1">
        <f t="array" aca="1" ref="I17" ca="1">IFERROR(INDEX(ci_hospitais_internacao!$C:$C, MATCH(1, (VALUE(LEFT(ci_hospitais_internacao!$A:$A,6))=VALUE(LEFT(B17,6)))*(ci_hospitais_internacao!$B:$B=C17), 0)), "")</f>
        <v>11</v>
      </c>
      <c r="J17" t="str" cm="1">
        <f t="array" aca="1" ref="J17" ca="1">IFERROR(INDEX(ci_pa_clinico!$C:$C, MATCH(1, (VALUE(LEFT(ci_pa_clinico!$A:$A,6))=VALUE(LEFT(B17,6)))*(ci_pa_clinico!$B:$B=C17), 0)), "")</f>
        <v/>
      </c>
      <c r="K17" cm="1">
        <f t="array" aca="1" ref="K17" ca="1">IFERROR(INDEX(aps_equipes_esf!$C:$C, MATCH(1, (VALUE(LEFT(aps_equipes_esf!$A:$A,6))=VALUE(LEFT(B17,6)))*(aps_equipes_esf!$B:$B=C17), 0)), "")</f>
        <v>127</v>
      </c>
      <c r="L17" cm="1">
        <f t="array" aca="1" ref="L17" ca="1">IFERROR(INDEX(casos!$C:$C, MATCH(1, (VALUE(LEFT(casos!$A:$A,6))=VALUE(LEFT(B17,6)))*(casos!$B:$B=C17), 0)), "")</f>
        <v>477</v>
      </c>
      <c r="M17" cm="1">
        <f t="array" ref="M17">IFERROR(INDEX(srag!$D:$D, MATCH(1, (VALUE(LEFT(srag!$A:$A,6))=VALUE(LEFT(B17,6)))*(srag!$C:$C=C17), 0)), "")</f>
        <v>1608</v>
      </c>
      <c r="N17" cm="1">
        <f t="array" ref="N17">IFERROR(INDEX(fesp!$E:$E, MATCH(1, (VALUE(LEFT(fesp!$A:$A,6))=VALUE(LEFT(B17,6)))*(fesp!$C:$C=C17), 0)), "")</f>
        <v>522</v>
      </c>
      <c r="O17" cm="1">
        <f t="array" ref="O17">IFERROR(INDEX(fesp!$F:$F, MATCH(1, (VALUE(LEFT(fesp!$A:$A,6))=VALUE(LEFT(B17,6)))*(fesp!$C:$C=C17), 0)), "")</f>
        <v>20016</v>
      </c>
      <c r="P17" cm="1">
        <f t="array" ref="P17">IFERROR(INDEX(fesp!$G:$G, MATCH(1, (VALUE(LEFT(fesp!$A:$A,6))=VALUE(LEFT(B17,6)))*(fesp!$C:$C=C17), 0)), "")</f>
        <v>15110985</v>
      </c>
      <c r="Q17" cm="1">
        <f t="array" ref="Q17">IFERROR(INDEX(fesp!$H:$H, MATCH(1, (VALUE(LEFT(fesp!$A:$A,6))=VALUE(LEFT(B17,6)))*(fesp!$C:$C=C17), 0)), "")</f>
        <v>481</v>
      </c>
      <c r="R17" cm="1">
        <f t="array" ref="R17">IFERROR(INDEX(fesp!$I:$I, MATCH(1, (VALUE(LEFT(fesp!$A:$A,6))=VALUE(LEFT(B17,6)))*(fesp!$C:$C=C17), 0)), "")</f>
        <v>46200</v>
      </c>
      <c r="S17" cm="1">
        <f t="array" ref="S17">IFERROR(INDEX(fesp!$J:$J, MATCH(1, (VALUE(LEFT(fesp!$A:$A,6))=VALUE(LEFT(B17,6)))*(fesp!$C:$C=C17), 0)), "")</f>
        <v>356420</v>
      </c>
    </row>
    <row r="18" spans="1:19">
      <c r="A18" s="1" t="s">
        <v>12</v>
      </c>
      <c r="B18" s="3" t="s">
        <v>13</v>
      </c>
      <c r="C18" s="3">
        <v>2020</v>
      </c>
      <c r="D18" cm="1">
        <f t="array" ref="D18">IFERROR(INDEX(fesp!$D:$D, MATCH(1, (VALUE(LEFT(fesp!$A:$A,6))=VALUE(LEFT(B18,6)))*(fesp!$C:$C=C18), 0)), "")</f>
        <v>0</v>
      </c>
      <c r="E18" cm="1">
        <f t="array" aca="1" ref="E18" ca="1">IFERROR(INDEX(ft_medicos_clinicos!$C:$C, MATCH(1, (VALUE(LEFT(ft_medicos_clinicos!$A:$A,6))=VALUE(LEFT(B18,6)))*(ft_medicos_clinicos!$B:$B=C18), 0)), "")</f>
        <v>980</v>
      </c>
      <c r="F18" cm="1">
        <f t="array" aca="1" ref="F18" ca="1">IFERROR(INDEX(ft_enfermeiros!$C:$C, MATCH(1, (VALUE(LEFT(ft_enfermeiros!$A:$A,6))=VALUE(LEFT(B18,6)))*(ft_enfermeiros!$B:$B=C18), 0)), "")</f>
        <v>2679</v>
      </c>
      <c r="G18" t="str" cm="1">
        <f t="array" aca="1" ref="G18" ca="1">IFERROR(INDEX(ft_equipes_acs!$C:$C, MATCH(1, (VALUE(LEFT(ft_equipes_acs!$A:$A,6))=VALUE(LEFT(B18,6)))*(ft_equipes_acs!$B:$B=C18), 0)), "")</f>
        <v/>
      </c>
      <c r="H18" cm="1">
        <f t="array" aca="1" ref="H18" ca="1">IFERROR(INDEX(ci_leitos_internacao!$C:$C, MATCH(1, (VALUE(LEFT(ci_leitos_internacao!$A:$A,6))=VALUE(LEFT(B18,6)))*(ci_leitos_internacao!$B:$B=C18), 0)), "")</f>
        <v>3389</v>
      </c>
      <c r="I18" cm="1">
        <f t="array" aca="1" ref="I18" ca="1">IFERROR(INDEX(ci_hospitais_internacao!$C:$C, MATCH(1, (VALUE(LEFT(ci_hospitais_internacao!$A:$A,6))=VALUE(LEFT(B18,6)))*(ci_hospitais_internacao!$B:$B=C18), 0)), "")</f>
        <v>11</v>
      </c>
      <c r="J18" t="str" cm="1">
        <f t="array" aca="1" ref="J18" ca="1">IFERROR(INDEX(ci_pa_clinico!$C:$C, MATCH(1, (VALUE(LEFT(ci_pa_clinico!$A:$A,6))=VALUE(LEFT(B18,6)))*(ci_pa_clinico!$B:$B=C18), 0)), "")</f>
        <v/>
      </c>
      <c r="K18" t="str" cm="1">
        <f t="array" aca="1" ref="K18" ca="1">IFERROR(INDEX(aps_equipes_esf!$C:$C, MATCH(1, (VALUE(LEFT(aps_equipes_esf!$A:$A,6))=VALUE(LEFT(B18,6)))*(aps_equipes_esf!$B:$B=C18), 0)), "")</f>
        <v>-</v>
      </c>
      <c r="L18" cm="1">
        <f t="array" aca="1" ref="L18" ca="1">IFERROR(INDEX(casos!$C:$C, MATCH(1, (VALUE(LEFT(casos!$A:$A,6))=VALUE(LEFT(B18,6)))*(casos!$B:$B=C18), 0)), "")</f>
        <v>959</v>
      </c>
      <c r="M18" cm="1">
        <f t="array" ref="M18">IFERROR(INDEX(srag!$D:$D, MATCH(1, (VALUE(LEFT(srag!$A:$A,6))=VALUE(LEFT(B18,6)))*(srag!$C:$C=C18), 0)), "")</f>
        <v>15281</v>
      </c>
      <c r="N18" cm="1">
        <f t="array" ref="N18">IFERROR(INDEX(fesp!$E:$E, MATCH(1, (VALUE(LEFT(fesp!$A:$A,6))=VALUE(LEFT(B18,6)))*(fesp!$C:$C=C18), 0)), "")</f>
        <v>545</v>
      </c>
      <c r="O18" cm="1">
        <f t="array" ref="O18">IFERROR(INDEX(fesp!$F:$F, MATCH(1, (VALUE(LEFT(fesp!$A:$A,6))=VALUE(LEFT(B18,6)))*(fesp!$C:$C=C18), 0)), "")</f>
        <v>13304</v>
      </c>
      <c r="P18" cm="1">
        <f t="array" ref="P18">IFERROR(INDEX(fesp!$G:$G, MATCH(1, (VALUE(LEFT(fesp!$A:$A,6))=VALUE(LEFT(B18,6)))*(fesp!$C:$C=C18), 0)), "")</f>
        <v>11358728</v>
      </c>
      <c r="Q18" cm="1">
        <f t="array" ref="Q18">IFERROR(INDEX(fesp!$H:$H, MATCH(1, (VALUE(LEFT(fesp!$A:$A,6))=VALUE(LEFT(B18,6)))*(fesp!$C:$C=C18), 0)), "")</f>
        <v>501</v>
      </c>
      <c r="R18" cm="1">
        <f t="array" ref="R18">IFERROR(INDEX(fesp!$I:$I, MATCH(1, (VALUE(LEFT(fesp!$A:$A,6))=VALUE(LEFT(B18,6)))*(fesp!$C:$C=C18), 0)), "")</f>
        <v>6335</v>
      </c>
      <c r="S18" cm="1">
        <f t="array" ref="S18">IFERROR(INDEX(fesp!$J:$J, MATCH(1, (VALUE(LEFT(fesp!$A:$A,6))=VALUE(LEFT(B18,6)))*(fesp!$C:$C=C18), 0)), "")</f>
        <v>56062</v>
      </c>
    </row>
    <row r="19" spans="1:19">
      <c r="A19" s="1" t="s">
        <v>12</v>
      </c>
      <c r="B19" s="3" t="s">
        <v>13</v>
      </c>
      <c r="C19" s="3">
        <v>2021</v>
      </c>
      <c r="D19" cm="1">
        <f t="array" ref="D19">IFERROR(INDEX(fesp!$D:$D, MATCH(1, (VALUE(LEFT(fesp!$A:$A,6))=VALUE(LEFT(B19,6)))*(fesp!$C:$C=C19), 0)), "")</f>
        <v>0</v>
      </c>
      <c r="E19" cm="1">
        <f t="array" aca="1" ref="E19" ca="1">IFERROR(INDEX(ft_medicos_clinicos!$C:$C, MATCH(1, (VALUE(LEFT(ft_medicos_clinicos!$A:$A,6))=VALUE(LEFT(B19,6)))*(ft_medicos_clinicos!$B:$B=C19), 0)), "")</f>
        <v>1146</v>
      </c>
      <c r="F19" cm="1">
        <f t="array" aca="1" ref="F19" ca="1">IFERROR(INDEX(ft_enfermeiros!$C:$C, MATCH(1, (VALUE(LEFT(ft_enfermeiros!$A:$A,6))=VALUE(LEFT(B19,6)))*(ft_enfermeiros!$B:$B=C19), 0)), "")</f>
        <v>3094</v>
      </c>
      <c r="G19" t="str" cm="1">
        <f t="array" aca="1" ref="G19" ca="1">IFERROR(INDEX(ft_equipes_acs!$C:$C, MATCH(1, (VALUE(LEFT(ft_equipes_acs!$A:$A,6))=VALUE(LEFT(B19,6)))*(ft_equipes_acs!$B:$B=C19), 0)), "")</f>
        <v/>
      </c>
      <c r="H19" cm="1">
        <f t="array" aca="1" ref="H19" ca="1">IFERROR(INDEX(ci_leitos_internacao!$C:$C, MATCH(1, (VALUE(LEFT(ci_leitos_internacao!$A:$A,6))=VALUE(LEFT(B19,6)))*(ci_leitos_internacao!$B:$B=C19), 0)), "")</f>
        <v>3607</v>
      </c>
      <c r="I19" cm="1">
        <f t="array" aca="1" ref="I19" ca="1">IFERROR(INDEX(ci_hospitais_internacao!$C:$C, MATCH(1, (VALUE(LEFT(ci_hospitais_internacao!$A:$A,6))=VALUE(LEFT(B19,6)))*(ci_hospitais_internacao!$B:$B=C19), 0)), "")</f>
        <v>11</v>
      </c>
      <c r="J19" t="str" cm="1">
        <f t="array" aca="1" ref="J19" ca="1">IFERROR(INDEX(ci_pa_clinico!$C:$C, MATCH(1, (VALUE(LEFT(ci_pa_clinico!$A:$A,6))=VALUE(LEFT(B19,6)))*(ci_pa_clinico!$B:$B=C19), 0)), "")</f>
        <v/>
      </c>
      <c r="K19" t="str" cm="1">
        <f t="array" aca="1" ref="K19" ca="1">IFERROR(INDEX(aps_equipes_esf!$C:$C, MATCH(1, (VALUE(LEFT(aps_equipes_esf!$A:$A,6))=VALUE(LEFT(B19,6)))*(aps_equipes_esf!$B:$B=C19), 0)), "")</f>
        <v>-</v>
      </c>
      <c r="L19" cm="1">
        <f t="array" aca="1" ref="L19" ca="1">IFERROR(INDEX(casos!$C:$C, MATCH(1, (VALUE(LEFT(casos!$A:$A,6))=VALUE(LEFT(B19,6)))*(casos!$B:$B=C19), 0)), "")</f>
        <v>4016</v>
      </c>
      <c r="M19" cm="1">
        <f t="array" ref="M19">IFERROR(INDEX(srag!$D:$D, MATCH(1, (VALUE(LEFT(srag!$A:$A,6))=VALUE(LEFT(B19,6)))*(srag!$C:$C=C19), 0)), "")</f>
        <v>18437</v>
      </c>
      <c r="N19" cm="1">
        <f t="array" ref="N19">IFERROR(INDEX(fesp!$E:$E, MATCH(1, (VALUE(LEFT(fesp!$A:$A,6))=VALUE(LEFT(B19,6)))*(fesp!$C:$C=C19), 0)), "")</f>
        <v>903</v>
      </c>
      <c r="O19" cm="1">
        <f t="array" ref="O19">IFERROR(INDEX(fesp!$F:$F, MATCH(1, (VALUE(LEFT(fesp!$A:$A,6))=VALUE(LEFT(B19,6)))*(fesp!$C:$C=C19), 0)), "")</f>
        <v>12771</v>
      </c>
      <c r="P19" cm="1">
        <f t="array" ref="P19">IFERROR(INDEX(fesp!$G:$G, MATCH(1, (VALUE(LEFT(fesp!$A:$A,6))=VALUE(LEFT(B19,6)))*(fesp!$C:$C=C19), 0)), "")</f>
        <v>13395881</v>
      </c>
      <c r="Q19" cm="1">
        <f t="array" ref="Q19">IFERROR(INDEX(fesp!$H:$H, MATCH(1, (VALUE(LEFT(fesp!$A:$A,6))=VALUE(LEFT(B19,6)))*(fesp!$C:$C=C19), 0)), "")</f>
        <v>458</v>
      </c>
      <c r="R19" cm="1">
        <f t="array" ref="R19">IFERROR(INDEX(fesp!$I:$I, MATCH(1, (VALUE(LEFT(fesp!$A:$A,6))=VALUE(LEFT(B19,6)))*(fesp!$C:$C=C19), 0)), "")</f>
        <v>1964</v>
      </c>
      <c r="S19" cm="1">
        <f t="array" ref="S19">IFERROR(INDEX(fesp!$J:$J, MATCH(1, (VALUE(LEFT(fesp!$A:$A,6))=VALUE(LEFT(B19,6)))*(fesp!$C:$C=C19), 0)), "")</f>
        <v>17747</v>
      </c>
    </row>
    <row r="20" spans="1:19">
      <c r="A20" s="1" t="s">
        <v>12</v>
      </c>
      <c r="B20" s="3" t="s">
        <v>13</v>
      </c>
      <c r="C20" s="3">
        <v>2022</v>
      </c>
      <c r="D20" cm="1">
        <f t="array" ref="D20">IFERROR(INDEX(fesp!$D:$D, MATCH(1, (VALUE(LEFT(fesp!$A:$A,6))=VALUE(LEFT(B20,6)))*(fesp!$C:$C=C20), 0)), "")</f>
        <v>2063689</v>
      </c>
      <c r="E20" cm="1">
        <f t="array" aca="1" ref="E20" ca="1">IFERROR(INDEX(ft_medicos_clinicos!$C:$C, MATCH(1, (VALUE(LEFT(ft_medicos_clinicos!$A:$A,6))=VALUE(LEFT(B20,6)))*(ft_medicos_clinicos!$B:$B=C20), 0)), "")</f>
        <v>1270</v>
      </c>
      <c r="F20" cm="1">
        <f t="array" aca="1" ref="F20" ca="1">IFERROR(INDEX(ft_enfermeiros!$C:$C, MATCH(1, (VALUE(LEFT(ft_enfermeiros!$A:$A,6))=VALUE(LEFT(B20,6)))*(ft_enfermeiros!$B:$B=C20), 0)), "")</f>
        <v>3232</v>
      </c>
      <c r="G20" t="str" cm="1">
        <f t="array" aca="1" ref="G20" ca="1">IFERROR(INDEX(ft_equipes_acs!$C:$C, MATCH(1, (VALUE(LEFT(ft_equipes_acs!$A:$A,6))=VALUE(LEFT(B20,6)))*(ft_equipes_acs!$B:$B=C20), 0)), "")</f>
        <v/>
      </c>
      <c r="H20" cm="1">
        <f t="array" aca="1" ref="H20" ca="1">IFERROR(INDEX(ci_leitos_internacao!$C:$C, MATCH(1, (VALUE(LEFT(ci_leitos_internacao!$A:$A,6))=VALUE(LEFT(B20,6)))*(ci_leitos_internacao!$B:$B=C20), 0)), "")</f>
        <v>3648</v>
      </c>
      <c r="I20" cm="1">
        <f t="array" aca="1" ref="I20" ca="1">IFERROR(INDEX(ci_hospitais_internacao!$C:$C, MATCH(1, (VALUE(LEFT(ci_hospitais_internacao!$A:$A,6))=VALUE(LEFT(B20,6)))*(ci_hospitais_internacao!$B:$B=C20), 0)), "")</f>
        <v>12</v>
      </c>
      <c r="J20" t="str" cm="1">
        <f t="array" aca="1" ref="J20" ca="1">IFERROR(INDEX(ci_pa_clinico!$C:$C, MATCH(1, (VALUE(LEFT(ci_pa_clinico!$A:$A,6))=VALUE(LEFT(B20,6)))*(ci_pa_clinico!$B:$B=C20), 0)), "")</f>
        <v/>
      </c>
      <c r="K20" t="str" cm="1">
        <f t="array" aca="1" ref="K20" ca="1">IFERROR(INDEX(aps_equipes_esf!$C:$C, MATCH(1, (VALUE(LEFT(aps_equipes_esf!$A:$A,6))=VALUE(LEFT(B20,6)))*(aps_equipes_esf!$B:$B=C20), 0)), "")</f>
        <v>-</v>
      </c>
      <c r="L20" cm="1">
        <f t="array" aca="1" ref="L20" ca="1">IFERROR(INDEX(casos!$C:$C, MATCH(1, (VALUE(LEFT(casos!$A:$A,6))=VALUE(LEFT(B20,6)))*(casos!$B:$B=C20), 0)), "")</f>
        <v>1197</v>
      </c>
      <c r="M20" cm="1">
        <f t="array" ref="M20">IFERROR(INDEX(srag!$D:$D, MATCH(1, (VALUE(LEFT(srag!$A:$A,6))=VALUE(LEFT(B20,6)))*(srag!$C:$C=C20), 0)), "")</f>
        <v>4170</v>
      </c>
      <c r="N20" cm="1">
        <f t="array" ref="N20">IFERROR(INDEX(fesp!$E:$E, MATCH(1, (VALUE(LEFT(fesp!$A:$A,6))=VALUE(LEFT(B20,6)))*(fesp!$C:$C=C20), 0)), "")</f>
        <v>952</v>
      </c>
      <c r="O20" cm="1">
        <f t="array" ref="O20">IFERROR(INDEX(fesp!$F:$F, MATCH(1, (VALUE(LEFT(fesp!$A:$A,6))=VALUE(LEFT(B20,6)))*(fesp!$C:$C=C20), 0)), "")</f>
        <v>14630</v>
      </c>
      <c r="P20" cm="1">
        <f t="array" ref="P20">IFERROR(INDEX(fesp!$G:$G, MATCH(1, (VALUE(LEFT(fesp!$A:$A,6))=VALUE(LEFT(B20,6)))*(fesp!$C:$C=C20), 0)), "")</f>
        <v>15598169</v>
      </c>
      <c r="Q20" cm="1">
        <f t="array" ref="Q20">IFERROR(INDEX(fesp!$H:$H, MATCH(1, (VALUE(LEFT(fesp!$A:$A,6))=VALUE(LEFT(B20,6)))*(fesp!$C:$C=C20), 0)), "")</f>
        <v>416</v>
      </c>
      <c r="R20" cm="1">
        <f t="array" ref="R20">IFERROR(INDEX(fesp!$I:$I, MATCH(1, (VALUE(LEFT(fesp!$A:$A,6))=VALUE(LEFT(B20,6)))*(fesp!$C:$C=C20), 0)), "")</f>
        <v>845</v>
      </c>
      <c r="S20" cm="1">
        <f t="array" ref="S20">IFERROR(INDEX(fesp!$J:$J, MATCH(1, (VALUE(LEFT(fesp!$A:$A,6))=VALUE(LEFT(B20,6)))*(fesp!$C:$C=C20), 0)), "")</f>
        <v>10301</v>
      </c>
    </row>
    <row r="21" spans="1:19">
      <c r="A21" s="1" t="s">
        <v>12</v>
      </c>
      <c r="B21" s="3" t="s">
        <v>13</v>
      </c>
      <c r="C21" s="3">
        <v>2023</v>
      </c>
      <c r="D21" cm="1">
        <f t="array" ref="D21">IFERROR(INDEX(fesp!$D:$D, MATCH(1, (VALUE(LEFT(fesp!$A:$A,6))=VALUE(LEFT(B21,6)))*(fesp!$C:$C=C21), 0)), "")</f>
        <v>0</v>
      </c>
      <c r="E21" cm="1">
        <f t="array" aca="1" ref="E21" ca="1">IFERROR(INDEX(ft_medicos_clinicos!$C:$C, MATCH(1, (VALUE(LEFT(ft_medicos_clinicos!$A:$A,6))=VALUE(LEFT(B21,6)))*(ft_medicos_clinicos!$B:$B=C21), 0)), "")</f>
        <v>1313</v>
      </c>
      <c r="F21" cm="1">
        <f t="array" aca="1" ref="F21" ca="1">IFERROR(INDEX(ft_enfermeiros!$C:$C, MATCH(1, (VALUE(LEFT(ft_enfermeiros!$A:$A,6))=VALUE(LEFT(B21,6)))*(ft_enfermeiros!$B:$B=C21), 0)), "")</f>
        <v>3946</v>
      </c>
      <c r="G21" t="str" cm="1">
        <f t="array" aca="1" ref="G21" ca="1">IFERROR(INDEX(ft_equipes_acs!$C:$C, MATCH(1, (VALUE(LEFT(ft_equipes_acs!$A:$A,6))=VALUE(LEFT(B21,6)))*(ft_equipes_acs!$B:$B=C21), 0)), "")</f>
        <v/>
      </c>
      <c r="H21" cm="1">
        <f t="array" aca="1" ref="H21" ca="1">IFERROR(INDEX(ci_leitos_internacao!$C:$C, MATCH(1, (VALUE(LEFT(ci_leitos_internacao!$A:$A,6))=VALUE(LEFT(B21,6)))*(ci_leitos_internacao!$B:$B=C21), 0)), "")</f>
        <v>3715</v>
      </c>
      <c r="I21" cm="1">
        <f t="array" aca="1" ref="I21" ca="1">IFERROR(INDEX(ci_hospitais_internacao!$C:$C, MATCH(1, (VALUE(LEFT(ci_hospitais_internacao!$A:$A,6))=VALUE(LEFT(B21,6)))*(ci_hospitais_internacao!$B:$B=C21), 0)), "")</f>
        <v>12</v>
      </c>
      <c r="J21" t="str" cm="1">
        <f t="array" aca="1" ref="J21" ca="1">IFERROR(INDEX(ci_pa_clinico!$C:$C, MATCH(1, (VALUE(LEFT(ci_pa_clinico!$A:$A,6))=VALUE(LEFT(B21,6)))*(ci_pa_clinico!$B:$B=C21), 0)), "")</f>
        <v/>
      </c>
      <c r="K21" t="str" cm="1">
        <f t="array" aca="1" ref="K21" ca="1">IFERROR(INDEX(aps_equipes_esf!$C:$C, MATCH(1, (VALUE(LEFT(aps_equipes_esf!$A:$A,6))=VALUE(LEFT(B21,6)))*(aps_equipes_esf!$B:$B=C21), 0)), "")</f>
        <v>-</v>
      </c>
      <c r="L21" cm="1">
        <f t="array" aca="1" ref="L21" ca="1">IFERROR(INDEX(casos!$C:$C, MATCH(1, (VALUE(LEFT(casos!$A:$A,6))=VALUE(LEFT(B21,6)))*(casos!$B:$B=C21), 0)), "")</f>
        <v>1172</v>
      </c>
      <c r="M21" cm="1">
        <f t="array" ref="M21">IFERROR(INDEX(srag!$D:$D, MATCH(1, (VALUE(LEFT(srag!$A:$A,6))=VALUE(LEFT(B21,6)))*(srag!$C:$C=C21), 0)), "")</f>
        <v>2409</v>
      </c>
      <c r="N21" cm="1">
        <f t="array" ref="N21">IFERROR(INDEX(fesp!$E:$E, MATCH(1, (VALUE(LEFT(fesp!$A:$A,6))=VALUE(LEFT(B21,6)))*(fesp!$C:$C=C21), 0)), "")</f>
        <v>972</v>
      </c>
      <c r="O21" cm="1">
        <f t="array" ref="O21">IFERROR(INDEX(fesp!$F:$F, MATCH(1, (VALUE(LEFT(fesp!$A:$A,6))=VALUE(LEFT(B21,6)))*(fesp!$C:$C=C21), 0)), "")</f>
        <v>22494</v>
      </c>
      <c r="P21" cm="1">
        <f t="array" ref="P21">IFERROR(INDEX(fesp!$G:$G, MATCH(1, (VALUE(LEFT(fesp!$A:$A,6))=VALUE(LEFT(B21,6)))*(fesp!$C:$C=C21), 0)), "")</f>
        <v>16240672</v>
      </c>
      <c r="Q21" cm="1">
        <f t="array" ref="Q21">IFERROR(INDEX(fesp!$H:$H, MATCH(1, (VALUE(LEFT(fesp!$A:$A,6))=VALUE(LEFT(B21,6)))*(fesp!$C:$C=C21), 0)), "")</f>
        <v>415</v>
      </c>
      <c r="R21" cm="1">
        <f t="array" ref="R21">IFERROR(INDEX(fesp!$I:$I, MATCH(1, (VALUE(LEFT(fesp!$A:$A,6))=VALUE(LEFT(B21,6)))*(fesp!$C:$C=C21), 0)), "")</f>
        <v>787</v>
      </c>
      <c r="S21" cm="1">
        <f t="array" ref="S21">IFERROR(INDEX(fesp!$J:$J, MATCH(1, (VALUE(LEFT(fesp!$A:$A,6))=VALUE(LEFT(B21,6)))*(fesp!$C:$C=C21), 0)), "")</f>
        <v>20724</v>
      </c>
    </row>
    <row r="22" spans="1:19">
      <c r="A22" s="1" t="s">
        <v>12</v>
      </c>
      <c r="B22" s="3" t="s">
        <v>13</v>
      </c>
      <c r="C22" s="3">
        <v>2024</v>
      </c>
      <c r="D22" cm="1">
        <f t="array" ref="D22">IFERROR(INDEX(fesp!$D:$D, MATCH(1, (VALUE(LEFT(fesp!$A:$A,6))=VALUE(LEFT(B22,6)))*(fesp!$C:$C=C22), 0)), "")</f>
        <v>0</v>
      </c>
      <c r="E22" cm="1">
        <f t="array" aca="1" ref="E22" ca="1">IFERROR(INDEX(ft_medicos_clinicos!$C:$C, MATCH(1, (VALUE(LEFT(ft_medicos_clinicos!$A:$A,6))=VALUE(LEFT(B22,6)))*(ft_medicos_clinicos!$B:$B=C22), 0)), "")</f>
        <v>1423</v>
      </c>
      <c r="F22" cm="1">
        <f t="array" aca="1" ref="F22" ca="1">IFERROR(INDEX(ft_enfermeiros!$C:$C, MATCH(1, (VALUE(LEFT(ft_enfermeiros!$A:$A,6))=VALUE(LEFT(B22,6)))*(ft_enfermeiros!$B:$B=C22), 0)), "")</f>
        <v>3716</v>
      </c>
      <c r="G22" t="str" cm="1">
        <f t="array" aca="1" ref="G22" ca="1">IFERROR(INDEX(ft_equipes_acs!$C:$C, MATCH(1, (VALUE(LEFT(ft_equipes_acs!$A:$A,6))=VALUE(LEFT(B22,6)))*(ft_equipes_acs!$B:$B=C22), 0)), "")</f>
        <v/>
      </c>
      <c r="H22" cm="1">
        <f t="array" aca="1" ref="H22" ca="1">IFERROR(INDEX(ci_leitos_internacao!$C:$C, MATCH(1, (VALUE(LEFT(ci_leitos_internacao!$A:$A,6))=VALUE(LEFT(B22,6)))*(ci_leitos_internacao!$B:$B=C22), 0)), "")</f>
        <v>3959</v>
      </c>
      <c r="I22" cm="1">
        <f t="array" aca="1" ref="I22" ca="1">IFERROR(INDEX(ci_hospitais_internacao!$C:$C, MATCH(1, (VALUE(LEFT(ci_hospitais_internacao!$A:$A,6))=VALUE(LEFT(B22,6)))*(ci_hospitais_internacao!$B:$B=C22), 0)), "")</f>
        <v>13</v>
      </c>
      <c r="J22" t="str" cm="1">
        <f t="array" aca="1" ref="J22" ca="1">IFERROR(INDEX(ci_pa_clinico!$C:$C, MATCH(1, (VALUE(LEFT(ci_pa_clinico!$A:$A,6))=VALUE(LEFT(B22,6)))*(ci_pa_clinico!$B:$B=C22), 0)), "")</f>
        <v/>
      </c>
      <c r="K22" t="str" cm="1">
        <f t="array" aca="1" ref="K22" ca="1">IFERROR(INDEX(aps_equipes_esf!$C:$C, MATCH(1, (VALUE(LEFT(aps_equipes_esf!$A:$A,6))=VALUE(LEFT(B22,6)))*(aps_equipes_esf!$B:$B=C22), 0)), "")</f>
        <v>-</v>
      </c>
      <c r="L22" cm="1">
        <f t="array" aca="1" ref="L22" ca="1">IFERROR(INDEX(casos!$C:$C, MATCH(1, (VALUE(LEFT(casos!$A:$A,6))=VALUE(LEFT(B22,6)))*(casos!$B:$B=C22), 0)), "")</f>
        <v>2606</v>
      </c>
      <c r="M22" cm="1">
        <f t="array" ref="M22">IFERROR(INDEX(srag!$D:$D, MATCH(1, (VALUE(LEFT(srag!$A:$A,6))=VALUE(LEFT(B22,6)))*(srag!$C:$C=C22), 0)), "")</f>
        <v>2313</v>
      </c>
      <c r="N22" cm="1">
        <f t="array" ref="N22">IFERROR(INDEX(fesp!$E:$E, MATCH(1, (VALUE(LEFT(fesp!$A:$A,6))=VALUE(LEFT(B22,6)))*(fesp!$C:$C=C22), 0)), "")</f>
        <v>792</v>
      </c>
      <c r="O22" cm="1">
        <f t="array" ref="O22">IFERROR(INDEX(fesp!$F:$F, MATCH(1, (VALUE(LEFT(fesp!$A:$A,6))=VALUE(LEFT(B22,6)))*(fesp!$C:$C=C22), 0)), "")</f>
        <v>26000</v>
      </c>
      <c r="P22" cm="1">
        <f t="array" ref="P22">IFERROR(INDEX(fesp!$G:$G, MATCH(1, (VALUE(LEFT(fesp!$A:$A,6))=VALUE(LEFT(B22,6)))*(fesp!$C:$C=C22), 0)), "")</f>
        <v>17718719</v>
      </c>
      <c r="Q22" cm="1">
        <f t="array" ref="Q22">IFERROR(INDEX(fesp!$H:$H, MATCH(1, (VALUE(LEFT(fesp!$A:$A,6))=VALUE(LEFT(B22,6)))*(fesp!$C:$C=C22), 0)), "")</f>
        <v>387</v>
      </c>
      <c r="R22" cm="1">
        <f t="array" ref="R22">IFERROR(INDEX(fesp!$I:$I, MATCH(1, (VALUE(LEFT(fesp!$A:$A,6))=VALUE(LEFT(B22,6)))*(fesp!$C:$C=C22), 0)), "")</f>
        <v>3058</v>
      </c>
      <c r="S22" cm="1">
        <f t="array" ref="S22">IFERROR(INDEX(fesp!$J:$J, MATCH(1, (VALUE(LEFT(fesp!$A:$A,6))=VALUE(LEFT(B22,6)))*(fesp!$C:$C=C22), 0)), "")</f>
        <v>2573497</v>
      </c>
    </row>
    <row r="23" spans="1:19">
      <c r="A23" s="1" t="s">
        <v>12</v>
      </c>
      <c r="B23" s="3">
        <v>1302603</v>
      </c>
      <c r="C23" s="3">
        <v>2025</v>
      </c>
      <c r="D23" cm="1">
        <f t="array" ref="D23">IFERROR(INDEX(fesp!$D:$D, MATCH(1, (VALUE(LEFT(fesp!$A:$A,6))=VALUE(LEFT(B23,6)))*(fesp!$C:$C=C23), 0)), "")</f>
        <v>0</v>
      </c>
      <c r="E23" cm="1">
        <f t="array" aca="1" ref="E23" ca="1">IFERROR(INDEX(ft_medicos_clinicos!$C:$C, MATCH(1, (VALUE(LEFT(ft_medicos_clinicos!$A:$A,6))=VALUE(LEFT(B23,6)))*(ft_medicos_clinicos!$B:$B=C23), 0)), "")</f>
        <v>1843</v>
      </c>
      <c r="F23" cm="1">
        <f t="array" aca="1" ref="F23" ca="1">IFERROR(INDEX(ft_enfermeiros!$C:$C, MATCH(1, (VALUE(LEFT(ft_enfermeiros!$A:$A,6))=VALUE(LEFT(B23,6)))*(ft_enfermeiros!$B:$B=C23), 0)), "")</f>
        <v>3879</v>
      </c>
      <c r="G23" t="str" cm="1">
        <f t="array" aca="1" ref="G23" ca="1">IFERROR(INDEX(ft_equipes_acs!$C:$C, MATCH(1, (VALUE(LEFT(ft_equipes_acs!$A:$A,6))=VALUE(LEFT(B23,6)))*(ft_equipes_acs!$B:$B=C23), 0)), "")</f>
        <v/>
      </c>
      <c r="H23" cm="1">
        <f t="array" aca="1" ref="H23" ca="1">IFERROR(INDEX(ci_leitos_internacao!$C:$C, MATCH(1, (VALUE(LEFT(ci_leitos_internacao!$A:$A,6))=VALUE(LEFT(B23,6)))*(ci_leitos_internacao!$B:$B=C23), 0)), "")</f>
        <v>4095</v>
      </c>
      <c r="I23" cm="1">
        <f t="array" aca="1" ref="I23" ca="1">IFERROR(INDEX(ci_hospitais_internacao!$C:$C, MATCH(1, (VALUE(LEFT(ci_hospitais_internacao!$A:$A,6))=VALUE(LEFT(B23,6)))*(ci_hospitais_internacao!$B:$B=C23), 0)), "")</f>
        <v>12</v>
      </c>
      <c r="J23" t="str" cm="1">
        <f t="array" aca="1" ref="J23" ca="1">IFERROR(INDEX(ci_pa_clinico!$C:$C, MATCH(1, (VALUE(LEFT(ci_pa_clinico!$A:$A,6))=VALUE(LEFT(B23,6)))*(ci_pa_clinico!$B:$B=C23), 0)), "")</f>
        <v/>
      </c>
      <c r="K23" t="str" cm="1">
        <f t="array" aca="1" ref="K23" ca="1">IFERROR(INDEX(aps_equipes_esf!$C:$C, MATCH(1, (VALUE(LEFT(aps_equipes_esf!$A:$A,6))=VALUE(LEFT(B23,6)))*(aps_equipes_esf!$B:$B=C23), 0)), "")</f>
        <v>-</v>
      </c>
      <c r="L23" cm="1">
        <f t="array" aca="1" ref="L23" ca="1">IFERROR(INDEX(casos!$C:$C, MATCH(1, (VALUE(LEFT(casos!$A:$A,6))=VALUE(LEFT(B23,6)))*(casos!$B:$B=C23), 0)), "")</f>
        <v>1272</v>
      </c>
      <c r="M23" cm="1">
        <f t="array" ref="M23">IFERROR(INDEX(srag!$D:$D, MATCH(1, (VALUE(LEFT(srag!$A:$A,6))=VALUE(LEFT(B23,6)))*(srag!$C:$C=C23), 0)), "")</f>
        <v>2714</v>
      </c>
      <c r="N23" cm="1">
        <f t="array" ref="N23">IFERROR(INDEX(fesp!$E:$E, MATCH(1, (VALUE(LEFT(fesp!$A:$A,6))=VALUE(LEFT(B23,6)))*(fesp!$C:$C=C23), 0)), "")</f>
        <v>571</v>
      </c>
      <c r="O23" cm="1">
        <f t="array" ref="O23">IFERROR(INDEX(fesp!$F:$F, MATCH(1, (VALUE(LEFT(fesp!$A:$A,6))=VALUE(LEFT(B23,6)))*(fesp!$C:$C=C23), 0)), "")</f>
        <v>22385</v>
      </c>
      <c r="P23" cm="1">
        <f t="array" ref="P23">IFERROR(INDEX(fesp!$G:$G, MATCH(1, (VALUE(LEFT(fesp!$A:$A,6))=VALUE(LEFT(B23,6)))*(fesp!$C:$C=C23), 0)), "")</f>
        <v>11389691</v>
      </c>
      <c r="Q23" cm="1">
        <f t="array" ref="Q23">IFERROR(INDEX(fesp!$H:$H, MATCH(1, (VALUE(LEFT(fesp!$A:$A,6))=VALUE(LEFT(B23,6)))*(fesp!$C:$C=C23), 0)), "")</f>
        <v>184</v>
      </c>
      <c r="R23" cm="1">
        <f t="array" ref="R23">IFERROR(INDEX(fesp!$I:$I, MATCH(1, (VALUE(LEFT(fesp!$A:$A,6))=VALUE(LEFT(B23,6)))*(fesp!$C:$C=C23), 0)), "")</f>
        <v>2305</v>
      </c>
      <c r="S23" cm="1">
        <f t="array" ref="S23">IFERROR(INDEX(fesp!$J:$J, MATCH(1, (VALUE(LEFT(fesp!$A:$A,6))=VALUE(LEFT(B23,6)))*(fesp!$C:$C=C23), 0)), "")</f>
        <v>50526</v>
      </c>
    </row>
    <row r="24" spans="1:19">
      <c r="A24" s="1" t="s">
        <v>99</v>
      </c>
      <c r="B24" s="3">
        <v>1400100</v>
      </c>
      <c r="C24" s="3">
        <v>2015</v>
      </c>
      <c r="D24" cm="1">
        <f t="array" ref="D24">IFERROR(INDEX(fesp!$D:$D, MATCH(1, (VALUE(LEFT(fesp!$A:$A,6))=VALUE(LEFT(B24,6)))*(fesp!$C:$C=C24), 0)), "")</f>
        <v>320714</v>
      </c>
      <c r="E24" cm="1">
        <f t="array" aca="1" ref="E24" ca="1">IFERROR(INDEX(ft_medicos_clinicos!$C:$C, MATCH(1, (VALUE(LEFT(ft_medicos_clinicos!$A:$A,6))=VALUE(LEFT(B24,6)))*(ft_medicos_clinicos!$B:$B=C24), 0)), "")</f>
        <v>211</v>
      </c>
      <c r="F24" cm="1">
        <f t="array" aca="1" ref="F24" ca="1">IFERROR(INDEX(ft_enfermeiros!$C:$C, MATCH(1, (VALUE(LEFT(ft_enfermeiros!$A:$A,6))=VALUE(LEFT(B24,6)))*(ft_enfermeiros!$B:$B=C24), 0)), "")</f>
        <v>362</v>
      </c>
      <c r="G24" t="str" cm="1">
        <f t="array" aca="1" ref="G24" ca="1">IFERROR(INDEX(ft_equipes_acs!$C:$C, MATCH(1, (VALUE(LEFT(ft_equipes_acs!$A:$A,6))=VALUE(LEFT(B24,6)))*(ft_equipes_acs!$B:$B=C24), 0)), "")</f>
        <v/>
      </c>
      <c r="H24" cm="1">
        <f t="array" aca="1" ref="H24" ca="1">IFERROR(INDEX(ci_leitos_internacao!$C:$C, MATCH(1, (VALUE(LEFT(ci_leitos_internacao!$A:$A,6))=VALUE(LEFT(B24,6)))*(ci_leitos_internacao!$B:$B=C24), 0)), "")</f>
        <v>689</v>
      </c>
      <c r="I24" cm="1">
        <f t="array" aca="1" ref="I24" ca="1">IFERROR(INDEX(ci_hospitais_internacao!$C:$C, MATCH(1, (VALUE(LEFT(ci_hospitais_internacao!$A:$A,6))=VALUE(LEFT(B24,6)))*(ci_hospitais_internacao!$B:$B=C24), 0)), "")</f>
        <v>2</v>
      </c>
      <c r="J24" t="str" cm="1">
        <f t="array" aca="1" ref="J24" ca="1">IFERROR(INDEX(ci_pa_clinico!$C:$C, MATCH(1, (VALUE(LEFT(ci_pa_clinico!$A:$A,6))=VALUE(LEFT(B24,6)))*(ci_pa_clinico!$B:$B=C24), 0)), "")</f>
        <v>-</v>
      </c>
      <c r="K24" cm="1">
        <f t="array" aca="1" ref="K24" ca="1">IFERROR(INDEX(aps_equipes_esf!$C:$C, MATCH(1, (VALUE(LEFT(aps_equipes_esf!$A:$A,6))=VALUE(LEFT(B24,6)))*(aps_equipes_esf!$B:$B=C24), 0)), "")</f>
        <v>54</v>
      </c>
      <c r="L24" cm="1">
        <f t="array" aca="1" ref="L24" ca="1">IFERROR(INDEX(casos!$C:$C, MATCH(1, (VALUE(LEFT(casos!$A:$A,6))=VALUE(LEFT(B24,6)))*(casos!$B:$B=C24), 0)), "")</f>
        <v>439</v>
      </c>
      <c r="M24" cm="1">
        <f t="array" ref="M24">IFERROR(INDEX(srag!$D:$D, MATCH(1, (VALUE(LEFT(srag!$A:$A,6))=VALUE(LEFT(B24,6)))*(srag!$C:$C=C24), 0)), "")</f>
        <v>4</v>
      </c>
      <c r="N24" cm="1">
        <f t="array" ref="N24">IFERROR(INDEX(fesp!$E:$E, MATCH(1, (VALUE(LEFT(fesp!$A:$A,6))=VALUE(LEFT(B24,6)))*(fesp!$C:$C=C24), 0)), "")</f>
        <v>466</v>
      </c>
      <c r="O24" cm="1">
        <f t="array" ref="O24">IFERROR(INDEX(fesp!$F:$F, MATCH(1, (VALUE(LEFT(fesp!$A:$A,6))=VALUE(LEFT(B24,6)))*(fesp!$C:$C=C24), 0)), "")</f>
        <v>3472</v>
      </c>
      <c r="P24" cm="1">
        <f t="array" ref="P24">IFERROR(INDEX(fesp!$G:$G, MATCH(1, (VALUE(LEFT(fesp!$A:$A,6))=VALUE(LEFT(B24,6)))*(fesp!$C:$C=C24), 0)), "")</f>
        <v>2275887</v>
      </c>
      <c r="Q24" cm="1">
        <f t="array" ref="Q24">IFERROR(INDEX(fesp!$H:$H, MATCH(1, (VALUE(LEFT(fesp!$A:$A,6))=VALUE(LEFT(B24,6)))*(fesp!$C:$C=C24), 0)), "")</f>
        <v>75</v>
      </c>
      <c r="R24" cm="1">
        <f t="array" ref="R24">IFERROR(INDEX(fesp!$I:$I, MATCH(1, (VALUE(LEFT(fesp!$A:$A,6))=VALUE(LEFT(B24,6)))*(fesp!$C:$C=C24), 0)), "")</f>
        <v>121076</v>
      </c>
      <c r="S24" cm="1">
        <f t="array" ref="S24">IFERROR(INDEX(fesp!$J:$J, MATCH(1, (VALUE(LEFT(fesp!$A:$A,6))=VALUE(LEFT(B24,6)))*(fesp!$C:$C=C24), 0)), "")</f>
        <v>290380</v>
      </c>
    </row>
    <row r="25" spans="1:19">
      <c r="A25" s="1" t="s">
        <v>99</v>
      </c>
      <c r="B25" s="3">
        <v>1400100</v>
      </c>
      <c r="C25" s="3">
        <v>2016</v>
      </c>
      <c r="D25" cm="1">
        <f t="array" ref="D25">IFERROR(INDEX(fesp!$D:$D, MATCH(1, (VALUE(LEFT(fesp!$A:$A,6))=VALUE(LEFT(B25,6)))*(fesp!$C:$C=C25), 0)), "")</f>
        <v>0</v>
      </c>
      <c r="E25" cm="1">
        <f t="array" aca="1" ref="E25" ca="1">IFERROR(INDEX(ft_medicos_clinicos!$C:$C, MATCH(1, (VALUE(LEFT(ft_medicos_clinicos!$A:$A,6))=VALUE(LEFT(B25,6)))*(ft_medicos_clinicos!$B:$B=C25), 0)), "")</f>
        <v>228</v>
      </c>
      <c r="F25" cm="1">
        <f t="array" aca="1" ref="F25" ca="1">IFERROR(INDEX(ft_enfermeiros!$C:$C, MATCH(1, (VALUE(LEFT(ft_enfermeiros!$A:$A,6))=VALUE(LEFT(B25,6)))*(ft_enfermeiros!$B:$B=C25), 0)), "")</f>
        <v>357</v>
      </c>
      <c r="G25" t="str" cm="1">
        <f t="array" aca="1" ref="G25" ca="1">IFERROR(INDEX(ft_equipes_acs!$C:$C, MATCH(1, (VALUE(LEFT(ft_equipes_acs!$A:$A,6))=VALUE(LEFT(B25,6)))*(ft_equipes_acs!$B:$B=C25), 0)), "")</f>
        <v/>
      </c>
      <c r="H25" cm="1">
        <f t="array" aca="1" ref="H25" ca="1">IFERROR(INDEX(ci_leitos_internacao!$C:$C, MATCH(1, (VALUE(LEFT(ci_leitos_internacao!$A:$A,6))=VALUE(LEFT(B25,6)))*(ci_leitos_internacao!$B:$B=C25), 0)), "")</f>
        <v>705</v>
      </c>
      <c r="I25" cm="1">
        <f t="array" aca="1" ref="I25" ca="1">IFERROR(INDEX(ci_hospitais_internacao!$C:$C, MATCH(1, (VALUE(LEFT(ci_hospitais_internacao!$A:$A,6))=VALUE(LEFT(B25,6)))*(ci_hospitais_internacao!$B:$B=C25), 0)), "")</f>
        <v>2</v>
      </c>
      <c r="J25" t="str" cm="1">
        <f t="array" aca="1" ref="J25" ca="1">IFERROR(INDEX(ci_pa_clinico!$C:$C, MATCH(1, (VALUE(LEFT(ci_pa_clinico!$A:$A,6))=VALUE(LEFT(B25,6)))*(ci_pa_clinico!$B:$B=C25), 0)), "")</f>
        <v>-</v>
      </c>
      <c r="K25" cm="1">
        <f t="array" aca="1" ref="K25" ca="1">IFERROR(INDEX(aps_equipes_esf!$C:$C, MATCH(1, (VALUE(LEFT(aps_equipes_esf!$A:$A,6))=VALUE(LEFT(B25,6)))*(aps_equipes_esf!$B:$B=C25), 0)), "")</f>
        <v>56</v>
      </c>
      <c r="L25" cm="1">
        <f t="array" aca="1" ref="L25" ca="1">IFERROR(INDEX(casos!$C:$C, MATCH(1, (VALUE(LEFT(casos!$A:$A,6))=VALUE(LEFT(B25,6)))*(casos!$B:$B=C25), 0)), "")</f>
        <v>82</v>
      </c>
      <c r="M25" cm="1">
        <f t="array" ref="M25">IFERROR(INDEX(srag!$D:$D, MATCH(1, (VALUE(LEFT(srag!$A:$A,6))=VALUE(LEFT(B25,6)))*(srag!$C:$C=C25), 0)), "")</f>
        <v>11</v>
      </c>
      <c r="N25" cm="1">
        <f t="array" ref="N25">IFERROR(INDEX(fesp!$E:$E, MATCH(1, (VALUE(LEFT(fesp!$A:$A,6))=VALUE(LEFT(B25,6)))*(fesp!$C:$C=C25), 0)), "")</f>
        <v>371</v>
      </c>
      <c r="O25" cm="1">
        <f t="array" ref="O25">IFERROR(INDEX(fesp!$F:$F, MATCH(1, (VALUE(LEFT(fesp!$A:$A,6))=VALUE(LEFT(B25,6)))*(fesp!$C:$C=C25), 0)), "")</f>
        <v>1843</v>
      </c>
      <c r="P25" cm="1">
        <f t="array" ref="P25">IFERROR(INDEX(fesp!$G:$G, MATCH(1, (VALUE(LEFT(fesp!$A:$A,6))=VALUE(LEFT(B25,6)))*(fesp!$C:$C=C25), 0)), "")</f>
        <v>2183881</v>
      </c>
      <c r="Q25" cm="1">
        <f t="array" ref="Q25">IFERROR(INDEX(fesp!$H:$H, MATCH(1, (VALUE(LEFT(fesp!$A:$A,6))=VALUE(LEFT(B25,6)))*(fesp!$C:$C=C25), 0)), "")</f>
        <v>86</v>
      </c>
      <c r="R25" cm="1">
        <f t="array" ref="R25">IFERROR(INDEX(fesp!$I:$I, MATCH(1, (VALUE(LEFT(fesp!$A:$A,6))=VALUE(LEFT(B25,6)))*(fesp!$C:$C=C25), 0)), "")</f>
        <v>32965</v>
      </c>
      <c r="S25" cm="1">
        <f t="array" ref="S25">IFERROR(INDEX(fesp!$J:$J, MATCH(1, (VALUE(LEFT(fesp!$A:$A,6))=VALUE(LEFT(B25,6)))*(fesp!$C:$C=C25), 0)), "")</f>
        <v>339347</v>
      </c>
    </row>
    <row r="26" spans="1:19">
      <c r="A26" s="1" t="s">
        <v>99</v>
      </c>
      <c r="B26" s="3" t="s">
        <v>98</v>
      </c>
      <c r="C26" s="3">
        <v>2017</v>
      </c>
      <c r="D26" cm="1">
        <f t="array" ref="D26">IFERROR(INDEX(fesp!$D:$D, MATCH(1, (VALUE(LEFT(fesp!$A:$A,6))=VALUE(LEFT(B26,6)))*(fesp!$C:$C=C26), 0)), "")</f>
        <v>0</v>
      </c>
      <c r="E26" cm="1">
        <f t="array" aca="1" ref="E26" ca="1">IFERROR(INDEX(ft_medicos_clinicos!$C:$C, MATCH(1, (VALUE(LEFT(ft_medicos_clinicos!$A:$A,6))=VALUE(LEFT(B26,6)))*(ft_medicos_clinicos!$B:$B=C26), 0)), "")</f>
        <v>256</v>
      </c>
      <c r="F26" cm="1">
        <f t="array" aca="1" ref="F26" ca="1">IFERROR(INDEX(ft_enfermeiros!$C:$C, MATCH(1, (VALUE(LEFT(ft_enfermeiros!$A:$A,6))=VALUE(LEFT(B26,6)))*(ft_enfermeiros!$B:$B=C26), 0)), "")</f>
        <v>425</v>
      </c>
      <c r="G26" t="str" cm="1">
        <f t="array" aca="1" ref="G26" ca="1">IFERROR(INDEX(ft_equipes_acs!$C:$C, MATCH(1, (VALUE(LEFT(ft_equipes_acs!$A:$A,6))=VALUE(LEFT(B26,6)))*(ft_equipes_acs!$B:$B=C26), 0)), "")</f>
        <v/>
      </c>
      <c r="H26" cm="1">
        <f t="array" aca="1" ref="H26" ca="1">IFERROR(INDEX(ci_leitos_internacao!$C:$C, MATCH(1, (VALUE(LEFT(ci_leitos_internacao!$A:$A,6))=VALUE(LEFT(B26,6)))*(ci_leitos_internacao!$B:$B=C26), 0)), "")</f>
        <v>744</v>
      </c>
      <c r="I26" cm="1">
        <f t="array" aca="1" ref="I26" ca="1">IFERROR(INDEX(ci_hospitais_internacao!$C:$C, MATCH(1, (VALUE(LEFT(ci_hospitais_internacao!$A:$A,6))=VALUE(LEFT(B26,6)))*(ci_hospitais_internacao!$B:$B=C26), 0)), "")</f>
        <v>2</v>
      </c>
      <c r="J26" t="str" cm="1">
        <f t="array" aca="1" ref="J26" ca="1">IFERROR(INDEX(ci_pa_clinico!$C:$C, MATCH(1, (VALUE(LEFT(ci_pa_clinico!$A:$A,6))=VALUE(LEFT(B26,6)))*(ci_pa_clinico!$B:$B=C26), 0)), "")</f>
        <v>-</v>
      </c>
      <c r="K26" cm="1">
        <f t="array" aca="1" ref="K26" ca="1">IFERROR(INDEX(aps_equipes_esf!$C:$C, MATCH(1, (VALUE(LEFT(aps_equipes_esf!$A:$A,6))=VALUE(LEFT(B26,6)))*(aps_equipes_esf!$B:$B=C26), 0)), "")</f>
        <v>50</v>
      </c>
      <c r="L26" cm="1">
        <f t="array" aca="1" ref="L26" ca="1">IFERROR(INDEX(casos!$C:$C, MATCH(1, (VALUE(LEFT(casos!$A:$A,6))=VALUE(LEFT(B26,6)))*(casos!$B:$B=C26), 0)), "")</f>
        <v>203</v>
      </c>
      <c r="M26" cm="1">
        <f t="array" ref="M26">IFERROR(INDEX(srag!$D:$D, MATCH(1, (VALUE(LEFT(srag!$A:$A,6))=VALUE(LEFT(B26,6)))*(srag!$C:$C=C26), 0)), "")</f>
        <v>0</v>
      </c>
      <c r="N26" cm="1">
        <f t="array" ref="N26">IFERROR(INDEX(fesp!$E:$E, MATCH(1, (VALUE(LEFT(fesp!$A:$A,6))=VALUE(LEFT(B26,6)))*(fesp!$C:$C=C26), 0)), "")</f>
        <v>319</v>
      </c>
      <c r="O26" cm="1">
        <f t="array" ref="O26">IFERROR(INDEX(fesp!$F:$F, MATCH(1, (VALUE(LEFT(fesp!$A:$A,6))=VALUE(LEFT(B26,6)))*(fesp!$C:$C=C26), 0)), "")</f>
        <v>1658</v>
      </c>
      <c r="P26" cm="1">
        <f t="array" ref="P26">IFERROR(INDEX(fesp!$G:$G, MATCH(1, (VALUE(LEFT(fesp!$A:$A,6))=VALUE(LEFT(B26,6)))*(fesp!$C:$C=C26), 0)), "")</f>
        <v>2401679</v>
      </c>
      <c r="Q26" cm="1">
        <f t="array" ref="Q26">IFERROR(INDEX(fesp!$H:$H, MATCH(1, (VALUE(LEFT(fesp!$A:$A,6))=VALUE(LEFT(B26,6)))*(fesp!$C:$C=C26), 0)), "")</f>
        <v>163</v>
      </c>
      <c r="R26" cm="1">
        <f t="array" ref="R26">IFERROR(INDEX(fesp!$I:$I, MATCH(1, (VALUE(LEFT(fesp!$A:$A,6))=VALUE(LEFT(B26,6)))*(fesp!$C:$C=C26), 0)), "")</f>
        <v>20473</v>
      </c>
      <c r="S26" cm="1">
        <f t="array" ref="S26">IFERROR(INDEX(fesp!$J:$J, MATCH(1, (VALUE(LEFT(fesp!$A:$A,6))=VALUE(LEFT(B26,6)))*(fesp!$C:$C=C26), 0)), "")</f>
        <v>129127</v>
      </c>
    </row>
    <row r="27" spans="1:19">
      <c r="A27" s="1" t="s">
        <v>99</v>
      </c>
      <c r="B27" s="3" t="s">
        <v>98</v>
      </c>
      <c r="C27" s="3">
        <v>2018</v>
      </c>
      <c r="D27" cm="1">
        <f t="array" ref="D27">IFERROR(INDEX(fesp!$D:$D, MATCH(1, (VALUE(LEFT(fesp!$A:$A,6))=VALUE(LEFT(B27,6)))*(fesp!$C:$C=C27), 0)), "")</f>
        <v>0</v>
      </c>
      <c r="E27" cm="1">
        <f t="array" aca="1" ref="E27" ca="1">IFERROR(INDEX(ft_medicos_clinicos!$C:$C, MATCH(1, (VALUE(LEFT(ft_medicos_clinicos!$A:$A,6))=VALUE(LEFT(B27,6)))*(ft_medicos_clinicos!$B:$B=C27), 0)), "")</f>
        <v>261</v>
      </c>
      <c r="F27" cm="1">
        <f t="array" aca="1" ref="F27" ca="1">IFERROR(INDEX(ft_enfermeiros!$C:$C, MATCH(1, (VALUE(LEFT(ft_enfermeiros!$A:$A,6))=VALUE(LEFT(B27,6)))*(ft_enfermeiros!$B:$B=C27), 0)), "")</f>
        <v>453</v>
      </c>
      <c r="G27" t="str" cm="1">
        <f t="array" aca="1" ref="G27" ca="1">IFERROR(INDEX(ft_equipes_acs!$C:$C, MATCH(1, (VALUE(LEFT(ft_equipes_acs!$A:$A,6))=VALUE(LEFT(B27,6)))*(ft_equipes_acs!$B:$B=C27), 0)), "")</f>
        <v/>
      </c>
      <c r="H27" cm="1">
        <f t="array" aca="1" ref="H27" ca="1">IFERROR(INDEX(ci_leitos_internacao!$C:$C, MATCH(1, (VALUE(LEFT(ci_leitos_internacao!$A:$A,6))=VALUE(LEFT(B27,6)))*(ci_leitos_internacao!$B:$B=C27), 0)), "")</f>
        <v>857</v>
      </c>
      <c r="I27" cm="1">
        <f t="array" aca="1" ref="I27" ca="1">IFERROR(INDEX(ci_hospitais_internacao!$C:$C, MATCH(1, (VALUE(LEFT(ci_hospitais_internacao!$A:$A,6))=VALUE(LEFT(B27,6)))*(ci_hospitais_internacao!$B:$B=C27), 0)), "")</f>
        <v>3</v>
      </c>
      <c r="J27" t="str" cm="1">
        <f t="array" aca="1" ref="J27" ca="1">IFERROR(INDEX(ci_pa_clinico!$C:$C, MATCH(1, (VALUE(LEFT(ci_pa_clinico!$A:$A,6))=VALUE(LEFT(B27,6)))*(ci_pa_clinico!$B:$B=C27), 0)), "")</f>
        <v>-</v>
      </c>
      <c r="K27" cm="1">
        <f t="array" aca="1" ref="K27" ca="1">IFERROR(INDEX(aps_equipes_esf!$C:$C, MATCH(1, (VALUE(LEFT(aps_equipes_esf!$A:$A,6))=VALUE(LEFT(B27,6)))*(aps_equipes_esf!$B:$B=C27), 0)), "")</f>
        <v>56</v>
      </c>
      <c r="L27" cm="1">
        <f t="array" aca="1" ref="L27" ca="1">IFERROR(INDEX(casos!$C:$C, MATCH(1, (VALUE(LEFT(casos!$A:$A,6))=VALUE(LEFT(B27,6)))*(casos!$B:$B=C27), 0)), "")</f>
        <v>75</v>
      </c>
      <c r="M27" cm="1">
        <f t="array" ref="M27">IFERROR(INDEX(srag!$D:$D, MATCH(1, (VALUE(LEFT(srag!$A:$A,6))=VALUE(LEFT(B27,6)))*(srag!$C:$C=C27), 0)), "")</f>
        <v>3</v>
      </c>
      <c r="N27" cm="1">
        <f t="array" ref="N27">IFERROR(INDEX(fesp!$E:$E, MATCH(1, (VALUE(LEFT(fesp!$A:$A,6))=VALUE(LEFT(B27,6)))*(fesp!$C:$C=C27), 0)), "")</f>
        <v>323</v>
      </c>
      <c r="O27" cm="1">
        <f t="array" ref="O27">IFERROR(INDEX(fesp!$F:$F, MATCH(1, (VALUE(LEFT(fesp!$A:$A,6))=VALUE(LEFT(B27,6)))*(fesp!$C:$C=C27), 0)), "")</f>
        <v>1939</v>
      </c>
      <c r="P27" cm="1">
        <f t="array" ref="P27">IFERROR(INDEX(fesp!$G:$G, MATCH(1, (VALUE(LEFT(fesp!$A:$A,6))=VALUE(LEFT(B27,6)))*(fesp!$C:$C=C27), 0)), "")</f>
        <v>2496464</v>
      </c>
      <c r="Q27" cm="1">
        <f t="array" ref="Q27">IFERROR(INDEX(fesp!$H:$H, MATCH(1, (VALUE(LEFT(fesp!$A:$A,6))=VALUE(LEFT(B27,6)))*(fesp!$C:$C=C27), 0)), "")</f>
        <v>142</v>
      </c>
      <c r="R27" cm="1">
        <f t="array" ref="R27">IFERROR(INDEX(fesp!$I:$I, MATCH(1, (VALUE(LEFT(fesp!$A:$A,6))=VALUE(LEFT(B27,6)))*(fesp!$C:$C=C27), 0)), "")</f>
        <v>5265</v>
      </c>
      <c r="S27" cm="1">
        <f t="array" ref="S27">IFERROR(INDEX(fesp!$J:$J, MATCH(1, (VALUE(LEFT(fesp!$A:$A,6))=VALUE(LEFT(B27,6)))*(fesp!$C:$C=C27), 0)), "")</f>
        <v>34281</v>
      </c>
    </row>
    <row r="28" spans="1:19">
      <c r="A28" s="1" t="s">
        <v>99</v>
      </c>
      <c r="B28" s="3" t="s">
        <v>98</v>
      </c>
      <c r="C28" s="3">
        <v>2019</v>
      </c>
      <c r="D28" cm="1">
        <f t="array" ref="D28">IFERROR(INDEX(fesp!$D:$D, MATCH(1, (VALUE(LEFT(fesp!$A:$A,6))=VALUE(LEFT(B28,6)))*(fesp!$C:$C=C28), 0)), "")</f>
        <v>0</v>
      </c>
      <c r="E28" cm="1">
        <f t="array" aca="1" ref="E28" ca="1">IFERROR(INDEX(ft_medicos_clinicos!$C:$C, MATCH(1, (VALUE(LEFT(ft_medicos_clinicos!$A:$A,6))=VALUE(LEFT(B28,6)))*(ft_medicos_clinicos!$B:$B=C28), 0)), "")</f>
        <v>285</v>
      </c>
      <c r="F28" cm="1">
        <f t="array" aca="1" ref="F28" ca="1">IFERROR(INDEX(ft_enfermeiros!$C:$C, MATCH(1, (VALUE(LEFT(ft_enfermeiros!$A:$A,6))=VALUE(LEFT(B28,6)))*(ft_enfermeiros!$B:$B=C28), 0)), "")</f>
        <v>482</v>
      </c>
      <c r="G28" t="str" cm="1">
        <f t="array" aca="1" ref="G28" ca="1">IFERROR(INDEX(ft_equipes_acs!$C:$C, MATCH(1, (VALUE(LEFT(ft_equipes_acs!$A:$A,6))=VALUE(LEFT(B28,6)))*(ft_equipes_acs!$B:$B=C28), 0)), "")</f>
        <v/>
      </c>
      <c r="H28" cm="1">
        <f t="array" aca="1" ref="H28" ca="1">IFERROR(INDEX(ci_leitos_internacao!$C:$C, MATCH(1, (VALUE(LEFT(ci_leitos_internacao!$A:$A,6))=VALUE(LEFT(B28,6)))*(ci_leitos_internacao!$B:$B=C28), 0)), "")</f>
        <v>894</v>
      </c>
      <c r="I28" cm="1">
        <f t="array" aca="1" ref="I28" ca="1">IFERROR(INDEX(ci_hospitais_internacao!$C:$C, MATCH(1, (VALUE(LEFT(ci_hospitais_internacao!$A:$A,6))=VALUE(LEFT(B28,6)))*(ci_hospitais_internacao!$B:$B=C28), 0)), "")</f>
        <v>3</v>
      </c>
      <c r="J28" cm="1">
        <f t="array" aca="1" ref="J28" ca="1">IFERROR(INDEX(ci_pa_clinico!$C:$C, MATCH(1, (VALUE(LEFT(ci_pa_clinico!$A:$A,6))=VALUE(LEFT(B28,6)))*(ci_pa_clinico!$B:$B=C28), 0)), "")</f>
        <v>2</v>
      </c>
      <c r="K28" cm="1">
        <f t="array" aca="1" ref="K28" ca="1">IFERROR(INDEX(aps_equipes_esf!$C:$C, MATCH(1, (VALUE(LEFT(aps_equipes_esf!$A:$A,6))=VALUE(LEFT(B28,6)))*(aps_equipes_esf!$B:$B=C28), 0)), "")</f>
        <v>41</v>
      </c>
      <c r="L28" cm="1">
        <f t="array" aca="1" ref="L28" ca="1">IFERROR(INDEX(casos!$C:$C, MATCH(1, (VALUE(LEFT(casos!$A:$A,6))=VALUE(LEFT(B28,6)))*(casos!$B:$B=C28), 0)), "")</f>
        <v>1038</v>
      </c>
      <c r="M28" cm="1">
        <f t="array" ref="M28">IFERROR(INDEX(srag!$D:$D, MATCH(1, (VALUE(LEFT(srag!$A:$A,6))=VALUE(LEFT(B28,6)))*(srag!$C:$C=C28), 0)), "")</f>
        <v>27</v>
      </c>
      <c r="N28" cm="1">
        <f t="array" ref="N28">IFERROR(INDEX(fesp!$E:$E, MATCH(1, (VALUE(LEFT(fesp!$A:$A,6))=VALUE(LEFT(B28,6)))*(fesp!$C:$C=C28), 0)), "")</f>
        <v>482</v>
      </c>
      <c r="O28" cm="1">
        <f t="array" ref="O28">IFERROR(INDEX(fesp!$F:$F, MATCH(1, (VALUE(LEFT(fesp!$A:$A,6))=VALUE(LEFT(B28,6)))*(fesp!$C:$C=C28), 0)), "")</f>
        <v>1659</v>
      </c>
      <c r="P28" cm="1">
        <f t="array" ref="P28">IFERROR(INDEX(fesp!$G:$G, MATCH(1, (VALUE(LEFT(fesp!$A:$A,6))=VALUE(LEFT(B28,6)))*(fesp!$C:$C=C28), 0)), "")</f>
        <v>2125387</v>
      </c>
      <c r="Q28" cm="1">
        <f t="array" ref="Q28">IFERROR(INDEX(fesp!$H:$H, MATCH(1, (VALUE(LEFT(fesp!$A:$A,6))=VALUE(LEFT(B28,6)))*(fesp!$C:$C=C28), 0)), "")</f>
        <v>80</v>
      </c>
      <c r="R28" cm="1">
        <f t="array" ref="R28">IFERROR(INDEX(fesp!$I:$I, MATCH(1, (VALUE(LEFT(fesp!$A:$A,6))=VALUE(LEFT(B28,6)))*(fesp!$C:$C=C28), 0)), "")</f>
        <v>0</v>
      </c>
      <c r="S28" cm="1">
        <f t="array" ref="S28">IFERROR(INDEX(fesp!$J:$J, MATCH(1, (VALUE(LEFT(fesp!$A:$A,6))=VALUE(LEFT(B28,6)))*(fesp!$C:$C=C28), 0)), "")</f>
        <v>1647</v>
      </c>
    </row>
    <row r="29" spans="1:19">
      <c r="A29" s="1" t="s">
        <v>99</v>
      </c>
      <c r="B29" s="3" t="s">
        <v>98</v>
      </c>
      <c r="C29" s="3">
        <v>2020</v>
      </c>
      <c r="D29" cm="1">
        <f t="array" ref="D29">IFERROR(INDEX(fesp!$D:$D, MATCH(1, (VALUE(LEFT(fesp!$A:$A,6))=VALUE(LEFT(B29,6)))*(fesp!$C:$C=C29), 0)), "")</f>
        <v>0</v>
      </c>
      <c r="E29" cm="1">
        <f t="array" aca="1" ref="E29" ca="1">IFERROR(INDEX(ft_medicos_clinicos!$C:$C, MATCH(1, (VALUE(LEFT(ft_medicos_clinicos!$A:$A,6))=VALUE(LEFT(B29,6)))*(ft_medicos_clinicos!$B:$B=C29), 0)), "")</f>
        <v>372</v>
      </c>
      <c r="F29" cm="1">
        <f t="array" aca="1" ref="F29" ca="1">IFERROR(INDEX(ft_enfermeiros!$C:$C, MATCH(1, (VALUE(LEFT(ft_enfermeiros!$A:$A,6))=VALUE(LEFT(B29,6)))*(ft_enfermeiros!$B:$B=C29), 0)), "")</f>
        <v>654</v>
      </c>
      <c r="G29" t="str" cm="1">
        <f t="array" aca="1" ref="G29" ca="1">IFERROR(INDEX(ft_equipes_acs!$C:$C, MATCH(1, (VALUE(LEFT(ft_equipes_acs!$A:$A,6))=VALUE(LEFT(B29,6)))*(ft_equipes_acs!$B:$B=C29), 0)), "")</f>
        <v/>
      </c>
      <c r="H29" cm="1">
        <f t="array" aca="1" ref="H29" ca="1">IFERROR(INDEX(ci_leitos_internacao!$C:$C, MATCH(1, (VALUE(LEFT(ci_leitos_internacao!$A:$A,6))=VALUE(LEFT(B29,6)))*(ci_leitos_internacao!$B:$B=C29), 0)), "")</f>
        <v>1290</v>
      </c>
      <c r="I29" cm="1">
        <f t="array" aca="1" ref="I29" ca="1">IFERROR(INDEX(ci_hospitais_internacao!$C:$C, MATCH(1, (VALUE(LEFT(ci_hospitais_internacao!$A:$A,6))=VALUE(LEFT(B29,6)))*(ci_hospitais_internacao!$B:$B=C29), 0)), "")</f>
        <v>5</v>
      </c>
      <c r="J29" cm="1">
        <f t="array" aca="1" ref="J29" ca="1">IFERROR(INDEX(ci_pa_clinico!$C:$C, MATCH(1, (VALUE(LEFT(ci_pa_clinico!$A:$A,6))=VALUE(LEFT(B29,6)))*(ci_pa_clinico!$B:$B=C29), 0)), "")</f>
        <v>2</v>
      </c>
      <c r="K29" t="str" cm="1">
        <f t="array" aca="1" ref="K29" ca="1">IFERROR(INDEX(aps_equipes_esf!$C:$C, MATCH(1, (VALUE(LEFT(aps_equipes_esf!$A:$A,6))=VALUE(LEFT(B29,6)))*(aps_equipes_esf!$B:$B=C29), 0)), "")</f>
        <v>-</v>
      </c>
      <c r="L29" cm="1">
        <f t="array" aca="1" ref="L29" ca="1">IFERROR(INDEX(casos!$C:$C, MATCH(1, (VALUE(LEFT(casos!$A:$A,6))=VALUE(LEFT(B29,6)))*(casos!$B:$B=C29), 0)), "")</f>
        <v>374</v>
      </c>
      <c r="M29" cm="1">
        <f t="array" ref="M29">IFERROR(INDEX(srag!$D:$D, MATCH(1, (VALUE(LEFT(srag!$A:$A,6))=VALUE(LEFT(B29,6)))*(srag!$C:$C=C29), 0)), "")</f>
        <v>1531</v>
      </c>
      <c r="N29" cm="1">
        <f t="array" ref="N29">IFERROR(INDEX(fesp!$E:$E, MATCH(1, (VALUE(LEFT(fesp!$A:$A,6))=VALUE(LEFT(B29,6)))*(fesp!$C:$C=C29), 0)), "")</f>
        <v>366</v>
      </c>
      <c r="O29" cm="1">
        <f t="array" ref="O29">IFERROR(INDEX(fesp!$F:$F, MATCH(1, (VALUE(LEFT(fesp!$A:$A,6))=VALUE(LEFT(B29,6)))*(fesp!$C:$C=C29), 0)), "")</f>
        <v>1283</v>
      </c>
      <c r="P29" cm="1">
        <f t="array" ref="P29">IFERROR(INDEX(fesp!$G:$G, MATCH(1, (VALUE(LEFT(fesp!$A:$A,6))=VALUE(LEFT(B29,6)))*(fesp!$C:$C=C29), 0)), "")</f>
        <v>1752373</v>
      </c>
      <c r="Q29" cm="1">
        <f t="array" ref="Q29">IFERROR(INDEX(fesp!$H:$H, MATCH(1, (VALUE(LEFT(fesp!$A:$A,6))=VALUE(LEFT(B29,6)))*(fesp!$C:$C=C29), 0)), "")</f>
        <v>14</v>
      </c>
      <c r="R29" cm="1">
        <f t="array" ref="R29">IFERROR(INDEX(fesp!$I:$I, MATCH(1, (VALUE(LEFT(fesp!$A:$A,6))=VALUE(LEFT(B29,6)))*(fesp!$C:$C=C29), 0)), "")</f>
        <v>0</v>
      </c>
      <c r="S29" cm="1">
        <f t="array" ref="S29">IFERROR(INDEX(fesp!$J:$J, MATCH(1, (VALUE(LEFT(fesp!$A:$A,6))=VALUE(LEFT(B29,6)))*(fesp!$C:$C=C29), 0)), "")</f>
        <v>7</v>
      </c>
    </row>
    <row r="30" spans="1:19">
      <c r="A30" s="1" t="s">
        <v>99</v>
      </c>
      <c r="B30" s="3" t="s">
        <v>98</v>
      </c>
      <c r="C30" s="3">
        <v>2021</v>
      </c>
      <c r="D30" cm="1">
        <f t="array" ref="D30">IFERROR(INDEX(fesp!$D:$D, MATCH(1, (VALUE(LEFT(fesp!$A:$A,6))=VALUE(LEFT(B30,6)))*(fesp!$C:$C=C30), 0)), "")</f>
        <v>0</v>
      </c>
      <c r="E30" cm="1">
        <f t="array" aca="1" ref="E30" ca="1">IFERROR(INDEX(ft_medicos_clinicos!$C:$C, MATCH(1, (VALUE(LEFT(ft_medicos_clinicos!$A:$A,6))=VALUE(LEFT(B30,6)))*(ft_medicos_clinicos!$B:$B=C30), 0)), "")</f>
        <v>250</v>
      </c>
      <c r="F30" cm="1">
        <f t="array" aca="1" ref="F30" ca="1">IFERROR(INDEX(ft_enfermeiros!$C:$C, MATCH(1, (VALUE(LEFT(ft_enfermeiros!$A:$A,6))=VALUE(LEFT(B30,6)))*(ft_enfermeiros!$B:$B=C30), 0)), "")</f>
        <v>800</v>
      </c>
      <c r="G30" t="str" cm="1">
        <f t="array" aca="1" ref="G30" ca="1">IFERROR(INDEX(ft_equipes_acs!$C:$C, MATCH(1, (VALUE(LEFT(ft_equipes_acs!$A:$A,6))=VALUE(LEFT(B30,6)))*(ft_equipes_acs!$B:$B=C30), 0)), "")</f>
        <v/>
      </c>
      <c r="H30" cm="1">
        <f t="array" aca="1" ref="H30" ca="1">IFERROR(INDEX(ci_leitos_internacao!$C:$C, MATCH(1, (VALUE(LEFT(ci_leitos_internacao!$A:$A,6))=VALUE(LEFT(B30,6)))*(ci_leitos_internacao!$B:$B=C30), 0)), "")</f>
        <v>1095</v>
      </c>
      <c r="I30" cm="1">
        <f t="array" aca="1" ref="I30" ca="1">IFERROR(INDEX(ci_hospitais_internacao!$C:$C, MATCH(1, (VALUE(LEFT(ci_hospitais_internacao!$A:$A,6))=VALUE(LEFT(B30,6)))*(ci_hospitais_internacao!$B:$B=C30), 0)), "")</f>
        <v>5</v>
      </c>
      <c r="J30" cm="1">
        <f t="array" aca="1" ref="J30" ca="1">IFERROR(INDEX(ci_pa_clinico!$C:$C, MATCH(1, (VALUE(LEFT(ci_pa_clinico!$A:$A,6))=VALUE(LEFT(B30,6)))*(ci_pa_clinico!$B:$B=C30), 0)), "")</f>
        <v>2</v>
      </c>
      <c r="K30" t="str" cm="1">
        <f t="array" aca="1" ref="K30" ca="1">IFERROR(INDEX(aps_equipes_esf!$C:$C, MATCH(1, (VALUE(LEFT(aps_equipes_esf!$A:$A,6))=VALUE(LEFT(B30,6)))*(aps_equipes_esf!$B:$B=C30), 0)), "")</f>
        <v>-</v>
      </c>
      <c r="L30" cm="1">
        <f t="array" aca="1" ref="L30" ca="1">IFERROR(INDEX(casos!$C:$C, MATCH(1, (VALUE(LEFT(casos!$A:$A,6))=VALUE(LEFT(B30,6)))*(casos!$B:$B=C30), 0)), "")</f>
        <v>41</v>
      </c>
      <c r="M30" cm="1">
        <f t="array" ref="M30">IFERROR(INDEX(srag!$D:$D, MATCH(1, (VALUE(LEFT(srag!$A:$A,6))=VALUE(LEFT(B30,6)))*(srag!$C:$C=C30), 0)), "")</f>
        <v>2945</v>
      </c>
      <c r="N30" cm="1">
        <f t="array" ref="N30">IFERROR(INDEX(fesp!$E:$E, MATCH(1, (VALUE(LEFT(fesp!$A:$A,6))=VALUE(LEFT(B30,6)))*(fesp!$C:$C=C30), 0)), "")</f>
        <v>413</v>
      </c>
      <c r="O30" cm="1">
        <f t="array" ref="O30">IFERROR(INDEX(fesp!$F:$F, MATCH(1, (VALUE(LEFT(fesp!$A:$A,6))=VALUE(LEFT(B30,6)))*(fesp!$C:$C=C30), 0)), "")</f>
        <v>2021</v>
      </c>
      <c r="P30" cm="1">
        <f t="array" ref="P30">IFERROR(INDEX(fesp!$G:$G, MATCH(1, (VALUE(LEFT(fesp!$A:$A,6))=VALUE(LEFT(B30,6)))*(fesp!$C:$C=C30), 0)), "")</f>
        <v>2092242</v>
      </c>
      <c r="Q30" cm="1">
        <f t="array" ref="Q30">IFERROR(INDEX(fesp!$H:$H, MATCH(1, (VALUE(LEFT(fesp!$A:$A,6))=VALUE(LEFT(B30,6)))*(fesp!$C:$C=C30), 0)), "")</f>
        <v>32</v>
      </c>
      <c r="R30" cm="1">
        <f t="array" ref="R30">IFERROR(INDEX(fesp!$I:$I, MATCH(1, (VALUE(LEFT(fesp!$A:$A,6))=VALUE(LEFT(B30,6)))*(fesp!$C:$C=C30), 0)), "")</f>
        <v>4</v>
      </c>
      <c r="S30" cm="1">
        <f t="array" ref="S30">IFERROR(INDEX(fesp!$J:$J, MATCH(1, (VALUE(LEFT(fesp!$A:$A,6))=VALUE(LEFT(B30,6)))*(fesp!$C:$C=C30), 0)), "")</f>
        <v>4</v>
      </c>
    </row>
    <row r="31" spans="1:19">
      <c r="A31" s="1" t="s">
        <v>99</v>
      </c>
      <c r="B31" s="3" t="s">
        <v>98</v>
      </c>
      <c r="C31" s="3">
        <v>2022</v>
      </c>
      <c r="D31" cm="1">
        <f t="array" ref="D31">IFERROR(INDEX(fesp!$D:$D, MATCH(1, (VALUE(LEFT(fesp!$A:$A,6))=VALUE(LEFT(B31,6)))*(fesp!$C:$C=C31), 0)), "")</f>
        <v>413486</v>
      </c>
      <c r="E31" cm="1">
        <f t="array" aca="1" ref="E31" ca="1">IFERROR(INDEX(ft_medicos_clinicos!$C:$C, MATCH(1, (VALUE(LEFT(ft_medicos_clinicos!$A:$A,6))=VALUE(LEFT(B31,6)))*(ft_medicos_clinicos!$B:$B=C31), 0)), "")</f>
        <v>286</v>
      </c>
      <c r="F31" cm="1">
        <f t="array" aca="1" ref="F31" ca="1">IFERROR(INDEX(ft_enfermeiros!$C:$C, MATCH(1, (VALUE(LEFT(ft_enfermeiros!$A:$A,6))=VALUE(LEFT(B31,6)))*(ft_enfermeiros!$B:$B=C31), 0)), "")</f>
        <v>918</v>
      </c>
      <c r="G31" t="str" cm="1">
        <f t="array" aca="1" ref="G31" ca="1">IFERROR(INDEX(ft_equipes_acs!$C:$C, MATCH(1, (VALUE(LEFT(ft_equipes_acs!$A:$A,6))=VALUE(LEFT(B31,6)))*(ft_equipes_acs!$B:$B=C31), 0)), "")</f>
        <v/>
      </c>
      <c r="H31" cm="1">
        <f t="array" aca="1" ref="H31" ca="1">IFERROR(INDEX(ci_leitos_internacao!$C:$C, MATCH(1, (VALUE(LEFT(ci_leitos_internacao!$A:$A,6))=VALUE(LEFT(B31,6)))*(ci_leitos_internacao!$B:$B=C31), 0)), "")</f>
        <v>1101</v>
      </c>
      <c r="I31" cm="1">
        <f t="array" aca="1" ref="I31" ca="1">IFERROR(INDEX(ci_hospitais_internacao!$C:$C, MATCH(1, (VALUE(LEFT(ci_hospitais_internacao!$A:$A,6))=VALUE(LEFT(B31,6)))*(ci_hospitais_internacao!$B:$B=C31), 0)), "")</f>
        <v>4</v>
      </c>
      <c r="J31" cm="1">
        <f t="array" aca="1" ref="J31" ca="1">IFERROR(INDEX(ci_pa_clinico!$C:$C, MATCH(1, (VALUE(LEFT(ci_pa_clinico!$A:$A,6))=VALUE(LEFT(B31,6)))*(ci_pa_clinico!$B:$B=C31), 0)), "")</f>
        <v>2</v>
      </c>
      <c r="K31" t="str" cm="1">
        <f t="array" aca="1" ref="K31" ca="1">IFERROR(INDEX(aps_equipes_esf!$C:$C, MATCH(1, (VALUE(LEFT(aps_equipes_esf!$A:$A,6))=VALUE(LEFT(B31,6)))*(aps_equipes_esf!$B:$B=C31), 0)), "")</f>
        <v>-</v>
      </c>
      <c r="L31" cm="1">
        <f t="array" aca="1" ref="L31" ca="1">IFERROR(INDEX(casos!$C:$C, MATCH(1, (VALUE(LEFT(casos!$A:$A,6))=VALUE(LEFT(B31,6)))*(casos!$B:$B=C31), 0)), "")</f>
        <v>42</v>
      </c>
      <c r="M31" cm="1">
        <f t="array" ref="M31">IFERROR(INDEX(srag!$D:$D, MATCH(1, (VALUE(LEFT(srag!$A:$A,6))=VALUE(LEFT(B31,6)))*(srag!$C:$C=C31), 0)), "")</f>
        <v>441</v>
      </c>
      <c r="N31" cm="1">
        <f t="array" ref="N31">IFERROR(INDEX(fesp!$E:$E, MATCH(1, (VALUE(LEFT(fesp!$A:$A,6))=VALUE(LEFT(B31,6)))*(fesp!$C:$C=C31), 0)), "")</f>
        <v>453</v>
      </c>
      <c r="O31" cm="1">
        <f t="array" ref="O31">IFERROR(INDEX(fesp!$F:$F, MATCH(1, (VALUE(LEFT(fesp!$A:$A,6))=VALUE(LEFT(B31,6)))*(fesp!$C:$C=C31), 0)), "")</f>
        <v>6196</v>
      </c>
      <c r="P31" cm="1">
        <f t="array" ref="P31">IFERROR(INDEX(fesp!$G:$G, MATCH(1, (VALUE(LEFT(fesp!$A:$A,6))=VALUE(LEFT(B31,6)))*(fesp!$C:$C=C31), 0)), "")</f>
        <v>2201906</v>
      </c>
      <c r="Q31" cm="1">
        <f t="array" ref="Q31">IFERROR(INDEX(fesp!$H:$H, MATCH(1, (VALUE(LEFT(fesp!$A:$A,6))=VALUE(LEFT(B31,6)))*(fesp!$C:$C=C31), 0)), "")</f>
        <v>67</v>
      </c>
      <c r="R31" cm="1">
        <f t="array" ref="R31">IFERROR(INDEX(fesp!$I:$I, MATCH(1, (VALUE(LEFT(fesp!$A:$A,6))=VALUE(LEFT(B31,6)))*(fesp!$C:$C=C31), 0)), "")</f>
        <v>0</v>
      </c>
      <c r="S31" cm="1">
        <f t="array" ref="S31">IFERROR(INDEX(fesp!$J:$J, MATCH(1, (VALUE(LEFT(fesp!$A:$A,6))=VALUE(LEFT(B31,6)))*(fesp!$C:$C=C31), 0)), "")</f>
        <v>36</v>
      </c>
    </row>
    <row r="32" spans="1:19">
      <c r="A32" s="1" t="s">
        <v>99</v>
      </c>
      <c r="B32" s="3" t="s">
        <v>98</v>
      </c>
      <c r="C32" s="3">
        <v>2023</v>
      </c>
      <c r="D32" cm="1">
        <f t="array" ref="D32">IFERROR(INDEX(fesp!$D:$D, MATCH(1, (VALUE(LEFT(fesp!$A:$A,6))=VALUE(LEFT(B32,6)))*(fesp!$C:$C=C32), 0)), "")</f>
        <v>0</v>
      </c>
      <c r="E32" cm="1">
        <f t="array" aca="1" ref="E32" ca="1">IFERROR(INDEX(ft_medicos_clinicos!$C:$C, MATCH(1, (VALUE(LEFT(ft_medicos_clinicos!$A:$A,6))=VALUE(LEFT(B32,6)))*(ft_medicos_clinicos!$B:$B=C32), 0)), "")</f>
        <v>354</v>
      </c>
      <c r="F32" cm="1">
        <f t="array" aca="1" ref="F32" ca="1">IFERROR(INDEX(ft_enfermeiros!$C:$C, MATCH(1, (VALUE(LEFT(ft_enfermeiros!$A:$A,6))=VALUE(LEFT(B32,6)))*(ft_enfermeiros!$B:$B=C32), 0)), "")</f>
        <v>923</v>
      </c>
      <c r="G32" t="str" cm="1">
        <f t="array" aca="1" ref="G32" ca="1">IFERROR(INDEX(ft_equipes_acs!$C:$C, MATCH(1, (VALUE(LEFT(ft_equipes_acs!$A:$A,6))=VALUE(LEFT(B32,6)))*(ft_equipes_acs!$B:$B=C32), 0)), "")</f>
        <v/>
      </c>
      <c r="H32" cm="1">
        <f t="array" aca="1" ref="H32" ca="1">IFERROR(INDEX(ci_leitos_internacao!$C:$C, MATCH(1, (VALUE(LEFT(ci_leitos_internacao!$A:$A,6))=VALUE(LEFT(B32,6)))*(ci_leitos_internacao!$B:$B=C32), 0)), "")</f>
        <v>1181</v>
      </c>
      <c r="I32" cm="1">
        <f t="array" aca="1" ref="I32" ca="1">IFERROR(INDEX(ci_hospitais_internacao!$C:$C, MATCH(1, (VALUE(LEFT(ci_hospitais_internacao!$A:$A,6))=VALUE(LEFT(B32,6)))*(ci_hospitais_internacao!$B:$B=C32), 0)), "")</f>
        <v>4</v>
      </c>
      <c r="J32" cm="1">
        <f t="array" aca="1" ref="J32" ca="1">IFERROR(INDEX(ci_pa_clinico!$C:$C, MATCH(1, (VALUE(LEFT(ci_pa_clinico!$A:$A,6))=VALUE(LEFT(B32,6)))*(ci_pa_clinico!$B:$B=C32), 0)), "")</f>
        <v>2</v>
      </c>
      <c r="K32" t="str" cm="1">
        <f t="array" aca="1" ref="K32" ca="1">IFERROR(INDEX(aps_equipes_esf!$C:$C, MATCH(1, (VALUE(LEFT(aps_equipes_esf!$A:$A,6))=VALUE(LEFT(B32,6)))*(aps_equipes_esf!$B:$B=C32), 0)), "")</f>
        <v>-</v>
      </c>
      <c r="L32" cm="1">
        <f t="array" aca="1" ref="L32" ca="1">IFERROR(INDEX(casos!$C:$C, MATCH(1, (VALUE(LEFT(casos!$A:$A,6))=VALUE(LEFT(B32,6)))*(casos!$B:$B=C32), 0)), "")</f>
        <v>63</v>
      </c>
      <c r="M32" cm="1">
        <f t="array" ref="M32">IFERROR(INDEX(srag!$D:$D, MATCH(1, (VALUE(LEFT(srag!$A:$A,6))=VALUE(LEFT(B32,6)))*(srag!$C:$C=C32), 0)), "")</f>
        <v>355</v>
      </c>
      <c r="N32" cm="1">
        <f t="array" ref="N32">IFERROR(INDEX(fesp!$E:$E, MATCH(1, (VALUE(LEFT(fesp!$A:$A,6))=VALUE(LEFT(B32,6)))*(fesp!$C:$C=C32), 0)), "")</f>
        <v>553</v>
      </c>
      <c r="O32" cm="1">
        <f t="array" ref="O32">IFERROR(INDEX(fesp!$F:$F, MATCH(1, (VALUE(LEFT(fesp!$A:$A,6))=VALUE(LEFT(B32,6)))*(fesp!$C:$C=C32), 0)), "")</f>
        <v>6328</v>
      </c>
      <c r="P32" cm="1">
        <f t="array" ref="P32">IFERROR(INDEX(fesp!$G:$G, MATCH(1, (VALUE(LEFT(fesp!$A:$A,6))=VALUE(LEFT(B32,6)))*(fesp!$C:$C=C32), 0)), "")</f>
        <v>2451975</v>
      </c>
      <c r="Q32" cm="1">
        <f t="array" ref="Q32">IFERROR(INDEX(fesp!$H:$H, MATCH(1, (VALUE(LEFT(fesp!$A:$A,6))=VALUE(LEFT(B32,6)))*(fesp!$C:$C=C32), 0)), "")</f>
        <v>120</v>
      </c>
      <c r="R32" cm="1">
        <f t="array" ref="R32">IFERROR(INDEX(fesp!$I:$I, MATCH(1, (VALUE(LEFT(fesp!$A:$A,6))=VALUE(LEFT(B32,6)))*(fesp!$C:$C=C32), 0)), "")</f>
        <v>0</v>
      </c>
      <c r="S32" cm="1">
        <f t="array" ref="S32">IFERROR(INDEX(fesp!$J:$J, MATCH(1, (VALUE(LEFT(fesp!$A:$A,6))=VALUE(LEFT(B32,6)))*(fesp!$C:$C=C32), 0)), "")</f>
        <v>11</v>
      </c>
    </row>
    <row r="33" spans="1:19">
      <c r="A33" s="1" t="s">
        <v>99</v>
      </c>
      <c r="B33" s="3" t="s">
        <v>98</v>
      </c>
      <c r="C33" s="3">
        <v>2024</v>
      </c>
      <c r="D33" cm="1">
        <f t="array" ref="D33">IFERROR(INDEX(fesp!$D:$D, MATCH(1, (VALUE(LEFT(fesp!$A:$A,6))=VALUE(LEFT(B33,6)))*(fesp!$C:$C=C33), 0)), "")</f>
        <v>0</v>
      </c>
      <c r="E33" cm="1">
        <f t="array" aca="1" ref="E33" ca="1">IFERROR(INDEX(ft_medicos_clinicos!$C:$C, MATCH(1, (VALUE(LEFT(ft_medicos_clinicos!$A:$A,6))=VALUE(LEFT(B33,6)))*(ft_medicos_clinicos!$B:$B=C33), 0)), "")</f>
        <v>426</v>
      </c>
      <c r="F33" cm="1">
        <f t="array" aca="1" ref="F33" ca="1">IFERROR(INDEX(ft_enfermeiros!$C:$C, MATCH(1, (VALUE(LEFT(ft_enfermeiros!$A:$A,6))=VALUE(LEFT(B33,6)))*(ft_enfermeiros!$B:$B=C33), 0)), "")</f>
        <v>908</v>
      </c>
      <c r="G33" t="str" cm="1">
        <f t="array" aca="1" ref="G33" ca="1">IFERROR(INDEX(ft_equipes_acs!$C:$C, MATCH(1, (VALUE(LEFT(ft_equipes_acs!$A:$A,6))=VALUE(LEFT(B33,6)))*(ft_equipes_acs!$B:$B=C33), 0)), "")</f>
        <v/>
      </c>
      <c r="H33" cm="1">
        <f t="array" aca="1" ref="H33" ca="1">IFERROR(INDEX(ci_leitos_internacao!$C:$C, MATCH(1, (VALUE(LEFT(ci_leitos_internacao!$A:$A,6))=VALUE(LEFT(B33,6)))*(ci_leitos_internacao!$B:$B=C33), 0)), "")</f>
        <v>1199</v>
      </c>
      <c r="I33" cm="1">
        <f t="array" aca="1" ref="I33" ca="1">IFERROR(INDEX(ci_hospitais_internacao!$C:$C, MATCH(1, (VALUE(LEFT(ci_hospitais_internacao!$A:$A,6))=VALUE(LEFT(B33,6)))*(ci_hospitais_internacao!$B:$B=C33), 0)), "")</f>
        <v>4</v>
      </c>
      <c r="J33" cm="1">
        <f t="array" aca="1" ref="J33" ca="1">IFERROR(INDEX(ci_pa_clinico!$C:$C, MATCH(1, (VALUE(LEFT(ci_pa_clinico!$A:$A,6))=VALUE(LEFT(B33,6)))*(ci_pa_clinico!$B:$B=C33), 0)), "")</f>
        <v>2</v>
      </c>
      <c r="K33" t="str" cm="1">
        <f t="array" aca="1" ref="K33" ca="1">IFERROR(INDEX(aps_equipes_esf!$C:$C, MATCH(1, (VALUE(LEFT(aps_equipes_esf!$A:$A,6))=VALUE(LEFT(B33,6)))*(aps_equipes_esf!$B:$B=C33), 0)), "")</f>
        <v>-</v>
      </c>
      <c r="L33" cm="1">
        <f t="array" aca="1" ref="L33" ca="1">IFERROR(INDEX(casos!$C:$C, MATCH(1, (VALUE(LEFT(casos!$A:$A,6))=VALUE(LEFT(B33,6)))*(casos!$B:$B=C33), 0)), "")</f>
        <v>267</v>
      </c>
      <c r="M33" cm="1">
        <f t="array" ref="M33">IFERROR(INDEX(srag!$D:$D, MATCH(1, (VALUE(LEFT(srag!$A:$A,6))=VALUE(LEFT(B33,6)))*(srag!$C:$C=C33), 0)), "")</f>
        <v>633</v>
      </c>
      <c r="N33" cm="1">
        <f t="array" ref="N33">IFERROR(INDEX(fesp!$E:$E, MATCH(1, (VALUE(LEFT(fesp!$A:$A,6))=VALUE(LEFT(B33,6)))*(fesp!$C:$C=C33), 0)), "")</f>
        <v>272</v>
      </c>
      <c r="O33" cm="1">
        <f t="array" ref="O33">IFERROR(INDEX(fesp!$F:$F, MATCH(1, (VALUE(LEFT(fesp!$A:$A,6))=VALUE(LEFT(B33,6)))*(fesp!$C:$C=C33), 0)), "")</f>
        <v>7838</v>
      </c>
      <c r="P33" cm="1">
        <f t="array" ref="P33">IFERROR(INDEX(fesp!$G:$G, MATCH(1, (VALUE(LEFT(fesp!$A:$A,6))=VALUE(LEFT(B33,6)))*(fesp!$C:$C=C33), 0)), "")</f>
        <v>2937157</v>
      </c>
      <c r="Q33" cm="1">
        <f t="array" ref="Q33">IFERROR(INDEX(fesp!$H:$H, MATCH(1, (VALUE(LEFT(fesp!$A:$A,6))=VALUE(LEFT(B33,6)))*(fesp!$C:$C=C33), 0)), "")</f>
        <v>48</v>
      </c>
      <c r="R33" cm="1">
        <f t="array" ref="R33">IFERROR(INDEX(fesp!$I:$I, MATCH(1, (VALUE(LEFT(fesp!$A:$A,6))=VALUE(LEFT(B33,6)))*(fesp!$C:$C=C33), 0)), "")</f>
        <v>0</v>
      </c>
      <c r="S33" cm="1">
        <f t="array" ref="S33">IFERROR(INDEX(fesp!$J:$J, MATCH(1, (VALUE(LEFT(fesp!$A:$A,6))=VALUE(LEFT(B33,6)))*(fesp!$C:$C=C33), 0)), "")</f>
        <v>138</v>
      </c>
    </row>
    <row r="34" spans="1:19">
      <c r="A34" s="1" t="s">
        <v>99</v>
      </c>
      <c r="B34" s="3">
        <v>1400100</v>
      </c>
      <c r="C34" s="3">
        <v>2025</v>
      </c>
      <c r="D34" cm="1">
        <f t="array" ref="D34">IFERROR(INDEX(fesp!$D:$D, MATCH(1, (VALUE(LEFT(fesp!$A:$A,6))=VALUE(LEFT(B34,6)))*(fesp!$C:$C=C34), 0)), "")</f>
        <v>0</v>
      </c>
      <c r="E34" cm="1">
        <f t="array" aca="1" ref="E34" ca="1">IFERROR(INDEX(ft_medicos_clinicos!$C:$C, MATCH(1, (VALUE(LEFT(ft_medicos_clinicos!$A:$A,6))=VALUE(LEFT(B34,6)))*(ft_medicos_clinicos!$B:$B=C34), 0)), "")</f>
        <v>473</v>
      </c>
      <c r="F34" cm="1">
        <f t="array" aca="1" ref="F34" ca="1">IFERROR(INDEX(ft_enfermeiros!$C:$C, MATCH(1, (VALUE(LEFT(ft_enfermeiros!$A:$A,6))=VALUE(LEFT(B34,6)))*(ft_enfermeiros!$B:$B=C34), 0)), "")</f>
        <v>935</v>
      </c>
      <c r="G34" t="str" cm="1">
        <f t="array" aca="1" ref="G34" ca="1">IFERROR(INDEX(ft_equipes_acs!$C:$C, MATCH(1, (VALUE(LEFT(ft_equipes_acs!$A:$A,6))=VALUE(LEFT(B34,6)))*(ft_equipes_acs!$B:$B=C34), 0)), "")</f>
        <v/>
      </c>
      <c r="H34" cm="1">
        <f t="array" aca="1" ref="H34" ca="1">IFERROR(INDEX(ci_leitos_internacao!$C:$C, MATCH(1, (VALUE(LEFT(ci_leitos_internacao!$A:$A,6))=VALUE(LEFT(B34,6)))*(ci_leitos_internacao!$B:$B=C34), 0)), "")</f>
        <v>1275</v>
      </c>
      <c r="I34" cm="1">
        <f t="array" aca="1" ref="I34" ca="1">IFERROR(INDEX(ci_hospitais_internacao!$C:$C, MATCH(1, (VALUE(LEFT(ci_hospitais_internacao!$A:$A,6))=VALUE(LEFT(B34,6)))*(ci_hospitais_internacao!$B:$B=C34), 0)), "")</f>
        <v>4</v>
      </c>
      <c r="J34" cm="1">
        <f t="array" aca="1" ref="J34" ca="1">IFERROR(INDEX(ci_pa_clinico!$C:$C, MATCH(1, (VALUE(LEFT(ci_pa_clinico!$A:$A,6))=VALUE(LEFT(B34,6)))*(ci_pa_clinico!$B:$B=C34), 0)), "")</f>
        <v>2</v>
      </c>
      <c r="K34" t="str" cm="1">
        <f t="array" aca="1" ref="K34" ca="1">IFERROR(INDEX(aps_equipes_esf!$C:$C, MATCH(1, (VALUE(LEFT(aps_equipes_esf!$A:$A,6))=VALUE(LEFT(B34,6)))*(aps_equipes_esf!$B:$B=C34), 0)), "")</f>
        <v>-</v>
      </c>
      <c r="L34" cm="1">
        <f t="array" aca="1" ref="L34" ca="1">IFERROR(INDEX(casos!$C:$C, MATCH(1, (VALUE(LEFT(casos!$A:$A,6))=VALUE(LEFT(B34,6)))*(casos!$B:$B=C34), 0)), "")</f>
        <v>247</v>
      </c>
      <c r="M34" cm="1">
        <f t="array" ref="M34">IFERROR(INDEX(srag!$D:$D, MATCH(1, (VALUE(LEFT(srag!$A:$A,6))=VALUE(LEFT(B34,6)))*(srag!$C:$C=C34), 0)), "")</f>
        <v>1137</v>
      </c>
      <c r="N34" cm="1">
        <f t="array" ref="N34">IFERROR(INDEX(fesp!$E:$E, MATCH(1, (VALUE(LEFT(fesp!$A:$A,6))=VALUE(LEFT(B34,6)))*(fesp!$C:$C=C34), 0)), "")</f>
        <v>128</v>
      </c>
      <c r="O34" cm="1">
        <f t="array" ref="O34">IFERROR(INDEX(fesp!$F:$F, MATCH(1, (VALUE(LEFT(fesp!$A:$A,6))=VALUE(LEFT(B34,6)))*(fesp!$C:$C=C34), 0)), "")</f>
        <v>4923</v>
      </c>
      <c r="P34" cm="1">
        <f t="array" ref="P34">IFERROR(INDEX(fesp!$G:$G, MATCH(1, (VALUE(LEFT(fesp!$A:$A,6))=VALUE(LEFT(B34,6)))*(fesp!$C:$C=C34), 0)), "")</f>
        <v>2291765</v>
      </c>
      <c r="Q34" cm="1">
        <f t="array" ref="Q34">IFERROR(INDEX(fesp!$H:$H, MATCH(1, (VALUE(LEFT(fesp!$A:$A,6))=VALUE(LEFT(B34,6)))*(fesp!$C:$C=C34), 0)), "")</f>
        <v>31</v>
      </c>
      <c r="R34" cm="1">
        <f t="array" ref="R34">IFERROR(INDEX(fesp!$I:$I, MATCH(1, (VALUE(LEFT(fesp!$A:$A,6))=VALUE(LEFT(B34,6)))*(fesp!$C:$C=C34), 0)), "")</f>
        <v>0</v>
      </c>
      <c r="S34" cm="1">
        <f t="array" ref="S34">IFERROR(INDEX(fesp!$J:$J, MATCH(1, (VALUE(LEFT(fesp!$A:$A,6))=VALUE(LEFT(B34,6)))*(fesp!$C:$C=C34), 0)), "")</f>
        <v>333</v>
      </c>
    </row>
    <row r="35" spans="1:19">
      <c r="A35" s="1" t="s">
        <v>91</v>
      </c>
      <c r="B35" s="3">
        <v>1500800</v>
      </c>
      <c r="C35" s="3">
        <v>2015</v>
      </c>
      <c r="D35" cm="1">
        <f t="array" ref="D35">IFERROR(INDEX(fesp!$D:$D, MATCH(1, (VALUE(LEFT(fesp!$A:$A,6))=VALUE(LEFT(B35,6)))*(fesp!$C:$C=C35), 0)), "")</f>
        <v>505404</v>
      </c>
      <c r="E35" cm="1">
        <f t="array" aca="1" ref="E35" ca="1">IFERROR(INDEX(ft_medicos_clinicos!$C:$C, MATCH(1, (VALUE(LEFT(ft_medicos_clinicos!$A:$A,6))=VALUE(LEFT(B35,6)))*(ft_medicos_clinicos!$B:$B=C35), 0)), "")</f>
        <v>143</v>
      </c>
      <c r="F35" cm="1">
        <f t="array" aca="1" ref="F35" ca="1">IFERROR(INDEX(ft_enfermeiros!$C:$C, MATCH(1, (VALUE(LEFT(ft_enfermeiros!$A:$A,6))=VALUE(LEFT(B35,6)))*(ft_enfermeiros!$B:$B=C35), 0)), "")</f>
        <v>249</v>
      </c>
      <c r="G35" cm="1">
        <f t="array" aca="1" ref="G35" ca="1">IFERROR(INDEX(ft_equipes_acs!$C:$C, MATCH(1, (VALUE(LEFT(ft_equipes_acs!$A:$A,6))=VALUE(LEFT(B35,6)))*(ft_equipes_acs!$B:$B=C35), 0)), "")</f>
        <v>14</v>
      </c>
      <c r="H35" cm="1">
        <f t="array" aca="1" ref="H35" ca="1">IFERROR(INDEX(ci_leitos_internacao!$C:$C, MATCH(1, (VALUE(LEFT(ci_leitos_internacao!$A:$A,6))=VALUE(LEFT(B35,6)))*(ci_leitos_internacao!$B:$B=C35), 0)), "")</f>
        <v>994</v>
      </c>
      <c r="I35" cm="1">
        <f t="array" aca="1" ref="I35" ca="1">IFERROR(INDEX(ci_hospitais_internacao!$C:$C, MATCH(1, (VALUE(LEFT(ci_hospitais_internacao!$A:$A,6))=VALUE(LEFT(B35,6)))*(ci_hospitais_internacao!$B:$B=C35), 0)), "")</f>
        <v>5</v>
      </c>
      <c r="J35" t="str" cm="1">
        <f t="array" aca="1" ref="J35" ca="1">IFERROR(INDEX(ci_pa_clinico!$C:$C, MATCH(1, (VALUE(LEFT(ci_pa_clinico!$A:$A,6))=VALUE(LEFT(B35,6)))*(ci_pa_clinico!$B:$B=C35), 0)), "")</f>
        <v>-</v>
      </c>
      <c r="K35" cm="1">
        <f t="array" aca="1" ref="K35" ca="1">IFERROR(INDEX(aps_equipes_esf!$C:$C, MATCH(1, (VALUE(LEFT(aps_equipes_esf!$A:$A,6))=VALUE(LEFT(B35,6)))*(aps_equipes_esf!$B:$B=C35), 0)), "")</f>
        <v>83</v>
      </c>
      <c r="L35" cm="1">
        <f t="array" aca="1" ref="L35" ca="1">IFERROR(INDEX(casos!$C:$C, MATCH(1, (VALUE(LEFT(casos!$A:$A,6))=VALUE(LEFT(B35,6)))*(casos!$B:$B=C35), 0)), "")</f>
        <v>405</v>
      </c>
      <c r="M35" cm="1">
        <f t="array" ref="M35">IFERROR(INDEX(srag!$D:$D, MATCH(1, (VALUE(LEFT(srag!$A:$A,6))=VALUE(LEFT(B35,6)))*(srag!$C:$C=C35), 0)), "")</f>
        <v>18</v>
      </c>
      <c r="N35" cm="1">
        <f t="array" ref="N35">IFERROR(INDEX(fesp!$E:$E, MATCH(1, (VALUE(LEFT(fesp!$A:$A,6))=VALUE(LEFT(B35,6)))*(fesp!$C:$C=C35), 0)), "")</f>
        <v>232</v>
      </c>
      <c r="O35" cm="1">
        <f t="array" ref="O35">IFERROR(INDEX(fesp!$F:$F, MATCH(1, (VALUE(LEFT(fesp!$A:$A,6))=VALUE(LEFT(B35,6)))*(fesp!$C:$C=C35), 0)), "")</f>
        <v>2304</v>
      </c>
      <c r="P35" cm="1">
        <f t="array" ref="P35">IFERROR(INDEX(fesp!$G:$G, MATCH(1, (VALUE(LEFT(fesp!$A:$A,6))=VALUE(LEFT(B35,6)))*(fesp!$C:$C=C35), 0)), "")</f>
        <v>2000934</v>
      </c>
      <c r="Q35" cm="1">
        <f t="array" ref="Q35">IFERROR(INDEX(fesp!$H:$H, MATCH(1, (VALUE(LEFT(fesp!$A:$A,6))=VALUE(LEFT(B35,6)))*(fesp!$C:$C=C35), 0)), "")</f>
        <v>188</v>
      </c>
      <c r="R35" cm="1">
        <f t="array" ref="R35">IFERROR(INDEX(fesp!$I:$I, MATCH(1, (VALUE(LEFT(fesp!$A:$A,6))=VALUE(LEFT(B35,6)))*(fesp!$C:$C=C35), 0)), "")</f>
        <v>57160</v>
      </c>
      <c r="S35" cm="1">
        <f t="array" ref="S35">IFERROR(INDEX(fesp!$J:$J, MATCH(1, (VALUE(LEFT(fesp!$A:$A,6))=VALUE(LEFT(B35,6)))*(fesp!$C:$C=C35), 0)), "")</f>
        <v>356665</v>
      </c>
    </row>
    <row r="36" spans="1:19">
      <c r="A36" s="1" t="s">
        <v>91</v>
      </c>
      <c r="B36" s="3">
        <v>1500800</v>
      </c>
      <c r="C36" s="3">
        <v>2016</v>
      </c>
      <c r="D36" cm="1">
        <f t="array" ref="D36">IFERROR(INDEX(fesp!$D:$D, MATCH(1, (VALUE(LEFT(fesp!$A:$A,6))=VALUE(LEFT(B36,6)))*(fesp!$C:$C=C36), 0)), "")</f>
        <v>0</v>
      </c>
      <c r="E36" cm="1">
        <f t="array" aca="1" ref="E36" ca="1">IFERROR(INDEX(ft_medicos_clinicos!$C:$C, MATCH(1, (VALUE(LEFT(ft_medicos_clinicos!$A:$A,6))=VALUE(LEFT(B36,6)))*(ft_medicos_clinicos!$B:$B=C36), 0)), "")</f>
        <v>133</v>
      </c>
      <c r="F36" cm="1">
        <f t="array" aca="1" ref="F36" ca="1">IFERROR(INDEX(ft_enfermeiros!$C:$C, MATCH(1, (VALUE(LEFT(ft_enfermeiros!$A:$A,6))=VALUE(LEFT(B36,6)))*(ft_enfermeiros!$B:$B=C36), 0)), "")</f>
        <v>268</v>
      </c>
      <c r="G36" cm="1">
        <f t="array" aca="1" ref="G36" ca="1">IFERROR(INDEX(ft_equipes_acs!$C:$C, MATCH(1, (VALUE(LEFT(ft_equipes_acs!$A:$A,6))=VALUE(LEFT(B36,6)))*(ft_equipes_acs!$B:$B=C36), 0)), "")</f>
        <v>15</v>
      </c>
      <c r="H36" cm="1">
        <f t="array" aca="1" ref="H36" ca="1">IFERROR(INDEX(ci_leitos_internacao!$C:$C, MATCH(1, (VALUE(LEFT(ci_leitos_internacao!$A:$A,6))=VALUE(LEFT(B36,6)))*(ci_leitos_internacao!$B:$B=C36), 0)), "")</f>
        <v>990</v>
      </c>
      <c r="I36" cm="1">
        <f t="array" aca="1" ref="I36" ca="1">IFERROR(INDEX(ci_hospitais_internacao!$C:$C, MATCH(1, (VALUE(LEFT(ci_hospitais_internacao!$A:$A,6))=VALUE(LEFT(B36,6)))*(ci_hospitais_internacao!$B:$B=C36), 0)), "")</f>
        <v>5</v>
      </c>
      <c r="J36" t="str" cm="1">
        <f t="array" aca="1" ref="J36" ca="1">IFERROR(INDEX(ci_pa_clinico!$C:$C, MATCH(1, (VALUE(LEFT(ci_pa_clinico!$A:$A,6))=VALUE(LEFT(B36,6)))*(ci_pa_clinico!$B:$B=C36), 0)), "")</f>
        <v>-</v>
      </c>
      <c r="K36" cm="1">
        <f t="array" aca="1" ref="K36" ca="1">IFERROR(INDEX(aps_equipes_esf!$C:$C, MATCH(1, (VALUE(LEFT(aps_equipes_esf!$A:$A,6))=VALUE(LEFT(B36,6)))*(aps_equipes_esf!$B:$B=C36), 0)), "")</f>
        <v>78</v>
      </c>
      <c r="L36" cm="1">
        <f t="array" aca="1" ref="L36" ca="1">IFERROR(INDEX(casos!$C:$C, MATCH(1, (VALUE(LEFT(casos!$A:$A,6))=VALUE(LEFT(B36,6)))*(casos!$B:$B=C36), 0)), "")</f>
        <v>312</v>
      </c>
      <c r="M36" cm="1">
        <f t="array" ref="M36">IFERROR(INDEX(srag!$D:$D, MATCH(1, (VALUE(LEFT(srag!$A:$A,6))=VALUE(LEFT(B36,6)))*(srag!$C:$C=C36), 0)), "")</f>
        <v>58</v>
      </c>
      <c r="N36" cm="1">
        <f t="array" ref="N36">IFERROR(INDEX(fesp!$E:$E, MATCH(1, (VALUE(LEFT(fesp!$A:$A,6))=VALUE(LEFT(B36,6)))*(fesp!$C:$C=C36), 0)), "")</f>
        <v>283</v>
      </c>
      <c r="O36" cm="1">
        <f t="array" ref="O36">IFERROR(INDEX(fesp!$F:$F, MATCH(1, (VALUE(LEFT(fesp!$A:$A,6))=VALUE(LEFT(B36,6)))*(fesp!$C:$C=C36), 0)), "")</f>
        <v>2055</v>
      </c>
      <c r="P36" cm="1">
        <f t="array" ref="P36">IFERROR(INDEX(fesp!$G:$G, MATCH(1, (VALUE(LEFT(fesp!$A:$A,6))=VALUE(LEFT(B36,6)))*(fesp!$C:$C=C36), 0)), "")</f>
        <v>1165564</v>
      </c>
      <c r="Q36" cm="1">
        <f t="array" ref="Q36">IFERROR(INDEX(fesp!$H:$H, MATCH(1, (VALUE(LEFT(fesp!$A:$A,6))=VALUE(LEFT(B36,6)))*(fesp!$C:$C=C36), 0)), "")</f>
        <v>198</v>
      </c>
      <c r="R36" cm="1">
        <f t="array" ref="R36">IFERROR(INDEX(fesp!$I:$I, MATCH(1, (VALUE(LEFT(fesp!$A:$A,6))=VALUE(LEFT(B36,6)))*(fesp!$C:$C=C36), 0)), "")</f>
        <v>235152</v>
      </c>
      <c r="S36" cm="1">
        <f t="array" ref="S36">IFERROR(INDEX(fesp!$J:$J, MATCH(1, (VALUE(LEFT(fesp!$A:$A,6))=VALUE(LEFT(B36,6)))*(fesp!$C:$C=C36), 0)), "")</f>
        <v>373805</v>
      </c>
    </row>
    <row r="37" spans="1:19">
      <c r="A37" s="1" t="s">
        <v>91</v>
      </c>
      <c r="B37" s="3" t="s">
        <v>90</v>
      </c>
      <c r="C37" s="3">
        <v>2017</v>
      </c>
      <c r="D37" cm="1">
        <f t="array" ref="D37">IFERROR(INDEX(fesp!$D:$D, MATCH(1, (VALUE(LEFT(fesp!$A:$A,6))=VALUE(LEFT(B37,6)))*(fesp!$C:$C=C37), 0)), "")</f>
        <v>0</v>
      </c>
      <c r="E37" cm="1">
        <f t="array" aca="1" ref="E37" ca="1">IFERROR(INDEX(ft_medicos_clinicos!$C:$C, MATCH(1, (VALUE(LEFT(ft_medicos_clinicos!$A:$A,6))=VALUE(LEFT(B37,6)))*(ft_medicos_clinicos!$B:$B=C37), 0)), "")</f>
        <v>131</v>
      </c>
      <c r="F37" cm="1">
        <f t="array" aca="1" ref="F37" ca="1">IFERROR(INDEX(ft_enfermeiros!$C:$C, MATCH(1, (VALUE(LEFT(ft_enfermeiros!$A:$A,6))=VALUE(LEFT(B37,6)))*(ft_enfermeiros!$B:$B=C37), 0)), "")</f>
        <v>287</v>
      </c>
      <c r="G37" cm="1">
        <f t="array" aca="1" ref="G37" ca="1">IFERROR(INDEX(ft_equipes_acs!$C:$C, MATCH(1, (VALUE(LEFT(ft_equipes_acs!$A:$A,6))=VALUE(LEFT(B37,6)))*(ft_equipes_acs!$B:$B=C37), 0)), "")</f>
        <v>14</v>
      </c>
      <c r="H37" cm="1">
        <f t="array" aca="1" ref="H37" ca="1">IFERROR(INDEX(ci_leitos_internacao!$C:$C, MATCH(1, (VALUE(LEFT(ci_leitos_internacao!$A:$A,6))=VALUE(LEFT(B37,6)))*(ci_leitos_internacao!$B:$B=C37), 0)), "")</f>
        <v>916</v>
      </c>
      <c r="I37" cm="1">
        <f t="array" aca="1" ref="I37" ca="1">IFERROR(INDEX(ci_hospitais_internacao!$C:$C, MATCH(1, (VALUE(LEFT(ci_hospitais_internacao!$A:$A,6))=VALUE(LEFT(B37,6)))*(ci_hospitais_internacao!$B:$B=C37), 0)), "")</f>
        <v>5</v>
      </c>
      <c r="J37" t="str" cm="1">
        <f t="array" aca="1" ref="J37" ca="1">IFERROR(INDEX(ci_pa_clinico!$C:$C, MATCH(1, (VALUE(LEFT(ci_pa_clinico!$A:$A,6))=VALUE(LEFT(B37,6)))*(ci_pa_clinico!$B:$B=C37), 0)), "")</f>
        <v>-</v>
      </c>
      <c r="K37" cm="1">
        <f t="array" aca="1" ref="K37" ca="1">IFERROR(INDEX(aps_equipes_esf!$C:$C, MATCH(1, (VALUE(LEFT(aps_equipes_esf!$A:$A,6))=VALUE(LEFT(B37,6)))*(aps_equipes_esf!$B:$B=C37), 0)), "")</f>
        <v>78</v>
      </c>
      <c r="L37" cm="1">
        <f t="array" aca="1" ref="L37" ca="1">IFERROR(INDEX(casos!$C:$C, MATCH(1, (VALUE(LEFT(casos!$A:$A,6))=VALUE(LEFT(B37,6)))*(casos!$B:$B=C37), 0)), "")</f>
        <v>69</v>
      </c>
      <c r="M37" cm="1">
        <f t="array" ref="M37">IFERROR(INDEX(srag!$D:$D, MATCH(1, (VALUE(LEFT(srag!$A:$A,6))=VALUE(LEFT(B37,6)))*(srag!$C:$C=C37), 0)), "")</f>
        <v>32</v>
      </c>
      <c r="N37" cm="1">
        <f t="array" ref="N37">IFERROR(INDEX(fesp!$E:$E, MATCH(1, (VALUE(LEFT(fesp!$A:$A,6))=VALUE(LEFT(B37,6)))*(fesp!$C:$C=C37), 0)), "")</f>
        <v>400</v>
      </c>
      <c r="O37" cm="1">
        <f t="array" ref="O37">IFERROR(INDEX(fesp!$F:$F, MATCH(1, (VALUE(LEFT(fesp!$A:$A,6))=VALUE(LEFT(B37,6)))*(fesp!$C:$C=C37), 0)), "")</f>
        <v>2222</v>
      </c>
      <c r="P37" cm="1">
        <f t="array" ref="P37">IFERROR(INDEX(fesp!$G:$G, MATCH(1, (VALUE(LEFT(fesp!$A:$A,6))=VALUE(LEFT(B37,6)))*(fesp!$C:$C=C37), 0)), "")</f>
        <v>1010123</v>
      </c>
      <c r="Q37" cm="1">
        <f t="array" ref="Q37">IFERROR(INDEX(fesp!$H:$H, MATCH(1, (VALUE(LEFT(fesp!$A:$A,6))=VALUE(LEFT(B37,6)))*(fesp!$C:$C=C37), 0)), "")</f>
        <v>261</v>
      </c>
      <c r="R37" cm="1">
        <f t="array" ref="R37">IFERROR(INDEX(fesp!$I:$I, MATCH(1, (VALUE(LEFT(fesp!$A:$A,6))=VALUE(LEFT(B37,6)))*(fesp!$C:$C=C37), 0)), "")</f>
        <v>38595</v>
      </c>
      <c r="S37" cm="1">
        <f t="array" ref="S37">IFERROR(INDEX(fesp!$J:$J, MATCH(1, (VALUE(LEFT(fesp!$A:$A,6))=VALUE(LEFT(B37,6)))*(fesp!$C:$C=C37), 0)), "")</f>
        <v>175757</v>
      </c>
    </row>
    <row r="38" spans="1:19">
      <c r="A38" s="1" t="s">
        <v>91</v>
      </c>
      <c r="B38" s="3" t="s">
        <v>90</v>
      </c>
      <c r="C38" s="3">
        <v>2018</v>
      </c>
      <c r="D38" cm="1">
        <f t="array" ref="D38">IFERROR(INDEX(fesp!$D:$D, MATCH(1, (VALUE(LEFT(fesp!$A:$A,6))=VALUE(LEFT(B38,6)))*(fesp!$C:$C=C38), 0)), "")</f>
        <v>0</v>
      </c>
      <c r="E38" cm="1">
        <f t="array" aca="1" ref="E38" ca="1">IFERROR(INDEX(ft_medicos_clinicos!$C:$C, MATCH(1, (VALUE(LEFT(ft_medicos_clinicos!$A:$A,6))=VALUE(LEFT(B38,6)))*(ft_medicos_clinicos!$B:$B=C38), 0)), "")</f>
        <v>151</v>
      </c>
      <c r="F38" cm="1">
        <f t="array" aca="1" ref="F38" ca="1">IFERROR(INDEX(ft_enfermeiros!$C:$C, MATCH(1, (VALUE(LEFT(ft_enfermeiros!$A:$A,6))=VALUE(LEFT(B38,6)))*(ft_enfermeiros!$B:$B=C38), 0)), "")</f>
        <v>307</v>
      </c>
      <c r="G38" cm="1">
        <f t="array" aca="1" ref="G38" ca="1">IFERROR(INDEX(ft_equipes_acs!$C:$C, MATCH(1, (VALUE(LEFT(ft_equipes_acs!$A:$A,6))=VALUE(LEFT(B38,6)))*(ft_equipes_acs!$B:$B=C38), 0)), "")</f>
        <v>18</v>
      </c>
      <c r="H38" cm="1">
        <f t="array" aca="1" ref="H38" ca="1">IFERROR(INDEX(ci_leitos_internacao!$C:$C, MATCH(1, (VALUE(LEFT(ci_leitos_internacao!$A:$A,6))=VALUE(LEFT(B38,6)))*(ci_leitos_internacao!$B:$B=C38), 0)), "")</f>
        <v>842</v>
      </c>
      <c r="I38" cm="1">
        <f t="array" aca="1" ref="I38" ca="1">IFERROR(INDEX(ci_hospitais_internacao!$C:$C, MATCH(1, (VALUE(LEFT(ci_hospitais_internacao!$A:$A,6))=VALUE(LEFT(B38,6)))*(ci_hospitais_internacao!$B:$B=C38), 0)), "")</f>
        <v>5</v>
      </c>
      <c r="J38" t="str" cm="1">
        <f t="array" aca="1" ref="J38" ca="1">IFERROR(INDEX(ci_pa_clinico!$C:$C, MATCH(1, (VALUE(LEFT(ci_pa_clinico!$A:$A,6))=VALUE(LEFT(B38,6)))*(ci_pa_clinico!$B:$B=C38), 0)), "")</f>
        <v>-</v>
      </c>
      <c r="K38" cm="1">
        <f t="array" aca="1" ref="K38" ca="1">IFERROR(INDEX(aps_equipes_esf!$C:$C, MATCH(1, (VALUE(LEFT(aps_equipes_esf!$A:$A,6))=VALUE(LEFT(B38,6)))*(aps_equipes_esf!$B:$B=C38), 0)), "")</f>
        <v>80</v>
      </c>
      <c r="L38" cm="1">
        <f t="array" aca="1" ref="L38" ca="1">IFERROR(INDEX(casos!$C:$C, MATCH(1, (VALUE(LEFT(casos!$A:$A,6))=VALUE(LEFT(B38,6)))*(casos!$B:$B=C38), 0)), "")</f>
        <v>80</v>
      </c>
      <c r="M38" cm="1">
        <f t="array" ref="M38">IFERROR(INDEX(srag!$D:$D, MATCH(1, (VALUE(LEFT(srag!$A:$A,6))=VALUE(LEFT(B38,6)))*(srag!$C:$C=C38), 0)), "")</f>
        <v>54</v>
      </c>
      <c r="N38" cm="1">
        <f t="array" ref="N38">IFERROR(INDEX(fesp!$E:$E, MATCH(1, (VALUE(LEFT(fesp!$A:$A,6))=VALUE(LEFT(B38,6)))*(fesp!$C:$C=C38), 0)), "")</f>
        <v>478</v>
      </c>
      <c r="O38" cm="1">
        <f t="array" ref="O38">IFERROR(INDEX(fesp!$F:$F, MATCH(1, (VALUE(LEFT(fesp!$A:$A,6))=VALUE(LEFT(B38,6)))*(fesp!$C:$C=C38), 0)), "")</f>
        <v>2957</v>
      </c>
      <c r="P38" cm="1">
        <f t="array" ref="P38">IFERROR(INDEX(fesp!$G:$G, MATCH(1, (VALUE(LEFT(fesp!$A:$A,6))=VALUE(LEFT(B38,6)))*(fesp!$C:$C=C38), 0)), "")</f>
        <v>1154050</v>
      </c>
      <c r="Q38" cm="1">
        <f t="array" ref="Q38">IFERROR(INDEX(fesp!$H:$H, MATCH(1, (VALUE(LEFT(fesp!$A:$A,6))=VALUE(LEFT(B38,6)))*(fesp!$C:$C=C38), 0)), "")</f>
        <v>349</v>
      </c>
      <c r="R38" cm="1">
        <f t="array" ref="R38">IFERROR(INDEX(fesp!$I:$I, MATCH(1, (VALUE(LEFT(fesp!$A:$A,6))=VALUE(LEFT(B38,6)))*(fesp!$C:$C=C38), 0)), "")</f>
        <v>2802</v>
      </c>
      <c r="S38" cm="1">
        <f t="array" ref="S38">IFERROR(INDEX(fesp!$J:$J, MATCH(1, (VALUE(LEFT(fesp!$A:$A,6))=VALUE(LEFT(B38,6)))*(fesp!$C:$C=C38), 0)), "")</f>
        <v>24430</v>
      </c>
    </row>
    <row r="39" spans="1:19">
      <c r="A39" s="1" t="s">
        <v>91</v>
      </c>
      <c r="B39" s="3" t="s">
        <v>90</v>
      </c>
      <c r="C39" s="3">
        <v>2019</v>
      </c>
      <c r="D39" cm="1">
        <f t="array" ref="D39">IFERROR(INDEX(fesp!$D:$D, MATCH(1, (VALUE(LEFT(fesp!$A:$A,6))=VALUE(LEFT(B39,6)))*(fesp!$C:$C=C39), 0)), "")</f>
        <v>0</v>
      </c>
      <c r="E39" cm="1">
        <f t="array" aca="1" ref="E39" ca="1">IFERROR(INDEX(ft_medicos_clinicos!$C:$C, MATCH(1, (VALUE(LEFT(ft_medicos_clinicos!$A:$A,6))=VALUE(LEFT(B39,6)))*(ft_medicos_clinicos!$B:$B=C39), 0)), "")</f>
        <v>209</v>
      </c>
      <c r="F39" cm="1">
        <f t="array" aca="1" ref="F39" ca="1">IFERROR(INDEX(ft_enfermeiros!$C:$C, MATCH(1, (VALUE(LEFT(ft_enfermeiros!$A:$A,6))=VALUE(LEFT(B39,6)))*(ft_enfermeiros!$B:$B=C39), 0)), "")</f>
        <v>385</v>
      </c>
      <c r="G39" cm="1">
        <f t="array" aca="1" ref="G39" ca="1">IFERROR(INDEX(ft_equipes_acs!$C:$C, MATCH(1, (VALUE(LEFT(ft_equipes_acs!$A:$A,6))=VALUE(LEFT(B39,6)))*(ft_equipes_acs!$B:$B=C39), 0)), "")</f>
        <v>13</v>
      </c>
      <c r="H39" cm="1">
        <f t="array" aca="1" ref="H39" ca="1">IFERROR(INDEX(ci_leitos_internacao!$C:$C, MATCH(1, (VALUE(LEFT(ci_leitos_internacao!$A:$A,6))=VALUE(LEFT(B39,6)))*(ci_leitos_internacao!$B:$B=C39), 0)), "")</f>
        <v>853</v>
      </c>
      <c r="I39" cm="1">
        <f t="array" aca="1" ref="I39" ca="1">IFERROR(INDEX(ci_hospitais_internacao!$C:$C, MATCH(1, (VALUE(LEFT(ci_hospitais_internacao!$A:$A,6))=VALUE(LEFT(B39,6)))*(ci_hospitais_internacao!$B:$B=C39), 0)), "")</f>
        <v>5</v>
      </c>
      <c r="J39" t="str" cm="1">
        <f t="array" aca="1" ref="J39" ca="1">IFERROR(INDEX(ci_pa_clinico!$C:$C, MATCH(1, (VALUE(LEFT(ci_pa_clinico!$A:$A,6))=VALUE(LEFT(B39,6)))*(ci_pa_clinico!$B:$B=C39), 0)), "")</f>
        <v>-</v>
      </c>
      <c r="K39" cm="1">
        <f t="array" aca="1" ref="K39" ca="1">IFERROR(INDEX(aps_equipes_esf!$C:$C, MATCH(1, (VALUE(LEFT(aps_equipes_esf!$A:$A,6))=VALUE(LEFT(B39,6)))*(aps_equipes_esf!$B:$B=C39), 0)), "")</f>
        <v>87</v>
      </c>
      <c r="L39" cm="1">
        <f t="array" aca="1" ref="L39" ca="1">IFERROR(INDEX(casos!$C:$C, MATCH(1, (VALUE(LEFT(casos!$A:$A,6))=VALUE(LEFT(B39,6)))*(casos!$B:$B=C39), 0)), "")</f>
        <v>68</v>
      </c>
      <c r="M39" cm="1">
        <f t="array" ref="M39">IFERROR(INDEX(srag!$D:$D, MATCH(1, (VALUE(LEFT(srag!$A:$A,6))=VALUE(LEFT(B39,6)))*(srag!$C:$C=C39), 0)), "")</f>
        <v>59</v>
      </c>
      <c r="N39" cm="1">
        <f t="array" ref="N39">IFERROR(INDEX(fesp!$E:$E, MATCH(1, (VALUE(LEFT(fesp!$A:$A,6))=VALUE(LEFT(B39,6)))*(fesp!$C:$C=C39), 0)), "")</f>
        <v>658</v>
      </c>
      <c r="O39" cm="1">
        <f t="array" ref="O39">IFERROR(INDEX(fesp!$F:$F, MATCH(1, (VALUE(LEFT(fesp!$A:$A,6))=VALUE(LEFT(B39,6)))*(fesp!$C:$C=C39), 0)), "")</f>
        <v>4314</v>
      </c>
      <c r="P39" cm="1">
        <f t="array" ref="P39">IFERROR(INDEX(fesp!$G:$G, MATCH(1, (VALUE(LEFT(fesp!$A:$A,6))=VALUE(LEFT(B39,6)))*(fesp!$C:$C=C39), 0)), "")</f>
        <v>1099233</v>
      </c>
      <c r="Q39" cm="1">
        <f t="array" ref="Q39">IFERROR(INDEX(fesp!$H:$H, MATCH(1, (VALUE(LEFT(fesp!$A:$A,6))=VALUE(LEFT(B39,6)))*(fesp!$C:$C=C39), 0)), "")</f>
        <v>421</v>
      </c>
      <c r="R39" cm="1">
        <f t="array" ref="R39">IFERROR(INDEX(fesp!$I:$I, MATCH(1, (VALUE(LEFT(fesp!$A:$A,6))=VALUE(LEFT(B39,6)))*(fesp!$C:$C=C39), 0)), "")</f>
        <v>476</v>
      </c>
      <c r="S39" cm="1">
        <f t="array" ref="S39">IFERROR(INDEX(fesp!$J:$J, MATCH(1, (VALUE(LEFT(fesp!$A:$A,6))=VALUE(LEFT(B39,6)))*(fesp!$C:$C=C39), 0)), "")</f>
        <v>64404</v>
      </c>
    </row>
    <row r="40" spans="1:19">
      <c r="A40" s="1" t="s">
        <v>91</v>
      </c>
      <c r="B40" s="3" t="s">
        <v>90</v>
      </c>
      <c r="C40" s="3">
        <v>2020</v>
      </c>
      <c r="D40" cm="1">
        <f t="array" ref="D40">IFERROR(INDEX(fesp!$D:$D, MATCH(1, (VALUE(LEFT(fesp!$A:$A,6))=VALUE(LEFT(B40,6)))*(fesp!$C:$C=C40), 0)), "")</f>
        <v>0</v>
      </c>
      <c r="E40" cm="1">
        <f t="array" aca="1" ref="E40" ca="1">IFERROR(INDEX(ft_medicos_clinicos!$C:$C, MATCH(1, (VALUE(LEFT(ft_medicos_clinicos!$A:$A,6))=VALUE(LEFT(B40,6)))*(ft_medicos_clinicos!$B:$B=C40), 0)), "")</f>
        <v>248</v>
      </c>
      <c r="F40" cm="1">
        <f t="array" aca="1" ref="F40" ca="1">IFERROR(INDEX(ft_enfermeiros!$C:$C, MATCH(1, (VALUE(LEFT(ft_enfermeiros!$A:$A,6))=VALUE(LEFT(B40,6)))*(ft_enfermeiros!$B:$B=C40), 0)), "")</f>
        <v>401</v>
      </c>
      <c r="G40" t="str" cm="1">
        <f t="array" aca="1" ref="G40" ca="1">IFERROR(INDEX(ft_equipes_acs!$C:$C, MATCH(1, (VALUE(LEFT(ft_equipes_acs!$A:$A,6))=VALUE(LEFT(B40,6)))*(ft_equipes_acs!$B:$B=C40), 0)), "")</f>
        <v>-</v>
      </c>
      <c r="H40" cm="1">
        <f t="array" aca="1" ref="H40" ca="1">IFERROR(INDEX(ci_leitos_internacao!$C:$C, MATCH(1, (VALUE(LEFT(ci_leitos_internacao!$A:$A,6))=VALUE(LEFT(B40,6)))*(ci_leitos_internacao!$B:$B=C40), 0)), "")</f>
        <v>829</v>
      </c>
      <c r="I40" cm="1">
        <f t="array" aca="1" ref="I40" ca="1">IFERROR(INDEX(ci_hospitais_internacao!$C:$C, MATCH(1, (VALUE(LEFT(ci_hospitais_internacao!$A:$A,6))=VALUE(LEFT(B40,6)))*(ci_hospitais_internacao!$B:$B=C40), 0)), "")</f>
        <v>5</v>
      </c>
      <c r="J40" t="str" cm="1">
        <f t="array" aca="1" ref="J40" ca="1">IFERROR(INDEX(ci_pa_clinico!$C:$C, MATCH(1, (VALUE(LEFT(ci_pa_clinico!$A:$A,6))=VALUE(LEFT(B40,6)))*(ci_pa_clinico!$B:$B=C40), 0)), "")</f>
        <v>-</v>
      </c>
      <c r="K40" t="str" cm="1">
        <f t="array" aca="1" ref="K40" ca="1">IFERROR(INDEX(aps_equipes_esf!$C:$C, MATCH(1, (VALUE(LEFT(aps_equipes_esf!$A:$A,6))=VALUE(LEFT(B40,6)))*(aps_equipes_esf!$B:$B=C40), 0)), "")</f>
        <v>-</v>
      </c>
      <c r="L40" cm="1">
        <f t="array" aca="1" ref="L40" ca="1">IFERROR(INDEX(casos!$C:$C, MATCH(1, (VALUE(LEFT(casos!$A:$A,6))=VALUE(LEFT(B40,6)))*(casos!$B:$B=C40), 0)), "")</f>
        <v>44</v>
      </c>
      <c r="M40" cm="1">
        <f t="array" ref="M40">IFERROR(INDEX(srag!$D:$D, MATCH(1, (VALUE(LEFT(srag!$A:$A,6))=VALUE(LEFT(B40,6)))*(srag!$C:$C=C40), 0)), "")</f>
        <v>1959</v>
      </c>
      <c r="N40" cm="1">
        <f t="array" ref="N40">IFERROR(INDEX(fesp!$E:$E, MATCH(1, (VALUE(LEFT(fesp!$A:$A,6))=VALUE(LEFT(B40,6)))*(fesp!$C:$C=C40), 0)), "")</f>
        <v>522</v>
      </c>
      <c r="O40" cm="1">
        <f t="array" ref="O40">IFERROR(INDEX(fesp!$F:$F, MATCH(1, (VALUE(LEFT(fesp!$A:$A,6))=VALUE(LEFT(B40,6)))*(fesp!$C:$C=C40), 0)), "")</f>
        <v>5148</v>
      </c>
      <c r="P40" cm="1">
        <f t="array" ref="P40">IFERROR(INDEX(fesp!$G:$G, MATCH(1, (VALUE(LEFT(fesp!$A:$A,6))=VALUE(LEFT(B40,6)))*(fesp!$C:$C=C40), 0)), "")</f>
        <v>1264142</v>
      </c>
      <c r="Q40" cm="1">
        <f t="array" ref="Q40">IFERROR(INDEX(fesp!$H:$H, MATCH(1, (VALUE(LEFT(fesp!$A:$A,6))=VALUE(LEFT(B40,6)))*(fesp!$C:$C=C40), 0)), "")</f>
        <v>266</v>
      </c>
      <c r="R40" cm="1">
        <f t="array" ref="R40">IFERROR(INDEX(fesp!$I:$I, MATCH(1, (VALUE(LEFT(fesp!$A:$A,6))=VALUE(LEFT(B40,6)))*(fesp!$C:$C=C40), 0)), "")</f>
        <v>0</v>
      </c>
      <c r="S40" cm="1">
        <f t="array" ref="S40">IFERROR(INDEX(fesp!$J:$J, MATCH(1, (VALUE(LEFT(fesp!$A:$A,6))=VALUE(LEFT(B40,6)))*(fesp!$C:$C=C40), 0)), "")</f>
        <v>4610</v>
      </c>
    </row>
    <row r="41" spans="1:19">
      <c r="A41" s="1" t="s">
        <v>91</v>
      </c>
      <c r="B41" s="3" t="s">
        <v>90</v>
      </c>
      <c r="C41" s="3">
        <v>2021</v>
      </c>
      <c r="D41" cm="1">
        <f t="array" ref="D41">IFERROR(INDEX(fesp!$D:$D, MATCH(1, (VALUE(LEFT(fesp!$A:$A,6))=VALUE(LEFT(B41,6)))*(fesp!$C:$C=C41), 0)), "")</f>
        <v>0</v>
      </c>
      <c r="E41" cm="1">
        <f t="array" aca="1" ref="E41" ca="1">IFERROR(INDEX(ft_medicos_clinicos!$C:$C, MATCH(1, (VALUE(LEFT(ft_medicos_clinicos!$A:$A,6))=VALUE(LEFT(B41,6)))*(ft_medicos_clinicos!$B:$B=C41), 0)), "")</f>
        <v>277</v>
      </c>
      <c r="F41" cm="1">
        <f t="array" aca="1" ref="F41" ca="1">IFERROR(INDEX(ft_enfermeiros!$C:$C, MATCH(1, (VALUE(LEFT(ft_enfermeiros!$A:$A,6))=VALUE(LEFT(B41,6)))*(ft_enfermeiros!$B:$B=C41), 0)), "")</f>
        <v>387</v>
      </c>
      <c r="G41" t="str" cm="1">
        <f t="array" aca="1" ref="G41" ca="1">IFERROR(INDEX(ft_equipes_acs!$C:$C, MATCH(1, (VALUE(LEFT(ft_equipes_acs!$A:$A,6))=VALUE(LEFT(B41,6)))*(ft_equipes_acs!$B:$B=C41), 0)), "")</f>
        <v>-</v>
      </c>
      <c r="H41" cm="1">
        <f t="array" aca="1" ref="H41" ca="1">IFERROR(INDEX(ci_leitos_internacao!$C:$C, MATCH(1, (VALUE(LEFT(ci_leitos_internacao!$A:$A,6))=VALUE(LEFT(B41,6)))*(ci_leitos_internacao!$B:$B=C41), 0)), "")</f>
        <v>829</v>
      </c>
      <c r="I41" cm="1">
        <f t="array" aca="1" ref="I41" ca="1">IFERROR(INDEX(ci_hospitais_internacao!$C:$C, MATCH(1, (VALUE(LEFT(ci_hospitais_internacao!$A:$A,6))=VALUE(LEFT(B41,6)))*(ci_hospitais_internacao!$B:$B=C41), 0)), "")</f>
        <v>5</v>
      </c>
      <c r="J41" t="str" cm="1">
        <f t="array" aca="1" ref="J41" ca="1">IFERROR(INDEX(ci_pa_clinico!$C:$C, MATCH(1, (VALUE(LEFT(ci_pa_clinico!$A:$A,6))=VALUE(LEFT(B41,6)))*(ci_pa_clinico!$B:$B=C41), 0)), "")</f>
        <v>-</v>
      </c>
      <c r="K41" t="str" cm="1">
        <f t="array" aca="1" ref="K41" ca="1">IFERROR(INDEX(aps_equipes_esf!$C:$C, MATCH(1, (VALUE(LEFT(aps_equipes_esf!$A:$A,6))=VALUE(LEFT(B41,6)))*(aps_equipes_esf!$B:$B=C41), 0)), "")</f>
        <v>-</v>
      </c>
      <c r="L41" cm="1">
        <f t="array" aca="1" ref="L41" ca="1">IFERROR(INDEX(casos!$C:$C, MATCH(1, (VALUE(LEFT(casos!$A:$A,6))=VALUE(LEFT(B41,6)))*(casos!$B:$B=C41), 0)), "")</f>
        <v>17</v>
      </c>
      <c r="M41" cm="1">
        <f t="array" ref="M41">IFERROR(INDEX(srag!$D:$D, MATCH(1, (VALUE(LEFT(srag!$A:$A,6))=VALUE(LEFT(B41,6)))*(srag!$C:$C=C41), 0)), "")</f>
        <v>1503</v>
      </c>
      <c r="N41" cm="1">
        <f t="array" ref="N41">IFERROR(INDEX(fesp!$E:$E, MATCH(1, (VALUE(LEFT(fesp!$A:$A,6))=VALUE(LEFT(B41,6)))*(fesp!$C:$C=C41), 0)), "")</f>
        <v>53</v>
      </c>
      <c r="O41" cm="1">
        <f t="array" ref="O41">IFERROR(INDEX(fesp!$F:$F, MATCH(1, (VALUE(LEFT(fesp!$A:$A,6))=VALUE(LEFT(B41,6)))*(fesp!$C:$C=C41), 0)), "")</f>
        <v>5052</v>
      </c>
      <c r="P41" cm="1">
        <f t="array" ref="P41">IFERROR(INDEX(fesp!$G:$G, MATCH(1, (VALUE(LEFT(fesp!$A:$A,6))=VALUE(LEFT(B41,6)))*(fesp!$C:$C=C41), 0)), "")</f>
        <v>1187597</v>
      </c>
      <c r="Q41" cm="1">
        <f t="array" ref="Q41">IFERROR(INDEX(fesp!$H:$H, MATCH(1, (VALUE(LEFT(fesp!$A:$A,6))=VALUE(LEFT(B41,6)))*(fesp!$C:$C=C41), 0)), "")</f>
        <v>62</v>
      </c>
      <c r="R41" cm="1">
        <f t="array" ref="R41">IFERROR(INDEX(fesp!$I:$I, MATCH(1, (VALUE(LEFT(fesp!$A:$A,6))=VALUE(LEFT(B41,6)))*(fesp!$C:$C=C41), 0)), "")</f>
        <v>0</v>
      </c>
      <c r="S41" cm="1">
        <f t="array" ref="S41">IFERROR(INDEX(fesp!$J:$J, MATCH(1, (VALUE(LEFT(fesp!$A:$A,6))=VALUE(LEFT(B41,6)))*(fesp!$C:$C=C41), 0)), "")</f>
        <v>518</v>
      </c>
    </row>
    <row r="42" spans="1:19">
      <c r="A42" s="1" t="s">
        <v>91</v>
      </c>
      <c r="B42" s="3" t="s">
        <v>90</v>
      </c>
      <c r="C42" s="3">
        <v>2022</v>
      </c>
      <c r="D42" cm="1">
        <f t="array" ref="D42">IFERROR(INDEX(fesp!$D:$D, MATCH(1, (VALUE(LEFT(fesp!$A:$A,6))=VALUE(LEFT(B42,6)))*(fesp!$C:$C=C42), 0)), "")</f>
        <v>478778</v>
      </c>
      <c r="E42" cm="1">
        <f t="array" aca="1" ref="E42" ca="1">IFERROR(INDEX(ft_medicos_clinicos!$C:$C, MATCH(1, (VALUE(LEFT(ft_medicos_clinicos!$A:$A,6))=VALUE(LEFT(B42,6)))*(ft_medicos_clinicos!$B:$B=C42), 0)), "")</f>
        <v>287</v>
      </c>
      <c r="F42" cm="1">
        <f t="array" aca="1" ref="F42" ca="1">IFERROR(INDEX(ft_enfermeiros!$C:$C, MATCH(1, (VALUE(LEFT(ft_enfermeiros!$A:$A,6))=VALUE(LEFT(B42,6)))*(ft_enfermeiros!$B:$B=C42), 0)), "")</f>
        <v>396</v>
      </c>
      <c r="G42" t="str" cm="1">
        <f t="array" aca="1" ref="G42" ca="1">IFERROR(INDEX(ft_equipes_acs!$C:$C, MATCH(1, (VALUE(LEFT(ft_equipes_acs!$A:$A,6))=VALUE(LEFT(B42,6)))*(ft_equipes_acs!$B:$B=C42), 0)), "")</f>
        <v>-</v>
      </c>
      <c r="H42" cm="1">
        <f t="array" aca="1" ref="H42" ca="1">IFERROR(INDEX(ci_leitos_internacao!$C:$C, MATCH(1, (VALUE(LEFT(ci_leitos_internacao!$A:$A,6))=VALUE(LEFT(B42,6)))*(ci_leitos_internacao!$B:$B=C42), 0)), "")</f>
        <v>868</v>
      </c>
      <c r="I42" cm="1">
        <f t="array" aca="1" ref="I42" ca="1">IFERROR(INDEX(ci_hospitais_internacao!$C:$C, MATCH(1, (VALUE(LEFT(ci_hospitais_internacao!$A:$A,6))=VALUE(LEFT(B42,6)))*(ci_hospitais_internacao!$B:$B=C42), 0)), "")</f>
        <v>5</v>
      </c>
      <c r="J42" t="str" cm="1">
        <f t="array" aca="1" ref="J42" ca="1">IFERROR(INDEX(ci_pa_clinico!$C:$C, MATCH(1, (VALUE(LEFT(ci_pa_clinico!$A:$A,6))=VALUE(LEFT(B42,6)))*(ci_pa_clinico!$B:$B=C42), 0)), "")</f>
        <v>-</v>
      </c>
      <c r="K42" t="str" cm="1">
        <f t="array" aca="1" ref="K42" ca="1">IFERROR(INDEX(aps_equipes_esf!$C:$C, MATCH(1, (VALUE(LEFT(aps_equipes_esf!$A:$A,6))=VALUE(LEFT(B42,6)))*(aps_equipes_esf!$B:$B=C42), 0)), "")</f>
        <v>-</v>
      </c>
      <c r="L42" cm="1">
        <f t="array" aca="1" ref="L42" ca="1">IFERROR(INDEX(casos!$C:$C, MATCH(1, (VALUE(LEFT(casos!$A:$A,6))=VALUE(LEFT(B42,6)))*(casos!$B:$B=C42), 0)), "")</f>
        <v>53</v>
      </c>
      <c r="M42" cm="1">
        <f t="array" ref="M42">IFERROR(INDEX(srag!$D:$D, MATCH(1, (VALUE(LEFT(srag!$A:$A,6))=VALUE(LEFT(B42,6)))*(srag!$C:$C=C42), 0)), "")</f>
        <v>169</v>
      </c>
      <c r="N42" cm="1">
        <f t="array" ref="N42">IFERROR(INDEX(fesp!$E:$E, MATCH(1, (VALUE(LEFT(fesp!$A:$A,6))=VALUE(LEFT(B42,6)))*(fesp!$C:$C=C42), 0)), "")</f>
        <v>27</v>
      </c>
      <c r="O42" cm="1">
        <f t="array" ref="O42">IFERROR(INDEX(fesp!$F:$F, MATCH(1, (VALUE(LEFT(fesp!$A:$A,6))=VALUE(LEFT(B42,6)))*(fesp!$C:$C=C42), 0)), "")</f>
        <v>4751</v>
      </c>
      <c r="P42" cm="1">
        <f t="array" ref="P42">IFERROR(INDEX(fesp!$G:$G, MATCH(1, (VALUE(LEFT(fesp!$A:$A,6))=VALUE(LEFT(B42,6)))*(fesp!$C:$C=C42), 0)), "")</f>
        <v>2407971</v>
      </c>
      <c r="Q42" cm="1">
        <f t="array" ref="Q42">IFERROR(INDEX(fesp!$H:$H, MATCH(1, (VALUE(LEFT(fesp!$A:$A,6))=VALUE(LEFT(B42,6)))*(fesp!$C:$C=C42), 0)), "")</f>
        <v>19</v>
      </c>
      <c r="R42" cm="1">
        <f t="array" ref="R42">IFERROR(INDEX(fesp!$I:$I, MATCH(1, (VALUE(LEFT(fesp!$A:$A,6))=VALUE(LEFT(B42,6)))*(fesp!$C:$C=C42), 0)), "")</f>
        <v>0</v>
      </c>
      <c r="S42" cm="1">
        <f t="array" ref="S42">IFERROR(INDEX(fesp!$J:$J, MATCH(1, (VALUE(LEFT(fesp!$A:$A,6))=VALUE(LEFT(B42,6)))*(fesp!$C:$C=C42), 0)), "")</f>
        <v>0</v>
      </c>
    </row>
    <row r="43" spans="1:19">
      <c r="A43" s="1" t="s">
        <v>91</v>
      </c>
      <c r="B43" s="3" t="s">
        <v>90</v>
      </c>
      <c r="C43" s="3">
        <v>2023</v>
      </c>
      <c r="D43" cm="1">
        <f t="array" ref="D43">IFERROR(INDEX(fesp!$D:$D, MATCH(1, (VALUE(LEFT(fesp!$A:$A,6))=VALUE(LEFT(B43,6)))*(fesp!$C:$C=C43), 0)), "")</f>
        <v>0</v>
      </c>
      <c r="E43" cm="1">
        <f t="array" aca="1" ref="E43" ca="1">IFERROR(INDEX(ft_medicos_clinicos!$C:$C, MATCH(1, (VALUE(LEFT(ft_medicos_clinicos!$A:$A,6))=VALUE(LEFT(B43,6)))*(ft_medicos_clinicos!$B:$B=C43), 0)), "")</f>
        <v>274</v>
      </c>
      <c r="F43" cm="1">
        <f t="array" aca="1" ref="F43" ca="1">IFERROR(INDEX(ft_enfermeiros!$C:$C, MATCH(1, (VALUE(LEFT(ft_enfermeiros!$A:$A,6))=VALUE(LEFT(B43,6)))*(ft_enfermeiros!$B:$B=C43), 0)), "")</f>
        <v>438</v>
      </c>
      <c r="G43" t="str" cm="1">
        <f t="array" aca="1" ref="G43" ca="1">IFERROR(INDEX(ft_equipes_acs!$C:$C, MATCH(1, (VALUE(LEFT(ft_equipes_acs!$A:$A,6))=VALUE(LEFT(B43,6)))*(ft_equipes_acs!$B:$B=C43), 0)), "")</f>
        <v>-</v>
      </c>
      <c r="H43" cm="1">
        <f t="array" aca="1" ref="H43" ca="1">IFERROR(INDEX(ci_leitos_internacao!$C:$C, MATCH(1, (VALUE(LEFT(ci_leitos_internacao!$A:$A,6))=VALUE(LEFT(B43,6)))*(ci_leitos_internacao!$B:$B=C43), 0)), "")</f>
        <v>866</v>
      </c>
      <c r="I43" cm="1">
        <f t="array" aca="1" ref="I43" ca="1">IFERROR(INDEX(ci_hospitais_internacao!$C:$C, MATCH(1, (VALUE(LEFT(ci_hospitais_internacao!$A:$A,6))=VALUE(LEFT(B43,6)))*(ci_hospitais_internacao!$B:$B=C43), 0)), "")</f>
        <v>5</v>
      </c>
      <c r="J43" t="str" cm="1">
        <f t="array" aca="1" ref="J43" ca="1">IFERROR(INDEX(ci_pa_clinico!$C:$C, MATCH(1, (VALUE(LEFT(ci_pa_clinico!$A:$A,6))=VALUE(LEFT(B43,6)))*(ci_pa_clinico!$B:$B=C43), 0)), "")</f>
        <v>-</v>
      </c>
      <c r="K43" t="str" cm="1">
        <f t="array" aca="1" ref="K43" ca="1">IFERROR(INDEX(aps_equipes_esf!$C:$C, MATCH(1, (VALUE(LEFT(aps_equipes_esf!$A:$A,6))=VALUE(LEFT(B43,6)))*(aps_equipes_esf!$B:$B=C43), 0)), "")</f>
        <v>-</v>
      </c>
      <c r="L43" cm="1">
        <f t="array" aca="1" ref="L43" ca="1">IFERROR(INDEX(casos!$C:$C, MATCH(1, (VALUE(LEFT(casos!$A:$A,6))=VALUE(LEFT(B43,6)))*(casos!$B:$B=C43), 0)), "")</f>
        <v>66</v>
      </c>
      <c r="M43" cm="1">
        <f t="array" ref="M43">IFERROR(INDEX(srag!$D:$D, MATCH(1, (VALUE(LEFT(srag!$A:$A,6))=VALUE(LEFT(B43,6)))*(srag!$C:$C=C43), 0)), "")</f>
        <v>247</v>
      </c>
      <c r="N43" cm="1">
        <f t="array" ref="N43">IFERROR(INDEX(fesp!$E:$E, MATCH(1, (VALUE(LEFT(fesp!$A:$A,6))=VALUE(LEFT(B43,6)))*(fesp!$C:$C=C43), 0)), "")</f>
        <v>21</v>
      </c>
      <c r="O43" cm="1">
        <f t="array" ref="O43">IFERROR(INDEX(fesp!$F:$F, MATCH(1, (VALUE(LEFT(fesp!$A:$A,6))=VALUE(LEFT(B43,6)))*(fesp!$C:$C=C43), 0)), "")</f>
        <v>5414</v>
      </c>
      <c r="P43" cm="1">
        <f t="array" ref="P43">IFERROR(INDEX(fesp!$G:$G, MATCH(1, (VALUE(LEFT(fesp!$A:$A,6))=VALUE(LEFT(B43,6)))*(fesp!$C:$C=C43), 0)), "")</f>
        <v>3505876</v>
      </c>
      <c r="Q43" cm="1">
        <f t="array" ref="Q43">IFERROR(INDEX(fesp!$H:$H, MATCH(1, (VALUE(LEFT(fesp!$A:$A,6))=VALUE(LEFT(B43,6)))*(fesp!$C:$C=C43), 0)), "")</f>
        <v>30</v>
      </c>
      <c r="R43" cm="1">
        <f t="array" ref="R43">IFERROR(INDEX(fesp!$I:$I, MATCH(1, (VALUE(LEFT(fesp!$A:$A,6))=VALUE(LEFT(B43,6)))*(fesp!$C:$C=C43), 0)), "")</f>
        <v>0</v>
      </c>
      <c r="S43" cm="1">
        <f t="array" ref="S43">IFERROR(INDEX(fesp!$J:$J, MATCH(1, (VALUE(LEFT(fesp!$A:$A,6))=VALUE(LEFT(B43,6)))*(fesp!$C:$C=C43), 0)), "")</f>
        <v>0</v>
      </c>
    </row>
    <row r="44" spans="1:19">
      <c r="A44" s="1" t="s">
        <v>91</v>
      </c>
      <c r="B44" s="3" t="s">
        <v>90</v>
      </c>
      <c r="C44" s="3">
        <v>2024</v>
      </c>
      <c r="D44" cm="1">
        <f t="array" ref="D44">IFERROR(INDEX(fesp!$D:$D, MATCH(1, (VALUE(LEFT(fesp!$A:$A,6))=VALUE(LEFT(B44,6)))*(fesp!$C:$C=C44), 0)), "")</f>
        <v>0</v>
      </c>
      <c r="E44" cm="1">
        <f t="array" aca="1" ref="E44" ca="1">IFERROR(INDEX(ft_medicos_clinicos!$C:$C, MATCH(1, (VALUE(LEFT(ft_medicos_clinicos!$A:$A,6))=VALUE(LEFT(B44,6)))*(ft_medicos_clinicos!$B:$B=C44), 0)), "")</f>
        <v>268</v>
      </c>
      <c r="F44" cm="1">
        <f t="array" aca="1" ref="F44" ca="1">IFERROR(INDEX(ft_enfermeiros!$C:$C, MATCH(1, (VALUE(LEFT(ft_enfermeiros!$A:$A,6))=VALUE(LEFT(B44,6)))*(ft_enfermeiros!$B:$B=C44), 0)), "")</f>
        <v>467</v>
      </c>
      <c r="G44" t="str" cm="1">
        <f t="array" aca="1" ref="G44" ca="1">IFERROR(INDEX(ft_equipes_acs!$C:$C, MATCH(1, (VALUE(LEFT(ft_equipes_acs!$A:$A,6))=VALUE(LEFT(B44,6)))*(ft_equipes_acs!$B:$B=C44), 0)), "")</f>
        <v>-</v>
      </c>
      <c r="H44" cm="1">
        <f t="array" aca="1" ref="H44" ca="1">IFERROR(INDEX(ci_leitos_internacao!$C:$C, MATCH(1, (VALUE(LEFT(ci_leitos_internacao!$A:$A,6))=VALUE(LEFT(B44,6)))*(ci_leitos_internacao!$B:$B=C44), 0)), "")</f>
        <v>842</v>
      </c>
      <c r="I44" cm="1">
        <f t="array" aca="1" ref="I44" ca="1">IFERROR(INDEX(ci_hospitais_internacao!$C:$C, MATCH(1, (VALUE(LEFT(ci_hospitais_internacao!$A:$A,6))=VALUE(LEFT(B44,6)))*(ci_hospitais_internacao!$B:$B=C44), 0)), "")</f>
        <v>5</v>
      </c>
      <c r="J44" cm="1">
        <f t="array" aca="1" ref="J44" ca="1">IFERROR(INDEX(ci_pa_clinico!$C:$C, MATCH(1, (VALUE(LEFT(ci_pa_clinico!$A:$A,6))=VALUE(LEFT(B44,6)))*(ci_pa_clinico!$B:$B=C44), 0)), "")</f>
        <v>2</v>
      </c>
      <c r="K44" t="str" cm="1">
        <f t="array" aca="1" ref="K44" ca="1">IFERROR(INDEX(aps_equipes_esf!$C:$C, MATCH(1, (VALUE(LEFT(aps_equipes_esf!$A:$A,6))=VALUE(LEFT(B44,6)))*(aps_equipes_esf!$B:$B=C44), 0)), "")</f>
        <v>-</v>
      </c>
      <c r="L44" cm="1">
        <f t="array" aca="1" ref="L44" ca="1">IFERROR(INDEX(casos!$C:$C, MATCH(1, (VALUE(LEFT(casos!$A:$A,6))=VALUE(LEFT(B44,6)))*(casos!$B:$B=C44), 0)), "")</f>
        <v>558</v>
      </c>
      <c r="M44" cm="1">
        <f t="array" ref="M44">IFERROR(INDEX(srag!$D:$D, MATCH(1, (VALUE(LEFT(srag!$A:$A,6))=VALUE(LEFT(B44,6)))*(srag!$C:$C=C44), 0)), "")</f>
        <v>309</v>
      </c>
      <c r="N44" cm="1">
        <f t="array" ref="N44">IFERROR(INDEX(fesp!$E:$E, MATCH(1, (VALUE(LEFT(fesp!$A:$A,6))=VALUE(LEFT(B44,6)))*(fesp!$C:$C=C44), 0)), "")</f>
        <v>41</v>
      </c>
      <c r="O44" cm="1">
        <f t="array" ref="O44">IFERROR(INDEX(fesp!$F:$F, MATCH(1, (VALUE(LEFT(fesp!$A:$A,6))=VALUE(LEFT(B44,6)))*(fesp!$C:$C=C44), 0)), "")</f>
        <v>3004</v>
      </c>
      <c r="P44" cm="1">
        <f t="array" ref="P44">IFERROR(INDEX(fesp!$G:$G, MATCH(1, (VALUE(LEFT(fesp!$A:$A,6))=VALUE(LEFT(B44,6)))*(fesp!$C:$C=C44), 0)), "")</f>
        <v>3606032</v>
      </c>
      <c r="Q44" cm="1">
        <f t="array" ref="Q44">IFERROR(INDEX(fesp!$H:$H, MATCH(1, (VALUE(LEFT(fesp!$A:$A,6))=VALUE(LEFT(B44,6)))*(fesp!$C:$C=C44), 0)), "")</f>
        <v>41</v>
      </c>
      <c r="R44" cm="1">
        <f t="array" ref="R44">IFERROR(INDEX(fesp!$I:$I, MATCH(1, (VALUE(LEFT(fesp!$A:$A,6))=VALUE(LEFT(B44,6)))*(fesp!$C:$C=C44), 0)), "")</f>
        <v>0</v>
      </c>
      <c r="S44" cm="1">
        <f t="array" ref="S44">IFERROR(INDEX(fesp!$J:$J, MATCH(1, (VALUE(LEFT(fesp!$A:$A,6))=VALUE(LEFT(B44,6)))*(fesp!$C:$C=C44), 0)), "")</f>
        <v>0</v>
      </c>
    </row>
    <row r="45" spans="1:19">
      <c r="A45" s="1" t="s">
        <v>91</v>
      </c>
      <c r="B45" s="3" t="s">
        <v>90</v>
      </c>
      <c r="C45" s="3">
        <v>2025</v>
      </c>
      <c r="D45" cm="1">
        <f t="array" ref="D45">IFERROR(INDEX(fesp!$D:$D, MATCH(1, (VALUE(LEFT(fesp!$A:$A,6))=VALUE(LEFT(B45,6)))*(fesp!$C:$C=C45), 0)), "")</f>
        <v>0</v>
      </c>
      <c r="E45" cm="1">
        <f t="array" aca="1" ref="E45" ca="1">IFERROR(INDEX(ft_medicos_clinicos!$C:$C, MATCH(1, (VALUE(LEFT(ft_medicos_clinicos!$A:$A,6))=VALUE(LEFT(B45,6)))*(ft_medicos_clinicos!$B:$B=C45), 0)), "")</f>
        <v>203</v>
      </c>
      <c r="F45" cm="1">
        <f t="array" aca="1" ref="F45" ca="1">IFERROR(INDEX(ft_enfermeiros!$C:$C, MATCH(1, (VALUE(LEFT(ft_enfermeiros!$A:$A,6))=VALUE(LEFT(B45,6)))*(ft_enfermeiros!$B:$B=C45), 0)), "")</f>
        <v>499</v>
      </c>
      <c r="G45" t="str" cm="1">
        <f t="array" aca="1" ref="G45" ca="1">IFERROR(INDEX(ft_equipes_acs!$C:$C, MATCH(1, (VALUE(LEFT(ft_equipes_acs!$A:$A,6))=VALUE(LEFT(B45,6)))*(ft_equipes_acs!$B:$B=C45), 0)), "")</f>
        <v>-</v>
      </c>
      <c r="H45" cm="1">
        <f t="array" aca="1" ref="H45" ca="1">IFERROR(INDEX(ci_leitos_internacao!$C:$C, MATCH(1, (VALUE(LEFT(ci_leitos_internacao!$A:$A,6))=VALUE(LEFT(B45,6)))*(ci_leitos_internacao!$B:$B=C45), 0)), "")</f>
        <v>748</v>
      </c>
      <c r="I45" cm="1">
        <f t="array" aca="1" ref="I45" ca="1">IFERROR(INDEX(ci_hospitais_internacao!$C:$C, MATCH(1, (VALUE(LEFT(ci_hospitais_internacao!$A:$A,6))=VALUE(LEFT(B45,6)))*(ci_hospitais_internacao!$B:$B=C45), 0)), "")</f>
        <v>4</v>
      </c>
      <c r="J45" cm="1">
        <f t="array" aca="1" ref="J45" ca="1">IFERROR(INDEX(ci_pa_clinico!$C:$C, MATCH(1, (VALUE(LEFT(ci_pa_clinico!$A:$A,6))=VALUE(LEFT(B45,6)))*(ci_pa_clinico!$B:$B=C45), 0)), "")</f>
        <v>2</v>
      </c>
      <c r="K45" t="str" cm="1">
        <f t="array" aca="1" ref="K45" ca="1">IFERROR(INDEX(aps_equipes_esf!$C:$C, MATCH(1, (VALUE(LEFT(aps_equipes_esf!$A:$A,6))=VALUE(LEFT(B45,6)))*(aps_equipes_esf!$B:$B=C45), 0)), "")</f>
        <v>-</v>
      </c>
      <c r="L45" cm="1">
        <f t="array" aca="1" ref="L45" ca="1">IFERROR(INDEX(casos!$C:$C, MATCH(1, (VALUE(LEFT(casos!$A:$A,6))=VALUE(LEFT(B45,6)))*(casos!$B:$B=C45), 0)), "")</f>
        <v>213</v>
      </c>
      <c r="M45" cm="1">
        <f t="array" ref="M45">IFERROR(INDEX(srag!$D:$D, MATCH(1, (VALUE(LEFT(srag!$A:$A,6))=VALUE(LEFT(B45,6)))*(srag!$C:$C=C45), 0)), "")</f>
        <v>470</v>
      </c>
      <c r="N45" cm="1">
        <f t="array" ref="N45">IFERROR(INDEX(fesp!$E:$E, MATCH(1, (VALUE(LEFT(fesp!$A:$A,6))=VALUE(LEFT(B45,6)))*(fesp!$C:$C=C45), 0)), "")</f>
        <v>24</v>
      </c>
      <c r="O45" cm="1">
        <f t="array" ref="O45">IFERROR(INDEX(fesp!$F:$F, MATCH(1, (VALUE(LEFT(fesp!$A:$A,6))=VALUE(LEFT(B45,6)))*(fesp!$C:$C=C45), 0)), "")</f>
        <v>3057</v>
      </c>
      <c r="P45" cm="1">
        <f t="array" ref="P45">IFERROR(INDEX(fesp!$G:$G, MATCH(1, (VALUE(LEFT(fesp!$A:$A,6))=VALUE(LEFT(B45,6)))*(fesp!$C:$C=C45), 0)), "")</f>
        <v>3096944</v>
      </c>
      <c r="Q45" cm="1">
        <f t="array" ref="Q45">IFERROR(INDEX(fesp!$H:$H, MATCH(1, (VALUE(LEFT(fesp!$A:$A,6))=VALUE(LEFT(B45,6)))*(fesp!$C:$C=C45), 0)), "")</f>
        <v>33</v>
      </c>
      <c r="R45" cm="1">
        <f t="array" ref="R45">IFERROR(INDEX(fesp!$I:$I, MATCH(1, (VALUE(LEFT(fesp!$A:$A,6))=VALUE(LEFT(B45,6)))*(fesp!$C:$C=C45), 0)), "")</f>
        <v>0</v>
      </c>
      <c r="S45" cm="1">
        <f t="array" ref="S45">IFERROR(INDEX(fesp!$J:$J, MATCH(1, (VALUE(LEFT(fesp!$A:$A,6))=VALUE(LEFT(B45,6)))*(fesp!$C:$C=C45), 0)), "")</f>
        <v>0</v>
      </c>
    </row>
    <row r="46" spans="1:19">
      <c r="A46" s="1" t="s">
        <v>21</v>
      </c>
      <c r="B46" s="3">
        <v>150140</v>
      </c>
      <c r="C46" s="3">
        <v>2015</v>
      </c>
      <c r="D46" cm="1">
        <f t="array" ref="D46">IFERROR(INDEX(fesp!$D:$D, MATCH(1, (VALUE(LEFT(fesp!$A:$A,6))=VALUE(LEFT(B46,6)))*(fesp!$C:$C=C46), 0)), "")</f>
        <v>1439561</v>
      </c>
      <c r="E46" t="str" cm="1">
        <f t="array" aca="1" ref="E46" ca="1">IFERROR(INDEX(ft_medicos_clinicos!$C:$C, MATCH(1, (VALUE(LEFT(ft_medicos_clinicos!$A:$A,6))=VALUE(LEFT(B46,6)))*(ft_medicos_clinicos!$B:$B=C46), 0)), "")</f>
        <v/>
      </c>
      <c r="F46" t="str" cm="1">
        <f t="array" aca="1" ref="F46" ca="1">IFERROR(INDEX(ft_enfermeiros!$C:$C, MATCH(1, (VALUE(LEFT(ft_enfermeiros!$A:$A,6))=VALUE(LEFT(B46,6)))*(ft_enfermeiros!$B:$B=C46), 0)), "")</f>
        <v/>
      </c>
      <c r="G46" cm="1">
        <f t="array" aca="1" ref="G46" ca="1">IFERROR(INDEX(ft_equipes_acs!$C:$C, MATCH(1, (VALUE(LEFT(ft_equipes_acs!$A:$A,6))=VALUE(LEFT(B46,6)))*(ft_equipes_acs!$B:$B=C46), 0)), "")</f>
        <v>2</v>
      </c>
      <c r="H46" cm="1">
        <f t="array" aca="1" ref="H46" ca="1">IFERROR(INDEX(ci_leitos_internacao!$C:$C, MATCH(1, (VALUE(LEFT(ci_leitos_internacao!$A:$A,6))=VALUE(LEFT(B46,6)))*(ci_leitos_internacao!$B:$B=C46), 0)), "")</f>
        <v>4834</v>
      </c>
      <c r="I46" cm="1">
        <f t="array" aca="1" ref="I46" ca="1">IFERROR(INDEX(ci_hospitais_internacao!$C:$C, MATCH(1, (VALUE(LEFT(ci_hospitais_internacao!$A:$A,6))=VALUE(LEFT(B46,6)))*(ci_hospitais_internacao!$B:$B=C46), 0)), "")</f>
        <v>11</v>
      </c>
      <c r="J46" t="str" cm="1">
        <f t="array" aca="1" ref="J46" ca="1">IFERROR(INDEX(ci_pa_clinico!$C:$C, MATCH(1, (VALUE(LEFT(ci_pa_clinico!$A:$A,6))=VALUE(LEFT(B46,6)))*(ci_pa_clinico!$B:$B=C46), 0)), "")</f>
        <v/>
      </c>
      <c r="K46" cm="1">
        <f t="array" aca="1" ref="K46" ca="1">IFERROR(INDEX(aps_equipes_esf!$C:$C, MATCH(1, (VALUE(LEFT(aps_equipes_esf!$A:$A,6))=VALUE(LEFT(B46,6)))*(aps_equipes_esf!$B:$B=C46), 0)), "")</f>
        <v>86</v>
      </c>
      <c r="L46" cm="1">
        <f t="array" aca="1" ref="L46" ca="1">IFERROR(INDEX(casos!$C:$C, MATCH(1, (VALUE(LEFT(casos!$A:$A,6))=VALUE(LEFT(B46,6)))*(casos!$B:$B=C46), 0)), "")</f>
        <v>1471</v>
      </c>
      <c r="M46" cm="1">
        <f t="array" ref="M46">IFERROR(INDEX(srag!$D:$D, MATCH(1, (VALUE(LEFT(srag!$A:$A,6))=VALUE(LEFT(B46,6)))*(srag!$C:$C=C46), 0)), "")</f>
        <v>72</v>
      </c>
      <c r="N46" cm="1">
        <f t="array" ref="N46">IFERROR(INDEX(fesp!$E:$E, MATCH(1, (VALUE(LEFT(fesp!$A:$A,6))=VALUE(LEFT(B46,6)))*(fesp!$C:$C=C46), 0)), "")</f>
        <v>395</v>
      </c>
      <c r="O46" cm="1">
        <f t="array" ref="O46">IFERROR(INDEX(fesp!$F:$F, MATCH(1, (VALUE(LEFT(fesp!$A:$A,6))=VALUE(LEFT(B46,6)))*(fesp!$C:$C=C46), 0)), "")</f>
        <v>33972</v>
      </c>
      <c r="P46" cm="1">
        <f t="array" ref="P46">IFERROR(INDEX(fesp!$G:$G, MATCH(1, (VALUE(LEFT(fesp!$A:$A,6))=VALUE(LEFT(B46,6)))*(fesp!$C:$C=C46), 0)), "")</f>
        <v>9162442</v>
      </c>
      <c r="Q46" cm="1">
        <f t="array" ref="Q46">IFERROR(INDEX(fesp!$H:$H, MATCH(1, (VALUE(LEFT(fesp!$A:$A,6))=VALUE(LEFT(B46,6)))*(fesp!$C:$C=C46), 0)), "")</f>
        <v>391</v>
      </c>
      <c r="R46" cm="1">
        <f t="array" ref="R46">IFERROR(INDEX(fesp!$I:$I, MATCH(1, (VALUE(LEFT(fesp!$A:$A,6))=VALUE(LEFT(B46,6)))*(fesp!$C:$C=C46), 0)), "")</f>
        <v>516719</v>
      </c>
      <c r="S46" cm="1">
        <f t="array" ref="S46">IFERROR(INDEX(fesp!$J:$J, MATCH(1, (VALUE(LEFT(fesp!$A:$A,6))=VALUE(LEFT(B46,6)))*(fesp!$C:$C=C46), 0)), "")</f>
        <v>1126772</v>
      </c>
    </row>
    <row r="47" spans="1:19">
      <c r="A47" s="1" t="s">
        <v>21</v>
      </c>
      <c r="B47" s="3" t="s">
        <v>20</v>
      </c>
      <c r="C47" s="3">
        <v>2016</v>
      </c>
      <c r="D47" cm="1">
        <f t="array" ref="D47">IFERROR(INDEX(fesp!$D:$D, MATCH(1, (VALUE(LEFT(fesp!$A:$A,6))=VALUE(LEFT(B47,6)))*(fesp!$C:$C=C47), 0)), "")</f>
        <v>0</v>
      </c>
      <c r="E47" t="str" cm="1">
        <f t="array" aca="1" ref="E47" ca="1">IFERROR(INDEX(ft_medicos_clinicos!$C:$C, MATCH(1, (VALUE(LEFT(ft_medicos_clinicos!$A:$A,6))=VALUE(LEFT(B47,6)))*(ft_medicos_clinicos!$B:$B=C47), 0)), "")</f>
        <v/>
      </c>
      <c r="F47" t="str" cm="1">
        <f t="array" aca="1" ref="F47" ca="1">IFERROR(INDEX(ft_enfermeiros!$C:$C, MATCH(1, (VALUE(LEFT(ft_enfermeiros!$A:$A,6))=VALUE(LEFT(B47,6)))*(ft_enfermeiros!$B:$B=C47), 0)), "")</f>
        <v/>
      </c>
      <c r="G47" t="str" cm="1">
        <f t="array" aca="1" ref="G47" ca="1">IFERROR(INDEX(ft_equipes_acs!$C:$C, MATCH(1, (VALUE(LEFT(ft_equipes_acs!$A:$A,6))=VALUE(LEFT(B47,6)))*(ft_equipes_acs!$B:$B=C47), 0)), "")</f>
        <v>-</v>
      </c>
      <c r="H47" cm="1">
        <f t="array" aca="1" ref="H47" ca="1">IFERROR(INDEX(ci_leitos_internacao!$C:$C, MATCH(1, (VALUE(LEFT(ci_leitos_internacao!$A:$A,6))=VALUE(LEFT(B47,6)))*(ci_leitos_internacao!$B:$B=C47), 0)), "")</f>
        <v>5099</v>
      </c>
      <c r="I47" cm="1">
        <f t="array" aca="1" ref="I47" ca="1">IFERROR(INDEX(ci_hospitais_internacao!$C:$C, MATCH(1, (VALUE(LEFT(ci_hospitais_internacao!$A:$A,6))=VALUE(LEFT(B47,6)))*(ci_hospitais_internacao!$B:$B=C47), 0)), "")</f>
        <v>11</v>
      </c>
      <c r="J47" t="str" cm="1">
        <f t="array" aca="1" ref="J47" ca="1">IFERROR(INDEX(ci_pa_clinico!$C:$C, MATCH(1, (VALUE(LEFT(ci_pa_clinico!$A:$A,6))=VALUE(LEFT(B47,6)))*(ci_pa_clinico!$B:$B=C47), 0)), "")</f>
        <v/>
      </c>
      <c r="K47" cm="1">
        <f t="array" aca="1" ref="K47" ca="1">IFERROR(INDEX(aps_equipes_esf!$C:$C, MATCH(1, (VALUE(LEFT(aps_equipes_esf!$A:$A,6))=VALUE(LEFT(B47,6)))*(aps_equipes_esf!$B:$B=C47), 0)), "")</f>
        <v>93</v>
      </c>
      <c r="L47" cm="1">
        <f t="array" aca="1" ref="L47" ca="1">IFERROR(INDEX(casos!$C:$C, MATCH(1, (VALUE(LEFT(casos!$A:$A,6))=VALUE(LEFT(B47,6)))*(casos!$B:$B=C47), 0)), "")</f>
        <v>742</v>
      </c>
      <c r="M47" cm="1">
        <f t="array" ref="M47">IFERROR(INDEX(srag!$D:$D, MATCH(1, (VALUE(LEFT(srag!$A:$A,6))=VALUE(LEFT(B47,6)))*(srag!$C:$C=C47), 0)), "")</f>
        <v>358</v>
      </c>
      <c r="N47" cm="1">
        <f t="array" ref="N47">IFERROR(INDEX(fesp!$E:$E, MATCH(1, (VALUE(LEFT(fesp!$A:$A,6))=VALUE(LEFT(B47,6)))*(fesp!$C:$C=C47), 0)), "")</f>
        <v>412</v>
      </c>
      <c r="O47" cm="1">
        <f t="array" ref="O47">IFERROR(INDEX(fesp!$F:$F, MATCH(1, (VALUE(LEFT(fesp!$A:$A,6))=VALUE(LEFT(B47,6)))*(fesp!$C:$C=C47), 0)), "")</f>
        <v>32733</v>
      </c>
      <c r="P47" cm="1">
        <f t="array" ref="P47">IFERROR(INDEX(fesp!$G:$G, MATCH(1, (VALUE(LEFT(fesp!$A:$A,6))=VALUE(LEFT(B47,6)))*(fesp!$C:$C=C47), 0)), "")</f>
        <v>8239360</v>
      </c>
      <c r="Q47" cm="1">
        <f t="array" ref="Q47">IFERROR(INDEX(fesp!$H:$H, MATCH(1, (VALUE(LEFT(fesp!$A:$A,6))=VALUE(LEFT(B47,6)))*(fesp!$C:$C=C47), 0)), "")</f>
        <v>299</v>
      </c>
      <c r="R47" cm="1">
        <f t="array" ref="R47">IFERROR(INDEX(fesp!$I:$I, MATCH(1, (VALUE(LEFT(fesp!$A:$A,6))=VALUE(LEFT(B47,6)))*(fesp!$C:$C=C47), 0)), "")</f>
        <v>76751</v>
      </c>
      <c r="S47" cm="1">
        <f t="array" ref="S47">IFERROR(INDEX(fesp!$J:$J, MATCH(1, (VALUE(LEFT(fesp!$A:$A,6))=VALUE(LEFT(B47,6)))*(fesp!$C:$C=C47), 0)), "")</f>
        <v>1036338</v>
      </c>
    </row>
    <row r="48" spans="1:19">
      <c r="A48" s="1" t="s">
        <v>21</v>
      </c>
      <c r="B48" s="3" t="s">
        <v>20</v>
      </c>
      <c r="C48" s="3">
        <v>2017</v>
      </c>
      <c r="D48" cm="1">
        <f t="array" ref="D48">IFERROR(INDEX(fesp!$D:$D, MATCH(1, (VALUE(LEFT(fesp!$A:$A,6))=VALUE(LEFT(B48,6)))*(fesp!$C:$C=C48), 0)), "")</f>
        <v>0</v>
      </c>
      <c r="E48" t="str" cm="1">
        <f t="array" aca="1" ref="E48" ca="1">IFERROR(INDEX(ft_medicos_clinicos!$C:$C, MATCH(1, (VALUE(LEFT(ft_medicos_clinicos!$A:$A,6))=VALUE(LEFT(B48,6)))*(ft_medicos_clinicos!$B:$B=C48), 0)), "")</f>
        <v/>
      </c>
      <c r="F48" t="str" cm="1">
        <f t="array" aca="1" ref="F48" ca="1">IFERROR(INDEX(ft_enfermeiros!$C:$C, MATCH(1, (VALUE(LEFT(ft_enfermeiros!$A:$A,6))=VALUE(LEFT(B48,6)))*(ft_enfermeiros!$B:$B=C48), 0)), "")</f>
        <v/>
      </c>
      <c r="G48" t="str" cm="1">
        <f t="array" aca="1" ref="G48" ca="1">IFERROR(INDEX(ft_equipes_acs!$C:$C, MATCH(1, (VALUE(LEFT(ft_equipes_acs!$A:$A,6))=VALUE(LEFT(B48,6)))*(ft_equipes_acs!$B:$B=C48), 0)), "")</f>
        <v>-</v>
      </c>
      <c r="H48" cm="1">
        <f t="array" aca="1" ref="H48" ca="1">IFERROR(INDEX(ci_leitos_internacao!$C:$C, MATCH(1, (VALUE(LEFT(ci_leitos_internacao!$A:$A,6))=VALUE(LEFT(B48,6)))*(ci_leitos_internacao!$B:$B=C48), 0)), "")</f>
        <v>4626</v>
      </c>
      <c r="I48" cm="1">
        <f t="array" aca="1" ref="I48" ca="1">IFERROR(INDEX(ci_hospitais_internacao!$C:$C, MATCH(1, (VALUE(LEFT(ci_hospitais_internacao!$A:$A,6))=VALUE(LEFT(B48,6)))*(ci_hospitais_internacao!$B:$B=C48), 0)), "")</f>
        <v>11</v>
      </c>
      <c r="J48" t="str" cm="1">
        <f t="array" aca="1" ref="J48" ca="1">IFERROR(INDEX(ci_pa_clinico!$C:$C, MATCH(1, (VALUE(LEFT(ci_pa_clinico!$A:$A,6))=VALUE(LEFT(B48,6)))*(ci_pa_clinico!$B:$B=C48), 0)), "")</f>
        <v/>
      </c>
      <c r="K48" cm="1">
        <f t="array" aca="1" ref="K48" ca="1">IFERROR(INDEX(aps_equipes_esf!$C:$C, MATCH(1, (VALUE(LEFT(aps_equipes_esf!$A:$A,6))=VALUE(LEFT(B48,6)))*(aps_equipes_esf!$B:$B=C48), 0)), "")</f>
        <v>95</v>
      </c>
      <c r="L48" cm="1">
        <f t="array" aca="1" ref="L48" ca="1">IFERROR(INDEX(casos!$C:$C, MATCH(1, (VALUE(LEFT(casos!$A:$A,6))=VALUE(LEFT(B48,6)))*(casos!$B:$B=C48), 0)), "")</f>
        <v>303</v>
      </c>
      <c r="M48" cm="1">
        <f t="array" ref="M48">IFERROR(INDEX(srag!$D:$D, MATCH(1, (VALUE(LEFT(srag!$A:$A,6))=VALUE(LEFT(B48,6)))*(srag!$C:$C=C48), 0)), "")</f>
        <v>161</v>
      </c>
      <c r="N48" cm="1">
        <f t="array" ref="N48">IFERROR(INDEX(fesp!$E:$E, MATCH(1, (VALUE(LEFT(fesp!$A:$A,6))=VALUE(LEFT(B48,6)))*(fesp!$C:$C=C48), 0)), "")</f>
        <v>379</v>
      </c>
      <c r="O48" cm="1">
        <f t="array" ref="O48">IFERROR(INDEX(fesp!$F:$F, MATCH(1, (VALUE(LEFT(fesp!$A:$A,6))=VALUE(LEFT(B48,6)))*(fesp!$C:$C=C48), 0)), "")</f>
        <v>32854</v>
      </c>
      <c r="P48" cm="1">
        <f t="array" ref="P48">IFERROR(INDEX(fesp!$G:$G, MATCH(1, (VALUE(LEFT(fesp!$A:$A,6))=VALUE(LEFT(B48,6)))*(fesp!$C:$C=C48), 0)), "")</f>
        <v>8939948</v>
      </c>
      <c r="Q48" cm="1">
        <f t="array" ref="Q48">IFERROR(INDEX(fesp!$H:$H, MATCH(1, (VALUE(LEFT(fesp!$A:$A,6))=VALUE(LEFT(B48,6)))*(fesp!$C:$C=C48), 0)), "")</f>
        <v>230</v>
      </c>
      <c r="R48" cm="1">
        <f t="array" ref="R48">IFERROR(INDEX(fesp!$I:$I, MATCH(1, (VALUE(LEFT(fesp!$A:$A,6))=VALUE(LEFT(B48,6)))*(fesp!$C:$C=C48), 0)), "")</f>
        <v>41820</v>
      </c>
      <c r="S48" cm="1">
        <f t="array" ref="S48">IFERROR(INDEX(fesp!$J:$J, MATCH(1, (VALUE(LEFT(fesp!$A:$A,6))=VALUE(LEFT(B48,6)))*(fesp!$C:$C=C48), 0)), "")</f>
        <v>572648</v>
      </c>
    </row>
    <row r="49" spans="1:19">
      <c r="A49" s="1" t="s">
        <v>21</v>
      </c>
      <c r="B49" s="3" t="s">
        <v>20</v>
      </c>
      <c r="C49" s="3">
        <v>2018</v>
      </c>
      <c r="D49" cm="1">
        <f t="array" ref="D49">IFERROR(INDEX(fesp!$D:$D, MATCH(1, (VALUE(LEFT(fesp!$A:$A,6))=VALUE(LEFT(B49,6)))*(fesp!$C:$C=C49), 0)), "")</f>
        <v>0</v>
      </c>
      <c r="E49" t="str" cm="1">
        <f t="array" aca="1" ref="E49" ca="1">IFERROR(INDEX(ft_medicos_clinicos!$C:$C, MATCH(1, (VALUE(LEFT(ft_medicos_clinicos!$A:$A,6))=VALUE(LEFT(B49,6)))*(ft_medicos_clinicos!$B:$B=C49), 0)), "")</f>
        <v/>
      </c>
      <c r="F49" t="str" cm="1">
        <f t="array" aca="1" ref="F49" ca="1">IFERROR(INDEX(ft_enfermeiros!$C:$C, MATCH(1, (VALUE(LEFT(ft_enfermeiros!$A:$A,6))=VALUE(LEFT(B49,6)))*(ft_enfermeiros!$B:$B=C49), 0)), "")</f>
        <v/>
      </c>
      <c r="G49" cm="1">
        <f t="array" aca="1" ref="G49" ca="1">IFERROR(INDEX(ft_equipes_acs!$C:$C, MATCH(1, (VALUE(LEFT(ft_equipes_acs!$A:$A,6))=VALUE(LEFT(B49,6)))*(ft_equipes_acs!$B:$B=C49), 0)), "")</f>
        <v>11</v>
      </c>
      <c r="H49" cm="1">
        <f t="array" aca="1" ref="H49" ca="1">IFERROR(INDEX(ci_leitos_internacao!$C:$C, MATCH(1, (VALUE(LEFT(ci_leitos_internacao!$A:$A,6))=VALUE(LEFT(B49,6)))*(ci_leitos_internacao!$B:$B=C49), 0)), "")</f>
        <v>4528</v>
      </c>
      <c r="I49" cm="1">
        <f t="array" aca="1" ref="I49" ca="1">IFERROR(INDEX(ci_hospitais_internacao!$C:$C, MATCH(1, (VALUE(LEFT(ci_hospitais_internacao!$A:$A,6))=VALUE(LEFT(B49,6)))*(ci_hospitais_internacao!$B:$B=C49), 0)), "")</f>
        <v>11</v>
      </c>
      <c r="J49" t="str" cm="1">
        <f t="array" aca="1" ref="J49" ca="1">IFERROR(INDEX(ci_pa_clinico!$C:$C, MATCH(1, (VALUE(LEFT(ci_pa_clinico!$A:$A,6))=VALUE(LEFT(B49,6)))*(ci_pa_clinico!$B:$B=C49), 0)), "")</f>
        <v/>
      </c>
      <c r="K49" cm="1">
        <f t="array" aca="1" ref="K49" ca="1">IFERROR(INDEX(aps_equipes_esf!$C:$C, MATCH(1, (VALUE(LEFT(aps_equipes_esf!$A:$A,6))=VALUE(LEFT(B49,6)))*(aps_equipes_esf!$B:$B=C49), 0)), "")</f>
        <v>85</v>
      </c>
      <c r="L49" cm="1">
        <f t="array" aca="1" ref="L49" ca="1">IFERROR(INDEX(casos!$C:$C, MATCH(1, (VALUE(LEFT(casos!$A:$A,6))=VALUE(LEFT(B49,6)))*(casos!$B:$B=C49), 0)), "")</f>
        <v>294</v>
      </c>
      <c r="M49" cm="1">
        <f t="array" ref="M49">IFERROR(INDEX(srag!$D:$D, MATCH(1, (VALUE(LEFT(srag!$A:$A,6))=VALUE(LEFT(B49,6)))*(srag!$C:$C=C49), 0)), "")</f>
        <v>241</v>
      </c>
      <c r="N49" cm="1">
        <f t="array" ref="N49">IFERROR(INDEX(fesp!$E:$E, MATCH(1, (VALUE(LEFT(fesp!$A:$A,6))=VALUE(LEFT(B49,6)))*(fesp!$C:$C=C49), 0)), "")</f>
        <v>353</v>
      </c>
      <c r="O49" cm="1">
        <f t="array" ref="O49">IFERROR(INDEX(fesp!$F:$F, MATCH(1, (VALUE(LEFT(fesp!$A:$A,6))=VALUE(LEFT(B49,6)))*(fesp!$C:$C=C49), 0)), "")</f>
        <v>38904</v>
      </c>
      <c r="P49" cm="1">
        <f t="array" ref="P49">IFERROR(INDEX(fesp!$G:$G, MATCH(1, (VALUE(LEFT(fesp!$A:$A,6))=VALUE(LEFT(B49,6)))*(fesp!$C:$C=C49), 0)), "")</f>
        <v>9292403</v>
      </c>
      <c r="Q49" cm="1">
        <f t="array" ref="Q49">IFERROR(INDEX(fesp!$H:$H, MATCH(1, (VALUE(LEFT(fesp!$A:$A,6))=VALUE(LEFT(B49,6)))*(fesp!$C:$C=C49), 0)), "")</f>
        <v>189</v>
      </c>
      <c r="R49" cm="1">
        <f t="array" ref="R49">IFERROR(INDEX(fesp!$I:$I, MATCH(1, (VALUE(LEFT(fesp!$A:$A,6))=VALUE(LEFT(B49,6)))*(fesp!$C:$C=C49), 0)), "")</f>
        <v>21315</v>
      </c>
      <c r="S49" cm="1">
        <f t="array" ref="S49">IFERROR(INDEX(fesp!$J:$J, MATCH(1, (VALUE(LEFT(fesp!$A:$A,6))=VALUE(LEFT(B49,6)))*(fesp!$C:$C=C49), 0)), "")</f>
        <v>397865</v>
      </c>
    </row>
    <row r="50" spans="1:19">
      <c r="A50" s="1" t="s">
        <v>21</v>
      </c>
      <c r="B50" s="3" t="s">
        <v>20</v>
      </c>
      <c r="C50" s="3">
        <v>2019</v>
      </c>
      <c r="D50" cm="1">
        <f t="array" ref="D50">IFERROR(INDEX(fesp!$D:$D, MATCH(1, (VALUE(LEFT(fesp!$A:$A,6))=VALUE(LEFT(B50,6)))*(fesp!$C:$C=C50), 0)), "")</f>
        <v>0</v>
      </c>
      <c r="E50" t="str" cm="1">
        <f t="array" aca="1" ref="E50" ca="1">IFERROR(INDEX(ft_medicos_clinicos!$C:$C, MATCH(1, (VALUE(LEFT(ft_medicos_clinicos!$A:$A,6))=VALUE(LEFT(B50,6)))*(ft_medicos_clinicos!$B:$B=C50), 0)), "")</f>
        <v/>
      </c>
      <c r="F50" t="str" cm="1">
        <f t="array" aca="1" ref="F50" ca="1">IFERROR(INDEX(ft_enfermeiros!$C:$C, MATCH(1, (VALUE(LEFT(ft_enfermeiros!$A:$A,6))=VALUE(LEFT(B50,6)))*(ft_enfermeiros!$B:$B=C50), 0)), "")</f>
        <v/>
      </c>
      <c r="G50" cm="1">
        <f t="array" aca="1" ref="G50" ca="1">IFERROR(INDEX(ft_equipes_acs!$C:$C, MATCH(1, (VALUE(LEFT(ft_equipes_acs!$A:$A,6))=VALUE(LEFT(B50,6)))*(ft_equipes_acs!$B:$B=C50), 0)), "")</f>
        <v>11</v>
      </c>
      <c r="H50" cm="1">
        <f t="array" aca="1" ref="H50" ca="1">IFERROR(INDEX(ci_leitos_internacao!$C:$C, MATCH(1, (VALUE(LEFT(ci_leitos_internacao!$A:$A,6))=VALUE(LEFT(B50,6)))*(ci_leitos_internacao!$B:$B=C50), 0)), "")</f>
        <v>4014</v>
      </c>
      <c r="I50" cm="1">
        <f t="array" aca="1" ref="I50" ca="1">IFERROR(INDEX(ci_hospitais_internacao!$C:$C, MATCH(1, (VALUE(LEFT(ci_hospitais_internacao!$A:$A,6))=VALUE(LEFT(B50,6)))*(ci_hospitais_internacao!$B:$B=C50), 0)), "")</f>
        <v>12</v>
      </c>
      <c r="J50" t="str" cm="1">
        <f t="array" aca="1" ref="J50" ca="1">IFERROR(INDEX(ci_pa_clinico!$C:$C, MATCH(1, (VALUE(LEFT(ci_pa_clinico!$A:$A,6))=VALUE(LEFT(B50,6)))*(ci_pa_clinico!$B:$B=C50), 0)), "")</f>
        <v/>
      </c>
      <c r="K50" cm="1">
        <f t="array" aca="1" ref="K50" ca="1">IFERROR(INDEX(aps_equipes_esf!$C:$C, MATCH(1, (VALUE(LEFT(aps_equipes_esf!$A:$A,6))=VALUE(LEFT(B50,6)))*(aps_equipes_esf!$B:$B=C50), 0)), "")</f>
        <v>82</v>
      </c>
      <c r="L50" cm="1">
        <f t="array" aca="1" ref="L50" ca="1">IFERROR(INDEX(casos!$C:$C, MATCH(1, (VALUE(LEFT(casos!$A:$A,6))=VALUE(LEFT(B50,6)))*(casos!$B:$B=C50), 0)), "")</f>
        <v>204</v>
      </c>
      <c r="M50" cm="1">
        <f t="array" ref="M50">IFERROR(INDEX(srag!$D:$D, MATCH(1, (VALUE(LEFT(srag!$A:$A,6))=VALUE(LEFT(B50,6)))*(srag!$C:$C=C50), 0)), "")</f>
        <v>230</v>
      </c>
      <c r="N50" cm="1">
        <f t="array" ref="N50">IFERROR(INDEX(fesp!$E:$E, MATCH(1, (VALUE(LEFT(fesp!$A:$A,6))=VALUE(LEFT(B50,6)))*(fesp!$C:$C=C50), 0)), "")</f>
        <v>256</v>
      </c>
      <c r="O50" cm="1">
        <f t="array" ref="O50">IFERROR(INDEX(fesp!$F:$F, MATCH(1, (VALUE(LEFT(fesp!$A:$A,6))=VALUE(LEFT(B50,6)))*(fesp!$C:$C=C50), 0)), "")</f>
        <v>40665</v>
      </c>
      <c r="P50" cm="1">
        <f t="array" ref="P50">IFERROR(INDEX(fesp!$G:$G, MATCH(1, (VALUE(LEFT(fesp!$A:$A,6))=VALUE(LEFT(B50,6)))*(fesp!$C:$C=C50), 0)), "")</f>
        <v>9998999</v>
      </c>
      <c r="Q50" cm="1">
        <f t="array" ref="Q50">IFERROR(INDEX(fesp!$H:$H, MATCH(1, (VALUE(LEFT(fesp!$A:$A,6))=VALUE(LEFT(B50,6)))*(fesp!$C:$C=C50), 0)), "")</f>
        <v>87</v>
      </c>
      <c r="R50" cm="1">
        <f t="array" ref="R50">IFERROR(INDEX(fesp!$I:$I, MATCH(1, (VALUE(LEFT(fesp!$A:$A,6))=VALUE(LEFT(B50,6)))*(fesp!$C:$C=C50), 0)), "")</f>
        <v>17424</v>
      </c>
      <c r="S50" cm="1">
        <f t="array" ref="S50">IFERROR(INDEX(fesp!$J:$J, MATCH(1, (VALUE(LEFT(fesp!$A:$A,6))=VALUE(LEFT(B50,6)))*(fesp!$C:$C=C50), 0)), "")</f>
        <v>188547</v>
      </c>
    </row>
    <row r="51" spans="1:19">
      <c r="A51" s="1" t="s">
        <v>21</v>
      </c>
      <c r="B51" s="3" t="s">
        <v>20</v>
      </c>
      <c r="C51" s="3">
        <v>2020</v>
      </c>
      <c r="D51" cm="1">
        <f t="array" ref="D51">IFERROR(INDEX(fesp!$D:$D, MATCH(1, (VALUE(LEFT(fesp!$A:$A,6))=VALUE(LEFT(B51,6)))*(fesp!$C:$C=C51), 0)), "")</f>
        <v>0</v>
      </c>
      <c r="E51" t="str" cm="1">
        <f t="array" aca="1" ref="E51" ca="1">IFERROR(INDEX(ft_medicos_clinicos!$C:$C, MATCH(1, (VALUE(LEFT(ft_medicos_clinicos!$A:$A,6))=VALUE(LEFT(B51,6)))*(ft_medicos_clinicos!$B:$B=C51), 0)), "")</f>
        <v/>
      </c>
      <c r="F51" t="str" cm="1">
        <f t="array" aca="1" ref="F51" ca="1">IFERROR(INDEX(ft_enfermeiros!$C:$C, MATCH(1, (VALUE(LEFT(ft_enfermeiros!$A:$A,6))=VALUE(LEFT(B51,6)))*(ft_enfermeiros!$B:$B=C51), 0)), "")</f>
        <v/>
      </c>
      <c r="G51" t="str" cm="1">
        <f t="array" aca="1" ref="G51" ca="1">IFERROR(INDEX(ft_equipes_acs!$C:$C, MATCH(1, (VALUE(LEFT(ft_equipes_acs!$A:$A,6))=VALUE(LEFT(B51,6)))*(ft_equipes_acs!$B:$B=C51), 0)), "")</f>
        <v>-</v>
      </c>
      <c r="H51" cm="1">
        <f t="array" aca="1" ref="H51" ca="1">IFERROR(INDEX(ci_leitos_internacao!$C:$C, MATCH(1, (VALUE(LEFT(ci_leitos_internacao!$A:$A,6))=VALUE(LEFT(B51,6)))*(ci_leitos_internacao!$B:$B=C51), 0)), "")</f>
        <v>4267</v>
      </c>
      <c r="I51" cm="1">
        <f t="array" aca="1" ref="I51" ca="1">IFERROR(INDEX(ci_hospitais_internacao!$C:$C, MATCH(1, (VALUE(LEFT(ci_hospitais_internacao!$A:$A,6))=VALUE(LEFT(B51,6)))*(ci_hospitais_internacao!$B:$B=C51), 0)), "")</f>
        <v>14</v>
      </c>
      <c r="J51" t="str" cm="1">
        <f t="array" aca="1" ref="J51" ca="1">IFERROR(INDEX(ci_pa_clinico!$C:$C, MATCH(1, (VALUE(LEFT(ci_pa_clinico!$A:$A,6))=VALUE(LEFT(B51,6)))*(ci_pa_clinico!$B:$B=C51), 0)), "")</f>
        <v/>
      </c>
      <c r="K51" t="str" cm="1">
        <f t="array" aca="1" ref="K51" ca="1">IFERROR(INDEX(aps_equipes_esf!$C:$C, MATCH(1, (VALUE(LEFT(aps_equipes_esf!$A:$A,6))=VALUE(LEFT(B51,6)))*(aps_equipes_esf!$B:$B=C51), 0)), "")</f>
        <v>-</v>
      </c>
      <c r="L51" cm="1">
        <f t="array" aca="1" ref="L51" ca="1">IFERROR(INDEX(casos!$C:$C, MATCH(1, (VALUE(LEFT(casos!$A:$A,6))=VALUE(LEFT(B51,6)))*(casos!$B:$B=C51), 0)), "")</f>
        <v>234</v>
      </c>
      <c r="M51" cm="1">
        <f t="array" ref="M51">IFERROR(INDEX(srag!$D:$D, MATCH(1, (VALUE(LEFT(srag!$A:$A,6))=VALUE(LEFT(B51,6)))*(srag!$C:$C=C51), 0)), "")</f>
        <v>9607</v>
      </c>
      <c r="N51" cm="1">
        <f t="array" ref="N51">IFERROR(INDEX(fesp!$E:$E, MATCH(1, (VALUE(LEFT(fesp!$A:$A,6))=VALUE(LEFT(B51,6)))*(fesp!$C:$C=C51), 0)), "")</f>
        <v>222</v>
      </c>
      <c r="O51" cm="1">
        <f t="array" ref="O51">IFERROR(INDEX(fesp!$F:$F, MATCH(1, (VALUE(LEFT(fesp!$A:$A,6))=VALUE(LEFT(B51,6)))*(fesp!$C:$C=C51), 0)), "")</f>
        <v>39354</v>
      </c>
      <c r="P51" cm="1">
        <f t="array" ref="P51">IFERROR(INDEX(fesp!$G:$G, MATCH(1, (VALUE(LEFT(fesp!$A:$A,6))=VALUE(LEFT(B51,6)))*(fesp!$C:$C=C51), 0)), "")</f>
        <v>9521892</v>
      </c>
      <c r="Q51" cm="1">
        <f t="array" ref="Q51">IFERROR(INDEX(fesp!$H:$H, MATCH(1, (VALUE(LEFT(fesp!$A:$A,6))=VALUE(LEFT(B51,6)))*(fesp!$C:$C=C51), 0)), "")</f>
        <v>55</v>
      </c>
      <c r="R51" cm="1">
        <f t="array" ref="R51">IFERROR(INDEX(fesp!$I:$I, MATCH(1, (VALUE(LEFT(fesp!$A:$A,6))=VALUE(LEFT(B51,6)))*(fesp!$C:$C=C51), 0)), "")</f>
        <v>115051</v>
      </c>
      <c r="S51" cm="1">
        <f t="array" ref="S51">IFERROR(INDEX(fesp!$J:$J, MATCH(1, (VALUE(LEFT(fesp!$A:$A,6))=VALUE(LEFT(B51,6)))*(fesp!$C:$C=C51), 0)), "")</f>
        <v>206280</v>
      </c>
    </row>
    <row r="52" spans="1:19">
      <c r="A52" s="1" t="s">
        <v>21</v>
      </c>
      <c r="B52" s="3" t="s">
        <v>20</v>
      </c>
      <c r="C52" s="3">
        <v>2021</v>
      </c>
      <c r="D52" cm="1">
        <f t="array" ref="D52">IFERROR(INDEX(fesp!$D:$D, MATCH(1, (VALUE(LEFT(fesp!$A:$A,6))=VALUE(LEFT(B52,6)))*(fesp!$C:$C=C52), 0)), "")</f>
        <v>0</v>
      </c>
      <c r="E52" t="str" cm="1">
        <f t="array" aca="1" ref="E52" ca="1">IFERROR(INDEX(ft_medicos_clinicos!$C:$C, MATCH(1, (VALUE(LEFT(ft_medicos_clinicos!$A:$A,6))=VALUE(LEFT(B52,6)))*(ft_medicos_clinicos!$B:$B=C52), 0)), "")</f>
        <v/>
      </c>
      <c r="F52" t="str" cm="1">
        <f t="array" aca="1" ref="F52" ca="1">IFERROR(INDEX(ft_enfermeiros!$C:$C, MATCH(1, (VALUE(LEFT(ft_enfermeiros!$A:$A,6))=VALUE(LEFT(B52,6)))*(ft_enfermeiros!$B:$B=C52), 0)), "")</f>
        <v/>
      </c>
      <c r="G52" t="str" cm="1">
        <f t="array" aca="1" ref="G52" ca="1">IFERROR(INDEX(ft_equipes_acs!$C:$C, MATCH(1, (VALUE(LEFT(ft_equipes_acs!$A:$A,6))=VALUE(LEFT(B52,6)))*(ft_equipes_acs!$B:$B=C52), 0)), "")</f>
        <v>-</v>
      </c>
      <c r="H52" cm="1">
        <f t="array" aca="1" ref="H52" ca="1">IFERROR(INDEX(ci_leitos_internacao!$C:$C, MATCH(1, (VALUE(LEFT(ci_leitos_internacao!$A:$A,6))=VALUE(LEFT(B52,6)))*(ci_leitos_internacao!$B:$B=C52), 0)), "")</f>
        <v>4110</v>
      </c>
      <c r="I52" cm="1">
        <f t="array" aca="1" ref="I52" ca="1">IFERROR(INDEX(ci_hospitais_internacao!$C:$C, MATCH(1, (VALUE(LEFT(ci_hospitais_internacao!$A:$A,6))=VALUE(LEFT(B52,6)))*(ci_hospitais_internacao!$B:$B=C52), 0)), "")</f>
        <v>15</v>
      </c>
      <c r="J52" t="str" cm="1">
        <f t="array" aca="1" ref="J52" ca="1">IFERROR(INDEX(ci_pa_clinico!$C:$C, MATCH(1, (VALUE(LEFT(ci_pa_clinico!$A:$A,6))=VALUE(LEFT(B52,6)))*(ci_pa_clinico!$B:$B=C52), 0)), "")</f>
        <v/>
      </c>
      <c r="K52" t="str" cm="1">
        <f t="array" aca="1" ref="K52" ca="1">IFERROR(INDEX(aps_equipes_esf!$C:$C, MATCH(1, (VALUE(LEFT(aps_equipes_esf!$A:$A,6))=VALUE(LEFT(B52,6)))*(aps_equipes_esf!$B:$B=C52), 0)), "")</f>
        <v>-</v>
      </c>
      <c r="L52" cm="1">
        <f t="array" aca="1" ref="L52" ca="1">IFERROR(INDEX(casos!$C:$C, MATCH(1, (VALUE(LEFT(casos!$A:$A,6))=VALUE(LEFT(B52,6)))*(casos!$B:$B=C52), 0)), "")</f>
        <v>623</v>
      </c>
      <c r="M52" cm="1">
        <f t="array" ref="M52">IFERROR(INDEX(srag!$D:$D, MATCH(1, (VALUE(LEFT(srag!$A:$A,6))=VALUE(LEFT(B52,6)))*(srag!$C:$C=C52), 0)), "")</f>
        <v>7218</v>
      </c>
      <c r="N52" cm="1">
        <f t="array" ref="N52">IFERROR(INDEX(fesp!$E:$E, MATCH(1, (VALUE(LEFT(fesp!$A:$A,6))=VALUE(LEFT(B52,6)))*(fesp!$C:$C=C52), 0)), "")</f>
        <v>258</v>
      </c>
      <c r="O52" cm="1">
        <f t="array" ref="O52">IFERROR(INDEX(fesp!$F:$F, MATCH(1, (VALUE(LEFT(fesp!$A:$A,6))=VALUE(LEFT(B52,6)))*(fesp!$C:$C=C52), 0)), "")</f>
        <v>49276</v>
      </c>
      <c r="P52" cm="1">
        <f t="array" ref="P52">IFERROR(INDEX(fesp!$G:$G, MATCH(1, (VALUE(LEFT(fesp!$A:$A,6))=VALUE(LEFT(B52,6)))*(fesp!$C:$C=C52), 0)), "")</f>
        <v>12402446</v>
      </c>
      <c r="Q52" cm="1">
        <f t="array" ref="Q52">IFERROR(INDEX(fesp!$H:$H, MATCH(1, (VALUE(LEFT(fesp!$A:$A,6))=VALUE(LEFT(B52,6)))*(fesp!$C:$C=C52), 0)), "")</f>
        <v>54</v>
      </c>
      <c r="R52" cm="1">
        <f t="array" ref="R52">IFERROR(INDEX(fesp!$I:$I, MATCH(1, (VALUE(LEFT(fesp!$A:$A,6))=VALUE(LEFT(B52,6)))*(fesp!$C:$C=C52), 0)), "")</f>
        <v>12424</v>
      </c>
      <c r="S52" cm="1">
        <f t="array" ref="S52">IFERROR(INDEX(fesp!$J:$J, MATCH(1, (VALUE(LEFT(fesp!$A:$A,6))=VALUE(LEFT(B52,6)))*(fesp!$C:$C=C52), 0)), "")</f>
        <v>197719</v>
      </c>
    </row>
    <row r="53" spans="1:19">
      <c r="A53" s="1" t="s">
        <v>21</v>
      </c>
      <c r="B53" s="3" t="s">
        <v>20</v>
      </c>
      <c r="C53" s="3">
        <v>2022</v>
      </c>
      <c r="D53" cm="1">
        <f t="array" ref="D53">IFERROR(INDEX(fesp!$D:$D, MATCH(1, (VALUE(LEFT(fesp!$A:$A,6))=VALUE(LEFT(B53,6)))*(fesp!$C:$C=C53), 0)), "")</f>
        <v>1303403</v>
      </c>
      <c r="E53" t="str" cm="1">
        <f t="array" aca="1" ref="E53" ca="1">IFERROR(INDEX(ft_medicos_clinicos!$C:$C, MATCH(1, (VALUE(LEFT(ft_medicos_clinicos!$A:$A,6))=VALUE(LEFT(B53,6)))*(ft_medicos_clinicos!$B:$B=C53), 0)), "")</f>
        <v/>
      </c>
      <c r="F53" t="str" cm="1">
        <f t="array" aca="1" ref="F53" ca="1">IFERROR(INDEX(ft_enfermeiros!$C:$C, MATCH(1, (VALUE(LEFT(ft_enfermeiros!$A:$A,6))=VALUE(LEFT(B53,6)))*(ft_enfermeiros!$B:$B=C53), 0)), "")</f>
        <v/>
      </c>
      <c r="G53" t="str" cm="1">
        <f t="array" aca="1" ref="G53" ca="1">IFERROR(INDEX(ft_equipes_acs!$C:$C, MATCH(1, (VALUE(LEFT(ft_equipes_acs!$A:$A,6))=VALUE(LEFT(B53,6)))*(ft_equipes_acs!$B:$B=C53), 0)), "")</f>
        <v>-</v>
      </c>
      <c r="H53" cm="1">
        <f t="array" aca="1" ref="H53" ca="1">IFERROR(INDEX(ci_leitos_internacao!$C:$C, MATCH(1, (VALUE(LEFT(ci_leitos_internacao!$A:$A,6))=VALUE(LEFT(B53,6)))*(ci_leitos_internacao!$B:$B=C53), 0)), "")</f>
        <v>3982</v>
      </c>
      <c r="I53" cm="1">
        <f t="array" aca="1" ref="I53" ca="1">IFERROR(INDEX(ci_hospitais_internacao!$C:$C, MATCH(1, (VALUE(LEFT(ci_hospitais_internacao!$A:$A,6))=VALUE(LEFT(B53,6)))*(ci_hospitais_internacao!$B:$B=C53), 0)), "")</f>
        <v>15</v>
      </c>
      <c r="J53" t="str" cm="1">
        <f t="array" aca="1" ref="J53" ca="1">IFERROR(INDEX(ci_pa_clinico!$C:$C, MATCH(1, (VALUE(LEFT(ci_pa_clinico!$A:$A,6))=VALUE(LEFT(B53,6)))*(ci_pa_clinico!$B:$B=C53), 0)), "")</f>
        <v/>
      </c>
      <c r="K53" t="str" cm="1">
        <f t="array" aca="1" ref="K53" ca="1">IFERROR(INDEX(aps_equipes_esf!$C:$C, MATCH(1, (VALUE(LEFT(aps_equipes_esf!$A:$A,6))=VALUE(LEFT(B53,6)))*(aps_equipes_esf!$B:$B=C53), 0)), "")</f>
        <v>-</v>
      </c>
      <c r="L53" cm="1">
        <f t="array" aca="1" ref="L53" ca="1">IFERROR(INDEX(casos!$C:$C, MATCH(1, (VALUE(LEFT(casos!$A:$A,6))=VALUE(LEFT(B53,6)))*(casos!$B:$B=C53), 0)), "")</f>
        <v>260</v>
      </c>
      <c r="M53" cm="1">
        <f t="array" ref="M53">IFERROR(INDEX(srag!$D:$D, MATCH(1, (VALUE(LEFT(srag!$A:$A,6))=VALUE(LEFT(B53,6)))*(srag!$C:$C=C53), 0)), "")</f>
        <v>889</v>
      </c>
      <c r="N53" cm="1">
        <f t="array" ref="N53">IFERROR(INDEX(fesp!$E:$E, MATCH(1, (VALUE(LEFT(fesp!$A:$A,6))=VALUE(LEFT(B53,6)))*(fesp!$C:$C=C53), 0)), "")</f>
        <v>209</v>
      </c>
      <c r="O53" cm="1">
        <f t="array" ref="O53">IFERROR(INDEX(fesp!$F:$F, MATCH(1, (VALUE(LEFT(fesp!$A:$A,6))=VALUE(LEFT(B53,6)))*(fesp!$C:$C=C53), 0)), "")</f>
        <v>49828</v>
      </c>
      <c r="P53" cm="1">
        <f t="array" ref="P53">IFERROR(INDEX(fesp!$G:$G, MATCH(1, (VALUE(LEFT(fesp!$A:$A,6))=VALUE(LEFT(B53,6)))*(fesp!$C:$C=C53), 0)), "")</f>
        <v>13041341</v>
      </c>
      <c r="Q53" cm="1">
        <f t="array" ref="Q53">IFERROR(INDEX(fesp!$H:$H, MATCH(1, (VALUE(LEFT(fesp!$A:$A,6))=VALUE(LEFT(B53,6)))*(fesp!$C:$C=C53), 0)), "")</f>
        <v>124</v>
      </c>
      <c r="R53" cm="1">
        <f t="array" ref="R53">IFERROR(INDEX(fesp!$I:$I, MATCH(1, (VALUE(LEFT(fesp!$A:$A,6))=VALUE(LEFT(B53,6)))*(fesp!$C:$C=C53), 0)), "")</f>
        <v>5040</v>
      </c>
      <c r="S53" cm="1">
        <f t="array" ref="S53">IFERROR(INDEX(fesp!$J:$J, MATCH(1, (VALUE(LEFT(fesp!$A:$A,6))=VALUE(LEFT(B53,6)))*(fesp!$C:$C=C53), 0)), "")</f>
        <v>57399</v>
      </c>
    </row>
    <row r="54" spans="1:19">
      <c r="A54" s="1" t="s">
        <v>21</v>
      </c>
      <c r="B54" s="3" t="s">
        <v>20</v>
      </c>
      <c r="C54" s="3">
        <v>2023</v>
      </c>
      <c r="D54" cm="1">
        <f t="array" ref="D54">IFERROR(INDEX(fesp!$D:$D, MATCH(1, (VALUE(LEFT(fesp!$A:$A,6))=VALUE(LEFT(B54,6)))*(fesp!$C:$C=C54), 0)), "")</f>
        <v>0</v>
      </c>
      <c r="E54" t="str" cm="1">
        <f t="array" aca="1" ref="E54" ca="1">IFERROR(INDEX(ft_medicos_clinicos!$C:$C, MATCH(1, (VALUE(LEFT(ft_medicos_clinicos!$A:$A,6))=VALUE(LEFT(B54,6)))*(ft_medicos_clinicos!$B:$B=C54), 0)), "")</f>
        <v/>
      </c>
      <c r="F54" t="str" cm="1">
        <f t="array" aca="1" ref="F54" ca="1">IFERROR(INDEX(ft_enfermeiros!$C:$C, MATCH(1, (VALUE(LEFT(ft_enfermeiros!$A:$A,6))=VALUE(LEFT(B54,6)))*(ft_enfermeiros!$B:$B=C54), 0)), "")</f>
        <v/>
      </c>
      <c r="G54" t="str" cm="1">
        <f t="array" aca="1" ref="G54" ca="1">IFERROR(INDEX(ft_equipes_acs!$C:$C, MATCH(1, (VALUE(LEFT(ft_equipes_acs!$A:$A,6))=VALUE(LEFT(B54,6)))*(ft_equipes_acs!$B:$B=C54), 0)), "")</f>
        <v>-</v>
      </c>
      <c r="H54" cm="1">
        <f t="array" aca="1" ref="H54" ca="1">IFERROR(INDEX(ci_leitos_internacao!$C:$C, MATCH(1, (VALUE(LEFT(ci_leitos_internacao!$A:$A,6))=VALUE(LEFT(B54,6)))*(ci_leitos_internacao!$B:$B=C54), 0)), "")</f>
        <v>3663</v>
      </c>
      <c r="I54" cm="1">
        <f t="array" aca="1" ref="I54" ca="1">IFERROR(INDEX(ci_hospitais_internacao!$C:$C, MATCH(1, (VALUE(LEFT(ci_hospitais_internacao!$A:$A,6))=VALUE(LEFT(B54,6)))*(ci_hospitais_internacao!$B:$B=C54), 0)), "")</f>
        <v>13</v>
      </c>
      <c r="J54" t="str" cm="1">
        <f t="array" aca="1" ref="J54" ca="1">IFERROR(INDEX(ci_pa_clinico!$C:$C, MATCH(1, (VALUE(LEFT(ci_pa_clinico!$A:$A,6))=VALUE(LEFT(B54,6)))*(ci_pa_clinico!$B:$B=C54), 0)), "")</f>
        <v/>
      </c>
      <c r="K54" t="str" cm="1">
        <f t="array" aca="1" ref="K54" ca="1">IFERROR(INDEX(aps_equipes_esf!$C:$C, MATCH(1, (VALUE(LEFT(aps_equipes_esf!$A:$A,6))=VALUE(LEFT(B54,6)))*(aps_equipes_esf!$B:$B=C54), 0)), "")</f>
        <v>-</v>
      </c>
      <c r="L54" cm="1">
        <f t="array" aca="1" ref="L54" ca="1">IFERROR(INDEX(casos!$C:$C, MATCH(1, (VALUE(LEFT(casos!$A:$A,6))=VALUE(LEFT(B54,6)))*(casos!$B:$B=C54), 0)), "")</f>
        <v>481</v>
      </c>
      <c r="M54" cm="1">
        <f t="array" ref="M54">IFERROR(INDEX(srag!$D:$D, MATCH(1, (VALUE(LEFT(srag!$A:$A,6))=VALUE(LEFT(B54,6)))*(srag!$C:$C=C54), 0)), "")</f>
        <v>831</v>
      </c>
      <c r="N54" cm="1">
        <f t="array" ref="N54">IFERROR(INDEX(fesp!$E:$E, MATCH(1, (VALUE(LEFT(fesp!$A:$A,6))=VALUE(LEFT(B54,6)))*(fesp!$C:$C=C54), 0)), "")</f>
        <v>549</v>
      </c>
      <c r="O54" cm="1">
        <f t="array" ref="O54">IFERROR(INDEX(fesp!$F:$F, MATCH(1, (VALUE(LEFT(fesp!$A:$A,6))=VALUE(LEFT(B54,6)))*(fesp!$C:$C=C54), 0)), "")</f>
        <v>46903</v>
      </c>
      <c r="P54" cm="1">
        <f t="array" ref="P54">IFERROR(INDEX(fesp!$G:$G, MATCH(1, (VALUE(LEFT(fesp!$A:$A,6))=VALUE(LEFT(B54,6)))*(fesp!$C:$C=C54), 0)), "")</f>
        <v>13345414</v>
      </c>
      <c r="Q54" cm="1">
        <f t="array" ref="Q54">IFERROR(INDEX(fesp!$H:$H, MATCH(1, (VALUE(LEFT(fesp!$A:$A,6))=VALUE(LEFT(B54,6)))*(fesp!$C:$C=C54), 0)), "")</f>
        <v>288</v>
      </c>
      <c r="R54" cm="1">
        <f t="array" ref="R54">IFERROR(INDEX(fesp!$I:$I, MATCH(1, (VALUE(LEFT(fesp!$A:$A,6))=VALUE(LEFT(B54,6)))*(fesp!$C:$C=C54), 0)), "")</f>
        <v>4654</v>
      </c>
      <c r="S54" cm="1">
        <f t="array" ref="S54">IFERROR(INDEX(fesp!$J:$J, MATCH(1, (VALUE(LEFT(fesp!$A:$A,6))=VALUE(LEFT(B54,6)))*(fesp!$C:$C=C54), 0)), "")</f>
        <v>34417</v>
      </c>
    </row>
    <row r="55" spans="1:19">
      <c r="A55" s="1" t="s">
        <v>21</v>
      </c>
      <c r="B55" s="3" t="s">
        <v>20</v>
      </c>
      <c r="C55" s="3">
        <v>2024</v>
      </c>
      <c r="D55" cm="1">
        <f t="array" ref="D55">IFERROR(INDEX(fesp!$D:$D, MATCH(1, (VALUE(LEFT(fesp!$A:$A,6))=VALUE(LEFT(B55,6)))*(fesp!$C:$C=C55), 0)), "")</f>
        <v>0</v>
      </c>
      <c r="E55" t="str" cm="1">
        <f t="array" aca="1" ref="E55" ca="1">IFERROR(INDEX(ft_medicos_clinicos!$C:$C, MATCH(1, (VALUE(LEFT(ft_medicos_clinicos!$A:$A,6))=VALUE(LEFT(B55,6)))*(ft_medicos_clinicos!$B:$B=C55), 0)), "")</f>
        <v/>
      </c>
      <c r="F55" t="str" cm="1">
        <f t="array" aca="1" ref="F55" ca="1">IFERROR(INDEX(ft_enfermeiros!$C:$C, MATCH(1, (VALUE(LEFT(ft_enfermeiros!$A:$A,6))=VALUE(LEFT(B55,6)))*(ft_enfermeiros!$B:$B=C55), 0)), "")</f>
        <v/>
      </c>
      <c r="G55" t="str" cm="1">
        <f t="array" aca="1" ref="G55" ca="1">IFERROR(INDEX(ft_equipes_acs!$C:$C, MATCH(1, (VALUE(LEFT(ft_equipes_acs!$A:$A,6))=VALUE(LEFT(B55,6)))*(ft_equipes_acs!$B:$B=C55), 0)), "")</f>
        <v>-</v>
      </c>
      <c r="H55" cm="1">
        <f t="array" aca="1" ref="H55" ca="1">IFERROR(INDEX(ci_leitos_internacao!$C:$C, MATCH(1, (VALUE(LEFT(ci_leitos_internacao!$A:$A,6))=VALUE(LEFT(B55,6)))*(ci_leitos_internacao!$B:$B=C55), 0)), "")</f>
        <v>4175</v>
      </c>
      <c r="I55" cm="1">
        <f t="array" aca="1" ref="I55" ca="1">IFERROR(INDEX(ci_hospitais_internacao!$C:$C, MATCH(1, (VALUE(LEFT(ci_hospitais_internacao!$A:$A,6))=VALUE(LEFT(B55,6)))*(ci_hospitais_internacao!$B:$B=C55), 0)), "")</f>
        <v>14</v>
      </c>
      <c r="J55" t="str" cm="1">
        <f t="array" aca="1" ref="J55" ca="1">IFERROR(INDEX(ci_pa_clinico!$C:$C, MATCH(1, (VALUE(LEFT(ci_pa_clinico!$A:$A,6))=VALUE(LEFT(B55,6)))*(ci_pa_clinico!$B:$B=C55), 0)), "")</f>
        <v/>
      </c>
      <c r="K55" t="str" cm="1">
        <f t="array" aca="1" ref="K55" ca="1">IFERROR(INDEX(aps_equipes_esf!$C:$C, MATCH(1, (VALUE(LEFT(aps_equipes_esf!$A:$A,6))=VALUE(LEFT(B55,6)))*(aps_equipes_esf!$B:$B=C55), 0)), "")</f>
        <v>-</v>
      </c>
      <c r="L55" cm="1">
        <f t="array" aca="1" ref="L55" ca="1">IFERROR(INDEX(casos!$C:$C, MATCH(1, (VALUE(LEFT(casos!$A:$A,6))=VALUE(LEFT(B55,6)))*(casos!$B:$B=C55), 0)), "")</f>
        <v>3349</v>
      </c>
      <c r="M55" cm="1">
        <f t="array" ref="M55">IFERROR(INDEX(srag!$D:$D, MATCH(1, (VALUE(LEFT(srag!$A:$A,6))=VALUE(LEFT(B55,6)))*(srag!$C:$C=C55), 0)), "")</f>
        <v>1172</v>
      </c>
      <c r="N55" cm="1">
        <f t="array" ref="N55">IFERROR(INDEX(fesp!$E:$E, MATCH(1, (VALUE(LEFT(fesp!$A:$A,6))=VALUE(LEFT(B55,6)))*(fesp!$C:$C=C55), 0)), "")</f>
        <v>1319</v>
      </c>
      <c r="O55" cm="1">
        <f t="array" ref="O55">IFERROR(INDEX(fesp!$F:$F, MATCH(1, (VALUE(LEFT(fesp!$A:$A,6))=VALUE(LEFT(B55,6)))*(fesp!$C:$C=C55), 0)), "")</f>
        <v>47864</v>
      </c>
      <c r="P55" cm="1">
        <f t="array" ref="P55">IFERROR(INDEX(fesp!$G:$G, MATCH(1, (VALUE(LEFT(fesp!$A:$A,6))=VALUE(LEFT(B55,6)))*(fesp!$C:$C=C55), 0)), "")</f>
        <v>13992050</v>
      </c>
      <c r="Q55" cm="1">
        <f t="array" ref="Q55">IFERROR(INDEX(fesp!$H:$H, MATCH(1, (VALUE(LEFT(fesp!$A:$A,6))=VALUE(LEFT(B55,6)))*(fesp!$C:$C=C55), 0)), "")</f>
        <v>956</v>
      </c>
      <c r="R55" cm="1">
        <f t="array" ref="R55">IFERROR(INDEX(fesp!$I:$I, MATCH(1, (VALUE(LEFT(fesp!$A:$A,6))=VALUE(LEFT(B55,6)))*(fesp!$C:$C=C55), 0)), "")</f>
        <v>4903</v>
      </c>
      <c r="S55" cm="1">
        <f t="array" ref="S55">IFERROR(INDEX(fesp!$J:$J, MATCH(1, (VALUE(LEFT(fesp!$A:$A,6))=VALUE(LEFT(B55,6)))*(fesp!$C:$C=C55), 0)), "")</f>
        <v>22702</v>
      </c>
    </row>
    <row r="56" spans="1:19">
      <c r="A56" s="1" t="s">
        <v>21</v>
      </c>
      <c r="B56" s="3" t="s">
        <v>20</v>
      </c>
      <c r="C56" s="3">
        <v>2025</v>
      </c>
      <c r="D56" cm="1">
        <f t="array" ref="D56">IFERROR(INDEX(fesp!$D:$D, MATCH(1, (VALUE(LEFT(fesp!$A:$A,6))=VALUE(LEFT(B56,6)))*(fesp!$C:$C=C56), 0)), "")</f>
        <v>0</v>
      </c>
      <c r="E56" t="str" cm="1">
        <f t="array" aca="1" ref="E56" ca="1">IFERROR(INDEX(ft_medicos_clinicos!$C:$C, MATCH(1, (VALUE(LEFT(ft_medicos_clinicos!$A:$A,6))=VALUE(LEFT(B56,6)))*(ft_medicos_clinicos!$B:$B=C56), 0)), "")</f>
        <v/>
      </c>
      <c r="F56" t="str" cm="1">
        <f t="array" aca="1" ref="F56" ca="1">IFERROR(INDEX(ft_enfermeiros!$C:$C, MATCH(1, (VALUE(LEFT(ft_enfermeiros!$A:$A,6))=VALUE(LEFT(B56,6)))*(ft_enfermeiros!$B:$B=C56), 0)), "")</f>
        <v/>
      </c>
      <c r="G56" t="str" cm="1">
        <f t="array" aca="1" ref="G56" ca="1">IFERROR(INDEX(ft_equipes_acs!$C:$C, MATCH(1, (VALUE(LEFT(ft_equipes_acs!$A:$A,6))=VALUE(LEFT(B56,6)))*(ft_equipes_acs!$B:$B=C56), 0)), "")</f>
        <v>-</v>
      </c>
      <c r="H56" cm="1">
        <f t="array" aca="1" ref="H56" ca="1">IFERROR(INDEX(ci_leitos_internacao!$C:$C, MATCH(1, (VALUE(LEFT(ci_leitos_internacao!$A:$A,6))=VALUE(LEFT(B56,6)))*(ci_leitos_internacao!$B:$B=C56), 0)), "")</f>
        <v>4533</v>
      </c>
      <c r="I56" cm="1">
        <f t="array" aca="1" ref="I56" ca="1">IFERROR(INDEX(ci_hospitais_internacao!$C:$C, MATCH(1, (VALUE(LEFT(ci_hospitais_internacao!$A:$A,6))=VALUE(LEFT(B56,6)))*(ci_hospitais_internacao!$B:$B=C56), 0)), "")</f>
        <v>15</v>
      </c>
      <c r="J56" t="str" cm="1">
        <f t="array" aca="1" ref="J56" ca="1">IFERROR(INDEX(ci_pa_clinico!$C:$C, MATCH(1, (VALUE(LEFT(ci_pa_clinico!$A:$A,6))=VALUE(LEFT(B56,6)))*(ci_pa_clinico!$B:$B=C56), 0)), "")</f>
        <v/>
      </c>
      <c r="K56" t="str" cm="1">
        <f t="array" aca="1" ref="K56" ca="1">IFERROR(INDEX(aps_equipes_esf!$C:$C, MATCH(1, (VALUE(LEFT(aps_equipes_esf!$A:$A,6))=VALUE(LEFT(B56,6)))*(aps_equipes_esf!$B:$B=C56), 0)), "")</f>
        <v>-</v>
      </c>
      <c r="L56" cm="1">
        <f t="array" aca="1" ref="L56" ca="1">IFERROR(INDEX(casos!$C:$C, MATCH(1, (VALUE(LEFT(casos!$A:$A,6))=VALUE(LEFT(B56,6)))*(casos!$B:$B=C56), 0)), "")</f>
        <v>1034</v>
      </c>
      <c r="M56" cm="1">
        <f t="array" ref="M56">IFERROR(INDEX(srag!$D:$D, MATCH(1, (VALUE(LEFT(srag!$A:$A,6))=VALUE(LEFT(B56,6)))*(srag!$C:$C=C56), 0)), "")</f>
        <v>1440</v>
      </c>
      <c r="N56" cm="1">
        <f t="array" ref="N56">IFERROR(INDEX(fesp!$E:$E, MATCH(1, (VALUE(LEFT(fesp!$A:$A,6))=VALUE(LEFT(B56,6)))*(fesp!$C:$C=C56), 0)), "")</f>
        <v>1086</v>
      </c>
      <c r="O56" cm="1">
        <f t="array" ref="O56">IFERROR(INDEX(fesp!$F:$F, MATCH(1, (VALUE(LEFT(fesp!$A:$A,6))=VALUE(LEFT(B56,6)))*(fesp!$C:$C=C56), 0)), "")</f>
        <v>30550</v>
      </c>
      <c r="P56" cm="1">
        <f t="array" ref="P56">IFERROR(INDEX(fesp!$G:$G, MATCH(1, (VALUE(LEFT(fesp!$A:$A,6))=VALUE(LEFT(B56,6)))*(fesp!$C:$C=C56), 0)), "")</f>
        <v>11751854</v>
      </c>
      <c r="Q56" cm="1">
        <f t="array" ref="Q56">IFERROR(INDEX(fesp!$H:$H, MATCH(1, (VALUE(LEFT(fesp!$A:$A,6))=VALUE(LEFT(B56,6)))*(fesp!$C:$C=C56), 0)), "")</f>
        <v>925</v>
      </c>
      <c r="R56" cm="1">
        <f t="array" ref="R56">IFERROR(INDEX(fesp!$I:$I, MATCH(1, (VALUE(LEFT(fesp!$A:$A,6))=VALUE(LEFT(B56,6)))*(fesp!$C:$C=C56), 0)), "")</f>
        <v>5081</v>
      </c>
      <c r="S56" cm="1">
        <f t="array" ref="S56">IFERROR(INDEX(fesp!$J:$J, MATCH(1, (VALUE(LEFT(fesp!$A:$A,6))=VALUE(LEFT(B56,6)))*(fesp!$C:$C=C56), 0)), "")</f>
        <v>12764</v>
      </c>
    </row>
    <row r="57" spans="1:19">
      <c r="A57" s="1" t="s">
        <v>97</v>
      </c>
      <c r="B57" s="3">
        <v>1600303</v>
      </c>
      <c r="C57" s="3">
        <v>2015</v>
      </c>
      <c r="D57" cm="1">
        <f t="array" ref="D57">IFERROR(INDEX(fesp!$D:$D, MATCH(1, (VALUE(LEFT(fesp!$A:$A,6))=VALUE(LEFT(B57,6)))*(fesp!$C:$C=C57), 0)), "")</f>
        <v>456171</v>
      </c>
      <c r="E57" cm="1">
        <f t="array" aca="1" ref="E57" ca="1">IFERROR(INDEX(ft_medicos_clinicos!$C:$C, MATCH(1, (VALUE(LEFT(ft_medicos_clinicos!$A:$A,6))=VALUE(LEFT(B57,6)))*(ft_medicos_clinicos!$B:$B=C57), 0)), "")</f>
        <v>137</v>
      </c>
      <c r="F57" cm="1">
        <f t="array" aca="1" ref="F57" ca="1">IFERROR(INDEX(ft_enfermeiros!$C:$C, MATCH(1, (VALUE(LEFT(ft_enfermeiros!$A:$A,6))=VALUE(LEFT(B57,6)))*(ft_enfermeiros!$B:$B=C57), 0)), "")</f>
        <v>435</v>
      </c>
      <c r="G57" t="str" cm="1">
        <f t="array" aca="1" ref="G57" ca="1">IFERROR(INDEX(ft_equipes_acs!$C:$C, MATCH(1, (VALUE(LEFT(ft_equipes_acs!$A:$A,6))=VALUE(LEFT(B57,6)))*(ft_equipes_acs!$B:$B=C57), 0)), "")</f>
        <v>-</v>
      </c>
      <c r="H57" cm="1">
        <f t="array" aca="1" ref="H57" ca="1">IFERROR(INDEX(ci_leitos_internacao!$C:$C, MATCH(1, (VALUE(LEFT(ci_leitos_internacao!$A:$A,6))=VALUE(LEFT(B57,6)))*(ci_leitos_internacao!$B:$B=C57), 0)), "")</f>
        <v>764</v>
      </c>
      <c r="I57" cm="1">
        <f t="array" aca="1" ref="I57" ca="1">IFERROR(INDEX(ci_hospitais_internacao!$C:$C, MATCH(1, (VALUE(LEFT(ci_hospitais_internacao!$A:$A,6))=VALUE(LEFT(B57,6)))*(ci_hospitais_internacao!$B:$B=C57), 0)), "")</f>
        <v>2</v>
      </c>
      <c r="J57" cm="1">
        <f t="array" aca="1" ref="J57" ca="1">IFERROR(INDEX(ci_pa_clinico!$C:$C, MATCH(1, (VALUE(LEFT(ci_pa_clinico!$A:$A,6))=VALUE(LEFT(B57,6)))*(ci_pa_clinico!$B:$B=C57), 0)), "")</f>
        <v>3</v>
      </c>
      <c r="K57" cm="1">
        <f t="array" aca="1" ref="K57" ca="1">IFERROR(INDEX(aps_equipes_esf!$C:$C, MATCH(1, (VALUE(LEFT(aps_equipes_esf!$A:$A,6))=VALUE(LEFT(B57,6)))*(aps_equipes_esf!$B:$B=C57), 0)), "")</f>
        <v>55</v>
      </c>
      <c r="L57" cm="1">
        <f t="array" aca="1" ref="L57" ca="1">IFERROR(INDEX(casos!$C:$C, MATCH(1, (VALUE(LEFT(casos!$A:$A,6))=VALUE(LEFT(B57,6)))*(casos!$B:$B=C57), 0)), "")</f>
        <v>1605</v>
      </c>
      <c r="M57" cm="1">
        <f t="array" ref="M57">IFERROR(INDEX(srag!$D:$D, MATCH(1, (VALUE(LEFT(srag!$A:$A,6))=VALUE(LEFT(B57,6)))*(srag!$C:$C=C57), 0)), "")</f>
        <v>4</v>
      </c>
      <c r="N57" cm="1">
        <f t="array" ref="N57">IFERROR(INDEX(fesp!$E:$E, MATCH(1, (VALUE(LEFT(fesp!$A:$A,6))=VALUE(LEFT(B57,6)))*(fesp!$C:$C=C57), 0)), "")</f>
        <v>117</v>
      </c>
      <c r="O57" cm="1">
        <f t="array" ref="O57">IFERROR(INDEX(fesp!$F:$F, MATCH(1, (VALUE(LEFT(fesp!$A:$A,6))=VALUE(LEFT(B57,6)))*(fesp!$C:$C=C57), 0)), "")</f>
        <v>47</v>
      </c>
      <c r="P57" cm="1">
        <f t="array" ref="P57">IFERROR(INDEX(fesp!$G:$G, MATCH(1, (VALUE(LEFT(fesp!$A:$A,6))=VALUE(LEFT(B57,6)))*(fesp!$C:$C=C57), 0)), "")</f>
        <v>1205797</v>
      </c>
      <c r="Q57" cm="1">
        <f t="array" ref="Q57">IFERROR(INDEX(fesp!$H:$H, MATCH(1, (VALUE(LEFT(fesp!$A:$A,6))=VALUE(LEFT(B57,6)))*(fesp!$C:$C=C57), 0)), "")</f>
        <v>17</v>
      </c>
      <c r="R57" cm="1">
        <f t="array" ref="R57">IFERROR(INDEX(fesp!$I:$I, MATCH(1, (VALUE(LEFT(fesp!$A:$A,6))=VALUE(LEFT(B57,6)))*(fesp!$C:$C=C57), 0)), "")</f>
        <v>31369</v>
      </c>
      <c r="S57" cm="1">
        <f t="array" ref="S57">IFERROR(INDEX(fesp!$J:$J, MATCH(1, (VALUE(LEFT(fesp!$A:$A,6))=VALUE(LEFT(B57,6)))*(fesp!$C:$C=C57), 0)), "")</f>
        <v>212659</v>
      </c>
    </row>
    <row r="58" spans="1:19">
      <c r="A58" s="1" t="s">
        <v>97</v>
      </c>
      <c r="B58" s="3">
        <v>1600303</v>
      </c>
      <c r="C58" s="3">
        <v>2016</v>
      </c>
      <c r="D58" cm="1">
        <f t="array" ref="D58">IFERROR(INDEX(fesp!$D:$D, MATCH(1, (VALUE(LEFT(fesp!$A:$A,6))=VALUE(LEFT(B58,6)))*(fesp!$C:$C=C58), 0)), "")</f>
        <v>0</v>
      </c>
      <c r="E58" cm="1">
        <f t="array" aca="1" ref="E58" ca="1">IFERROR(INDEX(ft_medicos_clinicos!$C:$C, MATCH(1, (VALUE(LEFT(ft_medicos_clinicos!$A:$A,6))=VALUE(LEFT(B58,6)))*(ft_medicos_clinicos!$B:$B=C58), 0)), "")</f>
        <v>155</v>
      </c>
      <c r="F58" cm="1">
        <f t="array" aca="1" ref="F58" ca="1">IFERROR(INDEX(ft_enfermeiros!$C:$C, MATCH(1, (VALUE(LEFT(ft_enfermeiros!$A:$A,6))=VALUE(LEFT(B58,6)))*(ft_enfermeiros!$B:$B=C58), 0)), "")</f>
        <v>446</v>
      </c>
      <c r="G58" t="str" cm="1">
        <f t="array" aca="1" ref="G58" ca="1">IFERROR(INDEX(ft_equipes_acs!$C:$C, MATCH(1, (VALUE(LEFT(ft_equipes_acs!$A:$A,6))=VALUE(LEFT(B58,6)))*(ft_equipes_acs!$B:$B=C58), 0)), "")</f>
        <v>-</v>
      </c>
      <c r="H58" cm="1">
        <f t="array" aca="1" ref="H58" ca="1">IFERROR(INDEX(ci_leitos_internacao!$C:$C, MATCH(1, (VALUE(LEFT(ci_leitos_internacao!$A:$A,6))=VALUE(LEFT(B58,6)))*(ci_leitos_internacao!$B:$B=C58), 0)), "")</f>
        <v>764</v>
      </c>
      <c r="I58" cm="1">
        <f t="array" aca="1" ref="I58" ca="1">IFERROR(INDEX(ci_hospitais_internacao!$C:$C, MATCH(1, (VALUE(LEFT(ci_hospitais_internacao!$A:$A,6))=VALUE(LEFT(B58,6)))*(ci_hospitais_internacao!$B:$B=C58), 0)), "")</f>
        <v>2</v>
      </c>
      <c r="J58" cm="1">
        <f t="array" aca="1" ref="J58" ca="1">IFERROR(INDEX(ci_pa_clinico!$C:$C, MATCH(1, (VALUE(LEFT(ci_pa_clinico!$A:$A,6))=VALUE(LEFT(B58,6)))*(ci_pa_clinico!$B:$B=C58), 0)), "")</f>
        <v>3</v>
      </c>
      <c r="K58" cm="1">
        <f t="array" aca="1" ref="K58" ca="1">IFERROR(INDEX(aps_equipes_esf!$C:$C, MATCH(1, (VALUE(LEFT(aps_equipes_esf!$A:$A,6))=VALUE(LEFT(B58,6)))*(aps_equipes_esf!$B:$B=C58), 0)), "")</f>
        <v>49</v>
      </c>
      <c r="L58" cm="1">
        <f t="array" aca="1" ref="L58" ca="1">IFERROR(INDEX(casos!$C:$C, MATCH(1, (VALUE(LEFT(casos!$A:$A,6))=VALUE(LEFT(B58,6)))*(casos!$B:$B=C58), 0)), "")</f>
        <v>953</v>
      </c>
      <c r="M58" cm="1">
        <f t="array" ref="M58">IFERROR(INDEX(srag!$D:$D, MATCH(1, (VALUE(LEFT(srag!$A:$A,6))=VALUE(LEFT(B58,6)))*(srag!$C:$C=C58), 0)), "")</f>
        <v>27</v>
      </c>
      <c r="N58" cm="1">
        <f t="array" ref="N58">IFERROR(INDEX(fesp!$E:$E, MATCH(1, (VALUE(LEFT(fesp!$A:$A,6))=VALUE(LEFT(B58,6)))*(fesp!$C:$C=C58), 0)), "")</f>
        <v>96</v>
      </c>
      <c r="O58" cm="1">
        <f t="array" ref="O58">IFERROR(INDEX(fesp!$F:$F, MATCH(1, (VALUE(LEFT(fesp!$A:$A,6))=VALUE(LEFT(B58,6)))*(fesp!$C:$C=C58), 0)), "")</f>
        <v>33</v>
      </c>
      <c r="P58" cm="1">
        <f t="array" ref="P58">IFERROR(INDEX(fesp!$G:$G, MATCH(1, (VALUE(LEFT(fesp!$A:$A,6))=VALUE(LEFT(B58,6)))*(fesp!$C:$C=C58), 0)), "")</f>
        <v>1548729</v>
      </c>
      <c r="Q58" cm="1">
        <f t="array" ref="Q58">IFERROR(INDEX(fesp!$H:$H, MATCH(1, (VALUE(LEFT(fesp!$A:$A,6))=VALUE(LEFT(B58,6)))*(fesp!$C:$C=C58), 0)), "")</f>
        <v>7</v>
      </c>
      <c r="R58" cm="1">
        <f t="array" ref="R58">IFERROR(INDEX(fesp!$I:$I, MATCH(1, (VALUE(LEFT(fesp!$A:$A,6))=VALUE(LEFT(B58,6)))*(fesp!$C:$C=C58), 0)), "")</f>
        <v>46752</v>
      </c>
      <c r="S58" cm="1">
        <f t="array" ref="S58">IFERROR(INDEX(fesp!$J:$J, MATCH(1, (VALUE(LEFT(fesp!$A:$A,6))=VALUE(LEFT(B58,6)))*(fesp!$C:$C=C58), 0)), "")</f>
        <v>279536</v>
      </c>
    </row>
    <row r="59" spans="1:19">
      <c r="A59" s="1" t="s">
        <v>97</v>
      </c>
      <c r="B59" s="3" t="s">
        <v>96</v>
      </c>
      <c r="C59" s="3">
        <v>2017</v>
      </c>
      <c r="D59" cm="1">
        <f t="array" ref="D59">IFERROR(INDEX(fesp!$D:$D, MATCH(1, (VALUE(LEFT(fesp!$A:$A,6))=VALUE(LEFT(B59,6)))*(fesp!$C:$C=C59), 0)), "")</f>
        <v>0</v>
      </c>
      <c r="E59" cm="1">
        <f t="array" aca="1" ref="E59" ca="1">IFERROR(INDEX(ft_medicos_clinicos!$C:$C, MATCH(1, (VALUE(LEFT(ft_medicos_clinicos!$A:$A,6))=VALUE(LEFT(B59,6)))*(ft_medicos_clinicos!$B:$B=C59), 0)), "")</f>
        <v>146</v>
      </c>
      <c r="F59" cm="1">
        <f t="array" aca="1" ref="F59" ca="1">IFERROR(INDEX(ft_enfermeiros!$C:$C, MATCH(1, (VALUE(LEFT(ft_enfermeiros!$A:$A,6))=VALUE(LEFT(B59,6)))*(ft_enfermeiros!$B:$B=C59), 0)), "")</f>
        <v>489</v>
      </c>
      <c r="G59" t="str" cm="1">
        <f t="array" aca="1" ref="G59" ca="1">IFERROR(INDEX(ft_equipes_acs!$C:$C, MATCH(1, (VALUE(LEFT(ft_equipes_acs!$A:$A,6))=VALUE(LEFT(B59,6)))*(ft_equipes_acs!$B:$B=C59), 0)), "")</f>
        <v>-</v>
      </c>
      <c r="H59" cm="1">
        <f t="array" aca="1" ref="H59" ca="1">IFERROR(INDEX(ci_leitos_internacao!$C:$C, MATCH(1, (VALUE(LEFT(ci_leitos_internacao!$A:$A,6))=VALUE(LEFT(B59,6)))*(ci_leitos_internacao!$B:$B=C59), 0)), "")</f>
        <v>743</v>
      </c>
      <c r="I59" cm="1">
        <f t="array" aca="1" ref="I59" ca="1">IFERROR(INDEX(ci_hospitais_internacao!$C:$C, MATCH(1, (VALUE(LEFT(ci_hospitais_internacao!$A:$A,6))=VALUE(LEFT(B59,6)))*(ci_hospitais_internacao!$B:$B=C59), 0)), "")</f>
        <v>2</v>
      </c>
      <c r="J59" cm="1">
        <f t="array" aca="1" ref="J59" ca="1">IFERROR(INDEX(ci_pa_clinico!$C:$C, MATCH(1, (VALUE(LEFT(ci_pa_clinico!$A:$A,6))=VALUE(LEFT(B59,6)))*(ci_pa_clinico!$B:$B=C59), 0)), "")</f>
        <v>2</v>
      </c>
      <c r="K59" cm="1">
        <f t="array" aca="1" ref="K59" ca="1">IFERROR(INDEX(aps_equipes_esf!$C:$C, MATCH(1, (VALUE(LEFT(aps_equipes_esf!$A:$A,6))=VALUE(LEFT(B59,6)))*(aps_equipes_esf!$B:$B=C59), 0)), "")</f>
        <v>22</v>
      </c>
      <c r="L59" cm="1">
        <f t="array" aca="1" ref="L59" ca="1">IFERROR(INDEX(casos!$C:$C, MATCH(1, (VALUE(LEFT(casos!$A:$A,6))=VALUE(LEFT(B59,6)))*(casos!$B:$B=C59), 0)), "")</f>
        <v>386</v>
      </c>
      <c r="M59" cm="1">
        <f t="array" ref="M59">IFERROR(INDEX(srag!$D:$D, MATCH(1, (VALUE(LEFT(srag!$A:$A,6))=VALUE(LEFT(B59,6)))*(srag!$C:$C=C59), 0)), "")</f>
        <v>9</v>
      </c>
      <c r="N59" cm="1">
        <f t="array" ref="N59">IFERROR(INDEX(fesp!$E:$E, MATCH(1, (VALUE(LEFT(fesp!$A:$A,6))=VALUE(LEFT(B59,6)))*(fesp!$C:$C=C59), 0)), "")</f>
        <v>68</v>
      </c>
      <c r="O59" cm="1">
        <f t="array" ref="O59">IFERROR(INDEX(fesp!$F:$F, MATCH(1, (VALUE(LEFT(fesp!$A:$A,6))=VALUE(LEFT(B59,6)))*(fesp!$C:$C=C59), 0)), "")</f>
        <v>96</v>
      </c>
      <c r="P59" cm="1">
        <f t="array" ref="P59">IFERROR(INDEX(fesp!$G:$G, MATCH(1, (VALUE(LEFT(fesp!$A:$A,6))=VALUE(LEFT(B59,6)))*(fesp!$C:$C=C59), 0)), "")</f>
        <v>967526</v>
      </c>
      <c r="Q59" cm="1">
        <f t="array" ref="Q59">IFERROR(INDEX(fesp!$H:$H, MATCH(1, (VALUE(LEFT(fesp!$A:$A,6))=VALUE(LEFT(B59,6)))*(fesp!$C:$C=C59), 0)), "")</f>
        <v>4</v>
      </c>
      <c r="R59" cm="1">
        <f t="array" ref="R59">IFERROR(INDEX(fesp!$I:$I, MATCH(1, (VALUE(LEFT(fesp!$A:$A,6))=VALUE(LEFT(B59,6)))*(fesp!$C:$C=C59), 0)), "")</f>
        <v>32155</v>
      </c>
      <c r="S59" cm="1">
        <f t="array" ref="S59">IFERROR(INDEX(fesp!$J:$J, MATCH(1, (VALUE(LEFT(fesp!$A:$A,6))=VALUE(LEFT(B59,6)))*(fesp!$C:$C=C59), 0)), "")</f>
        <v>250841</v>
      </c>
    </row>
    <row r="60" spans="1:19">
      <c r="A60" s="1" t="s">
        <v>97</v>
      </c>
      <c r="B60" s="3" t="s">
        <v>96</v>
      </c>
      <c r="C60" s="3">
        <v>2018</v>
      </c>
      <c r="D60" cm="1">
        <f t="array" ref="D60">IFERROR(INDEX(fesp!$D:$D, MATCH(1, (VALUE(LEFT(fesp!$A:$A,6))=VALUE(LEFT(B60,6)))*(fesp!$C:$C=C60), 0)), "")</f>
        <v>0</v>
      </c>
      <c r="E60" cm="1">
        <f t="array" aca="1" ref="E60" ca="1">IFERROR(INDEX(ft_medicos_clinicos!$C:$C, MATCH(1, (VALUE(LEFT(ft_medicos_clinicos!$A:$A,6))=VALUE(LEFT(B60,6)))*(ft_medicos_clinicos!$B:$B=C60), 0)), "")</f>
        <v>173</v>
      </c>
      <c r="F60" cm="1">
        <f t="array" aca="1" ref="F60" ca="1">IFERROR(INDEX(ft_enfermeiros!$C:$C, MATCH(1, (VALUE(LEFT(ft_enfermeiros!$A:$A,6))=VALUE(LEFT(B60,6)))*(ft_enfermeiros!$B:$B=C60), 0)), "")</f>
        <v>548</v>
      </c>
      <c r="G60" t="str" cm="1">
        <f t="array" aca="1" ref="G60" ca="1">IFERROR(INDEX(ft_equipes_acs!$C:$C, MATCH(1, (VALUE(LEFT(ft_equipes_acs!$A:$A,6))=VALUE(LEFT(B60,6)))*(ft_equipes_acs!$B:$B=C60), 0)), "")</f>
        <v>-</v>
      </c>
      <c r="H60" cm="1">
        <f t="array" aca="1" ref="H60" ca="1">IFERROR(INDEX(ci_leitos_internacao!$C:$C, MATCH(1, (VALUE(LEFT(ci_leitos_internacao!$A:$A,6))=VALUE(LEFT(B60,6)))*(ci_leitos_internacao!$B:$B=C60), 0)), "")</f>
        <v>752</v>
      </c>
      <c r="I60" cm="1">
        <f t="array" aca="1" ref="I60" ca="1">IFERROR(INDEX(ci_hospitais_internacao!$C:$C, MATCH(1, (VALUE(LEFT(ci_hospitais_internacao!$A:$A,6))=VALUE(LEFT(B60,6)))*(ci_hospitais_internacao!$B:$B=C60), 0)), "")</f>
        <v>2</v>
      </c>
      <c r="J60" cm="1">
        <f t="array" aca="1" ref="J60" ca="1">IFERROR(INDEX(ci_pa_clinico!$C:$C, MATCH(1, (VALUE(LEFT(ci_pa_clinico!$A:$A,6))=VALUE(LEFT(B60,6)))*(ci_pa_clinico!$B:$B=C60), 0)), "")</f>
        <v>3</v>
      </c>
      <c r="K60" cm="1">
        <f t="array" aca="1" ref="K60" ca="1">IFERROR(INDEX(aps_equipes_esf!$C:$C, MATCH(1, (VALUE(LEFT(aps_equipes_esf!$A:$A,6))=VALUE(LEFT(B60,6)))*(aps_equipes_esf!$B:$B=C60), 0)), "")</f>
        <v>38</v>
      </c>
      <c r="L60" cm="1">
        <f t="array" aca="1" ref="L60" ca="1">IFERROR(INDEX(casos!$C:$C, MATCH(1, (VALUE(LEFT(casos!$A:$A,6))=VALUE(LEFT(B60,6)))*(casos!$B:$B=C60), 0)), "")</f>
        <v>366</v>
      </c>
      <c r="M60" cm="1">
        <f t="array" ref="M60">IFERROR(INDEX(srag!$D:$D, MATCH(1, (VALUE(LEFT(srag!$A:$A,6))=VALUE(LEFT(B60,6)))*(srag!$C:$C=C60), 0)), "")</f>
        <v>15</v>
      </c>
      <c r="N60" cm="1">
        <f t="array" ref="N60">IFERROR(INDEX(fesp!$E:$E, MATCH(1, (VALUE(LEFT(fesp!$A:$A,6))=VALUE(LEFT(B60,6)))*(fesp!$C:$C=C60), 0)), "")</f>
        <v>105</v>
      </c>
      <c r="O60" cm="1">
        <f t="array" ref="O60">IFERROR(INDEX(fesp!$F:$F, MATCH(1, (VALUE(LEFT(fesp!$A:$A,6))=VALUE(LEFT(B60,6)))*(fesp!$C:$C=C60), 0)), "")</f>
        <v>24</v>
      </c>
      <c r="P60" cm="1">
        <f t="array" ref="P60">IFERROR(INDEX(fesp!$G:$G, MATCH(1, (VALUE(LEFT(fesp!$A:$A,6))=VALUE(LEFT(B60,6)))*(fesp!$C:$C=C60), 0)), "")</f>
        <v>1340698</v>
      </c>
      <c r="Q60" cm="1">
        <f t="array" ref="Q60">IFERROR(INDEX(fesp!$H:$H, MATCH(1, (VALUE(LEFT(fesp!$A:$A,6))=VALUE(LEFT(B60,6)))*(fesp!$C:$C=C60), 0)), "")</f>
        <v>7</v>
      </c>
      <c r="R60" cm="1">
        <f t="array" ref="R60">IFERROR(INDEX(fesp!$I:$I, MATCH(1, (VALUE(LEFT(fesp!$A:$A,6))=VALUE(LEFT(B60,6)))*(fesp!$C:$C=C60), 0)), "")</f>
        <v>6622</v>
      </c>
      <c r="S60" cm="1">
        <f t="array" ref="S60">IFERROR(INDEX(fesp!$J:$J, MATCH(1, (VALUE(LEFT(fesp!$A:$A,6))=VALUE(LEFT(B60,6)))*(fesp!$C:$C=C60), 0)), "")</f>
        <v>20377</v>
      </c>
    </row>
    <row r="61" spans="1:19">
      <c r="A61" s="1" t="s">
        <v>97</v>
      </c>
      <c r="B61" s="3" t="s">
        <v>96</v>
      </c>
      <c r="C61" s="3">
        <v>2019</v>
      </c>
      <c r="D61" cm="1">
        <f t="array" ref="D61">IFERROR(INDEX(fesp!$D:$D, MATCH(1, (VALUE(LEFT(fesp!$A:$A,6))=VALUE(LEFT(B61,6)))*(fesp!$C:$C=C61), 0)), "")</f>
        <v>0</v>
      </c>
      <c r="E61" cm="1">
        <f t="array" aca="1" ref="E61" ca="1">IFERROR(INDEX(ft_medicos_clinicos!$C:$C, MATCH(1, (VALUE(LEFT(ft_medicos_clinicos!$A:$A,6))=VALUE(LEFT(B61,6)))*(ft_medicos_clinicos!$B:$B=C61), 0)), "")</f>
        <v>166</v>
      </c>
      <c r="F61" cm="1">
        <f t="array" aca="1" ref="F61" ca="1">IFERROR(INDEX(ft_enfermeiros!$C:$C, MATCH(1, (VALUE(LEFT(ft_enfermeiros!$A:$A,6))=VALUE(LEFT(B61,6)))*(ft_enfermeiros!$B:$B=C61), 0)), "")</f>
        <v>545</v>
      </c>
      <c r="G61" cm="1">
        <f t="array" aca="1" ref="G61" ca="1">IFERROR(INDEX(ft_equipes_acs!$C:$C, MATCH(1, (VALUE(LEFT(ft_equipes_acs!$A:$A,6))=VALUE(LEFT(B61,6)))*(ft_equipes_acs!$B:$B=C61), 0)), "")</f>
        <v>2</v>
      </c>
      <c r="H61" cm="1">
        <f t="array" aca="1" ref="H61" ca="1">IFERROR(INDEX(ci_leitos_internacao!$C:$C, MATCH(1, (VALUE(LEFT(ci_leitos_internacao!$A:$A,6))=VALUE(LEFT(B61,6)))*(ci_leitos_internacao!$B:$B=C61), 0)), "")</f>
        <v>710</v>
      </c>
      <c r="I61" cm="1">
        <f t="array" aca="1" ref="I61" ca="1">IFERROR(INDEX(ci_hospitais_internacao!$C:$C, MATCH(1, (VALUE(LEFT(ci_hospitais_internacao!$A:$A,6))=VALUE(LEFT(B61,6)))*(ci_hospitais_internacao!$B:$B=C61), 0)), "")</f>
        <v>3</v>
      </c>
      <c r="J61" cm="1">
        <f t="array" aca="1" ref="J61" ca="1">IFERROR(INDEX(ci_pa_clinico!$C:$C, MATCH(1, (VALUE(LEFT(ci_pa_clinico!$A:$A,6))=VALUE(LEFT(B61,6)))*(ci_pa_clinico!$B:$B=C61), 0)), "")</f>
        <v>2</v>
      </c>
      <c r="K61" cm="1">
        <f t="array" aca="1" ref="K61" ca="1">IFERROR(INDEX(aps_equipes_esf!$C:$C, MATCH(1, (VALUE(LEFT(aps_equipes_esf!$A:$A,6))=VALUE(LEFT(B61,6)))*(aps_equipes_esf!$B:$B=C61), 0)), "")</f>
        <v>26</v>
      </c>
      <c r="L61" cm="1">
        <f t="array" aca="1" ref="L61" ca="1">IFERROR(INDEX(casos!$C:$C, MATCH(1, (VALUE(LEFT(casos!$A:$A,6))=VALUE(LEFT(B61,6)))*(casos!$B:$B=C61), 0)), "")</f>
        <v>158</v>
      </c>
      <c r="M61" cm="1">
        <f t="array" ref="M61">IFERROR(INDEX(srag!$D:$D, MATCH(1, (VALUE(LEFT(srag!$A:$A,6))=VALUE(LEFT(B61,6)))*(srag!$C:$C=C61), 0)), "")</f>
        <v>22</v>
      </c>
      <c r="N61" cm="1">
        <f t="array" ref="N61">IFERROR(INDEX(fesp!$E:$E, MATCH(1, (VALUE(LEFT(fesp!$A:$A,6))=VALUE(LEFT(B61,6)))*(fesp!$C:$C=C61), 0)), "")</f>
        <v>56</v>
      </c>
      <c r="O61" cm="1">
        <f t="array" ref="O61">IFERROR(INDEX(fesp!$F:$F, MATCH(1, (VALUE(LEFT(fesp!$A:$A,6))=VALUE(LEFT(B61,6)))*(fesp!$C:$C=C61), 0)), "")</f>
        <v>251</v>
      </c>
      <c r="P61" cm="1">
        <f t="array" ref="P61">IFERROR(INDEX(fesp!$G:$G, MATCH(1, (VALUE(LEFT(fesp!$A:$A,6))=VALUE(LEFT(B61,6)))*(fesp!$C:$C=C61), 0)), "")</f>
        <v>1394991</v>
      </c>
      <c r="Q61" cm="1">
        <f t="array" ref="Q61">IFERROR(INDEX(fesp!$H:$H, MATCH(1, (VALUE(LEFT(fesp!$A:$A,6))=VALUE(LEFT(B61,6)))*(fesp!$C:$C=C61), 0)), "")</f>
        <v>6</v>
      </c>
      <c r="R61" cm="1">
        <f t="array" ref="R61">IFERROR(INDEX(fesp!$I:$I, MATCH(1, (VALUE(LEFT(fesp!$A:$A,6))=VALUE(LEFT(B61,6)))*(fesp!$C:$C=C61), 0)), "")</f>
        <v>467</v>
      </c>
      <c r="S61" cm="1">
        <f t="array" ref="S61">IFERROR(INDEX(fesp!$J:$J, MATCH(1, (VALUE(LEFT(fesp!$A:$A,6))=VALUE(LEFT(B61,6)))*(fesp!$C:$C=C61), 0)), "")</f>
        <v>20</v>
      </c>
    </row>
    <row r="62" spans="1:19">
      <c r="A62" s="1" t="s">
        <v>97</v>
      </c>
      <c r="B62" s="3" t="s">
        <v>96</v>
      </c>
      <c r="C62" s="3">
        <v>2020</v>
      </c>
      <c r="D62" cm="1">
        <f t="array" ref="D62">IFERROR(INDEX(fesp!$D:$D, MATCH(1, (VALUE(LEFT(fesp!$A:$A,6))=VALUE(LEFT(B62,6)))*(fesp!$C:$C=C62), 0)), "")</f>
        <v>0</v>
      </c>
      <c r="E62" cm="1">
        <f t="array" aca="1" ref="E62" ca="1">IFERROR(INDEX(ft_medicos_clinicos!$C:$C, MATCH(1, (VALUE(LEFT(ft_medicos_clinicos!$A:$A,6))=VALUE(LEFT(B62,6)))*(ft_medicos_clinicos!$B:$B=C62), 0)), "")</f>
        <v>201</v>
      </c>
      <c r="F62" cm="1">
        <f t="array" aca="1" ref="F62" ca="1">IFERROR(INDEX(ft_enfermeiros!$C:$C, MATCH(1, (VALUE(LEFT(ft_enfermeiros!$A:$A,6))=VALUE(LEFT(B62,6)))*(ft_enfermeiros!$B:$B=C62), 0)), "")</f>
        <v>662</v>
      </c>
      <c r="G62" t="str" cm="1">
        <f t="array" aca="1" ref="G62" ca="1">IFERROR(INDEX(ft_equipes_acs!$C:$C, MATCH(1, (VALUE(LEFT(ft_equipes_acs!$A:$A,6))=VALUE(LEFT(B62,6)))*(ft_equipes_acs!$B:$B=C62), 0)), "")</f>
        <v>-</v>
      </c>
      <c r="H62" cm="1">
        <f t="array" aca="1" ref="H62" ca="1">IFERROR(INDEX(ci_leitos_internacao!$C:$C, MATCH(1, (VALUE(LEFT(ci_leitos_internacao!$A:$A,6))=VALUE(LEFT(B62,6)))*(ci_leitos_internacao!$B:$B=C62), 0)), "")</f>
        <v>828</v>
      </c>
      <c r="I62" cm="1">
        <f t="array" aca="1" ref="I62" ca="1">IFERROR(INDEX(ci_hospitais_internacao!$C:$C, MATCH(1, (VALUE(LEFT(ci_hospitais_internacao!$A:$A,6))=VALUE(LEFT(B62,6)))*(ci_hospitais_internacao!$B:$B=C62), 0)), "")</f>
        <v>4</v>
      </c>
      <c r="J62" cm="1">
        <f t="array" aca="1" ref="J62" ca="1">IFERROR(INDEX(ci_pa_clinico!$C:$C, MATCH(1, (VALUE(LEFT(ci_pa_clinico!$A:$A,6))=VALUE(LEFT(B62,6)))*(ci_pa_clinico!$B:$B=C62), 0)), "")</f>
        <v>3</v>
      </c>
      <c r="K62" t="str" cm="1">
        <f t="array" aca="1" ref="K62" ca="1">IFERROR(INDEX(aps_equipes_esf!$C:$C, MATCH(1, (VALUE(LEFT(aps_equipes_esf!$A:$A,6))=VALUE(LEFT(B62,6)))*(aps_equipes_esf!$B:$B=C62), 0)), "")</f>
        <v>-</v>
      </c>
      <c r="L62" cm="1">
        <f t="array" aca="1" ref="L62" ca="1">IFERROR(INDEX(casos!$C:$C, MATCH(1, (VALUE(LEFT(casos!$A:$A,6))=VALUE(LEFT(B62,6)))*(casos!$B:$B=C62), 0)), "")</f>
        <v>36</v>
      </c>
      <c r="M62" cm="1">
        <f t="array" ref="M62">IFERROR(INDEX(srag!$D:$D, MATCH(1, (VALUE(LEFT(srag!$A:$A,6))=VALUE(LEFT(B62,6)))*(srag!$C:$C=C62), 0)), "")</f>
        <v>1473</v>
      </c>
      <c r="N62" cm="1">
        <f t="array" ref="N62">IFERROR(INDEX(fesp!$E:$E, MATCH(1, (VALUE(LEFT(fesp!$A:$A,6))=VALUE(LEFT(B62,6)))*(fesp!$C:$C=C62), 0)), "")</f>
        <v>41</v>
      </c>
      <c r="O62" cm="1">
        <f t="array" ref="O62">IFERROR(INDEX(fesp!$F:$F, MATCH(1, (VALUE(LEFT(fesp!$A:$A,6))=VALUE(LEFT(B62,6)))*(fesp!$C:$C=C62), 0)), "")</f>
        <v>6930</v>
      </c>
      <c r="P62" cm="1">
        <f t="array" ref="P62">IFERROR(INDEX(fesp!$G:$G, MATCH(1, (VALUE(LEFT(fesp!$A:$A,6))=VALUE(LEFT(B62,6)))*(fesp!$C:$C=C62), 0)), "")</f>
        <v>1007855</v>
      </c>
      <c r="Q62" cm="1">
        <f t="array" ref="Q62">IFERROR(INDEX(fesp!$H:$H, MATCH(1, (VALUE(LEFT(fesp!$A:$A,6))=VALUE(LEFT(B62,6)))*(fesp!$C:$C=C62), 0)), "")</f>
        <v>1</v>
      </c>
      <c r="R62" cm="1">
        <f t="array" ref="R62">IFERROR(INDEX(fesp!$I:$I, MATCH(1, (VALUE(LEFT(fesp!$A:$A,6))=VALUE(LEFT(B62,6)))*(fesp!$C:$C=C62), 0)), "")</f>
        <v>285</v>
      </c>
      <c r="S62" cm="1">
        <f t="array" ref="S62">IFERROR(INDEX(fesp!$J:$J, MATCH(1, (VALUE(LEFT(fesp!$A:$A,6))=VALUE(LEFT(B62,6)))*(fesp!$C:$C=C62), 0)), "")</f>
        <v>9810</v>
      </c>
    </row>
    <row r="63" spans="1:19">
      <c r="A63" s="1" t="s">
        <v>97</v>
      </c>
      <c r="B63" s="3" t="s">
        <v>96</v>
      </c>
      <c r="C63" s="3">
        <v>2021</v>
      </c>
      <c r="D63" cm="1">
        <f t="array" ref="D63">IFERROR(INDEX(fesp!$D:$D, MATCH(1, (VALUE(LEFT(fesp!$A:$A,6))=VALUE(LEFT(B63,6)))*(fesp!$C:$C=C63), 0)), "")</f>
        <v>0</v>
      </c>
      <c r="E63" cm="1">
        <f t="array" aca="1" ref="E63" ca="1">IFERROR(INDEX(ft_medicos_clinicos!$C:$C, MATCH(1, (VALUE(LEFT(ft_medicos_clinicos!$A:$A,6))=VALUE(LEFT(B63,6)))*(ft_medicos_clinicos!$B:$B=C63), 0)), "")</f>
        <v>215</v>
      </c>
      <c r="F63" cm="1">
        <f t="array" aca="1" ref="F63" ca="1">IFERROR(INDEX(ft_enfermeiros!$C:$C, MATCH(1, (VALUE(LEFT(ft_enfermeiros!$A:$A,6))=VALUE(LEFT(B63,6)))*(ft_enfermeiros!$B:$B=C63), 0)), "")</f>
        <v>766</v>
      </c>
      <c r="G63" t="str" cm="1">
        <f t="array" aca="1" ref="G63" ca="1">IFERROR(INDEX(ft_equipes_acs!$C:$C, MATCH(1, (VALUE(LEFT(ft_equipes_acs!$A:$A,6))=VALUE(LEFT(B63,6)))*(ft_equipes_acs!$B:$B=C63), 0)), "")</f>
        <v>-</v>
      </c>
      <c r="H63" cm="1">
        <f t="array" aca="1" ref="H63" ca="1">IFERROR(INDEX(ci_leitos_internacao!$C:$C, MATCH(1, (VALUE(LEFT(ci_leitos_internacao!$A:$A,6))=VALUE(LEFT(B63,6)))*(ci_leitos_internacao!$B:$B=C63), 0)), "")</f>
        <v>808</v>
      </c>
      <c r="I63" cm="1">
        <f t="array" aca="1" ref="I63" ca="1">IFERROR(INDEX(ci_hospitais_internacao!$C:$C, MATCH(1, (VALUE(LEFT(ci_hospitais_internacao!$A:$A,6))=VALUE(LEFT(B63,6)))*(ci_hospitais_internacao!$B:$B=C63), 0)), "")</f>
        <v>4</v>
      </c>
      <c r="J63" cm="1">
        <f t="array" aca="1" ref="J63" ca="1">IFERROR(INDEX(ci_pa_clinico!$C:$C, MATCH(1, (VALUE(LEFT(ci_pa_clinico!$A:$A,6))=VALUE(LEFT(B63,6)))*(ci_pa_clinico!$B:$B=C63), 0)), "")</f>
        <v>2</v>
      </c>
      <c r="K63" t="str" cm="1">
        <f t="array" aca="1" ref="K63" ca="1">IFERROR(INDEX(aps_equipes_esf!$C:$C, MATCH(1, (VALUE(LEFT(aps_equipes_esf!$A:$A,6))=VALUE(LEFT(B63,6)))*(aps_equipes_esf!$B:$B=C63), 0)), "")</f>
        <v>-</v>
      </c>
      <c r="L63" cm="1">
        <f t="array" aca="1" ref="L63" ca="1">IFERROR(INDEX(casos!$C:$C, MATCH(1, (VALUE(LEFT(casos!$A:$A,6))=VALUE(LEFT(B63,6)))*(casos!$B:$B=C63), 0)), "")</f>
        <v>245</v>
      </c>
      <c r="M63" cm="1">
        <f t="array" ref="M63">IFERROR(INDEX(srag!$D:$D, MATCH(1, (VALUE(LEFT(srag!$A:$A,6))=VALUE(LEFT(B63,6)))*(srag!$C:$C=C63), 0)), "")</f>
        <v>2560</v>
      </c>
      <c r="N63" cm="1">
        <f t="array" ref="N63">IFERROR(INDEX(fesp!$E:$E, MATCH(1, (VALUE(LEFT(fesp!$A:$A,6))=VALUE(LEFT(B63,6)))*(fesp!$C:$C=C63), 0)), "")</f>
        <v>43</v>
      </c>
      <c r="O63" cm="1">
        <f t="array" ref="O63">IFERROR(INDEX(fesp!$F:$F, MATCH(1, (VALUE(LEFT(fesp!$A:$A,6))=VALUE(LEFT(B63,6)))*(fesp!$C:$C=C63), 0)), "")</f>
        <v>48732</v>
      </c>
      <c r="P63" cm="1">
        <f t="array" ref="P63">IFERROR(INDEX(fesp!$G:$G, MATCH(1, (VALUE(LEFT(fesp!$A:$A,6))=VALUE(LEFT(B63,6)))*(fesp!$C:$C=C63), 0)), "")</f>
        <v>1646292</v>
      </c>
      <c r="Q63" cm="1">
        <f t="array" ref="Q63">IFERROR(INDEX(fesp!$H:$H, MATCH(1, (VALUE(LEFT(fesp!$A:$A,6))=VALUE(LEFT(B63,6)))*(fesp!$C:$C=C63), 0)), "")</f>
        <v>1</v>
      </c>
      <c r="R63" cm="1">
        <f t="array" ref="R63">IFERROR(INDEX(fesp!$I:$I, MATCH(1, (VALUE(LEFT(fesp!$A:$A,6))=VALUE(LEFT(B63,6)))*(fesp!$C:$C=C63), 0)), "")</f>
        <v>26</v>
      </c>
      <c r="S63" cm="1">
        <f t="array" ref="S63">IFERROR(INDEX(fesp!$J:$J, MATCH(1, (VALUE(LEFT(fesp!$A:$A,6))=VALUE(LEFT(B63,6)))*(fesp!$C:$C=C63), 0)), "")</f>
        <v>12433</v>
      </c>
    </row>
    <row r="64" spans="1:19">
      <c r="A64" s="1" t="s">
        <v>97</v>
      </c>
      <c r="B64" s="3" t="s">
        <v>96</v>
      </c>
      <c r="C64" s="3">
        <v>2022</v>
      </c>
      <c r="D64" cm="1">
        <f t="array" ref="D64">IFERROR(INDEX(fesp!$D:$D, MATCH(1, (VALUE(LEFT(fesp!$A:$A,6))=VALUE(LEFT(B64,6)))*(fesp!$C:$C=C64), 0)), "")</f>
        <v>442933</v>
      </c>
      <c r="E64" cm="1">
        <f t="array" aca="1" ref="E64" ca="1">IFERROR(INDEX(ft_medicos_clinicos!$C:$C, MATCH(1, (VALUE(LEFT(ft_medicos_clinicos!$A:$A,6))=VALUE(LEFT(B64,6)))*(ft_medicos_clinicos!$B:$B=C64), 0)), "")</f>
        <v>246</v>
      </c>
      <c r="F64" cm="1">
        <f t="array" aca="1" ref="F64" ca="1">IFERROR(INDEX(ft_enfermeiros!$C:$C, MATCH(1, (VALUE(LEFT(ft_enfermeiros!$A:$A,6))=VALUE(LEFT(B64,6)))*(ft_enfermeiros!$B:$B=C64), 0)), "")</f>
        <v>977</v>
      </c>
      <c r="G64" t="str" cm="1">
        <f t="array" aca="1" ref="G64" ca="1">IFERROR(INDEX(ft_equipes_acs!$C:$C, MATCH(1, (VALUE(LEFT(ft_equipes_acs!$A:$A,6))=VALUE(LEFT(B64,6)))*(ft_equipes_acs!$B:$B=C64), 0)), "")</f>
        <v>-</v>
      </c>
      <c r="H64" cm="1">
        <f t="array" aca="1" ref="H64" ca="1">IFERROR(INDEX(ci_leitos_internacao!$C:$C, MATCH(1, (VALUE(LEFT(ci_leitos_internacao!$A:$A,6))=VALUE(LEFT(B64,6)))*(ci_leitos_internacao!$B:$B=C64), 0)), "")</f>
        <v>967</v>
      </c>
      <c r="I64" cm="1">
        <f t="array" aca="1" ref="I64" ca="1">IFERROR(INDEX(ci_hospitais_internacao!$C:$C, MATCH(1, (VALUE(LEFT(ci_hospitais_internacao!$A:$A,6))=VALUE(LEFT(B64,6)))*(ci_hospitais_internacao!$B:$B=C64), 0)), "")</f>
        <v>4</v>
      </c>
      <c r="J64" cm="1">
        <f t="array" aca="1" ref="J64" ca="1">IFERROR(INDEX(ci_pa_clinico!$C:$C, MATCH(1, (VALUE(LEFT(ci_pa_clinico!$A:$A,6))=VALUE(LEFT(B64,6)))*(ci_pa_clinico!$B:$B=C64), 0)), "")</f>
        <v>7</v>
      </c>
      <c r="K64" t="str" cm="1">
        <f t="array" aca="1" ref="K64" ca="1">IFERROR(INDEX(aps_equipes_esf!$C:$C, MATCH(1, (VALUE(LEFT(aps_equipes_esf!$A:$A,6))=VALUE(LEFT(B64,6)))*(aps_equipes_esf!$B:$B=C64), 0)), "")</f>
        <v>-</v>
      </c>
      <c r="L64" cm="1">
        <f t="array" aca="1" ref="L64" ca="1">IFERROR(INDEX(casos!$C:$C, MATCH(1, (VALUE(LEFT(casos!$A:$A,6))=VALUE(LEFT(B64,6)))*(casos!$B:$B=C64), 0)), "")</f>
        <v>233</v>
      </c>
      <c r="M64" cm="1">
        <f t="array" ref="M64">IFERROR(INDEX(srag!$D:$D, MATCH(1, (VALUE(LEFT(srag!$A:$A,6))=VALUE(LEFT(B64,6)))*(srag!$C:$C=C64), 0)), "")</f>
        <v>708</v>
      </c>
      <c r="N64" cm="1">
        <f t="array" ref="N64">IFERROR(INDEX(fesp!$E:$E, MATCH(1, (VALUE(LEFT(fesp!$A:$A,6))=VALUE(LEFT(B64,6)))*(fesp!$C:$C=C64), 0)), "")</f>
        <v>62</v>
      </c>
      <c r="O64" cm="1">
        <f t="array" ref="O64">IFERROR(INDEX(fesp!$F:$F, MATCH(1, (VALUE(LEFT(fesp!$A:$A,6))=VALUE(LEFT(B64,6)))*(fesp!$C:$C=C64), 0)), "")</f>
        <v>25033</v>
      </c>
      <c r="P64" cm="1">
        <f t="array" ref="P64">IFERROR(INDEX(fesp!$G:$G, MATCH(1, (VALUE(LEFT(fesp!$A:$A,6))=VALUE(LEFT(B64,6)))*(fesp!$C:$C=C64), 0)), "")</f>
        <v>1980194</v>
      </c>
      <c r="Q64" cm="1">
        <f t="array" ref="Q64">IFERROR(INDEX(fesp!$H:$H, MATCH(1, (VALUE(LEFT(fesp!$A:$A,6))=VALUE(LEFT(B64,6)))*(fesp!$C:$C=C64), 0)), "")</f>
        <v>3</v>
      </c>
      <c r="R64" cm="1">
        <f t="array" ref="R64">IFERROR(INDEX(fesp!$I:$I, MATCH(1, (VALUE(LEFT(fesp!$A:$A,6))=VALUE(LEFT(B64,6)))*(fesp!$C:$C=C64), 0)), "")</f>
        <v>0</v>
      </c>
      <c r="S64" cm="1">
        <f t="array" ref="S64">IFERROR(INDEX(fesp!$J:$J, MATCH(1, (VALUE(LEFT(fesp!$A:$A,6))=VALUE(LEFT(B64,6)))*(fesp!$C:$C=C64), 0)), "")</f>
        <v>47398</v>
      </c>
    </row>
    <row r="65" spans="1:19">
      <c r="A65" s="1" t="s">
        <v>97</v>
      </c>
      <c r="B65" s="3" t="s">
        <v>96</v>
      </c>
      <c r="C65" s="3">
        <v>2023</v>
      </c>
      <c r="D65" cm="1">
        <f t="array" ref="D65">IFERROR(INDEX(fesp!$D:$D, MATCH(1, (VALUE(LEFT(fesp!$A:$A,6))=VALUE(LEFT(B65,6)))*(fesp!$C:$C=C65), 0)), "")</f>
        <v>0</v>
      </c>
      <c r="E65" cm="1">
        <f t="array" aca="1" ref="E65" ca="1">IFERROR(INDEX(ft_medicos_clinicos!$C:$C, MATCH(1, (VALUE(LEFT(ft_medicos_clinicos!$A:$A,6))=VALUE(LEFT(B65,6)))*(ft_medicos_clinicos!$B:$B=C65), 0)), "")</f>
        <v>280</v>
      </c>
      <c r="F65" cm="1">
        <f t="array" aca="1" ref="F65" ca="1">IFERROR(INDEX(ft_enfermeiros!$C:$C, MATCH(1, (VALUE(LEFT(ft_enfermeiros!$A:$A,6))=VALUE(LEFT(B65,6)))*(ft_enfermeiros!$B:$B=C65), 0)), "")</f>
        <v>1296</v>
      </c>
      <c r="G65" t="str" cm="1">
        <f t="array" aca="1" ref="G65" ca="1">IFERROR(INDEX(ft_equipes_acs!$C:$C, MATCH(1, (VALUE(LEFT(ft_equipes_acs!$A:$A,6))=VALUE(LEFT(B65,6)))*(ft_equipes_acs!$B:$B=C65), 0)), "")</f>
        <v>-</v>
      </c>
      <c r="H65" cm="1">
        <f t="array" aca="1" ref="H65" ca="1">IFERROR(INDEX(ci_leitos_internacao!$C:$C, MATCH(1, (VALUE(LEFT(ci_leitos_internacao!$A:$A,6))=VALUE(LEFT(B65,6)))*(ci_leitos_internacao!$B:$B=C65), 0)), "")</f>
        <v>1071</v>
      </c>
      <c r="I65" cm="1">
        <f t="array" aca="1" ref="I65" ca="1">IFERROR(INDEX(ci_hospitais_internacao!$C:$C, MATCH(1, (VALUE(LEFT(ci_hospitais_internacao!$A:$A,6))=VALUE(LEFT(B65,6)))*(ci_hospitais_internacao!$B:$B=C65), 0)), "")</f>
        <v>4</v>
      </c>
      <c r="J65" cm="1">
        <f t="array" aca="1" ref="J65" ca="1">IFERROR(INDEX(ci_pa_clinico!$C:$C, MATCH(1, (VALUE(LEFT(ci_pa_clinico!$A:$A,6))=VALUE(LEFT(B65,6)))*(ci_pa_clinico!$B:$B=C65), 0)), "")</f>
        <v>4</v>
      </c>
      <c r="K65" t="str" cm="1">
        <f t="array" aca="1" ref="K65" ca="1">IFERROR(INDEX(aps_equipes_esf!$C:$C, MATCH(1, (VALUE(LEFT(aps_equipes_esf!$A:$A,6))=VALUE(LEFT(B65,6)))*(aps_equipes_esf!$B:$B=C65), 0)), "")</f>
        <v>-</v>
      </c>
      <c r="L65" cm="1">
        <f t="array" aca="1" ref="L65" ca="1">IFERROR(INDEX(casos!$C:$C, MATCH(1, (VALUE(LEFT(casos!$A:$A,6))=VALUE(LEFT(B65,6)))*(casos!$B:$B=C65), 0)), "")</f>
        <v>633</v>
      </c>
      <c r="M65" cm="1">
        <f t="array" ref="M65">IFERROR(INDEX(srag!$D:$D, MATCH(1, (VALUE(LEFT(srag!$A:$A,6))=VALUE(LEFT(B65,6)))*(srag!$C:$C=C65), 0)), "")</f>
        <v>1668</v>
      </c>
      <c r="N65" cm="1">
        <f t="array" ref="N65">IFERROR(INDEX(fesp!$E:$E, MATCH(1, (VALUE(LEFT(fesp!$A:$A,6))=VALUE(LEFT(B65,6)))*(fesp!$C:$C=C65), 0)), "")</f>
        <v>67</v>
      </c>
      <c r="O65" cm="1">
        <f t="array" ref="O65">IFERROR(INDEX(fesp!$F:$F, MATCH(1, (VALUE(LEFT(fesp!$A:$A,6))=VALUE(LEFT(B65,6)))*(fesp!$C:$C=C65), 0)), "")</f>
        <v>11012</v>
      </c>
      <c r="P65" cm="1">
        <f t="array" ref="P65">IFERROR(INDEX(fesp!$G:$G, MATCH(1, (VALUE(LEFT(fesp!$A:$A,6))=VALUE(LEFT(B65,6)))*(fesp!$C:$C=C65), 0)), "")</f>
        <v>2669989</v>
      </c>
      <c r="Q65" cm="1">
        <f t="array" ref="Q65">IFERROR(INDEX(fesp!$H:$H, MATCH(1, (VALUE(LEFT(fesp!$A:$A,6))=VALUE(LEFT(B65,6)))*(fesp!$C:$C=C65), 0)), "")</f>
        <v>12</v>
      </c>
      <c r="R65" cm="1">
        <f t="array" ref="R65">IFERROR(INDEX(fesp!$I:$I, MATCH(1, (VALUE(LEFT(fesp!$A:$A,6))=VALUE(LEFT(B65,6)))*(fesp!$C:$C=C65), 0)), "")</f>
        <v>27</v>
      </c>
      <c r="S65" cm="1">
        <f t="array" ref="S65">IFERROR(INDEX(fesp!$J:$J, MATCH(1, (VALUE(LEFT(fesp!$A:$A,6))=VALUE(LEFT(B65,6)))*(fesp!$C:$C=C65), 0)), "")</f>
        <v>0</v>
      </c>
    </row>
    <row r="66" spans="1:19">
      <c r="A66" s="1" t="s">
        <v>97</v>
      </c>
      <c r="B66" s="3" t="s">
        <v>96</v>
      </c>
      <c r="C66" s="3">
        <v>2024</v>
      </c>
      <c r="D66" cm="1">
        <f t="array" ref="D66">IFERROR(INDEX(fesp!$D:$D, MATCH(1, (VALUE(LEFT(fesp!$A:$A,6))=VALUE(LEFT(B66,6)))*(fesp!$C:$C=C66), 0)), "")</f>
        <v>0</v>
      </c>
      <c r="E66" cm="1">
        <f t="array" aca="1" ref="E66" ca="1">IFERROR(INDEX(ft_medicos_clinicos!$C:$C, MATCH(1, (VALUE(LEFT(ft_medicos_clinicos!$A:$A,6))=VALUE(LEFT(B66,6)))*(ft_medicos_clinicos!$B:$B=C66), 0)), "")</f>
        <v>335</v>
      </c>
      <c r="F66" cm="1">
        <f t="array" aca="1" ref="F66" ca="1">IFERROR(INDEX(ft_enfermeiros!$C:$C, MATCH(1, (VALUE(LEFT(ft_enfermeiros!$A:$A,6))=VALUE(LEFT(B66,6)))*(ft_enfermeiros!$B:$B=C66), 0)), "")</f>
        <v>1384</v>
      </c>
      <c r="G66" t="str" cm="1">
        <f t="array" aca="1" ref="G66" ca="1">IFERROR(INDEX(ft_equipes_acs!$C:$C, MATCH(1, (VALUE(LEFT(ft_equipes_acs!$A:$A,6))=VALUE(LEFT(B66,6)))*(ft_equipes_acs!$B:$B=C66), 0)), "")</f>
        <v>-</v>
      </c>
      <c r="H66" cm="1">
        <f t="array" aca="1" ref="H66" ca="1">IFERROR(INDEX(ci_leitos_internacao!$C:$C, MATCH(1, (VALUE(LEFT(ci_leitos_internacao!$A:$A,6))=VALUE(LEFT(B66,6)))*(ci_leitos_internacao!$B:$B=C66), 0)), "")</f>
        <v>1156</v>
      </c>
      <c r="I66" cm="1">
        <f t="array" aca="1" ref="I66" ca="1">IFERROR(INDEX(ci_hospitais_internacao!$C:$C, MATCH(1, (VALUE(LEFT(ci_hospitais_internacao!$A:$A,6))=VALUE(LEFT(B66,6)))*(ci_hospitais_internacao!$B:$B=C66), 0)), "")</f>
        <v>5</v>
      </c>
      <c r="J66" cm="1">
        <f t="array" aca="1" ref="J66" ca="1">IFERROR(INDEX(ci_pa_clinico!$C:$C, MATCH(1, (VALUE(LEFT(ci_pa_clinico!$A:$A,6))=VALUE(LEFT(B66,6)))*(ci_pa_clinico!$B:$B=C66), 0)), "")</f>
        <v>5</v>
      </c>
      <c r="K66" t="str" cm="1">
        <f t="array" aca="1" ref="K66" ca="1">IFERROR(INDEX(aps_equipes_esf!$C:$C, MATCH(1, (VALUE(LEFT(aps_equipes_esf!$A:$A,6))=VALUE(LEFT(B66,6)))*(aps_equipes_esf!$B:$B=C66), 0)), "")</f>
        <v>-</v>
      </c>
      <c r="L66" cm="1">
        <f t="array" aca="1" ref="L66" ca="1">IFERROR(INDEX(casos!$C:$C, MATCH(1, (VALUE(LEFT(casos!$A:$A,6))=VALUE(LEFT(B66,6)))*(casos!$B:$B=C66), 0)), "")</f>
        <v>5757</v>
      </c>
      <c r="M66" cm="1">
        <f t="array" ref="M66">IFERROR(INDEX(srag!$D:$D, MATCH(1, (VALUE(LEFT(srag!$A:$A,6))=VALUE(LEFT(B66,6)))*(srag!$C:$C=C66), 0)), "")</f>
        <v>1325</v>
      </c>
      <c r="N66" cm="1">
        <f t="array" ref="N66">IFERROR(INDEX(fesp!$E:$E, MATCH(1, (VALUE(LEFT(fesp!$A:$A,6))=VALUE(LEFT(B66,6)))*(fesp!$C:$C=C66), 0)), "")</f>
        <v>85</v>
      </c>
      <c r="O66" cm="1">
        <f t="array" ref="O66">IFERROR(INDEX(fesp!$F:$F, MATCH(1, (VALUE(LEFT(fesp!$A:$A,6))=VALUE(LEFT(B66,6)))*(fesp!$C:$C=C66), 0)), "")</f>
        <v>4830</v>
      </c>
      <c r="P66" cm="1">
        <f t="array" ref="P66">IFERROR(INDEX(fesp!$G:$G, MATCH(1, (VALUE(LEFT(fesp!$A:$A,6))=VALUE(LEFT(B66,6)))*(fesp!$C:$C=C66), 0)), "")</f>
        <v>3151293</v>
      </c>
      <c r="Q66" cm="1">
        <f t="array" ref="Q66">IFERROR(INDEX(fesp!$H:$H, MATCH(1, (VALUE(LEFT(fesp!$A:$A,6))=VALUE(LEFT(B66,6)))*(fesp!$C:$C=C66), 0)), "")</f>
        <v>25</v>
      </c>
      <c r="R66" cm="1">
        <f t="array" ref="R66">IFERROR(INDEX(fesp!$I:$I, MATCH(1, (VALUE(LEFT(fesp!$A:$A,6))=VALUE(LEFT(B66,6)))*(fesp!$C:$C=C66), 0)), "")</f>
        <v>0</v>
      </c>
      <c r="S66" cm="1">
        <f t="array" ref="S66">IFERROR(INDEX(fesp!$J:$J, MATCH(1, (VALUE(LEFT(fesp!$A:$A,6))=VALUE(LEFT(B66,6)))*(fesp!$C:$C=C66), 0)), "")</f>
        <v>0</v>
      </c>
    </row>
    <row r="67" spans="1:19">
      <c r="A67" s="1" t="s">
        <v>97</v>
      </c>
      <c r="B67" s="3">
        <v>1600303</v>
      </c>
      <c r="C67" s="3">
        <v>2025</v>
      </c>
      <c r="D67" cm="1">
        <f t="array" ref="D67">IFERROR(INDEX(fesp!$D:$D, MATCH(1, (VALUE(LEFT(fesp!$A:$A,6))=VALUE(LEFT(B67,6)))*(fesp!$C:$C=C67), 0)), "")</f>
        <v>0</v>
      </c>
      <c r="E67" cm="1">
        <f t="array" aca="1" ref="E67" ca="1">IFERROR(INDEX(ft_medicos_clinicos!$C:$C, MATCH(1, (VALUE(LEFT(ft_medicos_clinicos!$A:$A,6))=VALUE(LEFT(B67,6)))*(ft_medicos_clinicos!$B:$B=C67), 0)), "")</f>
        <v>404</v>
      </c>
      <c r="F67" cm="1">
        <f t="array" aca="1" ref="F67" ca="1">IFERROR(INDEX(ft_enfermeiros!$C:$C, MATCH(1, (VALUE(LEFT(ft_enfermeiros!$A:$A,6))=VALUE(LEFT(B67,6)))*(ft_enfermeiros!$B:$B=C67), 0)), "")</f>
        <v>1436</v>
      </c>
      <c r="G67" t="str" cm="1">
        <f t="array" aca="1" ref="G67" ca="1">IFERROR(INDEX(ft_equipes_acs!$C:$C, MATCH(1, (VALUE(LEFT(ft_equipes_acs!$A:$A,6))=VALUE(LEFT(B67,6)))*(ft_equipes_acs!$B:$B=C67), 0)), "")</f>
        <v>-</v>
      </c>
      <c r="H67" cm="1">
        <f t="array" aca="1" ref="H67" ca="1">IFERROR(INDEX(ci_leitos_internacao!$C:$C, MATCH(1, (VALUE(LEFT(ci_leitos_internacao!$A:$A,6))=VALUE(LEFT(B67,6)))*(ci_leitos_internacao!$B:$B=C67), 0)), "")</f>
        <v>1085</v>
      </c>
      <c r="I67" cm="1">
        <f t="array" aca="1" ref="I67" ca="1">IFERROR(INDEX(ci_hospitais_internacao!$C:$C, MATCH(1, (VALUE(LEFT(ci_hospitais_internacao!$A:$A,6))=VALUE(LEFT(B67,6)))*(ci_hospitais_internacao!$B:$B=C67), 0)), "")</f>
        <v>6</v>
      </c>
      <c r="J67" cm="1">
        <f t="array" aca="1" ref="J67" ca="1">IFERROR(INDEX(ci_pa_clinico!$C:$C, MATCH(1, (VALUE(LEFT(ci_pa_clinico!$A:$A,6))=VALUE(LEFT(B67,6)))*(ci_pa_clinico!$B:$B=C67), 0)), "")</f>
        <v>6</v>
      </c>
      <c r="K67" t="str" cm="1">
        <f t="array" aca="1" ref="K67" ca="1">IFERROR(INDEX(aps_equipes_esf!$C:$C, MATCH(1, (VALUE(LEFT(aps_equipes_esf!$A:$A,6))=VALUE(LEFT(B67,6)))*(aps_equipes_esf!$B:$B=C67), 0)), "")</f>
        <v>-</v>
      </c>
      <c r="L67" cm="1">
        <f t="array" aca="1" ref="L67" ca="1">IFERROR(INDEX(casos!$C:$C, MATCH(1, (VALUE(LEFT(casos!$A:$A,6))=VALUE(LEFT(B67,6)))*(casos!$B:$B=C67), 0)), "")</f>
        <v>1367</v>
      </c>
      <c r="M67" cm="1">
        <f t="array" ref="M67">IFERROR(INDEX(srag!$D:$D, MATCH(1, (VALUE(LEFT(srag!$A:$A,6))=VALUE(LEFT(B67,6)))*(srag!$C:$C=C67), 0)), "")</f>
        <v>1361</v>
      </c>
      <c r="N67" cm="1">
        <f t="array" ref="N67">IFERROR(INDEX(fesp!$E:$E, MATCH(1, (VALUE(LEFT(fesp!$A:$A,6))=VALUE(LEFT(B67,6)))*(fesp!$C:$C=C67), 0)), "")</f>
        <v>83</v>
      </c>
      <c r="O67" cm="1">
        <f t="array" ref="O67">IFERROR(INDEX(fesp!$F:$F, MATCH(1, (VALUE(LEFT(fesp!$A:$A,6))=VALUE(LEFT(B67,6)))*(fesp!$C:$C=C67), 0)), "")</f>
        <v>8386</v>
      </c>
      <c r="P67" cm="1">
        <f t="array" ref="P67">IFERROR(INDEX(fesp!$G:$G, MATCH(1, (VALUE(LEFT(fesp!$A:$A,6))=VALUE(LEFT(B67,6)))*(fesp!$C:$C=C67), 0)), "")</f>
        <v>3045626</v>
      </c>
      <c r="Q67" cm="1">
        <f t="array" ref="Q67">IFERROR(INDEX(fesp!$H:$H, MATCH(1, (VALUE(LEFT(fesp!$A:$A,6))=VALUE(LEFT(B67,6)))*(fesp!$C:$C=C67), 0)), "")</f>
        <v>14</v>
      </c>
      <c r="R67" cm="1">
        <f t="array" ref="R67">IFERROR(INDEX(fesp!$I:$I, MATCH(1, (VALUE(LEFT(fesp!$A:$A,6))=VALUE(LEFT(B67,6)))*(fesp!$C:$C=C67), 0)), "")</f>
        <v>0</v>
      </c>
      <c r="S67" cm="1">
        <f t="array" ref="S67">IFERROR(INDEX(fesp!$J:$J, MATCH(1, (VALUE(LEFT(fesp!$A:$A,6))=VALUE(LEFT(B67,6)))*(fesp!$C:$C=C67), 0)), "")</f>
        <v>0</v>
      </c>
    </row>
    <row r="68" spans="1:19">
      <c r="A68" s="1" t="s">
        <v>29</v>
      </c>
      <c r="B68" s="3">
        <v>2111300</v>
      </c>
      <c r="C68" s="3">
        <v>2015</v>
      </c>
      <c r="D68" cm="1">
        <f t="array" ref="D68">IFERROR(INDEX(fesp!$D:$D, MATCH(1, (VALUE(LEFT(fesp!$A:$A,6))=VALUE(LEFT(B68,6)))*(fesp!$C:$C=C68), 0)), "")</f>
        <v>1073893</v>
      </c>
      <c r="E68" cm="1">
        <f t="array" aca="1" ref="E68" ca="1">IFERROR(INDEX(ft_medicos_clinicos!$C:$C, MATCH(1, (VALUE(LEFT(ft_medicos_clinicos!$A:$A,6))=VALUE(LEFT(B68,6)))*(ft_medicos_clinicos!$B:$B=C68), 0)), "")</f>
        <v>513</v>
      </c>
      <c r="F68" cm="1">
        <f t="array" aca="1" ref="F68" ca="1">IFERROR(INDEX(ft_enfermeiros!$C:$C, MATCH(1, (VALUE(LEFT(ft_enfermeiros!$A:$A,6))=VALUE(LEFT(B68,6)))*(ft_enfermeiros!$B:$B=C68), 0)), "")</f>
        <v>1389</v>
      </c>
      <c r="G68" cm="1">
        <f t="array" aca="1" ref="G68" ca="1">IFERROR(INDEX(ft_equipes_acs!$C:$C, MATCH(1, (VALUE(LEFT(ft_equipes_acs!$A:$A,6))=VALUE(LEFT(B68,6)))*(ft_equipes_acs!$B:$B=C68), 0)), "")</f>
        <v>16</v>
      </c>
      <c r="H68" cm="1">
        <f t="array" aca="1" ref="H68" ca="1">IFERROR(INDEX(ci_leitos_internacao!$C:$C, MATCH(1, (VALUE(LEFT(ci_leitos_internacao!$A:$A,6))=VALUE(LEFT(B68,6)))*(ci_leitos_internacao!$B:$B=C68), 0)), "")</f>
        <v>3956</v>
      </c>
      <c r="I68" cm="1">
        <f t="array" aca="1" ref="I68" ca="1">IFERROR(INDEX(ci_hospitais_internacao!$C:$C, MATCH(1, (VALUE(LEFT(ci_hospitais_internacao!$A:$A,6))=VALUE(LEFT(B68,6)))*(ci_hospitais_internacao!$B:$B=C68), 0)), "")</f>
        <v>8</v>
      </c>
      <c r="J68" t="str" cm="1">
        <f t="array" aca="1" ref="J68" ca="1">IFERROR(INDEX(ci_pa_clinico!$C:$C, MATCH(1, (VALUE(LEFT(ci_pa_clinico!$A:$A,6))=VALUE(LEFT(B68,6)))*(ci_pa_clinico!$B:$B=C68), 0)), "")</f>
        <v/>
      </c>
      <c r="K68" cm="1">
        <f t="array" aca="1" ref="K68" ca="1">IFERROR(INDEX(aps_equipes_esf!$C:$C, MATCH(1, (VALUE(LEFT(aps_equipes_esf!$A:$A,6))=VALUE(LEFT(B68,6)))*(aps_equipes_esf!$B:$B=C68), 0)), "")</f>
        <v>64</v>
      </c>
      <c r="L68" cm="1">
        <f t="array" aca="1" ref="L68" ca="1">IFERROR(INDEX(casos!$C:$C, MATCH(1, (VALUE(LEFT(casos!$A:$A,6))=VALUE(LEFT(B68,6)))*(casos!$B:$B=C68), 0)), "")</f>
        <v>2896</v>
      </c>
      <c r="M68" cm="1">
        <f t="array" ref="M68">IFERROR(INDEX(srag!$D:$D, MATCH(1, (VALUE(LEFT(srag!$A:$A,6))=VALUE(LEFT(B68,6)))*(srag!$C:$C=C68), 0)), "")</f>
        <v>21</v>
      </c>
      <c r="N68" cm="1">
        <f t="array" ref="N68">IFERROR(INDEX(fesp!$E:$E, MATCH(1, (VALUE(LEFT(fesp!$A:$A,6))=VALUE(LEFT(B68,6)))*(fesp!$C:$C=C68), 0)), "")</f>
        <v>493</v>
      </c>
      <c r="O68" cm="1">
        <f t="array" ref="O68">IFERROR(INDEX(fesp!$F:$F, MATCH(1, (VALUE(LEFT(fesp!$A:$A,6))=VALUE(LEFT(B68,6)))*(fesp!$C:$C=C68), 0)), "")</f>
        <v>20337</v>
      </c>
      <c r="P68" cm="1">
        <f t="array" ref="P68">IFERROR(INDEX(fesp!$G:$G, MATCH(1, (VALUE(LEFT(fesp!$A:$A,6))=VALUE(LEFT(B68,6)))*(fesp!$C:$C=C68), 0)), "")</f>
        <v>6341203</v>
      </c>
      <c r="Q68" cm="1">
        <f t="array" ref="Q68">IFERROR(INDEX(fesp!$H:$H, MATCH(1, (VALUE(LEFT(fesp!$A:$A,6))=VALUE(LEFT(B68,6)))*(fesp!$C:$C=C68), 0)), "")</f>
        <v>166</v>
      </c>
      <c r="R68" cm="1">
        <f t="array" ref="R68">IFERROR(INDEX(fesp!$I:$I, MATCH(1, (VALUE(LEFT(fesp!$A:$A,6))=VALUE(LEFT(B68,6)))*(fesp!$C:$C=C68), 0)), "")</f>
        <v>58032</v>
      </c>
      <c r="S68" cm="1">
        <f t="array" ref="S68">IFERROR(INDEX(fesp!$J:$J, MATCH(1, (VALUE(LEFT(fesp!$A:$A,6))=VALUE(LEFT(B68,6)))*(fesp!$C:$C=C68), 0)), "")</f>
        <v>511490</v>
      </c>
    </row>
    <row r="69" spans="1:19">
      <c r="A69" s="1" t="s">
        <v>29</v>
      </c>
      <c r="B69" s="3" t="s">
        <v>28</v>
      </c>
      <c r="C69" s="3">
        <v>2016</v>
      </c>
      <c r="D69" cm="1">
        <f t="array" ref="D69">IFERROR(INDEX(fesp!$D:$D, MATCH(1, (VALUE(LEFT(fesp!$A:$A,6))=VALUE(LEFT(B69,6)))*(fesp!$C:$C=C69), 0)), "")</f>
        <v>0</v>
      </c>
      <c r="E69" cm="1">
        <f t="array" aca="1" ref="E69" ca="1">IFERROR(INDEX(ft_medicos_clinicos!$C:$C, MATCH(1, (VALUE(LEFT(ft_medicos_clinicos!$A:$A,6))=VALUE(LEFT(B69,6)))*(ft_medicos_clinicos!$B:$B=C69), 0)), "")</f>
        <v>524</v>
      </c>
      <c r="F69" cm="1">
        <f t="array" aca="1" ref="F69" ca="1">IFERROR(INDEX(ft_enfermeiros!$C:$C, MATCH(1, (VALUE(LEFT(ft_enfermeiros!$A:$A,6))=VALUE(LEFT(B69,6)))*(ft_enfermeiros!$B:$B=C69), 0)), "")</f>
        <v>1549</v>
      </c>
      <c r="G69" cm="1">
        <f t="array" aca="1" ref="G69" ca="1">IFERROR(INDEX(ft_equipes_acs!$C:$C, MATCH(1, (VALUE(LEFT(ft_equipes_acs!$A:$A,6))=VALUE(LEFT(B69,6)))*(ft_equipes_acs!$B:$B=C69), 0)), "")</f>
        <v>17</v>
      </c>
      <c r="H69" cm="1">
        <f t="array" aca="1" ref="H69" ca="1">IFERROR(INDEX(ci_leitos_internacao!$C:$C, MATCH(1, (VALUE(LEFT(ci_leitos_internacao!$A:$A,6))=VALUE(LEFT(B69,6)))*(ci_leitos_internacao!$B:$B=C69), 0)), "")</f>
        <v>3863</v>
      </c>
      <c r="I69" cm="1">
        <f t="array" aca="1" ref="I69" ca="1">IFERROR(INDEX(ci_hospitais_internacao!$C:$C, MATCH(1, (VALUE(LEFT(ci_hospitais_internacao!$A:$A,6))=VALUE(LEFT(B69,6)))*(ci_hospitais_internacao!$B:$B=C69), 0)), "")</f>
        <v>8</v>
      </c>
      <c r="J69" t="str" cm="1">
        <f t="array" aca="1" ref="J69" ca="1">IFERROR(INDEX(ci_pa_clinico!$C:$C, MATCH(1, (VALUE(LEFT(ci_pa_clinico!$A:$A,6))=VALUE(LEFT(B69,6)))*(ci_pa_clinico!$B:$B=C69), 0)), "")</f>
        <v/>
      </c>
      <c r="K69" cm="1">
        <f t="array" aca="1" ref="K69" ca="1">IFERROR(INDEX(aps_equipes_esf!$C:$C, MATCH(1, (VALUE(LEFT(aps_equipes_esf!$A:$A,6))=VALUE(LEFT(B69,6)))*(aps_equipes_esf!$B:$B=C69), 0)), "")</f>
        <v>63</v>
      </c>
      <c r="L69" cm="1">
        <f t="array" aca="1" ref="L69" ca="1">IFERROR(INDEX(casos!$C:$C, MATCH(1, (VALUE(LEFT(casos!$A:$A,6))=VALUE(LEFT(B69,6)))*(casos!$B:$B=C69), 0)), "")</f>
        <v>5583</v>
      </c>
      <c r="M69" cm="1">
        <f t="array" ref="M69">IFERROR(INDEX(srag!$D:$D, MATCH(1, (VALUE(LEFT(srag!$A:$A,6))=VALUE(LEFT(B69,6)))*(srag!$C:$C=C69), 0)), "")</f>
        <v>28</v>
      </c>
      <c r="N69" cm="1">
        <f t="array" ref="N69">IFERROR(INDEX(fesp!$E:$E, MATCH(1, (VALUE(LEFT(fesp!$A:$A,6))=VALUE(LEFT(B69,6)))*(fesp!$C:$C=C69), 0)), "")</f>
        <v>606</v>
      </c>
      <c r="O69" cm="1">
        <f t="array" ref="O69">IFERROR(INDEX(fesp!$F:$F, MATCH(1, (VALUE(LEFT(fesp!$A:$A,6))=VALUE(LEFT(B69,6)))*(fesp!$C:$C=C69), 0)), "")</f>
        <v>18968</v>
      </c>
      <c r="P69" cm="1">
        <f t="array" ref="P69">IFERROR(INDEX(fesp!$G:$G, MATCH(1, (VALUE(LEFT(fesp!$A:$A,6))=VALUE(LEFT(B69,6)))*(fesp!$C:$C=C69), 0)), "")</f>
        <v>6837764</v>
      </c>
      <c r="Q69" cm="1">
        <f t="array" ref="Q69">IFERROR(INDEX(fesp!$H:$H, MATCH(1, (VALUE(LEFT(fesp!$A:$A,6))=VALUE(LEFT(B69,6)))*(fesp!$C:$C=C69), 0)), "")</f>
        <v>214</v>
      </c>
      <c r="R69" cm="1">
        <f t="array" ref="R69">IFERROR(INDEX(fesp!$I:$I, MATCH(1, (VALUE(LEFT(fesp!$A:$A,6))=VALUE(LEFT(B69,6)))*(fesp!$C:$C=C69), 0)), "")</f>
        <v>74230</v>
      </c>
      <c r="S69" cm="1">
        <f t="array" ref="S69">IFERROR(INDEX(fesp!$J:$J, MATCH(1, (VALUE(LEFT(fesp!$A:$A,6))=VALUE(LEFT(B69,6)))*(fesp!$C:$C=C69), 0)), "")</f>
        <v>945803</v>
      </c>
    </row>
    <row r="70" spans="1:19">
      <c r="A70" s="1" t="s">
        <v>29</v>
      </c>
      <c r="B70" s="3" t="s">
        <v>28</v>
      </c>
      <c r="C70" s="3">
        <v>2017</v>
      </c>
      <c r="D70" cm="1">
        <f t="array" ref="D70">IFERROR(INDEX(fesp!$D:$D, MATCH(1, (VALUE(LEFT(fesp!$A:$A,6))=VALUE(LEFT(B70,6)))*(fesp!$C:$C=C70), 0)), "")</f>
        <v>0</v>
      </c>
      <c r="E70" cm="1">
        <f t="array" aca="1" ref="E70" ca="1">IFERROR(INDEX(ft_medicos_clinicos!$C:$C, MATCH(1, (VALUE(LEFT(ft_medicos_clinicos!$A:$A,6))=VALUE(LEFT(B70,6)))*(ft_medicos_clinicos!$B:$B=C70), 0)), "")</f>
        <v>572</v>
      </c>
      <c r="F70" cm="1">
        <f t="array" aca="1" ref="F70" ca="1">IFERROR(INDEX(ft_enfermeiros!$C:$C, MATCH(1, (VALUE(LEFT(ft_enfermeiros!$A:$A,6))=VALUE(LEFT(B70,6)))*(ft_enfermeiros!$B:$B=C70), 0)), "")</f>
        <v>1632</v>
      </c>
      <c r="G70" cm="1">
        <f t="array" aca="1" ref="G70" ca="1">IFERROR(INDEX(ft_equipes_acs!$C:$C, MATCH(1, (VALUE(LEFT(ft_equipes_acs!$A:$A,6))=VALUE(LEFT(B70,6)))*(ft_equipes_acs!$B:$B=C70), 0)), "")</f>
        <v>16</v>
      </c>
      <c r="H70" cm="1">
        <f t="array" aca="1" ref="H70" ca="1">IFERROR(INDEX(ci_leitos_internacao!$C:$C, MATCH(1, (VALUE(LEFT(ci_leitos_internacao!$A:$A,6))=VALUE(LEFT(B70,6)))*(ci_leitos_internacao!$B:$B=C70), 0)), "")</f>
        <v>3889</v>
      </c>
      <c r="I70" cm="1">
        <f t="array" aca="1" ref="I70" ca="1">IFERROR(INDEX(ci_hospitais_internacao!$C:$C, MATCH(1, (VALUE(LEFT(ci_hospitais_internacao!$A:$A,6))=VALUE(LEFT(B70,6)))*(ci_hospitais_internacao!$B:$B=C70), 0)), "")</f>
        <v>9</v>
      </c>
      <c r="J70" t="str" cm="1">
        <f t="array" aca="1" ref="J70" ca="1">IFERROR(INDEX(ci_pa_clinico!$C:$C, MATCH(1, (VALUE(LEFT(ci_pa_clinico!$A:$A,6))=VALUE(LEFT(B70,6)))*(ci_pa_clinico!$B:$B=C70), 0)), "")</f>
        <v/>
      </c>
      <c r="K70" cm="1">
        <f t="array" aca="1" ref="K70" ca="1">IFERROR(INDEX(aps_equipes_esf!$C:$C, MATCH(1, (VALUE(LEFT(aps_equipes_esf!$A:$A,6))=VALUE(LEFT(B70,6)))*(aps_equipes_esf!$B:$B=C70), 0)), "")</f>
        <v>63</v>
      </c>
      <c r="L70" cm="1">
        <f t="array" aca="1" ref="L70" ca="1">IFERROR(INDEX(casos!$C:$C, MATCH(1, (VALUE(LEFT(casos!$A:$A,6))=VALUE(LEFT(B70,6)))*(casos!$B:$B=C70), 0)), "")</f>
        <v>1261</v>
      </c>
      <c r="M70" cm="1">
        <f t="array" ref="M70">IFERROR(INDEX(srag!$D:$D, MATCH(1, (VALUE(LEFT(srag!$A:$A,6))=VALUE(LEFT(B70,6)))*(srag!$C:$C=C70), 0)), "")</f>
        <v>34</v>
      </c>
      <c r="N70" cm="1">
        <f t="array" ref="N70">IFERROR(INDEX(fesp!$E:$E, MATCH(1, (VALUE(LEFT(fesp!$A:$A,6))=VALUE(LEFT(B70,6)))*(fesp!$C:$C=C70), 0)), "")</f>
        <v>432</v>
      </c>
      <c r="O70" cm="1">
        <f t="array" ref="O70">IFERROR(INDEX(fesp!$F:$F, MATCH(1, (VALUE(LEFT(fesp!$A:$A,6))=VALUE(LEFT(B70,6)))*(fesp!$C:$C=C70), 0)), "")</f>
        <v>16625</v>
      </c>
      <c r="P70" cm="1">
        <f t="array" ref="P70">IFERROR(INDEX(fesp!$G:$G, MATCH(1, (VALUE(LEFT(fesp!$A:$A,6))=VALUE(LEFT(B70,6)))*(fesp!$C:$C=C70), 0)), "")</f>
        <v>7827795</v>
      </c>
      <c r="Q70" cm="1">
        <f t="array" ref="Q70">IFERROR(INDEX(fesp!$H:$H, MATCH(1, (VALUE(LEFT(fesp!$A:$A,6))=VALUE(LEFT(B70,6)))*(fesp!$C:$C=C70), 0)), "")</f>
        <v>136</v>
      </c>
      <c r="R70" cm="1">
        <f t="array" ref="R70">IFERROR(INDEX(fesp!$I:$I, MATCH(1, (VALUE(LEFT(fesp!$A:$A,6))=VALUE(LEFT(B70,6)))*(fesp!$C:$C=C70), 0)), "")</f>
        <v>86662</v>
      </c>
      <c r="S70" cm="1">
        <f t="array" ref="S70">IFERROR(INDEX(fesp!$J:$J, MATCH(1, (VALUE(LEFT(fesp!$A:$A,6))=VALUE(LEFT(B70,6)))*(fesp!$C:$C=C70), 0)), "")</f>
        <v>559871</v>
      </c>
    </row>
    <row r="71" spans="1:19">
      <c r="A71" s="1" t="s">
        <v>29</v>
      </c>
      <c r="B71" s="3" t="s">
        <v>28</v>
      </c>
      <c r="C71" s="3">
        <v>2018</v>
      </c>
      <c r="D71" cm="1">
        <f t="array" ref="D71">IFERROR(INDEX(fesp!$D:$D, MATCH(1, (VALUE(LEFT(fesp!$A:$A,6))=VALUE(LEFT(B71,6)))*(fesp!$C:$C=C71), 0)), "")</f>
        <v>0</v>
      </c>
      <c r="E71" cm="1">
        <f t="array" aca="1" ref="E71" ca="1">IFERROR(INDEX(ft_medicos_clinicos!$C:$C, MATCH(1, (VALUE(LEFT(ft_medicos_clinicos!$A:$A,6))=VALUE(LEFT(B71,6)))*(ft_medicos_clinicos!$B:$B=C71), 0)), "")</f>
        <v>566</v>
      </c>
      <c r="F71" cm="1">
        <f t="array" aca="1" ref="F71" ca="1">IFERROR(INDEX(ft_enfermeiros!$C:$C, MATCH(1, (VALUE(LEFT(ft_enfermeiros!$A:$A,6))=VALUE(LEFT(B71,6)))*(ft_enfermeiros!$B:$B=C71), 0)), "")</f>
        <v>1935</v>
      </c>
      <c r="G71" cm="1">
        <f t="array" aca="1" ref="G71" ca="1">IFERROR(INDEX(ft_equipes_acs!$C:$C, MATCH(1, (VALUE(LEFT(ft_equipes_acs!$A:$A,6))=VALUE(LEFT(B71,6)))*(ft_equipes_acs!$B:$B=C71), 0)), "")</f>
        <v>16</v>
      </c>
      <c r="H71" cm="1">
        <f t="array" aca="1" ref="H71" ca="1">IFERROR(INDEX(ci_leitos_internacao!$C:$C, MATCH(1, (VALUE(LEFT(ci_leitos_internacao!$A:$A,6))=VALUE(LEFT(B71,6)))*(ci_leitos_internacao!$B:$B=C71), 0)), "")</f>
        <v>3614</v>
      </c>
      <c r="I71" cm="1">
        <f t="array" aca="1" ref="I71" ca="1">IFERROR(INDEX(ci_hospitais_internacao!$C:$C, MATCH(1, (VALUE(LEFT(ci_hospitais_internacao!$A:$A,6))=VALUE(LEFT(B71,6)))*(ci_hospitais_internacao!$B:$B=C71), 0)), "")</f>
        <v>9</v>
      </c>
      <c r="J71" t="str" cm="1">
        <f t="array" aca="1" ref="J71" ca="1">IFERROR(INDEX(ci_pa_clinico!$C:$C, MATCH(1, (VALUE(LEFT(ci_pa_clinico!$A:$A,6))=VALUE(LEFT(B71,6)))*(ci_pa_clinico!$B:$B=C71), 0)), "")</f>
        <v/>
      </c>
      <c r="K71" cm="1">
        <f t="array" aca="1" ref="K71" ca="1">IFERROR(INDEX(aps_equipes_esf!$C:$C, MATCH(1, (VALUE(LEFT(aps_equipes_esf!$A:$A,6))=VALUE(LEFT(B71,6)))*(aps_equipes_esf!$B:$B=C71), 0)), "")</f>
        <v>63</v>
      </c>
      <c r="L71" cm="1">
        <f t="array" aca="1" ref="L71" ca="1">IFERROR(INDEX(casos!$C:$C, MATCH(1, (VALUE(LEFT(casos!$A:$A,6))=VALUE(LEFT(B71,6)))*(casos!$B:$B=C71), 0)), "")</f>
        <v>765</v>
      </c>
      <c r="M71" cm="1">
        <f t="array" ref="M71">IFERROR(INDEX(srag!$D:$D, MATCH(1, (VALUE(LEFT(srag!$A:$A,6))=VALUE(LEFT(B71,6)))*(srag!$C:$C=C71), 0)), "")</f>
        <v>177</v>
      </c>
      <c r="N71" cm="1">
        <f t="array" ref="N71">IFERROR(INDEX(fesp!$E:$E, MATCH(1, (VALUE(LEFT(fesp!$A:$A,6))=VALUE(LEFT(B71,6)))*(fesp!$C:$C=C71), 0)), "")</f>
        <v>483</v>
      </c>
      <c r="O71" cm="1">
        <f t="array" ref="O71">IFERROR(INDEX(fesp!$F:$F, MATCH(1, (VALUE(LEFT(fesp!$A:$A,6))=VALUE(LEFT(B71,6)))*(fesp!$C:$C=C71), 0)), "")</f>
        <v>19534</v>
      </c>
      <c r="P71" cm="1">
        <f t="array" ref="P71">IFERROR(INDEX(fesp!$G:$G, MATCH(1, (VALUE(LEFT(fesp!$A:$A,6))=VALUE(LEFT(B71,6)))*(fesp!$C:$C=C71), 0)), "")</f>
        <v>9351307</v>
      </c>
      <c r="Q71" cm="1">
        <f t="array" ref="Q71">IFERROR(INDEX(fesp!$H:$H, MATCH(1, (VALUE(LEFT(fesp!$A:$A,6))=VALUE(LEFT(B71,6)))*(fesp!$C:$C=C71), 0)), "")</f>
        <v>134</v>
      </c>
      <c r="R71" cm="1">
        <f t="array" ref="R71">IFERROR(INDEX(fesp!$I:$I, MATCH(1, (VALUE(LEFT(fesp!$A:$A,6))=VALUE(LEFT(B71,6)))*(fesp!$C:$C=C71), 0)), "")</f>
        <v>51130</v>
      </c>
      <c r="S71" cm="1">
        <f t="array" ref="S71">IFERROR(INDEX(fesp!$J:$J, MATCH(1, (VALUE(LEFT(fesp!$A:$A,6))=VALUE(LEFT(B71,6)))*(fesp!$C:$C=C71), 0)), "")</f>
        <v>256989</v>
      </c>
    </row>
    <row r="72" spans="1:19">
      <c r="A72" s="1" t="s">
        <v>29</v>
      </c>
      <c r="B72" s="3" t="s">
        <v>28</v>
      </c>
      <c r="C72" s="3">
        <v>2019</v>
      </c>
      <c r="D72" cm="1">
        <f t="array" ref="D72">IFERROR(INDEX(fesp!$D:$D, MATCH(1, (VALUE(LEFT(fesp!$A:$A,6))=VALUE(LEFT(B72,6)))*(fesp!$C:$C=C72), 0)), "")</f>
        <v>0</v>
      </c>
      <c r="E72" cm="1">
        <f t="array" aca="1" ref="E72" ca="1">IFERROR(INDEX(ft_medicos_clinicos!$C:$C, MATCH(1, (VALUE(LEFT(ft_medicos_clinicos!$A:$A,6))=VALUE(LEFT(B72,6)))*(ft_medicos_clinicos!$B:$B=C72), 0)), "")</f>
        <v>607</v>
      </c>
      <c r="F72" cm="1">
        <f t="array" aca="1" ref="F72" ca="1">IFERROR(INDEX(ft_enfermeiros!$C:$C, MATCH(1, (VALUE(LEFT(ft_enfermeiros!$A:$A,6))=VALUE(LEFT(B72,6)))*(ft_enfermeiros!$B:$B=C72), 0)), "")</f>
        <v>2127</v>
      </c>
      <c r="G72" cm="1">
        <f t="array" aca="1" ref="G72" ca="1">IFERROR(INDEX(ft_equipes_acs!$C:$C, MATCH(1, (VALUE(LEFT(ft_equipes_acs!$A:$A,6))=VALUE(LEFT(B72,6)))*(ft_equipes_acs!$B:$B=C72), 0)), "")</f>
        <v>15</v>
      </c>
      <c r="H72" cm="1">
        <f t="array" aca="1" ref="H72" ca="1">IFERROR(INDEX(ci_leitos_internacao!$C:$C, MATCH(1, (VALUE(LEFT(ci_leitos_internacao!$A:$A,6))=VALUE(LEFT(B72,6)))*(ci_leitos_internacao!$B:$B=C72), 0)), "")</f>
        <v>3731</v>
      </c>
      <c r="I72" cm="1">
        <f t="array" aca="1" ref="I72" ca="1">IFERROR(INDEX(ci_hospitais_internacao!$C:$C, MATCH(1, (VALUE(LEFT(ci_hospitais_internacao!$A:$A,6))=VALUE(LEFT(B72,6)))*(ci_hospitais_internacao!$B:$B=C72), 0)), "")</f>
        <v>9</v>
      </c>
      <c r="J72" t="str" cm="1">
        <f t="array" aca="1" ref="J72" ca="1">IFERROR(INDEX(ci_pa_clinico!$C:$C, MATCH(1, (VALUE(LEFT(ci_pa_clinico!$A:$A,6))=VALUE(LEFT(B72,6)))*(ci_pa_clinico!$B:$B=C72), 0)), "")</f>
        <v/>
      </c>
      <c r="K72" cm="1">
        <f t="array" aca="1" ref="K72" ca="1">IFERROR(INDEX(aps_equipes_esf!$C:$C, MATCH(1, (VALUE(LEFT(aps_equipes_esf!$A:$A,6))=VALUE(LEFT(B72,6)))*(aps_equipes_esf!$B:$B=C72), 0)), "")</f>
        <v>63</v>
      </c>
      <c r="L72" cm="1">
        <f t="array" aca="1" ref="L72" ca="1">IFERROR(INDEX(casos!$C:$C, MATCH(1, (VALUE(LEFT(casos!$A:$A,6))=VALUE(LEFT(B72,6)))*(casos!$B:$B=C72), 0)), "")</f>
        <v>1397</v>
      </c>
      <c r="M72" cm="1">
        <f t="array" ref="M72">IFERROR(INDEX(srag!$D:$D, MATCH(1, (VALUE(LEFT(srag!$A:$A,6))=VALUE(LEFT(B72,6)))*(srag!$C:$C=C72), 0)), "")</f>
        <v>160</v>
      </c>
      <c r="N72" cm="1">
        <f t="array" ref="N72">IFERROR(INDEX(fesp!$E:$E, MATCH(1, (VALUE(LEFT(fesp!$A:$A,6))=VALUE(LEFT(B72,6)))*(fesp!$C:$C=C72), 0)), "")</f>
        <v>1412</v>
      </c>
      <c r="O72" cm="1">
        <f t="array" ref="O72">IFERROR(INDEX(fesp!$F:$F, MATCH(1, (VALUE(LEFT(fesp!$A:$A,6))=VALUE(LEFT(B72,6)))*(fesp!$C:$C=C72), 0)), "")</f>
        <v>19857</v>
      </c>
      <c r="P72" cm="1">
        <f t="array" ref="P72">IFERROR(INDEX(fesp!$G:$G, MATCH(1, (VALUE(LEFT(fesp!$A:$A,6))=VALUE(LEFT(B72,6)))*(fesp!$C:$C=C72), 0)), "")</f>
        <v>8808911</v>
      </c>
      <c r="Q72" cm="1">
        <f t="array" ref="Q72">IFERROR(INDEX(fesp!$H:$H, MATCH(1, (VALUE(LEFT(fesp!$A:$A,6))=VALUE(LEFT(B72,6)))*(fesp!$C:$C=C72), 0)), "")</f>
        <v>81</v>
      </c>
      <c r="R72" cm="1">
        <f t="array" ref="R72">IFERROR(INDEX(fesp!$I:$I, MATCH(1, (VALUE(LEFT(fesp!$A:$A,6))=VALUE(LEFT(B72,6)))*(fesp!$C:$C=C72), 0)), "")</f>
        <v>18604</v>
      </c>
      <c r="S72" cm="1">
        <f t="array" ref="S72">IFERROR(INDEX(fesp!$J:$J, MATCH(1, (VALUE(LEFT(fesp!$A:$A,6))=VALUE(LEFT(B72,6)))*(fesp!$C:$C=C72), 0)), "")</f>
        <v>82180</v>
      </c>
    </row>
    <row r="73" spans="1:19">
      <c r="A73" s="1" t="s">
        <v>29</v>
      </c>
      <c r="B73" s="3" t="s">
        <v>28</v>
      </c>
      <c r="C73" s="3">
        <v>2020</v>
      </c>
      <c r="D73" cm="1">
        <f t="array" ref="D73">IFERROR(INDEX(fesp!$D:$D, MATCH(1, (VALUE(LEFT(fesp!$A:$A,6))=VALUE(LEFT(B73,6)))*(fesp!$C:$C=C73), 0)), "")</f>
        <v>0</v>
      </c>
      <c r="E73" cm="1">
        <f t="array" aca="1" ref="E73" ca="1">IFERROR(INDEX(ft_medicos_clinicos!$C:$C, MATCH(1, (VALUE(LEFT(ft_medicos_clinicos!$A:$A,6))=VALUE(LEFT(B73,6)))*(ft_medicos_clinicos!$B:$B=C73), 0)), "")</f>
        <v>608</v>
      </c>
      <c r="F73" cm="1">
        <f t="array" aca="1" ref="F73" ca="1">IFERROR(INDEX(ft_enfermeiros!$C:$C, MATCH(1, (VALUE(LEFT(ft_enfermeiros!$A:$A,6))=VALUE(LEFT(B73,6)))*(ft_enfermeiros!$B:$B=C73), 0)), "")</f>
        <v>2430</v>
      </c>
      <c r="G73" t="str" cm="1">
        <f t="array" aca="1" ref="G73" ca="1">IFERROR(INDEX(ft_equipes_acs!$C:$C, MATCH(1, (VALUE(LEFT(ft_equipes_acs!$A:$A,6))=VALUE(LEFT(B73,6)))*(ft_equipes_acs!$B:$B=C73), 0)), "")</f>
        <v>-</v>
      </c>
      <c r="H73" cm="1">
        <f t="array" aca="1" ref="H73" ca="1">IFERROR(INDEX(ci_leitos_internacao!$C:$C, MATCH(1, (VALUE(LEFT(ci_leitos_internacao!$A:$A,6))=VALUE(LEFT(B73,6)))*(ci_leitos_internacao!$B:$B=C73), 0)), "")</f>
        <v>4231</v>
      </c>
      <c r="I73" cm="1">
        <f t="array" aca="1" ref="I73" ca="1">IFERROR(INDEX(ci_hospitais_internacao!$C:$C, MATCH(1, (VALUE(LEFT(ci_hospitais_internacao!$A:$A,6))=VALUE(LEFT(B73,6)))*(ci_hospitais_internacao!$B:$B=C73), 0)), "")</f>
        <v>17</v>
      </c>
      <c r="J73" t="str" cm="1">
        <f t="array" aca="1" ref="J73" ca="1">IFERROR(INDEX(ci_pa_clinico!$C:$C, MATCH(1, (VALUE(LEFT(ci_pa_clinico!$A:$A,6))=VALUE(LEFT(B73,6)))*(ci_pa_clinico!$B:$B=C73), 0)), "")</f>
        <v/>
      </c>
      <c r="K73" t="str" cm="1">
        <f t="array" aca="1" ref="K73" ca="1">IFERROR(INDEX(aps_equipes_esf!$C:$C, MATCH(1, (VALUE(LEFT(aps_equipes_esf!$A:$A,6))=VALUE(LEFT(B73,6)))*(aps_equipes_esf!$B:$B=C73), 0)), "")</f>
        <v>-</v>
      </c>
      <c r="L73" cm="1">
        <f t="array" aca="1" ref="L73" ca="1">IFERROR(INDEX(casos!$C:$C, MATCH(1, (VALUE(LEFT(casos!$A:$A,6))=VALUE(LEFT(B73,6)))*(casos!$B:$B=C73), 0)), "")</f>
        <v>857</v>
      </c>
      <c r="M73" cm="1">
        <f t="array" ref="M73">IFERROR(INDEX(srag!$D:$D, MATCH(1, (VALUE(LEFT(srag!$A:$A,6))=VALUE(LEFT(B73,6)))*(srag!$C:$C=C73), 0)), "")</f>
        <v>6353</v>
      </c>
      <c r="N73" cm="1">
        <f t="array" ref="N73">IFERROR(INDEX(fesp!$E:$E, MATCH(1, (VALUE(LEFT(fesp!$A:$A,6))=VALUE(LEFT(B73,6)))*(fesp!$C:$C=C73), 0)), "")</f>
        <v>1253</v>
      </c>
      <c r="O73" cm="1">
        <f t="array" ref="O73">IFERROR(INDEX(fesp!$F:$F, MATCH(1, (VALUE(LEFT(fesp!$A:$A,6))=VALUE(LEFT(B73,6)))*(fesp!$C:$C=C73), 0)), "")</f>
        <v>15245</v>
      </c>
      <c r="P73" cm="1">
        <f t="array" ref="P73">IFERROR(INDEX(fesp!$G:$G, MATCH(1, (VALUE(LEFT(fesp!$A:$A,6))=VALUE(LEFT(B73,6)))*(fesp!$C:$C=C73), 0)), "")</f>
        <v>6379144</v>
      </c>
      <c r="Q73" cm="1">
        <f t="array" ref="Q73">IFERROR(INDEX(fesp!$H:$H, MATCH(1, (VALUE(LEFT(fesp!$A:$A,6))=VALUE(LEFT(B73,6)))*(fesp!$C:$C=C73), 0)), "")</f>
        <v>54</v>
      </c>
      <c r="R73" cm="1">
        <f t="array" ref="R73">IFERROR(INDEX(fesp!$I:$I, MATCH(1, (VALUE(LEFT(fesp!$A:$A,6))=VALUE(LEFT(B73,6)))*(fesp!$C:$C=C73), 0)), "")</f>
        <v>7744</v>
      </c>
      <c r="S73" cm="1">
        <f t="array" ref="S73">IFERROR(INDEX(fesp!$J:$J, MATCH(1, (VALUE(LEFT(fesp!$A:$A,6))=VALUE(LEFT(B73,6)))*(fesp!$C:$C=C73), 0)), "")</f>
        <v>19926</v>
      </c>
    </row>
    <row r="74" spans="1:19">
      <c r="A74" s="1" t="s">
        <v>29</v>
      </c>
      <c r="B74" s="3" t="s">
        <v>28</v>
      </c>
      <c r="C74" s="3">
        <v>2021</v>
      </c>
      <c r="D74" cm="1">
        <f t="array" ref="D74">IFERROR(INDEX(fesp!$D:$D, MATCH(1, (VALUE(LEFT(fesp!$A:$A,6))=VALUE(LEFT(B74,6)))*(fesp!$C:$C=C74), 0)), "")</f>
        <v>0</v>
      </c>
      <c r="E74" cm="1">
        <f t="array" aca="1" ref="E74" ca="1">IFERROR(INDEX(ft_medicos_clinicos!$C:$C, MATCH(1, (VALUE(LEFT(ft_medicos_clinicos!$A:$A,6))=VALUE(LEFT(B74,6)))*(ft_medicos_clinicos!$B:$B=C74), 0)), "")</f>
        <v>644</v>
      </c>
      <c r="F74" cm="1">
        <f t="array" aca="1" ref="F74" ca="1">IFERROR(INDEX(ft_enfermeiros!$C:$C, MATCH(1, (VALUE(LEFT(ft_enfermeiros!$A:$A,6))=VALUE(LEFT(B74,6)))*(ft_enfermeiros!$B:$B=C74), 0)), "")</f>
        <v>2611</v>
      </c>
      <c r="G74" t="str" cm="1">
        <f t="array" aca="1" ref="G74" ca="1">IFERROR(INDEX(ft_equipes_acs!$C:$C, MATCH(1, (VALUE(LEFT(ft_equipes_acs!$A:$A,6))=VALUE(LEFT(B74,6)))*(ft_equipes_acs!$B:$B=C74), 0)), "")</f>
        <v>-</v>
      </c>
      <c r="H74" cm="1">
        <f t="array" aca="1" ref="H74" ca="1">IFERROR(INDEX(ci_leitos_internacao!$C:$C, MATCH(1, (VALUE(LEFT(ci_leitos_internacao!$A:$A,6))=VALUE(LEFT(B74,6)))*(ci_leitos_internacao!$B:$B=C74), 0)), "")</f>
        <v>4179</v>
      </c>
      <c r="I74" cm="1">
        <f t="array" aca="1" ref="I74" ca="1">IFERROR(INDEX(ci_hospitais_internacao!$C:$C, MATCH(1, (VALUE(LEFT(ci_hospitais_internacao!$A:$A,6))=VALUE(LEFT(B74,6)))*(ci_hospitais_internacao!$B:$B=C74), 0)), "")</f>
        <v>15</v>
      </c>
      <c r="J74" t="str" cm="1">
        <f t="array" aca="1" ref="J74" ca="1">IFERROR(INDEX(ci_pa_clinico!$C:$C, MATCH(1, (VALUE(LEFT(ci_pa_clinico!$A:$A,6))=VALUE(LEFT(B74,6)))*(ci_pa_clinico!$B:$B=C74), 0)), "")</f>
        <v/>
      </c>
      <c r="K74" t="str" cm="1">
        <f t="array" aca="1" ref="K74" ca="1">IFERROR(INDEX(aps_equipes_esf!$C:$C, MATCH(1, (VALUE(LEFT(aps_equipes_esf!$A:$A,6))=VALUE(LEFT(B74,6)))*(aps_equipes_esf!$B:$B=C74), 0)), "")</f>
        <v>-</v>
      </c>
      <c r="L74" cm="1">
        <f t="array" aca="1" ref="L74" ca="1">IFERROR(INDEX(casos!$C:$C, MATCH(1, (VALUE(LEFT(casos!$A:$A,6))=VALUE(LEFT(B74,6)))*(casos!$B:$B=C74), 0)), "")</f>
        <v>215</v>
      </c>
      <c r="M74" cm="1">
        <f t="array" ref="M74">IFERROR(INDEX(srag!$D:$D, MATCH(1, (VALUE(LEFT(srag!$A:$A,6))=VALUE(LEFT(B74,6)))*(srag!$C:$C=C74), 0)), "")</f>
        <v>5317</v>
      </c>
      <c r="N74" cm="1">
        <f t="array" ref="N74">IFERROR(INDEX(fesp!$E:$E, MATCH(1, (VALUE(LEFT(fesp!$A:$A,6))=VALUE(LEFT(B74,6)))*(fesp!$C:$C=C74), 0)), "")</f>
        <v>1243</v>
      </c>
      <c r="O74" cm="1">
        <f t="array" ref="O74">IFERROR(INDEX(fesp!$F:$F, MATCH(1, (VALUE(LEFT(fesp!$A:$A,6))=VALUE(LEFT(B74,6)))*(fesp!$C:$C=C74), 0)), "")</f>
        <v>22150</v>
      </c>
      <c r="P74" cm="1">
        <f t="array" ref="P74">IFERROR(INDEX(fesp!$G:$G, MATCH(1, (VALUE(LEFT(fesp!$A:$A,6))=VALUE(LEFT(B74,6)))*(fesp!$C:$C=C74), 0)), "")</f>
        <v>8564166</v>
      </c>
      <c r="Q74" cm="1">
        <f t="array" ref="Q74">IFERROR(INDEX(fesp!$H:$H, MATCH(1, (VALUE(LEFT(fesp!$A:$A,6))=VALUE(LEFT(B74,6)))*(fesp!$C:$C=C74), 0)), "")</f>
        <v>175</v>
      </c>
      <c r="R74" cm="1">
        <f t="array" ref="R74">IFERROR(INDEX(fesp!$I:$I, MATCH(1, (VALUE(LEFT(fesp!$A:$A,6))=VALUE(LEFT(B74,6)))*(fesp!$C:$C=C74), 0)), "")</f>
        <v>20348</v>
      </c>
      <c r="S74" cm="1">
        <f t="array" ref="S74">IFERROR(INDEX(fesp!$J:$J, MATCH(1, (VALUE(LEFT(fesp!$A:$A,6))=VALUE(LEFT(B74,6)))*(fesp!$C:$C=C74), 0)), "")</f>
        <v>22011</v>
      </c>
    </row>
    <row r="75" spans="1:19">
      <c r="A75" s="1" t="s">
        <v>29</v>
      </c>
      <c r="B75" s="3" t="s">
        <v>28</v>
      </c>
      <c r="C75" s="3">
        <v>2022</v>
      </c>
      <c r="D75" cm="1">
        <f t="array" ref="D75">IFERROR(INDEX(fesp!$D:$D, MATCH(1, (VALUE(LEFT(fesp!$A:$A,6))=VALUE(LEFT(B75,6)))*(fesp!$C:$C=C75), 0)), "")</f>
        <v>1037775</v>
      </c>
      <c r="E75" cm="1">
        <f t="array" aca="1" ref="E75" ca="1">IFERROR(INDEX(ft_medicos_clinicos!$C:$C, MATCH(1, (VALUE(LEFT(ft_medicos_clinicos!$A:$A,6))=VALUE(LEFT(B75,6)))*(ft_medicos_clinicos!$B:$B=C75), 0)), "")</f>
        <v>731</v>
      </c>
      <c r="F75" cm="1">
        <f t="array" aca="1" ref="F75" ca="1">IFERROR(INDEX(ft_enfermeiros!$C:$C, MATCH(1, (VALUE(LEFT(ft_enfermeiros!$A:$A,6))=VALUE(LEFT(B75,6)))*(ft_enfermeiros!$B:$B=C75), 0)), "")</f>
        <v>2904</v>
      </c>
      <c r="G75" t="str" cm="1">
        <f t="array" aca="1" ref="G75" ca="1">IFERROR(INDEX(ft_equipes_acs!$C:$C, MATCH(1, (VALUE(LEFT(ft_equipes_acs!$A:$A,6))=VALUE(LEFT(B75,6)))*(ft_equipes_acs!$B:$B=C75), 0)), "")</f>
        <v>-</v>
      </c>
      <c r="H75" cm="1">
        <f t="array" aca="1" ref="H75" ca="1">IFERROR(INDEX(ci_leitos_internacao!$C:$C, MATCH(1, (VALUE(LEFT(ci_leitos_internacao!$A:$A,6))=VALUE(LEFT(B75,6)))*(ci_leitos_internacao!$B:$B=C75), 0)), "")</f>
        <v>4579</v>
      </c>
      <c r="I75" cm="1">
        <f t="array" aca="1" ref="I75" ca="1">IFERROR(INDEX(ci_hospitais_internacao!$C:$C, MATCH(1, (VALUE(LEFT(ci_hospitais_internacao!$A:$A,6))=VALUE(LEFT(B75,6)))*(ci_hospitais_internacao!$B:$B=C75), 0)), "")</f>
        <v>15</v>
      </c>
      <c r="J75" t="str" cm="1">
        <f t="array" aca="1" ref="J75" ca="1">IFERROR(INDEX(ci_pa_clinico!$C:$C, MATCH(1, (VALUE(LEFT(ci_pa_clinico!$A:$A,6))=VALUE(LEFT(B75,6)))*(ci_pa_clinico!$B:$B=C75), 0)), "")</f>
        <v/>
      </c>
      <c r="K75" t="str" cm="1">
        <f t="array" aca="1" ref="K75" ca="1">IFERROR(INDEX(aps_equipes_esf!$C:$C, MATCH(1, (VALUE(LEFT(aps_equipes_esf!$A:$A,6))=VALUE(LEFT(B75,6)))*(aps_equipes_esf!$B:$B=C75), 0)), "")</f>
        <v>-</v>
      </c>
      <c r="L75" cm="1">
        <f t="array" aca="1" ref="L75" ca="1">IFERROR(INDEX(casos!$C:$C, MATCH(1, (VALUE(LEFT(casos!$A:$A,6))=VALUE(LEFT(B75,6)))*(casos!$B:$B=C75), 0)), "")</f>
        <v>2409</v>
      </c>
      <c r="M75" cm="1">
        <f t="array" ref="M75">IFERROR(INDEX(srag!$D:$D, MATCH(1, (VALUE(LEFT(srag!$A:$A,6))=VALUE(LEFT(B75,6)))*(srag!$C:$C=C75), 0)), "")</f>
        <v>1233</v>
      </c>
      <c r="N75" cm="1">
        <f t="array" ref="N75">IFERROR(INDEX(fesp!$E:$E, MATCH(1, (VALUE(LEFT(fesp!$A:$A,6))=VALUE(LEFT(B75,6)))*(fesp!$C:$C=C75), 0)), "")</f>
        <v>1557</v>
      </c>
      <c r="O75" cm="1">
        <f t="array" ref="O75">IFERROR(INDEX(fesp!$F:$F, MATCH(1, (VALUE(LEFT(fesp!$A:$A,6))=VALUE(LEFT(B75,6)))*(fesp!$C:$C=C75), 0)), "")</f>
        <v>20987</v>
      </c>
      <c r="P75" cm="1">
        <f t="array" ref="P75">IFERROR(INDEX(fesp!$G:$G, MATCH(1, (VALUE(LEFT(fesp!$A:$A,6))=VALUE(LEFT(B75,6)))*(fesp!$C:$C=C75), 0)), "")</f>
        <v>10062408</v>
      </c>
      <c r="Q75" cm="1">
        <f t="array" ref="Q75">IFERROR(INDEX(fesp!$H:$H, MATCH(1, (VALUE(LEFT(fesp!$A:$A,6))=VALUE(LEFT(B75,6)))*(fesp!$C:$C=C75), 0)), "")</f>
        <v>373</v>
      </c>
      <c r="R75" cm="1">
        <f t="array" ref="R75">IFERROR(INDEX(fesp!$I:$I, MATCH(1, (VALUE(LEFT(fesp!$A:$A,6))=VALUE(LEFT(B75,6)))*(fesp!$C:$C=C75), 0)), "")</f>
        <v>4765</v>
      </c>
      <c r="S75" cm="1">
        <f t="array" ref="S75">IFERROR(INDEX(fesp!$J:$J, MATCH(1, (VALUE(LEFT(fesp!$A:$A,6))=VALUE(LEFT(B75,6)))*(fesp!$C:$C=C75), 0)), "")</f>
        <v>18803</v>
      </c>
    </row>
    <row r="76" spans="1:19">
      <c r="A76" s="1" t="s">
        <v>29</v>
      </c>
      <c r="B76" s="3" t="s">
        <v>28</v>
      </c>
      <c r="C76" s="3">
        <v>2023</v>
      </c>
      <c r="D76" cm="1">
        <f t="array" ref="D76">IFERROR(INDEX(fesp!$D:$D, MATCH(1, (VALUE(LEFT(fesp!$A:$A,6))=VALUE(LEFT(B76,6)))*(fesp!$C:$C=C76), 0)), "")</f>
        <v>0</v>
      </c>
      <c r="E76" cm="1">
        <f t="array" aca="1" ref="E76" ca="1">IFERROR(INDEX(ft_medicos_clinicos!$C:$C, MATCH(1, (VALUE(LEFT(ft_medicos_clinicos!$A:$A,6))=VALUE(LEFT(B76,6)))*(ft_medicos_clinicos!$B:$B=C76), 0)), "")</f>
        <v>798</v>
      </c>
      <c r="F76" cm="1">
        <f t="array" aca="1" ref="F76" ca="1">IFERROR(INDEX(ft_enfermeiros!$C:$C, MATCH(1, (VALUE(LEFT(ft_enfermeiros!$A:$A,6))=VALUE(LEFT(B76,6)))*(ft_enfermeiros!$B:$B=C76), 0)), "")</f>
        <v>3534</v>
      </c>
      <c r="G76" t="str" cm="1">
        <f t="array" aca="1" ref="G76" ca="1">IFERROR(INDEX(ft_equipes_acs!$C:$C, MATCH(1, (VALUE(LEFT(ft_equipes_acs!$A:$A,6))=VALUE(LEFT(B76,6)))*(ft_equipes_acs!$B:$B=C76), 0)), "")</f>
        <v>-</v>
      </c>
      <c r="H76" cm="1">
        <f t="array" aca="1" ref="H76" ca="1">IFERROR(INDEX(ci_leitos_internacao!$C:$C, MATCH(1, (VALUE(LEFT(ci_leitos_internacao!$A:$A,6))=VALUE(LEFT(B76,6)))*(ci_leitos_internacao!$B:$B=C76), 0)), "")</f>
        <v>4643</v>
      </c>
      <c r="I76" cm="1">
        <f t="array" aca="1" ref="I76" ca="1">IFERROR(INDEX(ci_hospitais_internacao!$C:$C, MATCH(1, (VALUE(LEFT(ci_hospitais_internacao!$A:$A,6))=VALUE(LEFT(B76,6)))*(ci_hospitais_internacao!$B:$B=C76), 0)), "")</f>
        <v>14</v>
      </c>
      <c r="J76" t="str" cm="1">
        <f t="array" aca="1" ref="J76" ca="1">IFERROR(INDEX(ci_pa_clinico!$C:$C, MATCH(1, (VALUE(LEFT(ci_pa_clinico!$A:$A,6))=VALUE(LEFT(B76,6)))*(ci_pa_clinico!$B:$B=C76), 0)), "")</f>
        <v/>
      </c>
      <c r="K76" t="str" cm="1">
        <f t="array" aca="1" ref="K76" ca="1">IFERROR(INDEX(aps_equipes_esf!$C:$C, MATCH(1, (VALUE(LEFT(aps_equipes_esf!$A:$A,6))=VALUE(LEFT(B76,6)))*(aps_equipes_esf!$B:$B=C76), 0)), "")</f>
        <v>-</v>
      </c>
      <c r="L76" cm="1">
        <f t="array" aca="1" ref="L76" ca="1">IFERROR(INDEX(casos!$C:$C, MATCH(1, (VALUE(LEFT(casos!$A:$A,6))=VALUE(LEFT(B76,6)))*(casos!$B:$B=C76), 0)), "")</f>
        <v>1740</v>
      </c>
      <c r="M76" cm="1">
        <f t="array" ref="M76">IFERROR(INDEX(srag!$D:$D, MATCH(1, (VALUE(LEFT(srag!$A:$A,6))=VALUE(LEFT(B76,6)))*(srag!$C:$C=C76), 0)), "")</f>
        <v>810</v>
      </c>
      <c r="N76" cm="1">
        <f t="array" ref="N76">IFERROR(INDEX(fesp!$E:$E, MATCH(1, (VALUE(LEFT(fesp!$A:$A,6))=VALUE(LEFT(B76,6)))*(fesp!$C:$C=C76), 0)), "")</f>
        <v>1267</v>
      </c>
      <c r="O76" cm="1">
        <f t="array" ref="O76">IFERROR(INDEX(fesp!$F:$F, MATCH(1, (VALUE(LEFT(fesp!$A:$A,6))=VALUE(LEFT(B76,6)))*(fesp!$C:$C=C76), 0)), "")</f>
        <v>20218</v>
      </c>
      <c r="P76" cm="1">
        <f t="array" ref="P76">IFERROR(INDEX(fesp!$G:$G, MATCH(1, (VALUE(LEFT(fesp!$A:$A,6))=VALUE(LEFT(B76,6)))*(fesp!$C:$C=C76), 0)), "")</f>
        <v>10466801</v>
      </c>
      <c r="Q76" cm="1">
        <f t="array" ref="Q76">IFERROR(INDEX(fesp!$H:$H, MATCH(1, (VALUE(LEFT(fesp!$A:$A,6))=VALUE(LEFT(B76,6)))*(fesp!$C:$C=C76), 0)), "")</f>
        <v>325</v>
      </c>
      <c r="R76" cm="1">
        <f t="array" ref="R76">IFERROR(INDEX(fesp!$I:$I, MATCH(1, (VALUE(LEFT(fesp!$A:$A,6))=VALUE(LEFT(B76,6)))*(fesp!$C:$C=C76), 0)), "")</f>
        <v>100</v>
      </c>
      <c r="S76" cm="1">
        <f t="array" ref="S76">IFERROR(INDEX(fesp!$J:$J, MATCH(1, (VALUE(LEFT(fesp!$A:$A,6))=VALUE(LEFT(B76,6)))*(fesp!$C:$C=C76), 0)), "")</f>
        <v>7555</v>
      </c>
    </row>
    <row r="77" spans="1:19">
      <c r="A77" s="1" t="s">
        <v>29</v>
      </c>
      <c r="B77" s="3" t="s">
        <v>28</v>
      </c>
      <c r="C77" s="3">
        <v>2024</v>
      </c>
      <c r="D77" cm="1">
        <f t="array" ref="D77">IFERROR(INDEX(fesp!$D:$D, MATCH(1, (VALUE(LEFT(fesp!$A:$A,6))=VALUE(LEFT(B77,6)))*(fesp!$C:$C=C77), 0)), "")</f>
        <v>0</v>
      </c>
      <c r="E77" cm="1">
        <f t="array" aca="1" ref="E77" ca="1">IFERROR(INDEX(ft_medicos_clinicos!$C:$C, MATCH(1, (VALUE(LEFT(ft_medicos_clinicos!$A:$A,6))=VALUE(LEFT(B77,6)))*(ft_medicos_clinicos!$B:$B=C77), 0)), "")</f>
        <v>838</v>
      </c>
      <c r="F77" cm="1">
        <f t="array" aca="1" ref="F77" ca="1">IFERROR(INDEX(ft_enfermeiros!$C:$C, MATCH(1, (VALUE(LEFT(ft_enfermeiros!$A:$A,6))=VALUE(LEFT(B77,6)))*(ft_enfermeiros!$B:$B=C77), 0)), "")</f>
        <v>3795</v>
      </c>
      <c r="G77" t="str" cm="1">
        <f t="array" aca="1" ref="G77" ca="1">IFERROR(INDEX(ft_equipes_acs!$C:$C, MATCH(1, (VALUE(LEFT(ft_equipes_acs!$A:$A,6))=VALUE(LEFT(B77,6)))*(ft_equipes_acs!$B:$B=C77), 0)), "")</f>
        <v>-</v>
      </c>
      <c r="H77" cm="1">
        <f t="array" aca="1" ref="H77" ca="1">IFERROR(INDEX(ci_leitos_internacao!$C:$C, MATCH(1, (VALUE(LEFT(ci_leitos_internacao!$A:$A,6))=VALUE(LEFT(B77,6)))*(ci_leitos_internacao!$B:$B=C77), 0)), "")</f>
        <v>4466</v>
      </c>
      <c r="I77" cm="1">
        <f t="array" aca="1" ref="I77" ca="1">IFERROR(INDEX(ci_hospitais_internacao!$C:$C, MATCH(1, (VALUE(LEFT(ci_hospitais_internacao!$A:$A,6))=VALUE(LEFT(B77,6)))*(ci_hospitais_internacao!$B:$B=C77), 0)), "")</f>
        <v>15</v>
      </c>
      <c r="J77" t="str" cm="1">
        <f t="array" aca="1" ref="J77" ca="1">IFERROR(INDEX(ci_pa_clinico!$C:$C, MATCH(1, (VALUE(LEFT(ci_pa_clinico!$A:$A,6))=VALUE(LEFT(B77,6)))*(ci_pa_clinico!$B:$B=C77), 0)), "")</f>
        <v/>
      </c>
      <c r="K77" t="str" cm="1">
        <f t="array" aca="1" ref="K77" ca="1">IFERROR(INDEX(aps_equipes_esf!$C:$C, MATCH(1, (VALUE(LEFT(aps_equipes_esf!$A:$A,6))=VALUE(LEFT(B77,6)))*(aps_equipes_esf!$B:$B=C77), 0)), "")</f>
        <v>-</v>
      </c>
      <c r="L77" cm="1">
        <f t="array" aca="1" ref="L77" ca="1">IFERROR(INDEX(casos!$C:$C, MATCH(1, (VALUE(LEFT(casos!$A:$A,6))=VALUE(LEFT(B77,6)))*(casos!$B:$B=C77), 0)), "")</f>
        <v>1998</v>
      </c>
      <c r="M77" cm="1">
        <f t="array" ref="M77">IFERROR(INDEX(srag!$D:$D, MATCH(1, (VALUE(LEFT(srag!$A:$A,6))=VALUE(LEFT(B77,6)))*(srag!$C:$C=C77), 0)), "")</f>
        <v>978</v>
      </c>
      <c r="N77" cm="1">
        <f t="array" ref="N77">IFERROR(INDEX(fesp!$E:$E, MATCH(1, (VALUE(LEFT(fesp!$A:$A,6))=VALUE(LEFT(B77,6)))*(fesp!$C:$C=C77), 0)), "")</f>
        <v>382</v>
      </c>
      <c r="O77" cm="1">
        <f t="array" ref="O77">IFERROR(INDEX(fesp!$F:$F, MATCH(1, (VALUE(LEFT(fesp!$A:$A,6))=VALUE(LEFT(B77,6)))*(fesp!$C:$C=C77), 0)), "")</f>
        <v>28138</v>
      </c>
      <c r="P77" cm="1">
        <f t="array" ref="P77">IFERROR(INDEX(fesp!$G:$G, MATCH(1, (VALUE(LEFT(fesp!$A:$A,6))=VALUE(LEFT(B77,6)))*(fesp!$C:$C=C77), 0)), "")</f>
        <v>11137040</v>
      </c>
      <c r="Q77" cm="1">
        <f t="array" ref="Q77">IFERROR(INDEX(fesp!$H:$H, MATCH(1, (VALUE(LEFT(fesp!$A:$A,6))=VALUE(LEFT(B77,6)))*(fesp!$C:$C=C77), 0)), "")</f>
        <v>133</v>
      </c>
      <c r="R77" cm="1">
        <f t="array" ref="R77">IFERROR(INDEX(fesp!$I:$I, MATCH(1, (VALUE(LEFT(fesp!$A:$A,6))=VALUE(LEFT(B77,6)))*(fesp!$C:$C=C77), 0)), "")</f>
        <v>304</v>
      </c>
      <c r="S77" cm="1">
        <f t="array" ref="S77">IFERROR(INDEX(fesp!$J:$J, MATCH(1, (VALUE(LEFT(fesp!$A:$A,6))=VALUE(LEFT(B77,6)))*(fesp!$C:$C=C77), 0)), "")</f>
        <v>23422</v>
      </c>
    </row>
    <row r="78" spans="1:19">
      <c r="A78" s="1" t="s">
        <v>29</v>
      </c>
      <c r="B78" s="3" t="s">
        <v>28</v>
      </c>
      <c r="C78" s="3">
        <v>2025</v>
      </c>
      <c r="D78" cm="1">
        <f t="array" ref="D78">IFERROR(INDEX(fesp!$D:$D, MATCH(1, (VALUE(LEFT(fesp!$A:$A,6))=VALUE(LEFT(B78,6)))*(fesp!$C:$C=C78), 0)), "")</f>
        <v>0</v>
      </c>
      <c r="E78" cm="1">
        <f t="array" aca="1" ref="E78" ca="1">IFERROR(INDEX(ft_medicos_clinicos!$C:$C, MATCH(1, (VALUE(LEFT(ft_medicos_clinicos!$A:$A,6))=VALUE(LEFT(B78,6)))*(ft_medicos_clinicos!$B:$B=C78), 0)), "")</f>
        <v>940</v>
      </c>
      <c r="F78" cm="1">
        <f t="array" aca="1" ref="F78" ca="1">IFERROR(INDEX(ft_enfermeiros!$C:$C, MATCH(1, (VALUE(LEFT(ft_enfermeiros!$A:$A,6))=VALUE(LEFT(B78,6)))*(ft_enfermeiros!$B:$B=C78), 0)), "")</f>
        <v>3959</v>
      </c>
      <c r="G78" t="str" cm="1">
        <f t="array" aca="1" ref="G78" ca="1">IFERROR(INDEX(ft_equipes_acs!$C:$C, MATCH(1, (VALUE(LEFT(ft_equipes_acs!$A:$A,6))=VALUE(LEFT(B78,6)))*(ft_equipes_acs!$B:$B=C78), 0)), "")</f>
        <v>-</v>
      </c>
      <c r="H78" cm="1">
        <f t="array" aca="1" ref="H78" ca="1">IFERROR(INDEX(ci_leitos_internacao!$C:$C, MATCH(1, (VALUE(LEFT(ci_leitos_internacao!$A:$A,6))=VALUE(LEFT(B78,6)))*(ci_leitos_internacao!$B:$B=C78), 0)), "")</f>
        <v>4498</v>
      </c>
      <c r="I78" cm="1">
        <f t="array" aca="1" ref="I78" ca="1">IFERROR(INDEX(ci_hospitais_internacao!$C:$C, MATCH(1, (VALUE(LEFT(ci_hospitais_internacao!$A:$A,6))=VALUE(LEFT(B78,6)))*(ci_hospitais_internacao!$B:$B=C78), 0)), "")</f>
        <v>17</v>
      </c>
      <c r="J78" t="str" cm="1">
        <f t="array" aca="1" ref="J78" ca="1">IFERROR(INDEX(ci_pa_clinico!$C:$C, MATCH(1, (VALUE(LEFT(ci_pa_clinico!$A:$A,6))=VALUE(LEFT(B78,6)))*(ci_pa_clinico!$B:$B=C78), 0)), "")</f>
        <v/>
      </c>
      <c r="K78" t="str" cm="1">
        <f t="array" aca="1" ref="K78" ca="1">IFERROR(INDEX(aps_equipes_esf!$C:$C, MATCH(1, (VALUE(LEFT(aps_equipes_esf!$A:$A,6))=VALUE(LEFT(B78,6)))*(aps_equipes_esf!$B:$B=C78), 0)), "")</f>
        <v>-</v>
      </c>
      <c r="L78" cm="1">
        <f t="array" aca="1" ref="L78" ca="1">IFERROR(INDEX(casos!$C:$C, MATCH(1, (VALUE(LEFT(casos!$A:$A,6))=VALUE(LEFT(B78,6)))*(casos!$B:$B=C78), 0)), "")</f>
        <v>1748</v>
      </c>
      <c r="M78" cm="1">
        <f t="array" ref="M78">IFERROR(INDEX(srag!$D:$D, MATCH(1, (VALUE(LEFT(srag!$A:$A,6))=VALUE(LEFT(B78,6)))*(srag!$C:$C=C78), 0)), "")</f>
        <v>1068</v>
      </c>
      <c r="N78" cm="1">
        <f t="array" ref="N78">IFERROR(INDEX(fesp!$E:$E, MATCH(1, (VALUE(LEFT(fesp!$A:$A,6))=VALUE(LEFT(B78,6)))*(fesp!$C:$C=C78), 0)), "")</f>
        <v>328</v>
      </c>
      <c r="O78" cm="1">
        <f t="array" ref="O78">IFERROR(INDEX(fesp!$F:$F, MATCH(1, (VALUE(LEFT(fesp!$A:$A,6))=VALUE(LEFT(B78,6)))*(fesp!$C:$C=C78), 0)), "")</f>
        <v>20379</v>
      </c>
      <c r="P78" cm="1">
        <f t="array" ref="P78">IFERROR(INDEX(fesp!$G:$G, MATCH(1, (VALUE(LEFT(fesp!$A:$A,6))=VALUE(LEFT(B78,6)))*(fesp!$C:$C=C78), 0)), "")</f>
        <v>10478462</v>
      </c>
      <c r="Q78" cm="1">
        <f t="array" ref="Q78">IFERROR(INDEX(fesp!$H:$H, MATCH(1, (VALUE(LEFT(fesp!$A:$A,6))=VALUE(LEFT(B78,6)))*(fesp!$C:$C=C78), 0)), "")</f>
        <v>114</v>
      </c>
      <c r="R78" cm="1">
        <f t="array" ref="R78">IFERROR(INDEX(fesp!$I:$I, MATCH(1, (VALUE(LEFT(fesp!$A:$A,6))=VALUE(LEFT(B78,6)))*(fesp!$C:$C=C78), 0)), "")</f>
        <v>0</v>
      </c>
      <c r="S78" cm="1">
        <f t="array" ref="S78">IFERROR(INDEX(fesp!$J:$J, MATCH(1, (VALUE(LEFT(fesp!$A:$A,6))=VALUE(LEFT(B78,6)))*(fesp!$C:$C=C78), 0)), "")</f>
        <v>704</v>
      </c>
    </row>
    <row r="79" spans="1:19">
      <c r="A79" s="1" t="s">
        <v>37</v>
      </c>
      <c r="B79" s="3">
        <v>2211001</v>
      </c>
      <c r="C79" s="3">
        <v>2015</v>
      </c>
      <c r="D79" cm="1">
        <f t="array" ref="D79">IFERROR(INDEX(fesp!$D:$D, MATCH(1, (VALUE(LEFT(fesp!$A:$A,6))=VALUE(LEFT(B79,6)))*(fesp!$C:$C=C79), 0)), "")</f>
        <v>844245</v>
      </c>
      <c r="E79" cm="1">
        <f t="array" aca="1" ref="E79" ca="1">IFERROR(INDEX(ft_medicos_clinicos!$C:$C, MATCH(1, (VALUE(LEFT(ft_medicos_clinicos!$A:$A,6))=VALUE(LEFT(B79,6)))*(ft_medicos_clinicos!$B:$B=C79), 0)), "")</f>
        <v>381</v>
      </c>
      <c r="F79" cm="1">
        <f t="array" aca="1" ref="F79" ca="1">IFERROR(INDEX(ft_enfermeiros!$C:$C, MATCH(1, (VALUE(LEFT(ft_enfermeiros!$A:$A,6))=VALUE(LEFT(B79,6)))*(ft_enfermeiros!$B:$B=C79), 0)), "")</f>
        <v>888</v>
      </c>
      <c r="G79" cm="1">
        <f t="array" aca="1" ref="G79" ca="1">IFERROR(INDEX(ft_equipes_acs!$C:$C, MATCH(1, (VALUE(LEFT(ft_equipes_acs!$A:$A,6))=VALUE(LEFT(B79,6)))*(ft_equipes_acs!$B:$B=C79), 0)), "")</f>
        <v>1</v>
      </c>
      <c r="H79" cm="1">
        <f t="array" aca="1" ref="H79" ca="1">IFERROR(INDEX(ci_leitos_internacao!$C:$C, MATCH(1, (VALUE(LEFT(ci_leitos_internacao!$A:$A,6))=VALUE(LEFT(B79,6)))*(ci_leitos_internacao!$B:$B=C79), 0)), "")</f>
        <v>2906</v>
      </c>
      <c r="I79" cm="1">
        <f t="array" aca="1" ref="I79" ca="1">IFERROR(INDEX(ci_hospitais_internacao!$C:$C, MATCH(1, (VALUE(LEFT(ci_hospitais_internacao!$A:$A,6))=VALUE(LEFT(B79,6)))*(ci_hospitais_internacao!$B:$B=C79), 0)), "")</f>
        <v>14</v>
      </c>
      <c r="J79" t="str" cm="1">
        <f t="array" aca="1" ref="J79" ca="1">IFERROR(INDEX(ci_pa_clinico!$C:$C, MATCH(1, (VALUE(LEFT(ci_pa_clinico!$A:$A,6))=VALUE(LEFT(B79,6)))*(ci_pa_clinico!$B:$B=C79), 0)), "")</f>
        <v/>
      </c>
      <c r="K79" cm="1">
        <f t="array" aca="1" ref="K79" ca="1">IFERROR(INDEX(aps_equipes_esf!$C:$C, MATCH(1, (VALUE(LEFT(aps_equipes_esf!$A:$A,6))=VALUE(LEFT(B79,6)))*(aps_equipes_esf!$B:$B=C79), 0)), "")</f>
        <v>27</v>
      </c>
      <c r="L79" cm="1">
        <f t="array" aca="1" ref="L79" ca="1">IFERROR(INDEX(casos!$C:$C, MATCH(1, (VALUE(LEFT(casos!$A:$A,6))=VALUE(LEFT(B79,6)))*(casos!$B:$B=C79), 0)), "")</f>
        <v>5135</v>
      </c>
      <c r="M79" cm="1">
        <f t="array" ref="M79">IFERROR(INDEX(srag!$D:$D, MATCH(1, (VALUE(LEFT(srag!$A:$A,6))=VALUE(LEFT(B79,6)))*(srag!$C:$C=C79), 0)), "")</f>
        <v>18</v>
      </c>
      <c r="N79" cm="1">
        <f t="array" ref="N79">IFERROR(INDEX(fesp!$E:$E, MATCH(1, (VALUE(LEFT(fesp!$A:$A,6))=VALUE(LEFT(B79,6)))*(fesp!$C:$C=C79), 0)), "")</f>
        <v>735</v>
      </c>
      <c r="O79" cm="1">
        <f t="array" ref="O79">IFERROR(INDEX(fesp!$F:$F, MATCH(1, (VALUE(LEFT(fesp!$A:$A,6))=VALUE(LEFT(B79,6)))*(fesp!$C:$C=C79), 0)), "")</f>
        <v>9928</v>
      </c>
      <c r="P79" cm="1">
        <f t="array" ref="P79">IFERROR(INDEX(fesp!$G:$G, MATCH(1, (VALUE(LEFT(fesp!$A:$A,6))=VALUE(LEFT(B79,6)))*(fesp!$C:$C=C79), 0)), "")</f>
        <v>4686854</v>
      </c>
      <c r="Q79" cm="1">
        <f t="array" ref="Q79">IFERROR(INDEX(fesp!$H:$H, MATCH(1, (VALUE(LEFT(fesp!$A:$A,6))=VALUE(LEFT(B79,6)))*(fesp!$C:$C=C79), 0)), "")</f>
        <v>281</v>
      </c>
      <c r="R79" cm="1">
        <f t="array" ref="R79">IFERROR(INDEX(fesp!$I:$I, MATCH(1, (VALUE(LEFT(fesp!$A:$A,6))=VALUE(LEFT(B79,6)))*(fesp!$C:$C=C79), 0)), "")</f>
        <v>2466</v>
      </c>
      <c r="S79" cm="1">
        <f t="array" ref="S79">IFERROR(INDEX(fesp!$J:$J, MATCH(1, (VALUE(LEFT(fesp!$A:$A,6))=VALUE(LEFT(B79,6)))*(fesp!$C:$C=C79), 0)), "")</f>
        <v>195644</v>
      </c>
    </row>
    <row r="80" spans="1:19">
      <c r="A80" s="1" t="s">
        <v>37</v>
      </c>
      <c r="B80" s="3" t="s">
        <v>36</v>
      </c>
      <c r="C80" s="3">
        <v>2016</v>
      </c>
      <c r="D80" cm="1">
        <f t="array" ref="D80">IFERROR(INDEX(fesp!$D:$D, MATCH(1, (VALUE(LEFT(fesp!$A:$A,6))=VALUE(LEFT(B80,6)))*(fesp!$C:$C=C80), 0)), "")</f>
        <v>0</v>
      </c>
      <c r="E80" cm="1">
        <f t="array" aca="1" ref="E80" ca="1">IFERROR(INDEX(ft_medicos_clinicos!$C:$C, MATCH(1, (VALUE(LEFT(ft_medicos_clinicos!$A:$A,6))=VALUE(LEFT(B80,6)))*(ft_medicos_clinicos!$B:$B=C80), 0)), "")</f>
        <v>409</v>
      </c>
      <c r="F80" cm="1">
        <f t="array" aca="1" ref="F80" ca="1">IFERROR(INDEX(ft_enfermeiros!$C:$C, MATCH(1, (VALUE(LEFT(ft_enfermeiros!$A:$A,6))=VALUE(LEFT(B80,6)))*(ft_enfermeiros!$B:$B=C80), 0)), "")</f>
        <v>968</v>
      </c>
      <c r="G80" cm="1">
        <f t="array" aca="1" ref="G80" ca="1">IFERROR(INDEX(ft_equipes_acs!$C:$C, MATCH(1, (VALUE(LEFT(ft_equipes_acs!$A:$A,6))=VALUE(LEFT(B80,6)))*(ft_equipes_acs!$B:$B=C80), 0)), "")</f>
        <v>1</v>
      </c>
      <c r="H80" cm="1">
        <f t="array" aca="1" ref="H80" ca="1">IFERROR(INDEX(ci_leitos_internacao!$C:$C, MATCH(1, (VALUE(LEFT(ci_leitos_internacao!$A:$A,6))=VALUE(LEFT(B80,6)))*(ci_leitos_internacao!$B:$B=C80), 0)), "")</f>
        <v>2969</v>
      </c>
      <c r="I80" cm="1">
        <f t="array" aca="1" ref="I80" ca="1">IFERROR(INDEX(ci_hospitais_internacao!$C:$C, MATCH(1, (VALUE(LEFT(ci_hospitais_internacao!$A:$A,6))=VALUE(LEFT(B80,6)))*(ci_hospitais_internacao!$B:$B=C80), 0)), "")</f>
        <v>14</v>
      </c>
      <c r="J80" t="str" cm="1">
        <f t="array" aca="1" ref="J80" ca="1">IFERROR(INDEX(ci_pa_clinico!$C:$C, MATCH(1, (VALUE(LEFT(ci_pa_clinico!$A:$A,6))=VALUE(LEFT(B80,6)))*(ci_pa_clinico!$B:$B=C80), 0)), "")</f>
        <v/>
      </c>
      <c r="K80" cm="1">
        <f t="array" aca="1" ref="K80" ca="1">IFERROR(INDEX(aps_equipes_esf!$C:$C, MATCH(1, (VALUE(LEFT(aps_equipes_esf!$A:$A,6))=VALUE(LEFT(B80,6)))*(aps_equipes_esf!$B:$B=C80), 0)), "")</f>
        <v>24</v>
      </c>
      <c r="L80" cm="1">
        <f t="array" aca="1" ref="L80" ca="1">IFERROR(INDEX(casos!$C:$C, MATCH(1, (VALUE(LEFT(casos!$A:$A,6))=VALUE(LEFT(B80,6)))*(casos!$B:$B=C80), 0)), "")</f>
        <v>3279</v>
      </c>
      <c r="M80" cm="1">
        <f t="array" ref="M80">IFERROR(INDEX(srag!$D:$D, MATCH(1, (VALUE(LEFT(srag!$A:$A,6))=VALUE(LEFT(B80,6)))*(srag!$C:$C=C80), 0)), "")</f>
        <v>144</v>
      </c>
      <c r="N80" cm="1">
        <f t="array" ref="N80">IFERROR(INDEX(fesp!$E:$E, MATCH(1, (VALUE(LEFT(fesp!$A:$A,6))=VALUE(LEFT(B80,6)))*(fesp!$C:$C=C80), 0)), "")</f>
        <v>621</v>
      </c>
      <c r="O80" cm="1">
        <f t="array" ref="O80">IFERROR(INDEX(fesp!$F:$F, MATCH(1, (VALUE(LEFT(fesp!$A:$A,6))=VALUE(LEFT(B80,6)))*(fesp!$C:$C=C80), 0)), "")</f>
        <v>15713</v>
      </c>
      <c r="P80" cm="1">
        <f t="array" ref="P80">IFERROR(INDEX(fesp!$G:$G, MATCH(1, (VALUE(LEFT(fesp!$A:$A,6))=VALUE(LEFT(B80,6)))*(fesp!$C:$C=C80), 0)), "")</f>
        <v>4696467</v>
      </c>
      <c r="Q80" cm="1">
        <f t="array" ref="Q80">IFERROR(INDEX(fesp!$H:$H, MATCH(1, (VALUE(LEFT(fesp!$A:$A,6))=VALUE(LEFT(B80,6)))*(fesp!$C:$C=C80), 0)), "")</f>
        <v>307</v>
      </c>
      <c r="R80" cm="1">
        <f t="array" ref="R80">IFERROR(INDEX(fesp!$I:$I, MATCH(1, (VALUE(LEFT(fesp!$A:$A,6))=VALUE(LEFT(B80,6)))*(fesp!$C:$C=C80), 0)), "")</f>
        <v>5054</v>
      </c>
      <c r="S80" cm="1">
        <f t="array" ref="S80">IFERROR(INDEX(fesp!$J:$J, MATCH(1, (VALUE(LEFT(fesp!$A:$A,6))=VALUE(LEFT(B80,6)))*(fesp!$C:$C=C80), 0)), "")</f>
        <v>140088</v>
      </c>
    </row>
    <row r="81" spans="1:19">
      <c r="A81" s="1" t="s">
        <v>37</v>
      </c>
      <c r="B81" s="3">
        <v>2211001</v>
      </c>
      <c r="C81" s="3">
        <v>2017</v>
      </c>
      <c r="D81" cm="1">
        <f t="array" ref="D81">IFERROR(INDEX(fesp!$D:$D, MATCH(1, (VALUE(LEFT(fesp!$A:$A,6))=VALUE(LEFT(B81,6)))*(fesp!$C:$C=C81), 0)), "")</f>
        <v>0</v>
      </c>
      <c r="E81" cm="1">
        <f t="array" aca="1" ref="E81" ca="1">IFERROR(INDEX(ft_medicos_clinicos!$C:$C, MATCH(1, (VALUE(LEFT(ft_medicos_clinicos!$A:$A,6))=VALUE(LEFT(B81,6)))*(ft_medicos_clinicos!$B:$B=C81), 0)), "")</f>
        <v>377</v>
      </c>
      <c r="F81" cm="1">
        <f t="array" aca="1" ref="F81" ca="1">IFERROR(INDEX(ft_enfermeiros!$C:$C, MATCH(1, (VALUE(LEFT(ft_enfermeiros!$A:$A,6))=VALUE(LEFT(B81,6)))*(ft_enfermeiros!$B:$B=C81), 0)), "")</f>
        <v>1058</v>
      </c>
      <c r="G81" cm="1">
        <f t="array" aca="1" ref="G81" ca="1">IFERROR(INDEX(ft_equipes_acs!$C:$C, MATCH(1, (VALUE(LEFT(ft_equipes_acs!$A:$A,6))=VALUE(LEFT(B81,6)))*(ft_equipes_acs!$B:$B=C81), 0)), "")</f>
        <v>5</v>
      </c>
      <c r="H81" cm="1">
        <f t="array" aca="1" ref="H81" ca="1">IFERROR(INDEX(ci_leitos_internacao!$C:$C, MATCH(1, (VALUE(LEFT(ci_leitos_internacao!$A:$A,6))=VALUE(LEFT(B81,6)))*(ci_leitos_internacao!$B:$B=C81), 0)), "")</f>
        <v>3003</v>
      </c>
      <c r="I81" cm="1">
        <f t="array" aca="1" ref="I81" ca="1">IFERROR(INDEX(ci_hospitais_internacao!$C:$C, MATCH(1, (VALUE(LEFT(ci_hospitais_internacao!$A:$A,6))=VALUE(LEFT(B81,6)))*(ci_hospitais_internacao!$B:$B=C81), 0)), "")</f>
        <v>14</v>
      </c>
      <c r="J81" t="str" cm="1">
        <f t="array" aca="1" ref="J81" ca="1">IFERROR(INDEX(ci_pa_clinico!$C:$C, MATCH(1, (VALUE(LEFT(ci_pa_clinico!$A:$A,6))=VALUE(LEFT(B81,6)))*(ci_pa_clinico!$B:$B=C81), 0)), "")</f>
        <v/>
      </c>
      <c r="K81" cm="1">
        <f t="array" aca="1" ref="K81" ca="1">IFERROR(INDEX(aps_equipes_esf!$C:$C, MATCH(1, (VALUE(LEFT(aps_equipes_esf!$A:$A,6))=VALUE(LEFT(B81,6)))*(aps_equipes_esf!$B:$B=C81), 0)), "")</f>
        <v>22</v>
      </c>
      <c r="L81" cm="1">
        <f t="array" aca="1" ref="L81" ca="1">IFERROR(INDEX(casos!$C:$C, MATCH(1, (VALUE(LEFT(casos!$A:$A,6))=VALUE(LEFT(B81,6)))*(casos!$B:$B=C81), 0)), "")</f>
        <v>3127</v>
      </c>
      <c r="M81" cm="1">
        <f t="array" ref="M81">IFERROR(INDEX(srag!$D:$D, MATCH(1, (VALUE(LEFT(srag!$A:$A,6))=VALUE(LEFT(B81,6)))*(srag!$C:$C=C81), 0)), "")</f>
        <v>142</v>
      </c>
      <c r="N81" cm="1">
        <f t="array" ref="N81">IFERROR(INDEX(fesp!$E:$E, MATCH(1, (VALUE(LEFT(fesp!$A:$A,6))=VALUE(LEFT(B81,6)))*(fesp!$C:$C=C81), 0)), "")</f>
        <v>463</v>
      </c>
      <c r="O81" cm="1">
        <f t="array" ref="O81">IFERROR(INDEX(fesp!$F:$F, MATCH(1, (VALUE(LEFT(fesp!$A:$A,6))=VALUE(LEFT(B81,6)))*(fesp!$C:$C=C81), 0)), "")</f>
        <v>7974</v>
      </c>
      <c r="P81" cm="1">
        <f t="array" ref="P81">IFERROR(INDEX(fesp!$G:$G, MATCH(1, (VALUE(LEFT(fesp!$A:$A,6))=VALUE(LEFT(B81,6)))*(fesp!$C:$C=C81), 0)), "")</f>
        <v>4961999</v>
      </c>
      <c r="Q81" cm="1">
        <f t="array" ref="Q81">IFERROR(INDEX(fesp!$H:$H, MATCH(1, (VALUE(LEFT(fesp!$A:$A,6))=VALUE(LEFT(B81,6)))*(fesp!$C:$C=C81), 0)), "")</f>
        <v>213</v>
      </c>
      <c r="R81" cm="1">
        <f t="array" ref="R81">IFERROR(INDEX(fesp!$I:$I, MATCH(1, (VALUE(LEFT(fesp!$A:$A,6))=VALUE(LEFT(B81,6)))*(fesp!$C:$C=C81), 0)), "")</f>
        <v>15630</v>
      </c>
      <c r="S81" cm="1">
        <f t="array" ref="S81">IFERROR(INDEX(fesp!$J:$J, MATCH(1, (VALUE(LEFT(fesp!$A:$A,6))=VALUE(LEFT(B81,6)))*(fesp!$C:$C=C81), 0)), "")</f>
        <v>152525</v>
      </c>
    </row>
    <row r="82" spans="1:19">
      <c r="A82" s="1" t="s">
        <v>37</v>
      </c>
      <c r="B82" s="3" t="s">
        <v>36</v>
      </c>
      <c r="C82" s="3">
        <v>2018</v>
      </c>
      <c r="D82" cm="1">
        <f t="array" ref="D82">IFERROR(INDEX(fesp!$D:$D, MATCH(1, (VALUE(LEFT(fesp!$A:$A,6))=VALUE(LEFT(B82,6)))*(fesp!$C:$C=C82), 0)), "")</f>
        <v>0</v>
      </c>
      <c r="E82" cm="1">
        <f t="array" aca="1" ref="E82" ca="1">IFERROR(INDEX(ft_medicos_clinicos!$C:$C, MATCH(1, (VALUE(LEFT(ft_medicos_clinicos!$A:$A,6))=VALUE(LEFT(B82,6)))*(ft_medicos_clinicos!$B:$B=C82), 0)), "")</f>
        <v>365</v>
      </c>
      <c r="F82" cm="1">
        <f t="array" aca="1" ref="F82" ca="1">IFERROR(INDEX(ft_enfermeiros!$C:$C, MATCH(1, (VALUE(LEFT(ft_enfermeiros!$A:$A,6))=VALUE(LEFT(B82,6)))*(ft_enfermeiros!$B:$B=C82), 0)), "")</f>
        <v>1126</v>
      </c>
      <c r="G82" cm="1">
        <f t="array" aca="1" ref="G82" ca="1">IFERROR(INDEX(ft_equipes_acs!$C:$C, MATCH(1, (VALUE(LEFT(ft_equipes_acs!$A:$A,6))=VALUE(LEFT(B82,6)))*(ft_equipes_acs!$B:$B=C82), 0)), "")</f>
        <v>1</v>
      </c>
      <c r="H82" cm="1">
        <f t="array" aca="1" ref="H82" ca="1">IFERROR(INDEX(ci_leitos_internacao!$C:$C, MATCH(1, (VALUE(LEFT(ci_leitos_internacao!$A:$A,6))=VALUE(LEFT(B82,6)))*(ci_leitos_internacao!$B:$B=C82), 0)), "")</f>
        <v>3171</v>
      </c>
      <c r="I82" cm="1">
        <f t="array" aca="1" ref="I82" ca="1">IFERROR(INDEX(ci_hospitais_internacao!$C:$C, MATCH(1, (VALUE(LEFT(ci_hospitais_internacao!$A:$A,6))=VALUE(LEFT(B82,6)))*(ci_hospitais_internacao!$B:$B=C82), 0)), "")</f>
        <v>15</v>
      </c>
      <c r="J82" t="str" cm="1">
        <f t="array" aca="1" ref="J82" ca="1">IFERROR(INDEX(ci_pa_clinico!$C:$C, MATCH(1, (VALUE(LEFT(ci_pa_clinico!$A:$A,6))=VALUE(LEFT(B82,6)))*(ci_pa_clinico!$B:$B=C82), 0)), "")</f>
        <v/>
      </c>
      <c r="K82" cm="1">
        <f t="array" aca="1" ref="K82" ca="1">IFERROR(INDEX(aps_equipes_esf!$C:$C, MATCH(1, (VALUE(LEFT(aps_equipes_esf!$A:$A,6))=VALUE(LEFT(B82,6)))*(aps_equipes_esf!$B:$B=C82), 0)), "")</f>
        <v>21</v>
      </c>
      <c r="L82" cm="1">
        <f t="array" aca="1" ref="L82" ca="1">IFERROR(INDEX(casos!$C:$C, MATCH(1, (VALUE(LEFT(casos!$A:$A,6))=VALUE(LEFT(B82,6)))*(casos!$B:$B=C82), 0)), "")</f>
        <v>1205</v>
      </c>
      <c r="M82" cm="1">
        <f t="array" ref="M82">IFERROR(INDEX(srag!$D:$D, MATCH(1, (VALUE(LEFT(srag!$A:$A,6))=VALUE(LEFT(B82,6)))*(srag!$C:$C=C82), 0)), "")</f>
        <v>486</v>
      </c>
      <c r="N82" cm="1">
        <f t="array" ref="N82">IFERROR(INDEX(fesp!$E:$E, MATCH(1, (VALUE(LEFT(fesp!$A:$A,6))=VALUE(LEFT(B82,6)))*(fesp!$C:$C=C82), 0)), "")</f>
        <v>317</v>
      </c>
      <c r="O82" cm="1">
        <f t="array" ref="O82">IFERROR(INDEX(fesp!$F:$F, MATCH(1, (VALUE(LEFT(fesp!$A:$A,6))=VALUE(LEFT(B82,6)))*(fesp!$C:$C=C82), 0)), "")</f>
        <v>9842</v>
      </c>
      <c r="P82" cm="1">
        <f t="array" ref="P82">IFERROR(INDEX(fesp!$G:$G, MATCH(1, (VALUE(LEFT(fesp!$A:$A,6))=VALUE(LEFT(B82,6)))*(fesp!$C:$C=C82), 0)), "")</f>
        <v>4957964</v>
      </c>
      <c r="Q82" cm="1">
        <f t="array" ref="Q82">IFERROR(INDEX(fesp!$H:$H, MATCH(1, (VALUE(LEFT(fesp!$A:$A,6))=VALUE(LEFT(B82,6)))*(fesp!$C:$C=C82), 0)), "")</f>
        <v>159</v>
      </c>
      <c r="R82" cm="1">
        <f t="array" ref="R82">IFERROR(INDEX(fesp!$I:$I, MATCH(1, (VALUE(LEFT(fesp!$A:$A,6))=VALUE(LEFT(B82,6)))*(fesp!$C:$C=C82), 0)), "")</f>
        <v>0</v>
      </c>
      <c r="S82" cm="1">
        <f t="array" ref="S82">IFERROR(INDEX(fesp!$J:$J, MATCH(1, (VALUE(LEFT(fesp!$A:$A,6))=VALUE(LEFT(B82,6)))*(fesp!$C:$C=C82), 0)), "")</f>
        <v>0</v>
      </c>
    </row>
    <row r="83" spans="1:19">
      <c r="A83" s="1" t="s">
        <v>37</v>
      </c>
      <c r="B83" s="3" t="s">
        <v>36</v>
      </c>
      <c r="C83" s="3">
        <v>2019</v>
      </c>
      <c r="D83" cm="1">
        <f t="array" ref="D83">IFERROR(INDEX(fesp!$D:$D, MATCH(1, (VALUE(LEFT(fesp!$A:$A,6))=VALUE(LEFT(B83,6)))*(fesp!$C:$C=C83), 0)), "")</f>
        <v>0</v>
      </c>
      <c r="E83" cm="1">
        <f t="array" aca="1" ref="E83" ca="1">IFERROR(INDEX(ft_medicos_clinicos!$C:$C, MATCH(1, (VALUE(LEFT(ft_medicos_clinicos!$A:$A,6))=VALUE(LEFT(B83,6)))*(ft_medicos_clinicos!$B:$B=C83), 0)), "")</f>
        <v>356</v>
      </c>
      <c r="F83" cm="1">
        <f t="array" aca="1" ref="F83" ca="1">IFERROR(INDEX(ft_enfermeiros!$C:$C, MATCH(1, (VALUE(LEFT(ft_enfermeiros!$A:$A,6))=VALUE(LEFT(B83,6)))*(ft_enfermeiros!$B:$B=C83), 0)), "")</f>
        <v>1179</v>
      </c>
      <c r="G83" t="str" cm="1">
        <f t="array" aca="1" ref="G83" ca="1">IFERROR(INDEX(ft_equipes_acs!$C:$C, MATCH(1, (VALUE(LEFT(ft_equipes_acs!$A:$A,6))=VALUE(LEFT(B83,6)))*(ft_equipes_acs!$B:$B=C83), 0)), "")</f>
        <v>-</v>
      </c>
      <c r="H83" cm="1">
        <f t="array" aca="1" ref="H83" ca="1">IFERROR(INDEX(ci_leitos_internacao!$C:$C, MATCH(1, (VALUE(LEFT(ci_leitos_internacao!$A:$A,6))=VALUE(LEFT(B83,6)))*(ci_leitos_internacao!$B:$B=C83), 0)), "")</f>
        <v>3041</v>
      </c>
      <c r="I83" cm="1">
        <f t="array" aca="1" ref="I83" ca="1">IFERROR(INDEX(ci_hospitais_internacao!$C:$C, MATCH(1, (VALUE(LEFT(ci_hospitais_internacao!$A:$A,6))=VALUE(LEFT(B83,6)))*(ci_hospitais_internacao!$B:$B=C83), 0)), "")</f>
        <v>16</v>
      </c>
      <c r="J83" t="str" cm="1">
        <f t="array" aca="1" ref="J83" ca="1">IFERROR(INDEX(ci_pa_clinico!$C:$C, MATCH(1, (VALUE(LEFT(ci_pa_clinico!$A:$A,6))=VALUE(LEFT(B83,6)))*(ci_pa_clinico!$B:$B=C83), 0)), "")</f>
        <v/>
      </c>
      <c r="K83" cm="1">
        <f t="array" aca="1" ref="K83" ca="1">IFERROR(INDEX(aps_equipes_esf!$C:$C, MATCH(1, (VALUE(LEFT(aps_equipes_esf!$A:$A,6))=VALUE(LEFT(B83,6)))*(aps_equipes_esf!$B:$B=C83), 0)), "")</f>
        <v>18</v>
      </c>
      <c r="L83" cm="1">
        <f t="array" aca="1" ref="L83" ca="1">IFERROR(INDEX(casos!$C:$C, MATCH(1, (VALUE(LEFT(casos!$A:$A,6))=VALUE(LEFT(B83,6)))*(casos!$B:$B=C83), 0)), "")</f>
        <v>4890</v>
      </c>
      <c r="M83" cm="1">
        <f t="array" ref="M83">IFERROR(INDEX(srag!$D:$D, MATCH(1, (VALUE(LEFT(srag!$A:$A,6))=VALUE(LEFT(B83,6)))*(srag!$C:$C=C83), 0)), "")</f>
        <v>344</v>
      </c>
      <c r="N83" cm="1">
        <f t="array" ref="N83">IFERROR(INDEX(fesp!$E:$E, MATCH(1, (VALUE(LEFT(fesp!$A:$A,6))=VALUE(LEFT(B83,6)))*(fesp!$C:$C=C83), 0)), "")</f>
        <v>342</v>
      </c>
      <c r="O83" cm="1">
        <f t="array" ref="O83">IFERROR(INDEX(fesp!$F:$F, MATCH(1, (VALUE(LEFT(fesp!$A:$A,6))=VALUE(LEFT(B83,6)))*(fesp!$C:$C=C83), 0)), "")</f>
        <v>13705</v>
      </c>
      <c r="P83" cm="1">
        <f t="array" ref="P83">IFERROR(INDEX(fesp!$G:$G, MATCH(1, (VALUE(LEFT(fesp!$A:$A,6))=VALUE(LEFT(B83,6)))*(fesp!$C:$C=C83), 0)), "")</f>
        <v>5800521</v>
      </c>
      <c r="Q83" cm="1">
        <f t="array" ref="Q83">IFERROR(INDEX(fesp!$H:$H, MATCH(1, (VALUE(LEFT(fesp!$A:$A,6))=VALUE(LEFT(B83,6)))*(fesp!$C:$C=C83), 0)), "")</f>
        <v>192</v>
      </c>
      <c r="R83" cm="1">
        <f t="array" ref="R83">IFERROR(INDEX(fesp!$I:$I, MATCH(1, (VALUE(LEFT(fesp!$A:$A,6))=VALUE(LEFT(B83,6)))*(fesp!$C:$C=C83), 0)), "")</f>
        <v>0</v>
      </c>
      <c r="S83" cm="1">
        <f t="array" ref="S83">IFERROR(INDEX(fesp!$J:$J, MATCH(1, (VALUE(LEFT(fesp!$A:$A,6))=VALUE(LEFT(B83,6)))*(fesp!$C:$C=C83), 0)), "")</f>
        <v>0</v>
      </c>
    </row>
    <row r="84" spans="1:19">
      <c r="A84" s="1" t="s">
        <v>37</v>
      </c>
      <c r="B84" s="3" t="s">
        <v>36</v>
      </c>
      <c r="C84" s="3">
        <v>2020</v>
      </c>
      <c r="D84" cm="1">
        <f t="array" ref="D84">IFERROR(INDEX(fesp!$D:$D, MATCH(1, (VALUE(LEFT(fesp!$A:$A,6))=VALUE(LEFT(B84,6)))*(fesp!$C:$C=C84), 0)), "")</f>
        <v>0</v>
      </c>
      <c r="E84" cm="1">
        <f t="array" aca="1" ref="E84" ca="1">IFERROR(INDEX(ft_medicos_clinicos!$C:$C, MATCH(1, (VALUE(LEFT(ft_medicos_clinicos!$A:$A,6))=VALUE(LEFT(B84,6)))*(ft_medicos_clinicos!$B:$B=C84), 0)), "")</f>
        <v>443</v>
      </c>
      <c r="F84" cm="1">
        <f t="array" aca="1" ref="F84" ca="1">IFERROR(INDEX(ft_enfermeiros!$C:$C, MATCH(1, (VALUE(LEFT(ft_enfermeiros!$A:$A,6))=VALUE(LEFT(B84,6)))*(ft_enfermeiros!$B:$B=C84), 0)), "")</f>
        <v>1570</v>
      </c>
      <c r="G84" t="str" cm="1">
        <f t="array" aca="1" ref="G84" ca="1">IFERROR(INDEX(ft_equipes_acs!$C:$C, MATCH(1, (VALUE(LEFT(ft_equipes_acs!$A:$A,6))=VALUE(LEFT(B84,6)))*(ft_equipes_acs!$B:$B=C84), 0)), "")</f>
        <v>-</v>
      </c>
      <c r="H84" cm="1">
        <f t="array" aca="1" ref="H84" ca="1">IFERROR(INDEX(ci_leitos_internacao!$C:$C, MATCH(1, (VALUE(LEFT(ci_leitos_internacao!$A:$A,6))=VALUE(LEFT(B84,6)))*(ci_leitos_internacao!$B:$B=C84), 0)), "")</f>
        <v>3456</v>
      </c>
      <c r="I84" cm="1">
        <f t="array" aca="1" ref="I84" ca="1">IFERROR(INDEX(ci_hospitais_internacao!$C:$C, MATCH(1, (VALUE(LEFT(ci_hospitais_internacao!$A:$A,6))=VALUE(LEFT(B84,6)))*(ci_hospitais_internacao!$B:$B=C84), 0)), "")</f>
        <v>18</v>
      </c>
      <c r="J84" t="str" cm="1">
        <f t="array" aca="1" ref="J84" ca="1">IFERROR(INDEX(ci_pa_clinico!$C:$C, MATCH(1, (VALUE(LEFT(ci_pa_clinico!$A:$A,6))=VALUE(LEFT(B84,6)))*(ci_pa_clinico!$B:$B=C84), 0)), "")</f>
        <v/>
      </c>
      <c r="K84" t="str" cm="1">
        <f t="array" aca="1" ref="K84" ca="1">IFERROR(INDEX(aps_equipes_esf!$C:$C, MATCH(1, (VALUE(LEFT(aps_equipes_esf!$A:$A,6))=VALUE(LEFT(B84,6)))*(aps_equipes_esf!$B:$B=C84), 0)), "")</f>
        <v>-</v>
      </c>
      <c r="L84" cm="1">
        <f t="array" aca="1" ref="L84" ca="1">IFERROR(INDEX(casos!$C:$C, MATCH(1, (VALUE(LEFT(casos!$A:$A,6))=VALUE(LEFT(B84,6)))*(casos!$B:$B=C84), 0)), "")</f>
        <v>1091</v>
      </c>
      <c r="M84" cm="1">
        <f t="array" ref="M84">IFERROR(INDEX(srag!$D:$D, MATCH(1, (VALUE(LEFT(srag!$A:$A,6))=VALUE(LEFT(B84,6)))*(srag!$C:$C=C84), 0)), "")</f>
        <v>8656</v>
      </c>
      <c r="N84" cm="1">
        <f t="array" ref="N84">IFERROR(INDEX(fesp!$E:$E, MATCH(1, (VALUE(LEFT(fesp!$A:$A,6))=VALUE(LEFT(B84,6)))*(fesp!$C:$C=C84), 0)), "")</f>
        <v>285</v>
      </c>
      <c r="O84" cm="1">
        <f t="array" ref="O84">IFERROR(INDEX(fesp!$F:$F, MATCH(1, (VALUE(LEFT(fesp!$A:$A,6))=VALUE(LEFT(B84,6)))*(fesp!$C:$C=C84), 0)), "")</f>
        <v>6165</v>
      </c>
      <c r="P84" cm="1">
        <f t="array" ref="P84">IFERROR(INDEX(fesp!$G:$G, MATCH(1, (VALUE(LEFT(fesp!$A:$A,6))=VALUE(LEFT(B84,6)))*(fesp!$C:$C=C84), 0)), "")</f>
        <v>3656207</v>
      </c>
      <c r="Q84" cm="1">
        <f t="array" ref="Q84">IFERROR(INDEX(fesp!$H:$H, MATCH(1, (VALUE(LEFT(fesp!$A:$A,6))=VALUE(LEFT(B84,6)))*(fesp!$C:$C=C84), 0)), "")</f>
        <v>206</v>
      </c>
      <c r="R84" cm="1">
        <f t="array" ref="R84">IFERROR(INDEX(fesp!$I:$I, MATCH(1, (VALUE(LEFT(fesp!$A:$A,6))=VALUE(LEFT(B84,6)))*(fesp!$C:$C=C84), 0)), "")</f>
        <v>0</v>
      </c>
      <c r="S84" cm="1">
        <f t="array" ref="S84">IFERROR(INDEX(fesp!$J:$J, MATCH(1, (VALUE(LEFT(fesp!$A:$A,6))=VALUE(LEFT(B84,6)))*(fesp!$C:$C=C84), 0)), "")</f>
        <v>0</v>
      </c>
    </row>
    <row r="85" spans="1:19">
      <c r="A85" s="1" t="s">
        <v>37</v>
      </c>
      <c r="B85" s="3" t="s">
        <v>36</v>
      </c>
      <c r="C85" s="3">
        <v>2021</v>
      </c>
      <c r="D85" cm="1">
        <f t="array" ref="D85">IFERROR(INDEX(fesp!$D:$D, MATCH(1, (VALUE(LEFT(fesp!$A:$A,6))=VALUE(LEFT(B85,6)))*(fesp!$C:$C=C85), 0)), "")</f>
        <v>0</v>
      </c>
      <c r="E85" cm="1">
        <f t="array" aca="1" ref="E85" ca="1">IFERROR(INDEX(ft_medicos_clinicos!$C:$C, MATCH(1, (VALUE(LEFT(ft_medicos_clinicos!$A:$A,6))=VALUE(LEFT(B85,6)))*(ft_medicos_clinicos!$B:$B=C85), 0)), "")</f>
        <v>438</v>
      </c>
      <c r="F85" cm="1">
        <f t="array" aca="1" ref="F85" ca="1">IFERROR(INDEX(ft_enfermeiros!$C:$C, MATCH(1, (VALUE(LEFT(ft_enfermeiros!$A:$A,6))=VALUE(LEFT(B85,6)))*(ft_enfermeiros!$B:$B=C85), 0)), "")</f>
        <v>1753</v>
      </c>
      <c r="G85" t="str" cm="1">
        <f t="array" aca="1" ref="G85" ca="1">IFERROR(INDEX(ft_equipes_acs!$C:$C, MATCH(1, (VALUE(LEFT(ft_equipes_acs!$A:$A,6))=VALUE(LEFT(B85,6)))*(ft_equipes_acs!$B:$B=C85), 0)), "")</f>
        <v>-</v>
      </c>
      <c r="H85" cm="1">
        <f t="array" aca="1" ref="H85" ca="1">IFERROR(INDEX(ci_leitos_internacao!$C:$C, MATCH(1, (VALUE(LEFT(ci_leitos_internacao!$A:$A,6))=VALUE(LEFT(B85,6)))*(ci_leitos_internacao!$B:$B=C85), 0)), "")</f>
        <v>3412</v>
      </c>
      <c r="I85" cm="1">
        <f t="array" aca="1" ref="I85" ca="1">IFERROR(INDEX(ci_hospitais_internacao!$C:$C, MATCH(1, (VALUE(LEFT(ci_hospitais_internacao!$A:$A,6))=VALUE(LEFT(B85,6)))*(ci_hospitais_internacao!$B:$B=C85), 0)), "")</f>
        <v>17</v>
      </c>
      <c r="J85" t="str" cm="1">
        <f t="array" aca="1" ref="J85" ca="1">IFERROR(INDEX(ci_pa_clinico!$C:$C, MATCH(1, (VALUE(LEFT(ci_pa_clinico!$A:$A,6))=VALUE(LEFT(B85,6)))*(ci_pa_clinico!$B:$B=C85), 0)), "")</f>
        <v/>
      </c>
      <c r="K85" t="str" cm="1">
        <f t="array" aca="1" ref="K85" ca="1">IFERROR(INDEX(aps_equipes_esf!$C:$C, MATCH(1, (VALUE(LEFT(aps_equipes_esf!$A:$A,6))=VALUE(LEFT(B85,6)))*(aps_equipes_esf!$B:$B=C85), 0)), "")</f>
        <v>-</v>
      </c>
      <c r="L85" cm="1">
        <f t="array" aca="1" ref="L85" ca="1">IFERROR(INDEX(casos!$C:$C, MATCH(1, (VALUE(LEFT(casos!$A:$A,6))=VALUE(LEFT(B85,6)))*(casos!$B:$B=C85), 0)), "")</f>
        <v>1338</v>
      </c>
      <c r="M85" cm="1">
        <f t="array" ref="M85">IFERROR(INDEX(srag!$D:$D, MATCH(1, (VALUE(LEFT(srag!$A:$A,6))=VALUE(LEFT(B85,6)))*(srag!$C:$C=C85), 0)), "")</f>
        <v>8015</v>
      </c>
      <c r="N85" cm="1">
        <f t="array" ref="N85">IFERROR(INDEX(fesp!$E:$E, MATCH(1, (VALUE(LEFT(fesp!$A:$A,6))=VALUE(LEFT(B85,6)))*(fesp!$C:$C=C85), 0)), "")</f>
        <v>292</v>
      </c>
      <c r="O85" cm="1">
        <f t="array" ref="O85">IFERROR(INDEX(fesp!$F:$F, MATCH(1, (VALUE(LEFT(fesp!$A:$A,6))=VALUE(LEFT(B85,6)))*(fesp!$C:$C=C85), 0)), "")</f>
        <v>13556</v>
      </c>
      <c r="P85" cm="1">
        <f t="array" ref="P85">IFERROR(INDEX(fesp!$G:$G, MATCH(1, (VALUE(LEFT(fesp!$A:$A,6))=VALUE(LEFT(B85,6)))*(fesp!$C:$C=C85), 0)), "")</f>
        <v>5608842</v>
      </c>
      <c r="Q85" cm="1">
        <f t="array" ref="Q85">IFERROR(INDEX(fesp!$H:$H, MATCH(1, (VALUE(LEFT(fesp!$A:$A,6))=VALUE(LEFT(B85,6)))*(fesp!$C:$C=C85), 0)), "")</f>
        <v>277</v>
      </c>
      <c r="R85" cm="1">
        <f t="array" ref="R85">IFERROR(INDEX(fesp!$I:$I, MATCH(1, (VALUE(LEFT(fesp!$A:$A,6))=VALUE(LEFT(B85,6)))*(fesp!$C:$C=C85), 0)), "")</f>
        <v>0</v>
      </c>
      <c r="S85" cm="1">
        <f t="array" ref="S85">IFERROR(INDEX(fesp!$J:$J, MATCH(1, (VALUE(LEFT(fesp!$A:$A,6))=VALUE(LEFT(B85,6)))*(fesp!$C:$C=C85), 0)), "")</f>
        <v>0</v>
      </c>
    </row>
    <row r="86" spans="1:19">
      <c r="A86" s="1" t="s">
        <v>37</v>
      </c>
      <c r="B86" s="3" t="s">
        <v>36</v>
      </c>
      <c r="C86" s="3">
        <v>2022</v>
      </c>
      <c r="D86" cm="1">
        <f t="array" ref="D86">IFERROR(INDEX(fesp!$D:$D, MATCH(1, (VALUE(LEFT(fesp!$A:$A,6))=VALUE(LEFT(B86,6)))*(fesp!$C:$C=C86), 0)), "")</f>
        <v>866300</v>
      </c>
      <c r="E86" cm="1">
        <f t="array" aca="1" ref="E86" ca="1">IFERROR(INDEX(ft_medicos_clinicos!$C:$C, MATCH(1, (VALUE(LEFT(ft_medicos_clinicos!$A:$A,6))=VALUE(LEFT(B86,6)))*(ft_medicos_clinicos!$B:$B=C86), 0)), "")</f>
        <v>440</v>
      </c>
      <c r="F86" cm="1">
        <f t="array" aca="1" ref="F86" ca="1">IFERROR(INDEX(ft_enfermeiros!$C:$C, MATCH(1, (VALUE(LEFT(ft_enfermeiros!$A:$A,6))=VALUE(LEFT(B86,6)))*(ft_enfermeiros!$B:$B=C86), 0)), "")</f>
        <v>1778</v>
      </c>
      <c r="G86" t="str" cm="1">
        <f t="array" aca="1" ref="G86" ca="1">IFERROR(INDEX(ft_equipes_acs!$C:$C, MATCH(1, (VALUE(LEFT(ft_equipes_acs!$A:$A,6))=VALUE(LEFT(B86,6)))*(ft_equipes_acs!$B:$B=C86), 0)), "")</f>
        <v>-</v>
      </c>
      <c r="H86" cm="1">
        <f t="array" aca="1" ref="H86" ca="1">IFERROR(INDEX(ci_leitos_internacao!$C:$C, MATCH(1, (VALUE(LEFT(ci_leitos_internacao!$A:$A,6))=VALUE(LEFT(B86,6)))*(ci_leitos_internacao!$B:$B=C86), 0)), "")</f>
        <v>3086</v>
      </c>
      <c r="I86" cm="1">
        <f t="array" aca="1" ref="I86" ca="1">IFERROR(INDEX(ci_hospitais_internacao!$C:$C, MATCH(1, (VALUE(LEFT(ci_hospitais_internacao!$A:$A,6))=VALUE(LEFT(B86,6)))*(ci_hospitais_internacao!$B:$B=C86), 0)), "")</f>
        <v>16</v>
      </c>
      <c r="J86" t="str" cm="1">
        <f t="array" aca="1" ref="J86" ca="1">IFERROR(INDEX(ci_pa_clinico!$C:$C, MATCH(1, (VALUE(LEFT(ci_pa_clinico!$A:$A,6))=VALUE(LEFT(B86,6)))*(ci_pa_clinico!$B:$B=C86), 0)), "")</f>
        <v/>
      </c>
      <c r="K86" t="str" cm="1">
        <f t="array" aca="1" ref="K86" ca="1">IFERROR(INDEX(aps_equipes_esf!$C:$C, MATCH(1, (VALUE(LEFT(aps_equipes_esf!$A:$A,6))=VALUE(LEFT(B86,6)))*(aps_equipes_esf!$B:$B=C86), 0)), "")</f>
        <v>-</v>
      </c>
      <c r="L86" cm="1">
        <f t="array" aca="1" ref="L86" ca="1">IFERROR(INDEX(casos!$C:$C, MATCH(1, (VALUE(LEFT(casos!$A:$A,6))=VALUE(LEFT(B86,6)))*(casos!$B:$B=C86), 0)), "")</f>
        <v>18014</v>
      </c>
      <c r="M86" cm="1">
        <f t="array" ref="M86">IFERROR(INDEX(srag!$D:$D, MATCH(1, (VALUE(LEFT(srag!$A:$A,6))=VALUE(LEFT(B86,6)))*(srag!$C:$C=C86), 0)), "")</f>
        <v>2178</v>
      </c>
      <c r="N86" cm="1">
        <f t="array" ref="N86">IFERROR(INDEX(fesp!$E:$E, MATCH(1, (VALUE(LEFT(fesp!$A:$A,6))=VALUE(LEFT(B86,6)))*(fesp!$C:$C=C86), 0)), "")</f>
        <v>321</v>
      </c>
      <c r="O86" cm="1">
        <f t="array" ref="O86">IFERROR(INDEX(fesp!$F:$F, MATCH(1, (VALUE(LEFT(fesp!$A:$A,6))=VALUE(LEFT(B86,6)))*(fesp!$C:$C=C86), 0)), "")</f>
        <v>18188</v>
      </c>
      <c r="P86" cm="1">
        <f t="array" ref="P86">IFERROR(INDEX(fesp!$G:$G, MATCH(1, (VALUE(LEFT(fesp!$A:$A,6))=VALUE(LEFT(B86,6)))*(fesp!$C:$C=C86), 0)), "")</f>
        <v>7026977</v>
      </c>
      <c r="Q86" cm="1">
        <f t="array" ref="Q86">IFERROR(INDEX(fesp!$H:$H, MATCH(1, (VALUE(LEFT(fesp!$A:$A,6))=VALUE(LEFT(B86,6)))*(fesp!$C:$C=C86), 0)), "")</f>
        <v>259</v>
      </c>
      <c r="R86" cm="1">
        <f t="array" ref="R86">IFERROR(INDEX(fesp!$I:$I, MATCH(1, (VALUE(LEFT(fesp!$A:$A,6))=VALUE(LEFT(B86,6)))*(fesp!$C:$C=C86), 0)), "")</f>
        <v>0</v>
      </c>
      <c r="S86" cm="1">
        <f t="array" ref="S86">IFERROR(INDEX(fesp!$J:$J, MATCH(1, (VALUE(LEFT(fesp!$A:$A,6))=VALUE(LEFT(B86,6)))*(fesp!$C:$C=C86), 0)), "")</f>
        <v>0</v>
      </c>
    </row>
    <row r="87" spans="1:19">
      <c r="A87" s="1" t="s">
        <v>37</v>
      </c>
      <c r="B87" s="3" t="s">
        <v>36</v>
      </c>
      <c r="C87" s="3">
        <v>2023</v>
      </c>
      <c r="D87" cm="1">
        <f t="array" ref="D87">IFERROR(INDEX(fesp!$D:$D, MATCH(1, (VALUE(LEFT(fesp!$A:$A,6))=VALUE(LEFT(B87,6)))*(fesp!$C:$C=C87), 0)), "")</f>
        <v>0</v>
      </c>
      <c r="E87" cm="1">
        <f t="array" aca="1" ref="E87" ca="1">IFERROR(INDEX(ft_medicos_clinicos!$C:$C, MATCH(1, (VALUE(LEFT(ft_medicos_clinicos!$A:$A,6))=VALUE(LEFT(B87,6)))*(ft_medicos_clinicos!$B:$B=C87), 0)), "")</f>
        <v>482</v>
      </c>
      <c r="F87" cm="1">
        <f t="array" aca="1" ref="F87" ca="1">IFERROR(INDEX(ft_enfermeiros!$C:$C, MATCH(1, (VALUE(LEFT(ft_enfermeiros!$A:$A,6))=VALUE(LEFT(B87,6)))*(ft_enfermeiros!$B:$B=C87), 0)), "")</f>
        <v>2244</v>
      </c>
      <c r="G87" t="str" cm="1">
        <f t="array" aca="1" ref="G87" ca="1">IFERROR(INDEX(ft_equipes_acs!$C:$C, MATCH(1, (VALUE(LEFT(ft_equipes_acs!$A:$A,6))=VALUE(LEFT(B87,6)))*(ft_equipes_acs!$B:$B=C87), 0)), "")</f>
        <v>-</v>
      </c>
      <c r="H87" cm="1">
        <f t="array" aca="1" ref="H87" ca="1">IFERROR(INDEX(ci_leitos_internacao!$C:$C, MATCH(1, (VALUE(LEFT(ci_leitos_internacao!$A:$A,6))=VALUE(LEFT(B87,6)))*(ci_leitos_internacao!$B:$B=C87), 0)), "")</f>
        <v>3112</v>
      </c>
      <c r="I87" cm="1">
        <f t="array" aca="1" ref="I87" ca="1">IFERROR(INDEX(ci_hospitais_internacao!$C:$C, MATCH(1, (VALUE(LEFT(ci_hospitais_internacao!$A:$A,6))=VALUE(LEFT(B87,6)))*(ci_hospitais_internacao!$B:$B=C87), 0)), "")</f>
        <v>17</v>
      </c>
      <c r="J87" t="str" cm="1">
        <f t="array" aca="1" ref="J87" ca="1">IFERROR(INDEX(ci_pa_clinico!$C:$C, MATCH(1, (VALUE(LEFT(ci_pa_clinico!$A:$A,6))=VALUE(LEFT(B87,6)))*(ci_pa_clinico!$B:$B=C87), 0)), "")</f>
        <v/>
      </c>
      <c r="K87" t="str" cm="1">
        <f t="array" aca="1" ref="K87" ca="1">IFERROR(INDEX(aps_equipes_esf!$C:$C, MATCH(1, (VALUE(LEFT(aps_equipes_esf!$A:$A,6))=VALUE(LEFT(B87,6)))*(aps_equipes_esf!$B:$B=C87), 0)), "")</f>
        <v>-</v>
      </c>
      <c r="L87" cm="1">
        <f t="array" aca="1" ref="L87" ca="1">IFERROR(INDEX(casos!$C:$C, MATCH(1, (VALUE(LEFT(casos!$A:$A,6))=VALUE(LEFT(B87,6)))*(casos!$B:$B=C87), 0)), "")</f>
        <v>5127</v>
      </c>
      <c r="M87" cm="1">
        <f t="array" ref="M87">IFERROR(INDEX(srag!$D:$D, MATCH(1, (VALUE(LEFT(srag!$A:$A,6))=VALUE(LEFT(B87,6)))*(srag!$C:$C=C87), 0)), "")</f>
        <v>1032</v>
      </c>
      <c r="N87" cm="1">
        <f t="array" ref="N87">IFERROR(INDEX(fesp!$E:$E, MATCH(1, (VALUE(LEFT(fesp!$A:$A,6))=VALUE(LEFT(B87,6)))*(fesp!$C:$C=C87), 0)), "")</f>
        <v>318</v>
      </c>
      <c r="O87" cm="1">
        <f t="array" ref="O87">IFERROR(INDEX(fesp!$F:$F, MATCH(1, (VALUE(LEFT(fesp!$A:$A,6))=VALUE(LEFT(B87,6)))*(fesp!$C:$C=C87), 0)), "")</f>
        <v>25434</v>
      </c>
      <c r="P87" cm="1">
        <f t="array" ref="P87">IFERROR(INDEX(fesp!$G:$G, MATCH(1, (VALUE(LEFT(fesp!$A:$A,6))=VALUE(LEFT(B87,6)))*(fesp!$C:$C=C87), 0)), "")</f>
        <v>6684132</v>
      </c>
      <c r="Q87" cm="1">
        <f t="array" ref="Q87">IFERROR(INDEX(fesp!$H:$H, MATCH(1, (VALUE(LEFT(fesp!$A:$A,6))=VALUE(LEFT(B87,6)))*(fesp!$C:$C=C87), 0)), "")</f>
        <v>157</v>
      </c>
      <c r="R87" cm="1">
        <f t="array" ref="R87">IFERROR(INDEX(fesp!$I:$I, MATCH(1, (VALUE(LEFT(fesp!$A:$A,6))=VALUE(LEFT(B87,6)))*(fesp!$C:$C=C87), 0)), "")</f>
        <v>0</v>
      </c>
      <c r="S87" cm="1">
        <f t="array" ref="S87">IFERROR(INDEX(fesp!$J:$J, MATCH(1, (VALUE(LEFT(fesp!$A:$A,6))=VALUE(LEFT(B87,6)))*(fesp!$C:$C=C87), 0)), "")</f>
        <v>0</v>
      </c>
    </row>
    <row r="88" spans="1:19">
      <c r="A88" s="1" t="s">
        <v>37</v>
      </c>
      <c r="B88" s="3" t="s">
        <v>36</v>
      </c>
      <c r="C88" s="3">
        <v>2024</v>
      </c>
      <c r="D88" cm="1">
        <f t="array" ref="D88">IFERROR(INDEX(fesp!$D:$D, MATCH(1, (VALUE(LEFT(fesp!$A:$A,6))=VALUE(LEFT(B88,6)))*(fesp!$C:$C=C88), 0)), "")</f>
        <v>0</v>
      </c>
      <c r="E88" cm="1">
        <f t="array" aca="1" ref="E88" ca="1">IFERROR(INDEX(ft_medicos_clinicos!$C:$C, MATCH(1, (VALUE(LEFT(ft_medicos_clinicos!$A:$A,6))=VALUE(LEFT(B88,6)))*(ft_medicos_clinicos!$B:$B=C88), 0)), "")</f>
        <v>562</v>
      </c>
      <c r="F88" cm="1">
        <f t="array" aca="1" ref="F88" ca="1">IFERROR(INDEX(ft_enfermeiros!$C:$C, MATCH(1, (VALUE(LEFT(ft_enfermeiros!$A:$A,6))=VALUE(LEFT(B88,6)))*(ft_enfermeiros!$B:$B=C88), 0)), "")</f>
        <v>2307</v>
      </c>
      <c r="G88" t="str" cm="1">
        <f t="array" aca="1" ref="G88" ca="1">IFERROR(INDEX(ft_equipes_acs!$C:$C, MATCH(1, (VALUE(LEFT(ft_equipes_acs!$A:$A,6))=VALUE(LEFT(B88,6)))*(ft_equipes_acs!$B:$B=C88), 0)), "")</f>
        <v>-</v>
      </c>
      <c r="H88" cm="1">
        <f t="array" aca="1" ref="H88" ca="1">IFERROR(INDEX(ci_leitos_internacao!$C:$C, MATCH(1, (VALUE(LEFT(ci_leitos_internacao!$A:$A,6))=VALUE(LEFT(B88,6)))*(ci_leitos_internacao!$B:$B=C88), 0)), "")</f>
        <v>3080</v>
      </c>
      <c r="I88" cm="1">
        <f t="array" aca="1" ref="I88" ca="1">IFERROR(INDEX(ci_hospitais_internacao!$C:$C, MATCH(1, (VALUE(LEFT(ci_hospitais_internacao!$A:$A,6))=VALUE(LEFT(B88,6)))*(ci_hospitais_internacao!$B:$B=C88), 0)), "")</f>
        <v>17</v>
      </c>
      <c r="J88" t="str" cm="1">
        <f t="array" aca="1" ref="J88" ca="1">IFERROR(INDEX(ci_pa_clinico!$C:$C, MATCH(1, (VALUE(LEFT(ci_pa_clinico!$A:$A,6))=VALUE(LEFT(B88,6)))*(ci_pa_clinico!$B:$B=C88), 0)), "")</f>
        <v/>
      </c>
      <c r="K88" t="str" cm="1">
        <f t="array" aca="1" ref="K88" ca="1">IFERROR(INDEX(aps_equipes_esf!$C:$C, MATCH(1, (VALUE(LEFT(aps_equipes_esf!$A:$A,6))=VALUE(LEFT(B88,6)))*(aps_equipes_esf!$B:$B=C88), 0)), "")</f>
        <v>-</v>
      </c>
      <c r="L88" cm="1">
        <f t="array" aca="1" ref="L88" ca="1">IFERROR(INDEX(casos!$C:$C, MATCH(1, (VALUE(LEFT(casos!$A:$A,6))=VALUE(LEFT(B88,6)))*(casos!$B:$B=C88), 0)), "")</f>
        <v>7173</v>
      </c>
      <c r="M88" cm="1">
        <f t="array" ref="M88">IFERROR(INDEX(srag!$D:$D, MATCH(1, (VALUE(LEFT(srag!$A:$A,6))=VALUE(LEFT(B88,6)))*(srag!$C:$C=C88), 0)), "")</f>
        <v>844</v>
      </c>
      <c r="N88" cm="1">
        <f t="array" ref="N88">IFERROR(INDEX(fesp!$E:$E, MATCH(1, (VALUE(LEFT(fesp!$A:$A,6))=VALUE(LEFT(B88,6)))*(fesp!$C:$C=C88), 0)), "")</f>
        <v>270</v>
      </c>
      <c r="O88" cm="1">
        <f t="array" ref="O88">IFERROR(INDEX(fesp!$F:$F, MATCH(1, (VALUE(LEFT(fesp!$A:$A,6))=VALUE(LEFT(B88,6)))*(fesp!$C:$C=C88), 0)), "")</f>
        <v>21494</v>
      </c>
      <c r="P88" cm="1">
        <f t="array" ref="P88">IFERROR(INDEX(fesp!$G:$G, MATCH(1, (VALUE(LEFT(fesp!$A:$A,6))=VALUE(LEFT(B88,6)))*(fesp!$C:$C=C88), 0)), "")</f>
        <v>6489186</v>
      </c>
      <c r="Q88" cm="1">
        <f t="array" ref="Q88">IFERROR(INDEX(fesp!$H:$H, MATCH(1, (VALUE(LEFT(fesp!$A:$A,6))=VALUE(LEFT(B88,6)))*(fesp!$C:$C=C88), 0)), "")</f>
        <v>118</v>
      </c>
      <c r="R88" cm="1">
        <f t="array" ref="R88">IFERROR(INDEX(fesp!$I:$I, MATCH(1, (VALUE(LEFT(fesp!$A:$A,6))=VALUE(LEFT(B88,6)))*(fesp!$C:$C=C88), 0)), "")</f>
        <v>0</v>
      </c>
      <c r="S88" cm="1">
        <f t="array" ref="S88">IFERROR(INDEX(fesp!$J:$J, MATCH(1, (VALUE(LEFT(fesp!$A:$A,6))=VALUE(LEFT(B88,6)))*(fesp!$C:$C=C88), 0)), "")</f>
        <v>0</v>
      </c>
    </row>
    <row r="89" spans="1:19">
      <c r="A89" s="1" t="s">
        <v>37</v>
      </c>
      <c r="B89" s="3">
        <v>2211001</v>
      </c>
      <c r="C89" s="3">
        <v>2025</v>
      </c>
      <c r="D89" cm="1">
        <f t="array" ref="D89">IFERROR(INDEX(fesp!$D:$D, MATCH(1, (VALUE(LEFT(fesp!$A:$A,6))=VALUE(LEFT(B89,6)))*(fesp!$C:$C=C89), 0)), "")</f>
        <v>0</v>
      </c>
      <c r="E89" cm="1">
        <f t="array" aca="1" ref="E89" ca="1">IFERROR(INDEX(ft_medicos_clinicos!$C:$C, MATCH(1, (VALUE(LEFT(ft_medicos_clinicos!$A:$A,6))=VALUE(LEFT(B89,6)))*(ft_medicos_clinicos!$B:$B=C89), 0)), "")</f>
        <v>816</v>
      </c>
      <c r="F89" cm="1">
        <f t="array" aca="1" ref="F89" ca="1">IFERROR(INDEX(ft_enfermeiros!$C:$C, MATCH(1, (VALUE(LEFT(ft_enfermeiros!$A:$A,6))=VALUE(LEFT(B89,6)))*(ft_enfermeiros!$B:$B=C89), 0)), "")</f>
        <v>2337</v>
      </c>
      <c r="G89" t="str" cm="1">
        <f t="array" aca="1" ref="G89" ca="1">IFERROR(INDEX(ft_equipes_acs!$C:$C, MATCH(1, (VALUE(LEFT(ft_equipes_acs!$A:$A,6))=VALUE(LEFT(B89,6)))*(ft_equipes_acs!$B:$B=C89), 0)), "")</f>
        <v>-</v>
      </c>
      <c r="H89" cm="1">
        <f t="array" aca="1" ref="H89" ca="1">IFERROR(INDEX(ci_leitos_internacao!$C:$C, MATCH(1, (VALUE(LEFT(ci_leitos_internacao!$A:$A,6))=VALUE(LEFT(B89,6)))*(ci_leitos_internacao!$B:$B=C89), 0)), "")</f>
        <v>3012</v>
      </c>
      <c r="I89" cm="1">
        <f t="array" aca="1" ref="I89" ca="1">IFERROR(INDEX(ci_hospitais_internacao!$C:$C, MATCH(1, (VALUE(LEFT(ci_hospitais_internacao!$A:$A,6))=VALUE(LEFT(B89,6)))*(ci_hospitais_internacao!$B:$B=C89), 0)), "")</f>
        <v>16</v>
      </c>
      <c r="J89" t="str" cm="1">
        <f t="array" aca="1" ref="J89" ca="1">IFERROR(INDEX(ci_pa_clinico!$C:$C, MATCH(1, (VALUE(LEFT(ci_pa_clinico!$A:$A,6))=VALUE(LEFT(B89,6)))*(ci_pa_clinico!$B:$B=C89), 0)), "")</f>
        <v/>
      </c>
      <c r="K89" t="str" cm="1">
        <f t="array" aca="1" ref="K89" ca="1">IFERROR(INDEX(aps_equipes_esf!$C:$C, MATCH(1, (VALUE(LEFT(aps_equipes_esf!$A:$A,6))=VALUE(LEFT(B89,6)))*(aps_equipes_esf!$B:$B=C89), 0)), "")</f>
        <v>-</v>
      </c>
      <c r="L89" cm="1">
        <f t="array" aca="1" ref="L89" ca="1">IFERROR(INDEX(casos!$C:$C, MATCH(1, (VALUE(LEFT(casos!$A:$A,6))=VALUE(LEFT(B89,6)))*(casos!$B:$B=C89), 0)), "")</f>
        <v>5153</v>
      </c>
      <c r="M89" cm="1">
        <f t="array" ref="M89">IFERROR(INDEX(srag!$D:$D, MATCH(1, (VALUE(LEFT(srag!$A:$A,6))=VALUE(LEFT(B89,6)))*(srag!$C:$C=C89), 0)), "")</f>
        <v>721</v>
      </c>
      <c r="N89" cm="1">
        <f t="array" ref="N89">IFERROR(INDEX(fesp!$E:$E, MATCH(1, (VALUE(LEFT(fesp!$A:$A,6))=VALUE(LEFT(B89,6)))*(fesp!$C:$C=C89), 0)), "")</f>
        <v>264</v>
      </c>
      <c r="O89" cm="1">
        <f t="array" ref="O89">IFERROR(INDEX(fesp!$F:$F, MATCH(1, (VALUE(LEFT(fesp!$A:$A,6))=VALUE(LEFT(B89,6)))*(fesp!$C:$C=C89), 0)), "")</f>
        <v>21149</v>
      </c>
      <c r="P89" cm="1">
        <f t="array" ref="P89">IFERROR(INDEX(fesp!$G:$G, MATCH(1, (VALUE(LEFT(fesp!$A:$A,6))=VALUE(LEFT(B89,6)))*(fesp!$C:$C=C89), 0)), "")</f>
        <v>5175947</v>
      </c>
      <c r="Q89" cm="1">
        <f t="array" ref="Q89">IFERROR(INDEX(fesp!$H:$H, MATCH(1, (VALUE(LEFT(fesp!$A:$A,6))=VALUE(LEFT(B89,6)))*(fesp!$C:$C=C89), 0)), "")</f>
        <v>93</v>
      </c>
      <c r="R89" cm="1">
        <f t="array" ref="R89">IFERROR(INDEX(fesp!$I:$I, MATCH(1, (VALUE(LEFT(fesp!$A:$A,6))=VALUE(LEFT(B89,6)))*(fesp!$C:$C=C89), 0)), "")</f>
        <v>0</v>
      </c>
      <c r="S89" cm="1">
        <f t="array" ref="S89">IFERROR(INDEX(fesp!$J:$J, MATCH(1, (VALUE(LEFT(fesp!$A:$A,6))=VALUE(LEFT(B89,6)))*(fesp!$C:$C=C89), 0)), "")</f>
        <v>0</v>
      </c>
    </row>
    <row r="90" spans="1:19">
      <c r="A90" s="1" t="s">
        <v>7</v>
      </c>
      <c r="B90" s="3">
        <v>2304400</v>
      </c>
      <c r="C90" s="4">
        <v>2015</v>
      </c>
      <c r="D90" cm="1">
        <f t="array" ref="D90">IFERROR(INDEX(fesp!$D:$D, MATCH(1, (VALUE(LEFT(fesp!$A:$A,6))=VALUE(LEFT(B90,6)))*(fesp!$C:$C=C90), 0)), "")</f>
        <v>2591188</v>
      </c>
      <c r="E90" cm="1">
        <f t="array" aca="1" ref="E90" ca="1">IFERROR(INDEX(ft_medicos_clinicos!$C:$C, MATCH(1, (VALUE(LEFT(ft_medicos_clinicos!$A:$A,6))=VALUE(LEFT(B90,6)))*(ft_medicos_clinicos!$B:$B=C90), 0)), "")</f>
        <v>1166</v>
      </c>
      <c r="F90" cm="1">
        <f t="array" aca="1" ref="F90" ca="1">IFERROR(INDEX(ft_enfermeiros!$C:$C, MATCH(1, (VALUE(LEFT(ft_enfermeiros!$A:$A,6))=VALUE(LEFT(B90,6)))*(ft_enfermeiros!$B:$B=C90), 0)), "")</f>
        <v>2276</v>
      </c>
      <c r="G90" cm="1">
        <f t="array" aca="1" ref="G90" ca="1">IFERROR(INDEX(ft_equipes_acs!$C:$C, MATCH(1, (VALUE(LEFT(ft_equipes_acs!$A:$A,6))=VALUE(LEFT(B90,6)))*(ft_equipes_acs!$B:$B=C90), 0)), "")</f>
        <v>26</v>
      </c>
      <c r="H90" cm="1">
        <f t="array" aca="1" ref="H90" ca="1">IFERROR(INDEX(ci_leitos_internacao!$C:$C, MATCH(1, (VALUE(LEFT(ci_leitos_internacao!$A:$A,6))=VALUE(LEFT(B90,6)))*(ci_leitos_internacao!$B:$B=C90), 0)), "")</f>
        <v>7494</v>
      </c>
      <c r="I90" cm="1">
        <f t="array" aca="1" ref="I90" ca="1">IFERROR(INDEX(ci_hospitais_internacao!$C:$C, MATCH(1, (VALUE(LEFT(ci_hospitais_internacao!$A:$A,6))=VALUE(LEFT(B90,6)))*(ci_hospitais_internacao!$B:$B=C90), 0)), "")</f>
        <v>25</v>
      </c>
      <c r="J90" t="str" cm="1">
        <f t="array" aca="1" ref="J90" ca="1">IFERROR(INDEX(ci_pa_clinico!$C:$C, MATCH(1, (VALUE(LEFT(ci_pa_clinico!$A:$A,6))=VALUE(LEFT(B90,6)))*(ci_pa_clinico!$B:$B=C90), 0)), "")</f>
        <v/>
      </c>
      <c r="K90" cm="1">
        <f t="array" aca="1" ref="K90" ca="1">IFERROR(INDEX(aps_equipes_esf!$C:$C, MATCH(1, (VALUE(LEFT(aps_equipes_esf!$A:$A,6))=VALUE(LEFT(B90,6)))*(aps_equipes_esf!$B:$B=C90), 0)), "")</f>
        <v>131</v>
      </c>
      <c r="L90" cm="1">
        <f t="array" aca="1" ref="L90" ca="1">IFERROR(INDEX(casos!$C:$C, MATCH(1, (VALUE(LEFT(casos!$A:$A,6))=VALUE(LEFT(B90,6)))*(casos!$B:$B=C90), 0)), "")</f>
        <v>27982</v>
      </c>
      <c r="M90" cm="1">
        <f t="array" ref="M90">IFERROR(INDEX(srag!$D:$D, MATCH(1, (VALUE(LEFT(srag!$A:$A,6))=VALUE(LEFT(B90,6)))*(srag!$C:$C=C90), 0)), "")</f>
        <v>168</v>
      </c>
      <c r="N90" cm="1">
        <f t="array" ref="N90">IFERROR(INDEX(fesp!$E:$E, MATCH(1, (VALUE(LEFT(fesp!$A:$A,6))=VALUE(LEFT(B90,6)))*(fesp!$C:$C=C90), 0)), "")</f>
        <v>560</v>
      </c>
      <c r="O90" cm="1">
        <f t="array" ref="O90">IFERROR(INDEX(fesp!$F:$F, MATCH(1, (VALUE(LEFT(fesp!$A:$A,6))=VALUE(LEFT(B90,6)))*(fesp!$C:$C=C90), 0)), "")</f>
        <v>6060</v>
      </c>
      <c r="P90" cm="1">
        <f t="array" ref="P90">IFERROR(INDEX(fesp!$G:$G, MATCH(1, (VALUE(LEFT(fesp!$A:$A,6))=VALUE(LEFT(B90,6)))*(fesp!$C:$C=C90), 0)), "")</f>
        <v>11709481</v>
      </c>
      <c r="Q90" cm="1">
        <f t="array" ref="Q90">IFERROR(INDEX(fesp!$H:$H, MATCH(1, (VALUE(LEFT(fesp!$A:$A,6))=VALUE(LEFT(B90,6)))*(fesp!$C:$C=C90), 0)), "")</f>
        <v>99</v>
      </c>
      <c r="R90" cm="1">
        <f t="array" ref="R90">IFERROR(INDEX(fesp!$I:$I, MATCH(1, (VALUE(LEFT(fesp!$A:$A,6))=VALUE(LEFT(B90,6)))*(fesp!$C:$C=C90), 0)), "")</f>
        <v>123555</v>
      </c>
      <c r="S90" cm="1">
        <f t="array" ref="S90">IFERROR(INDEX(fesp!$J:$J, MATCH(1, (VALUE(LEFT(fesp!$A:$A,6))=VALUE(LEFT(B90,6)))*(fesp!$C:$C=C90), 0)), "")</f>
        <v>1110654</v>
      </c>
    </row>
    <row r="91" spans="1:19">
      <c r="A91" s="1" t="s">
        <v>7</v>
      </c>
      <c r="B91" s="3" t="s">
        <v>6</v>
      </c>
      <c r="C91" s="4">
        <v>2016</v>
      </c>
      <c r="D91" cm="1">
        <f t="array" ref="D91">IFERROR(INDEX(fesp!$D:$D, MATCH(1, (VALUE(LEFT(fesp!$A:$A,6))=VALUE(LEFT(B91,6)))*(fesp!$C:$C=C91), 0)), "")</f>
        <v>0</v>
      </c>
      <c r="E91" cm="1">
        <f t="array" aca="1" ref="E91" ca="1">IFERROR(INDEX(ft_medicos_clinicos!$C:$C, MATCH(1, (VALUE(LEFT(ft_medicos_clinicos!$A:$A,6))=VALUE(LEFT(B91,6)))*(ft_medicos_clinicos!$B:$B=C91), 0)), "")</f>
        <v>1195</v>
      </c>
      <c r="F91" cm="1">
        <f t="array" aca="1" ref="F91" ca="1">IFERROR(INDEX(ft_enfermeiros!$C:$C, MATCH(1, (VALUE(LEFT(ft_enfermeiros!$A:$A,6))=VALUE(LEFT(B91,6)))*(ft_enfermeiros!$B:$B=C91), 0)), "")</f>
        <v>2344</v>
      </c>
      <c r="G91" cm="1">
        <f t="array" aca="1" ref="G91" ca="1">IFERROR(INDEX(ft_equipes_acs!$C:$C, MATCH(1, (VALUE(LEFT(ft_equipes_acs!$A:$A,6))=VALUE(LEFT(B91,6)))*(ft_equipes_acs!$B:$B=C91), 0)), "")</f>
        <v>40</v>
      </c>
      <c r="H91" cm="1">
        <f t="array" aca="1" ref="H91" ca="1">IFERROR(INDEX(ci_leitos_internacao!$C:$C, MATCH(1, (VALUE(LEFT(ci_leitos_internacao!$A:$A,6))=VALUE(LEFT(B91,6)))*(ci_leitos_internacao!$B:$B=C91), 0)), "")</f>
        <v>7463</v>
      </c>
      <c r="I91" cm="1">
        <f t="array" aca="1" ref="I91" ca="1">IFERROR(INDEX(ci_hospitais_internacao!$C:$C, MATCH(1, (VALUE(LEFT(ci_hospitais_internacao!$A:$A,6))=VALUE(LEFT(B91,6)))*(ci_hospitais_internacao!$B:$B=C91), 0)), "")</f>
        <v>25</v>
      </c>
      <c r="J91" t="str" cm="1">
        <f t="array" aca="1" ref="J91" ca="1">IFERROR(INDEX(ci_pa_clinico!$C:$C, MATCH(1, (VALUE(LEFT(ci_pa_clinico!$A:$A,6))=VALUE(LEFT(B91,6)))*(ci_pa_clinico!$B:$B=C91), 0)), "")</f>
        <v/>
      </c>
      <c r="K91" cm="1">
        <f t="array" aca="1" ref="K91" ca="1">IFERROR(INDEX(aps_equipes_esf!$C:$C, MATCH(1, (VALUE(LEFT(aps_equipes_esf!$A:$A,6))=VALUE(LEFT(B91,6)))*(aps_equipes_esf!$B:$B=C91), 0)), "")</f>
        <v>127</v>
      </c>
      <c r="L91" cm="1">
        <f t="array" aca="1" ref="L91" ca="1">IFERROR(INDEX(casos!$C:$C, MATCH(1, (VALUE(LEFT(casos!$A:$A,6))=VALUE(LEFT(B91,6)))*(casos!$B:$B=C91), 0)), "")</f>
        <v>25099</v>
      </c>
      <c r="M91" cm="1">
        <f t="array" ref="M91">IFERROR(INDEX(srag!$D:$D, MATCH(1, (VALUE(LEFT(srag!$A:$A,6))=VALUE(LEFT(B91,6)))*(srag!$C:$C=C91), 0)), "")</f>
        <v>383</v>
      </c>
      <c r="N91" cm="1">
        <f t="array" ref="N91">IFERROR(INDEX(fesp!$E:$E, MATCH(1, (VALUE(LEFT(fesp!$A:$A,6))=VALUE(LEFT(B91,6)))*(fesp!$C:$C=C91), 0)), "")</f>
        <v>556</v>
      </c>
      <c r="O91" cm="1">
        <f t="array" ref="O91">IFERROR(INDEX(fesp!$F:$F, MATCH(1, (VALUE(LEFT(fesp!$A:$A,6))=VALUE(LEFT(B91,6)))*(fesp!$C:$C=C91), 0)), "")</f>
        <v>9821</v>
      </c>
      <c r="P91" cm="1">
        <f t="array" ref="P91">IFERROR(INDEX(fesp!$G:$G, MATCH(1, (VALUE(LEFT(fesp!$A:$A,6))=VALUE(LEFT(B91,6)))*(fesp!$C:$C=C91), 0)), "")</f>
        <v>13015416</v>
      </c>
      <c r="Q91" cm="1">
        <f t="array" ref="Q91">IFERROR(INDEX(fesp!$H:$H, MATCH(1, (VALUE(LEFT(fesp!$A:$A,6))=VALUE(LEFT(B91,6)))*(fesp!$C:$C=C91), 0)), "")</f>
        <v>106</v>
      </c>
      <c r="R91" cm="1">
        <f t="array" ref="R91">IFERROR(INDEX(fesp!$I:$I, MATCH(1, (VALUE(LEFT(fesp!$A:$A,6))=VALUE(LEFT(B91,6)))*(fesp!$C:$C=C91), 0)), "")</f>
        <v>172617</v>
      </c>
      <c r="S91" cm="1">
        <f t="array" ref="S91">IFERROR(INDEX(fesp!$J:$J, MATCH(1, (VALUE(LEFT(fesp!$A:$A,6))=VALUE(LEFT(B91,6)))*(fesp!$C:$C=C91), 0)), "")</f>
        <v>1190036</v>
      </c>
    </row>
    <row r="92" spans="1:19">
      <c r="A92" s="1" t="s">
        <v>7</v>
      </c>
      <c r="B92" s="3" t="s">
        <v>6</v>
      </c>
      <c r="C92" s="4">
        <v>2017</v>
      </c>
      <c r="D92" cm="1">
        <f t="array" ref="D92">IFERROR(INDEX(fesp!$D:$D, MATCH(1, (VALUE(LEFT(fesp!$A:$A,6))=VALUE(LEFT(B92,6)))*(fesp!$C:$C=C92), 0)), "")</f>
        <v>0</v>
      </c>
      <c r="E92" cm="1">
        <f t="array" aca="1" ref="E92" ca="1">IFERROR(INDEX(ft_medicos_clinicos!$C:$C, MATCH(1, (VALUE(LEFT(ft_medicos_clinicos!$A:$A,6))=VALUE(LEFT(B92,6)))*(ft_medicos_clinicos!$B:$B=C92), 0)), "")</f>
        <v>1206</v>
      </c>
      <c r="F92" cm="1">
        <f t="array" aca="1" ref="F92" ca="1">IFERROR(INDEX(ft_enfermeiros!$C:$C, MATCH(1, (VALUE(LEFT(ft_enfermeiros!$A:$A,6))=VALUE(LEFT(B92,6)))*(ft_enfermeiros!$B:$B=C92), 0)), "")</f>
        <v>2458</v>
      </c>
      <c r="G92" cm="1">
        <f t="array" aca="1" ref="G92" ca="1">IFERROR(INDEX(ft_equipes_acs!$C:$C, MATCH(1, (VALUE(LEFT(ft_equipes_acs!$A:$A,6))=VALUE(LEFT(B92,6)))*(ft_equipes_acs!$B:$B=C92), 0)), "")</f>
        <v>56</v>
      </c>
      <c r="H92" cm="1">
        <f t="array" aca="1" ref="H92" ca="1">IFERROR(INDEX(ci_leitos_internacao!$C:$C, MATCH(1, (VALUE(LEFT(ci_leitos_internacao!$A:$A,6))=VALUE(LEFT(B92,6)))*(ci_leitos_internacao!$B:$B=C92), 0)), "")</f>
        <v>7802</v>
      </c>
      <c r="I92" cm="1">
        <f t="array" aca="1" ref="I92" ca="1">IFERROR(INDEX(ci_hospitais_internacao!$C:$C, MATCH(1, (VALUE(LEFT(ci_hospitais_internacao!$A:$A,6))=VALUE(LEFT(B92,6)))*(ci_hospitais_internacao!$B:$B=C92), 0)), "")</f>
        <v>24</v>
      </c>
      <c r="J92" t="str" cm="1">
        <f t="array" aca="1" ref="J92" ca="1">IFERROR(INDEX(ci_pa_clinico!$C:$C, MATCH(1, (VALUE(LEFT(ci_pa_clinico!$A:$A,6))=VALUE(LEFT(B92,6)))*(ci_pa_clinico!$B:$B=C92), 0)), "")</f>
        <v/>
      </c>
      <c r="K92" cm="1">
        <f t="array" aca="1" ref="K92" ca="1">IFERROR(INDEX(aps_equipes_esf!$C:$C, MATCH(1, (VALUE(LEFT(aps_equipes_esf!$A:$A,6))=VALUE(LEFT(B92,6)))*(aps_equipes_esf!$B:$B=C92), 0)), "")</f>
        <v>144</v>
      </c>
      <c r="L92" cm="1">
        <f t="array" aca="1" ref="L92" ca="1">IFERROR(INDEX(casos!$C:$C, MATCH(1, (VALUE(LEFT(casos!$A:$A,6))=VALUE(LEFT(B92,6)))*(casos!$B:$B=C92), 0)), "")</f>
        <v>23599</v>
      </c>
      <c r="M92" cm="1">
        <f t="array" ref="M92">IFERROR(INDEX(srag!$D:$D, MATCH(1, (VALUE(LEFT(srag!$A:$A,6))=VALUE(LEFT(B92,6)))*(srag!$C:$C=C92), 0)), "")</f>
        <v>191</v>
      </c>
      <c r="N92" cm="1">
        <f t="array" ref="N92">IFERROR(INDEX(fesp!$E:$E, MATCH(1, (VALUE(LEFT(fesp!$A:$A,6))=VALUE(LEFT(B92,6)))*(fesp!$C:$C=C92), 0)), "")</f>
        <v>540</v>
      </c>
      <c r="O92" cm="1">
        <f t="array" ref="O92">IFERROR(INDEX(fesp!$F:$F, MATCH(1, (VALUE(LEFT(fesp!$A:$A,6))=VALUE(LEFT(B92,6)))*(fesp!$C:$C=C92), 0)), "")</f>
        <v>10631</v>
      </c>
      <c r="P92" cm="1">
        <f t="array" ref="P92">IFERROR(INDEX(fesp!$G:$G, MATCH(1, (VALUE(LEFT(fesp!$A:$A,6))=VALUE(LEFT(B92,6)))*(fesp!$C:$C=C92), 0)), "")</f>
        <v>12952571</v>
      </c>
      <c r="Q92" cm="1">
        <f t="array" ref="Q92">IFERROR(INDEX(fesp!$H:$H, MATCH(1, (VALUE(LEFT(fesp!$A:$A,6))=VALUE(LEFT(B92,6)))*(fesp!$C:$C=C92), 0)), "")</f>
        <v>145</v>
      </c>
      <c r="R92" cm="1">
        <f t="array" ref="R92">IFERROR(INDEX(fesp!$I:$I, MATCH(1, (VALUE(LEFT(fesp!$A:$A,6))=VALUE(LEFT(B92,6)))*(fesp!$C:$C=C92), 0)), "")</f>
        <v>256630</v>
      </c>
      <c r="S92" cm="1">
        <f t="array" ref="S92">IFERROR(INDEX(fesp!$J:$J, MATCH(1, (VALUE(LEFT(fesp!$A:$A,6))=VALUE(LEFT(B92,6)))*(fesp!$C:$C=C92), 0)), "")</f>
        <v>1599331</v>
      </c>
    </row>
    <row r="93" spans="1:19">
      <c r="A93" s="1" t="s">
        <v>7</v>
      </c>
      <c r="B93" s="3" t="s">
        <v>6</v>
      </c>
      <c r="C93" s="4">
        <v>2018</v>
      </c>
      <c r="D93" cm="1">
        <f t="array" ref="D93">IFERROR(INDEX(fesp!$D:$D, MATCH(1, (VALUE(LEFT(fesp!$A:$A,6))=VALUE(LEFT(B93,6)))*(fesp!$C:$C=C93), 0)), "")</f>
        <v>0</v>
      </c>
      <c r="E93" cm="1">
        <f t="array" aca="1" ref="E93" ca="1">IFERROR(INDEX(ft_medicos_clinicos!$C:$C, MATCH(1, (VALUE(LEFT(ft_medicos_clinicos!$A:$A,6))=VALUE(LEFT(B93,6)))*(ft_medicos_clinicos!$B:$B=C93), 0)), "")</f>
        <v>1272</v>
      </c>
      <c r="F93" cm="1">
        <f t="array" aca="1" ref="F93" ca="1">IFERROR(INDEX(ft_enfermeiros!$C:$C, MATCH(1, (VALUE(LEFT(ft_enfermeiros!$A:$A,6))=VALUE(LEFT(B93,6)))*(ft_enfermeiros!$B:$B=C93), 0)), "")</f>
        <v>2660</v>
      </c>
      <c r="G93" cm="1">
        <f t="array" aca="1" ref="G93" ca="1">IFERROR(INDEX(ft_equipes_acs!$C:$C, MATCH(1, (VALUE(LEFT(ft_equipes_acs!$A:$A,6))=VALUE(LEFT(B93,6)))*(ft_equipes_acs!$B:$B=C93), 0)), "")</f>
        <v>84</v>
      </c>
      <c r="H93" cm="1">
        <f t="array" aca="1" ref="H93" ca="1">IFERROR(INDEX(ci_leitos_internacao!$C:$C, MATCH(1, (VALUE(LEFT(ci_leitos_internacao!$A:$A,6))=VALUE(LEFT(B93,6)))*(ci_leitos_internacao!$B:$B=C93), 0)), "")</f>
        <v>8058</v>
      </c>
      <c r="I93" cm="1">
        <f t="array" aca="1" ref="I93" ca="1">IFERROR(INDEX(ci_hospitais_internacao!$C:$C, MATCH(1, (VALUE(LEFT(ci_hospitais_internacao!$A:$A,6))=VALUE(LEFT(B93,6)))*(ci_hospitais_internacao!$B:$B=C93), 0)), "")</f>
        <v>27</v>
      </c>
      <c r="J93" t="str" cm="1">
        <f t="array" aca="1" ref="J93" ca="1">IFERROR(INDEX(ci_pa_clinico!$C:$C, MATCH(1, (VALUE(LEFT(ci_pa_clinico!$A:$A,6))=VALUE(LEFT(B93,6)))*(ci_pa_clinico!$B:$B=C93), 0)), "")</f>
        <v/>
      </c>
      <c r="K93" cm="1">
        <f t="array" aca="1" ref="K93" ca="1">IFERROR(INDEX(aps_equipes_esf!$C:$C, MATCH(1, (VALUE(LEFT(aps_equipes_esf!$A:$A,6))=VALUE(LEFT(B93,6)))*(aps_equipes_esf!$B:$B=C93), 0)), "")</f>
        <v>129</v>
      </c>
      <c r="L93" cm="1">
        <f t="array" aca="1" ref="L93" ca="1">IFERROR(INDEX(casos!$C:$C, MATCH(1, (VALUE(LEFT(casos!$A:$A,6))=VALUE(LEFT(B93,6)))*(casos!$B:$B=C93), 0)), "")</f>
        <v>1480</v>
      </c>
      <c r="M93" cm="1">
        <f t="array" ref="M93">IFERROR(INDEX(srag!$D:$D, MATCH(1, (VALUE(LEFT(srag!$A:$A,6))=VALUE(LEFT(B93,6)))*(srag!$C:$C=C93), 0)), "")</f>
        <v>960</v>
      </c>
      <c r="N93" cm="1">
        <f t="array" ref="N93">IFERROR(INDEX(fesp!$E:$E, MATCH(1, (VALUE(LEFT(fesp!$A:$A,6))=VALUE(LEFT(B93,6)))*(fesp!$C:$C=C93), 0)), "")</f>
        <v>644</v>
      </c>
      <c r="O93" cm="1">
        <f t="array" ref="O93">IFERROR(INDEX(fesp!$F:$F, MATCH(1, (VALUE(LEFT(fesp!$A:$A,6))=VALUE(LEFT(B93,6)))*(fesp!$C:$C=C93), 0)), "")</f>
        <v>11646</v>
      </c>
      <c r="P93" cm="1">
        <f t="array" ref="P93">IFERROR(INDEX(fesp!$G:$G, MATCH(1, (VALUE(LEFT(fesp!$A:$A,6))=VALUE(LEFT(B93,6)))*(fesp!$C:$C=C93), 0)), "")</f>
        <v>12581846</v>
      </c>
      <c r="Q93" cm="1">
        <f t="array" ref="Q93">IFERROR(INDEX(fesp!$H:$H, MATCH(1, (VALUE(LEFT(fesp!$A:$A,6))=VALUE(LEFT(B93,6)))*(fesp!$C:$C=C93), 0)), "")</f>
        <v>169</v>
      </c>
      <c r="R93" cm="1">
        <f t="array" ref="R93">IFERROR(INDEX(fesp!$I:$I, MATCH(1, (VALUE(LEFT(fesp!$A:$A,6))=VALUE(LEFT(B93,6)))*(fesp!$C:$C=C93), 0)), "")</f>
        <v>248834</v>
      </c>
      <c r="S93" cm="1">
        <f t="array" ref="S93">IFERROR(INDEX(fesp!$J:$J, MATCH(1, (VALUE(LEFT(fesp!$A:$A,6))=VALUE(LEFT(B93,6)))*(fesp!$C:$C=C93), 0)), "")</f>
        <v>1536567</v>
      </c>
    </row>
    <row r="94" spans="1:19">
      <c r="A94" s="1" t="s">
        <v>7</v>
      </c>
      <c r="B94" s="3" t="s">
        <v>6</v>
      </c>
      <c r="C94" s="4">
        <v>2019</v>
      </c>
      <c r="D94" cm="1">
        <f t="array" ref="D94">IFERROR(INDEX(fesp!$D:$D, MATCH(1, (VALUE(LEFT(fesp!$A:$A,6))=VALUE(LEFT(B94,6)))*(fesp!$C:$C=C94), 0)), "")</f>
        <v>0</v>
      </c>
      <c r="E94" cm="1">
        <f t="array" aca="1" ref="E94" ca="1">IFERROR(INDEX(ft_medicos_clinicos!$C:$C, MATCH(1, (VALUE(LEFT(ft_medicos_clinicos!$A:$A,6))=VALUE(LEFT(B94,6)))*(ft_medicos_clinicos!$B:$B=C94), 0)), "")</f>
        <v>1283</v>
      </c>
      <c r="F94" cm="1">
        <f t="array" aca="1" ref="F94" ca="1">IFERROR(INDEX(ft_enfermeiros!$C:$C, MATCH(1, (VALUE(LEFT(ft_enfermeiros!$A:$A,6))=VALUE(LEFT(B94,6)))*(ft_enfermeiros!$B:$B=C94), 0)), "")</f>
        <v>3932</v>
      </c>
      <c r="G94" cm="1">
        <f t="array" aca="1" ref="G94" ca="1">IFERROR(INDEX(ft_equipes_acs!$C:$C, MATCH(1, (VALUE(LEFT(ft_equipes_acs!$A:$A,6))=VALUE(LEFT(B94,6)))*(ft_equipes_acs!$B:$B=C94), 0)), "")</f>
        <v>56</v>
      </c>
      <c r="H94" cm="1">
        <f t="array" aca="1" ref="H94" ca="1">IFERROR(INDEX(ci_leitos_internacao!$C:$C, MATCH(1, (VALUE(LEFT(ci_leitos_internacao!$A:$A,6))=VALUE(LEFT(B94,6)))*(ci_leitos_internacao!$B:$B=C94), 0)), "")</f>
        <v>8171</v>
      </c>
      <c r="I94" cm="1">
        <f t="array" aca="1" ref="I94" ca="1">IFERROR(INDEX(ci_hospitais_internacao!$C:$C, MATCH(1, (VALUE(LEFT(ci_hospitais_internacao!$A:$A,6))=VALUE(LEFT(B94,6)))*(ci_hospitais_internacao!$B:$B=C94), 0)), "")</f>
        <v>26</v>
      </c>
      <c r="J94" t="str" cm="1">
        <f t="array" aca="1" ref="J94" ca="1">IFERROR(INDEX(ci_pa_clinico!$C:$C, MATCH(1, (VALUE(LEFT(ci_pa_clinico!$A:$A,6))=VALUE(LEFT(B94,6)))*(ci_pa_clinico!$B:$B=C94), 0)), "")</f>
        <v/>
      </c>
      <c r="K94" cm="1">
        <f t="array" aca="1" ref="K94" ca="1">IFERROR(INDEX(aps_equipes_esf!$C:$C, MATCH(1, (VALUE(LEFT(aps_equipes_esf!$A:$A,6))=VALUE(LEFT(B94,6)))*(aps_equipes_esf!$B:$B=C94), 0)), "")</f>
        <v>151</v>
      </c>
      <c r="L94" cm="1">
        <f t="array" aca="1" ref="L94" ca="1">IFERROR(INDEX(casos!$C:$C, MATCH(1, (VALUE(LEFT(casos!$A:$A,6))=VALUE(LEFT(B94,6)))*(casos!$B:$B=C94), 0)), "")</f>
        <v>4073</v>
      </c>
      <c r="M94" cm="1">
        <f t="array" ref="M94">IFERROR(INDEX(srag!$D:$D, MATCH(1, (VALUE(LEFT(srag!$A:$A,6))=VALUE(LEFT(B94,6)))*(srag!$C:$C=C94), 0)), "")</f>
        <v>561</v>
      </c>
      <c r="N94" cm="1">
        <f t="array" ref="N94">IFERROR(INDEX(fesp!$E:$E, MATCH(1, (VALUE(LEFT(fesp!$A:$A,6))=VALUE(LEFT(B94,6)))*(fesp!$C:$C=C94), 0)), "")</f>
        <v>669</v>
      </c>
      <c r="O94" cm="1">
        <f t="array" ref="O94">IFERROR(INDEX(fesp!$F:$F, MATCH(1, (VALUE(LEFT(fesp!$A:$A,6))=VALUE(LEFT(B94,6)))*(fesp!$C:$C=C94), 0)), "")</f>
        <v>11239</v>
      </c>
      <c r="P94" cm="1">
        <f t="array" ref="P94">IFERROR(INDEX(fesp!$G:$G, MATCH(1, (VALUE(LEFT(fesp!$A:$A,6))=VALUE(LEFT(B94,6)))*(fesp!$C:$C=C94), 0)), "")</f>
        <v>13169966</v>
      </c>
      <c r="Q94" cm="1">
        <f t="array" ref="Q94">IFERROR(INDEX(fesp!$H:$H, MATCH(1, (VALUE(LEFT(fesp!$A:$A,6))=VALUE(LEFT(B94,6)))*(fesp!$C:$C=C94), 0)), "")</f>
        <v>155</v>
      </c>
      <c r="R94" cm="1">
        <f t="array" ref="R94">IFERROR(INDEX(fesp!$I:$I, MATCH(1, (VALUE(LEFT(fesp!$A:$A,6))=VALUE(LEFT(B94,6)))*(fesp!$C:$C=C94), 0)), "")</f>
        <v>45297</v>
      </c>
      <c r="S94" cm="1">
        <f t="array" ref="S94">IFERROR(INDEX(fesp!$J:$J, MATCH(1, (VALUE(LEFT(fesp!$A:$A,6))=VALUE(LEFT(B94,6)))*(fesp!$C:$C=C94), 0)), "")</f>
        <v>272574</v>
      </c>
    </row>
    <row r="95" spans="1:19">
      <c r="A95" s="1" t="s">
        <v>7</v>
      </c>
      <c r="B95" s="3" t="s">
        <v>6</v>
      </c>
      <c r="C95" s="4">
        <v>2020</v>
      </c>
      <c r="D95" cm="1">
        <f t="array" ref="D95">IFERROR(INDEX(fesp!$D:$D, MATCH(1, (VALUE(LEFT(fesp!$A:$A,6))=VALUE(LEFT(B95,6)))*(fesp!$C:$C=C95), 0)), "")</f>
        <v>0</v>
      </c>
      <c r="E95" cm="1">
        <f t="array" aca="1" ref="E95" ca="1">IFERROR(INDEX(ft_medicos_clinicos!$C:$C, MATCH(1, (VALUE(LEFT(ft_medicos_clinicos!$A:$A,6))=VALUE(LEFT(B95,6)))*(ft_medicos_clinicos!$B:$B=C95), 0)), "")</f>
        <v>1529</v>
      </c>
      <c r="F95" cm="1">
        <f t="array" aca="1" ref="F95" ca="1">IFERROR(INDEX(ft_enfermeiros!$C:$C, MATCH(1, (VALUE(LEFT(ft_enfermeiros!$A:$A,6))=VALUE(LEFT(B95,6)))*(ft_enfermeiros!$B:$B=C95), 0)), "")</f>
        <v>4644</v>
      </c>
      <c r="G95" cm="1">
        <f t="array" aca="1" ref="G95" ca="1">IFERROR(INDEX(ft_equipes_acs!$C:$C, MATCH(1, (VALUE(LEFT(ft_equipes_acs!$A:$A,6))=VALUE(LEFT(B95,6)))*(ft_equipes_acs!$B:$B=C95), 0)), "")</f>
        <v>1</v>
      </c>
      <c r="H95" cm="1">
        <f t="array" aca="1" ref="H95" ca="1">IFERROR(INDEX(ci_leitos_internacao!$C:$C, MATCH(1, (VALUE(LEFT(ci_leitos_internacao!$A:$A,6))=VALUE(LEFT(B95,6)))*(ci_leitos_internacao!$B:$B=C95), 0)), "")</f>
        <v>8954</v>
      </c>
      <c r="I95" cm="1">
        <f t="array" aca="1" ref="I95" ca="1">IFERROR(INDEX(ci_hospitais_internacao!$C:$C, MATCH(1, (VALUE(LEFT(ci_hospitais_internacao!$A:$A,6))=VALUE(LEFT(B95,6)))*(ci_hospitais_internacao!$B:$B=C95), 0)), "")</f>
        <v>32</v>
      </c>
      <c r="J95" t="str" cm="1">
        <f t="array" aca="1" ref="J95" ca="1">IFERROR(INDEX(ci_pa_clinico!$C:$C, MATCH(1, (VALUE(LEFT(ci_pa_clinico!$A:$A,6))=VALUE(LEFT(B95,6)))*(ci_pa_clinico!$B:$B=C95), 0)), "")</f>
        <v/>
      </c>
      <c r="K95" cm="1">
        <f t="array" aca="1" ref="K95" ca="1">IFERROR(INDEX(aps_equipes_esf!$C:$C, MATCH(1, (VALUE(LEFT(aps_equipes_esf!$A:$A,6))=VALUE(LEFT(B95,6)))*(aps_equipes_esf!$B:$B=C95), 0)), "")</f>
        <v>1</v>
      </c>
      <c r="L95" cm="1">
        <f t="array" aca="1" ref="L95" ca="1">IFERROR(INDEX(casos!$C:$C, MATCH(1, (VALUE(LEFT(casos!$A:$A,6))=VALUE(LEFT(B95,6)))*(casos!$B:$B=C95), 0)), "")</f>
        <v>10044</v>
      </c>
      <c r="M95" cm="1">
        <f t="array" ref="M95">IFERROR(INDEX(srag!$D:$D, MATCH(1, (VALUE(LEFT(srag!$A:$A,6))=VALUE(LEFT(B95,6)))*(srag!$C:$C=C95), 0)), "")</f>
        <v>21632</v>
      </c>
      <c r="N95" cm="1">
        <f t="array" ref="N95">IFERROR(INDEX(fesp!$E:$E, MATCH(1, (VALUE(LEFT(fesp!$A:$A,6))=VALUE(LEFT(B95,6)))*(fesp!$C:$C=C95), 0)), "")</f>
        <v>593</v>
      </c>
      <c r="O95" cm="1">
        <f t="array" ref="O95">IFERROR(INDEX(fesp!$F:$F, MATCH(1, (VALUE(LEFT(fesp!$A:$A,6))=VALUE(LEFT(B95,6)))*(fesp!$C:$C=C95), 0)), "")</f>
        <v>12770</v>
      </c>
      <c r="P95" cm="1">
        <f t="array" ref="P95">IFERROR(INDEX(fesp!$G:$G, MATCH(1, (VALUE(LEFT(fesp!$A:$A,6))=VALUE(LEFT(B95,6)))*(fesp!$C:$C=C95), 0)), "")</f>
        <v>12149518</v>
      </c>
      <c r="Q95" cm="1">
        <f t="array" ref="Q95">IFERROR(INDEX(fesp!$H:$H, MATCH(1, (VALUE(LEFT(fesp!$A:$A,6))=VALUE(LEFT(B95,6)))*(fesp!$C:$C=C95), 0)), "")</f>
        <v>104</v>
      </c>
      <c r="R95" cm="1">
        <f t="array" ref="R95">IFERROR(INDEX(fesp!$I:$I, MATCH(1, (VALUE(LEFT(fesp!$A:$A,6))=VALUE(LEFT(B95,6)))*(fesp!$C:$C=C95), 0)), "")</f>
        <v>0</v>
      </c>
      <c r="S95" cm="1">
        <f t="array" ref="S95">IFERROR(INDEX(fesp!$J:$J, MATCH(1, (VALUE(LEFT(fesp!$A:$A,6))=VALUE(LEFT(B95,6)))*(fesp!$C:$C=C95), 0)), "")</f>
        <v>397</v>
      </c>
    </row>
    <row r="96" spans="1:19">
      <c r="A96" s="1" t="s">
        <v>7</v>
      </c>
      <c r="B96" s="3" t="s">
        <v>6</v>
      </c>
      <c r="C96" s="4">
        <v>2021</v>
      </c>
      <c r="D96" cm="1">
        <f t="array" ref="D96">IFERROR(INDEX(fesp!$D:$D, MATCH(1, (VALUE(LEFT(fesp!$A:$A,6))=VALUE(LEFT(B96,6)))*(fesp!$C:$C=C96), 0)), "")</f>
        <v>0</v>
      </c>
      <c r="E96" cm="1">
        <f t="array" aca="1" ref="E96" ca="1">IFERROR(INDEX(ft_medicos_clinicos!$C:$C, MATCH(1, (VALUE(LEFT(ft_medicos_clinicos!$A:$A,6))=VALUE(LEFT(B96,6)))*(ft_medicos_clinicos!$B:$B=C96), 0)), "")</f>
        <v>1521</v>
      </c>
      <c r="F96" cm="1">
        <f t="array" aca="1" ref="F96" ca="1">IFERROR(INDEX(ft_enfermeiros!$C:$C, MATCH(1, (VALUE(LEFT(ft_enfermeiros!$A:$A,6))=VALUE(LEFT(B96,6)))*(ft_enfermeiros!$B:$B=C96), 0)), "")</f>
        <v>5137</v>
      </c>
      <c r="G96" cm="1">
        <f t="array" aca="1" ref="G96" ca="1">IFERROR(INDEX(ft_equipes_acs!$C:$C, MATCH(1, (VALUE(LEFT(ft_equipes_acs!$A:$A,6))=VALUE(LEFT(B96,6)))*(ft_equipes_acs!$B:$B=C96), 0)), "")</f>
        <v>1</v>
      </c>
      <c r="H96" cm="1">
        <f t="array" aca="1" ref="H96" ca="1">IFERROR(INDEX(ci_leitos_internacao!$C:$C, MATCH(1, (VALUE(LEFT(ci_leitos_internacao!$A:$A,6))=VALUE(LEFT(B96,6)))*(ci_leitos_internacao!$B:$B=C96), 0)), "")</f>
        <v>8987</v>
      </c>
      <c r="I96" cm="1">
        <f t="array" aca="1" ref="I96" ca="1">IFERROR(INDEX(ci_hospitais_internacao!$C:$C, MATCH(1, (VALUE(LEFT(ci_hospitais_internacao!$A:$A,6))=VALUE(LEFT(B96,6)))*(ci_hospitais_internacao!$B:$B=C96), 0)), "")</f>
        <v>30</v>
      </c>
      <c r="J96" t="str" cm="1">
        <f t="array" aca="1" ref="J96" ca="1">IFERROR(INDEX(ci_pa_clinico!$C:$C, MATCH(1, (VALUE(LEFT(ci_pa_clinico!$A:$A,6))=VALUE(LEFT(B96,6)))*(ci_pa_clinico!$B:$B=C96), 0)), "")</f>
        <v/>
      </c>
      <c r="K96" cm="1">
        <f t="array" aca="1" ref="K96" ca="1">IFERROR(INDEX(aps_equipes_esf!$C:$C, MATCH(1, (VALUE(LEFT(aps_equipes_esf!$A:$A,6))=VALUE(LEFT(B96,6)))*(aps_equipes_esf!$B:$B=C96), 0)), "")</f>
        <v>1</v>
      </c>
      <c r="L96" cm="1">
        <f t="array" aca="1" ref="L96" ca="1">IFERROR(INDEX(casos!$C:$C, MATCH(1, (VALUE(LEFT(casos!$A:$A,6))=VALUE(LEFT(B96,6)))*(casos!$B:$B=C96), 0)), "")</f>
        <v>15218</v>
      </c>
      <c r="M96" cm="1">
        <f t="array" ref="M96">IFERROR(INDEX(srag!$D:$D, MATCH(1, (VALUE(LEFT(srag!$A:$A,6))=VALUE(LEFT(B96,6)))*(srag!$C:$C=C96), 0)), "")</f>
        <v>30665</v>
      </c>
      <c r="N96" cm="1">
        <f t="array" ref="N96">IFERROR(INDEX(fesp!$E:$E, MATCH(1, (VALUE(LEFT(fesp!$A:$A,6))=VALUE(LEFT(B96,6)))*(fesp!$C:$C=C96), 0)), "")</f>
        <v>690</v>
      </c>
      <c r="O96" cm="1">
        <f t="array" ref="O96">IFERROR(INDEX(fesp!$F:$F, MATCH(1, (VALUE(LEFT(fesp!$A:$A,6))=VALUE(LEFT(B96,6)))*(fesp!$C:$C=C96), 0)), "")</f>
        <v>14059</v>
      </c>
      <c r="P96" cm="1">
        <f t="array" ref="P96">IFERROR(INDEX(fesp!$G:$G, MATCH(1, (VALUE(LEFT(fesp!$A:$A,6))=VALUE(LEFT(B96,6)))*(fesp!$C:$C=C96), 0)), "")</f>
        <v>12330679</v>
      </c>
      <c r="Q96" cm="1">
        <f t="array" ref="Q96">IFERROR(INDEX(fesp!$H:$H, MATCH(1, (VALUE(LEFT(fesp!$A:$A,6))=VALUE(LEFT(B96,6)))*(fesp!$C:$C=C96), 0)), "")</f>
        <v>95</v>
      </c>
      <c r="R96" cm="1">
        <f t="array" ref="R96">IFERROR(INDEX(fesp!$I:$I, MATCH(1, (VALUE(LEFT(fesp!$A:$A,6))=VALUE(LEFT(B96,6)))*(fesp!$C:$C=C96), 0)), "")</f>
        <v>0</v>
      </c>
      <c r="S96" cm="1">
        <f t="array" ref="S96">IFERROR(INDEX(fesp!$J:$J, MATCH(1, (VALUE(LEFT(fesp!$A:$A,6))=VALUE(LEFT(B96,6)))*(fesp!$C:$C=C96), 0)), "")</f>
        <v>948</v>
      </c>
    </row>
    <row r="97" spans="1:19">
      <c r="A97" s="1" t="s">
        <v>7</v>
      </c>
      <c r="B97" s="3" t="s">
        <v>6</v>
      </c>
      <c r="C97" s="4">
        <v>2022</v>
      </c>
      <c r="D97" cm="1">
        <f t="array" ref="D97">IFERROR(INDEX(fesp!$D:$D, MATCH(1, (VALUE(LEFT(fesp!$A:$A,6))=VALUE(LEFT(B97,6)))*(fesp!$C:$C=C97), 0)), "")</f>
        <v>2428708</v>
      </c>
      <c r="E97" cm="1">
        <f t="array" aca="1" ref="E97" ca="1">IFERROR(INDEX(ft_medicos_clinicos!$C:$C, MATCH(1, (VALUE(LEFT(ft_medicos_clinicos!$A:$A,6))=VALUE(LEFT(B97,6)))*(ft_medicos_clinicos!$B:$B=C97), 0)), "")</f>
        <v>1656</v>
      </c>
      <c r="F97" cm="1">
        <f t="array" aca="1" ref="F97" ca="1">IFERROR(INDEX(ft_enfermeiros!$C:$C, MATCH(1, (VALUE(LEFT(ft_enfermeiros!$A:$A,6))=VALUE(LEFT(B97,6)))*(ft_enfermeiros!$B:$B=C97), 0)), "")</f>
        <v>5417</v>
      </c>
      <c r="G97" cm="1">
        <f t="array" aca="1" ref="G97" ca="1">IFERROR(INDEX(ft_equipes_acs!$C:$C, MATCH(1, (VALUE(LEFT(ft_equipes_acs!$A:$A,6))=VALUE(LEFT(B97,6)))*(ft_equipes_acs!$B:$B=C97), 0)), "")</f>
        <v>1</v>
      </c>
      <c r="H97" cm="1">
        <f t="array" aca="1" ref="H97" ca="1">IFERROR(INDEX(ci_leitos_internacao!$C:$C, MATCH(1, (VALUE(LEFT(ci_leitos_internacao!$A:$A,6))=VALUE(LEFT(B97,6)))*(ci_leitos_internacao!$B:$B=C97), 0)), "")</f>
        <v>8984</v>
      </c>
      <c r="I97" cm="1">
        <f t="array" aca="1" ref="I97" ca="1">IFERROR(INDEX(ci_hospitais_internacao!$C:$C, MATCH(1, (VALUE(LEFT(ci_hospitais_internacao!$A:$A,6))=VALUE(LEFT(B97,6)))*(ci_hospitais_internacao!$B:$B=C97), 0)), "")</f>
        <v>31</v>
      </c>
      <c r="J97" t="str" cm="1">
        <f t="array" aca="1" ref="J97" ca="1">IFERROR(INDEX(ci_pa_clinico!$C:$C, MATCH(1, (VALUE(LEFT(ci_pa_clinico!$A:$A,6))=VALUE(LEFT(B97,6)))*(ci_pa_clinico!$B:$B=C97), 0)), "")</f>
        <v/>
      </c>
      <c r="K97" t="str" cm="1">
        <f t="array" aca="1" ref="K97" ca="1">IFERROR(INDEX(aps_equipes_esf!$C:$C, MATCH(1, (VALUE(LEFT(aps_equipes_esf!$A:$A,6))=VALUE(LEFT(B97,6)))*(aps_equipes_esf!$B:$B=C97), 0)), "")</f>
        <v>-</v>
      </c>
      <c r="L97" cm="1">
        <f t="array" aca="1" ref="L97" ca="1">IFERROR(INDEX(casos!$C:$C, MATCH(1, (VALUE(LEFT(casos!$A:$A,6))=VALUE(LEFT(B97,6)))*(casos!$B:$B=C97), 0)), "")</f>
        <v>19278</v>
      </c>
      <c r="M97" cm="1">
        <f t="array" ref="M97">IFERROR(INDEX(srag!$D:$D, MATCH(1, (VALUE(LEFT(srag!$A:$A,6))=VALUE(LEFT(B97,6)))*(srag!$C:$C=C97), 0)), "")</f>
        <v>17736</v>
      </c>
      <c r="N97" cm="1">
        <f t="array" ref="N97">IFERROR(INDEX(fesp!$E:$E, MATCH(1, (VALUE(LEFT(fesp!$A:$A,6))=VALUE(LEFT(B97,6)))*(fesp!$C:$C=C97), 0)), "")</f>
        <v>724</v>
      </c>
      <c r="O97" cm="1">
        <f t="array" ref="O97">IFERROR(INDEX(fesp!$F:$F, MATCH(1, (VALUE(LEFT(fesp!$A:$A,6))=VALUE(LEFT(B97,6)))*(fesp!$C:$C=C97), 0)), "")</f>
        <v>14687</v>
      </c>
      <c r="P97" cm="1">
        <f t="array" ref="P97">IFERROR(INDEX(fesp!$G:$G, MATCH(1, (VALUE(LEFT(fesp!$A:$A,6))=VALUE(LEFT(B97,6)))*(fesp!$C:$C=C97), 0)), "")</f>
        <v>13564675</v>
      </c>
      <c r="Q97" cm="1">
        <f t="array" ref="Q97">IFERROR(INDEX(fesp!$H:$H, MATCH(1, (VALUE(LEFT(fesp!$A:$A,6))=VALUE(LEFT(B97,6)))*(fesp!$C:$C=C97), 0)), "")</f>
        <v>114</v>
      </c>
      <c r="R97" cm="1">
        <f t="array" ref="R97">IFERROR(INDEX(fesp!$I:$I, MATCH(1, (VALUE(LEFT(fesp!$A:$A,6))=VALUE(LEFT(B97,6)))*(fesp!$C:$C=C97), 0)), "")</f>
        <v>0</v>
      </c>
      <c r="S97" cm="1">
        <f t="array" ref="S97">IFERROR(INDEX(fesp!$J:$J, MATCH(1, (VALUE(LEFT(fesp!$A:$A,6))=VALUE(LEFT(B97,6)))*(fesp!$C:$C=C97), 0)), "")</f>
        <v>0</v>
      </c>
    </row>
    <row r="98" spans="1:19">
      <c r="A98" s="1" t="s">
        <v>7</v>
      </c>
      <c r="B98" s="3" t="s">
        <v>6</v>
      </c>
      <c r="C98" s="4">
        <v>2023</v>
      </c>
      <c r="D98" cm="1">
        <f t="array" ref="D98">IFERROR(INDEX(fesp!$D:$D, MATCH(1, (VALUE(LEFT(fesp!$A:$A,6))=VALUE(LEFT(B98,6)))*(fesp!$C:$C=C98), 0)), "")</f>
        <v>0</v>
      </c>
      <c r="E98" cm="1">
        <f t="array" aca="1" ref="E98" ca="1">IFERROR(INDEX(ft_medicos_clinicos!$C:$C, MATCH(1, (VALUE(LEFT(ft_medicos_clinicos!$A:$A,6))=VALUE(LEFT(B98,6)))*(ft_medicos_clinicos!$B:$B=C98), 0)), "")</f>
        <v>1731</v>
      </c>
      <c r="F98" cm="1">
        <f t="array" aca="1" ref="F98" ca="1">IFERROR(INDEX(ft_enfermeiros!$C:$C, MATCH(1, (VALUE(LEFT(ft_enfermeiros!$A:$A,6))=VALUE(LEFT(B98,6)))*(ft_enfermeiros!$B:$B=C98), 0)), "")</f>
        <v>6196</v>
      </c>
      <c r="G98" cm="1">
        <f t="array" aca="1" ref="G98" ca="1">IFERROR(INDEX(ft_equipes_acs!$C:$C, MATCH(1, (VALUE(LEFT(ft_equipes_acs!$A:$A,6))=VALUE(LEFT(B98,6)))*(ft_equipes_acs!$B:$B=C98), 0)), "")</f>
        <v>1</v>
      </c>
      <c r="H98" cm="1">
        <f t="array" aca="1" ref="H98" ca="1">IFERROR(INDEX(ci_leitos_internacao!$C:$C, MATCH(1, (VALUE(LEFT(ci_leitos_internacao!$A:$A,6))=VALUE(LEFT(B98,6)))*(ci_leitos_internacao!$B:$B=C98), 0)), "")</f>
        <v>8525</v>
      </c>
      <c r="I98" cm="1">
        <f t="array" aca="1" ref="I98" ca="1">IFERROR(INDEX(ci_hospitais_internacao!$C:$C, MATCH(1, (VALUE(LEFT(ci_hospitais_internacao!$A:$A,6))=VALUE(LEFT(B98,6)))*(ci_hospitais_internacao!$B:$B=C98), 0)), "")</f>
        <v>30</v>
      </c>
      <c r="J98" t="str" cm="1">
        <f t="array" aca="1" ref="J98" ca="1">IFERROR(INDEX(ci_pa_clinico!$C:$C, MATCH(1, (VALUE(LEFT(ci_pa_clinico!$A:$A,6))=VALUE(LEFT(B98,6)))*(ci_pa_clinico!$B:$B=C98), 0)), "")</f>
        <v/>
      </c>
      <c r="K98" t="str" cm="1">
        <f t="array" aca="1" ref="K98" ca="1">IFERROR(INDEX(aps_equipes_esf!$C:$C, MATCH(1, (VALUE(LEFT(aps_equipes_esf!$A:$A,6))=VALUE(LEFT(B98,6)))*(aps_equipes_esf!$B:$B=C98), 0)), "")</f>
        <v>-</v>
      </c>
      <c r="L98" cm="1">
        <f t="array" aca="1" ref="L98" ca="1">IFERROR(INDEX(casos!$C:$C, MATCH(1, (VALUE(LEFT(casos!$A:$A,6))=VALUE(LEFT(B98,6)))*(casos!$B:$B=C98), 0)), "")</f>
        <v>5330</v>
      </c>
      <c r="M98" cm="1">
        <f t="array" ref="M98">IFERROR(INDEX(srag!$D:$D, MATCH(1, (VALUE(LEFT(srag!$A:$A,6))=VALUE(LEFT(B98,6)))*(srag!$C:$C=C98), 0)), "")</f>
        <v>6611</v>
      </c>
      <c r="N98" cm="1">
        <f t="array" ref="N98">IFERROR(INDEX(fesp!$E:$E, MATCH(1, (VALUE(LEFT(fesp!$A:$A,6))=VALUE(LEFT(B98,6)))*(fesp!$C:$C=C98), 0)), "")</f>
        <v>708</v>
      </c>
      <c r="O98" cm="1">
        <f t="array" ref="O98">IFERROR(INDEX(fesp!$F:$F, MATCH(1, (VALUE(LEFT(fesp!$A:$A,6))=VALUE(LEFT(B98,6)))*(fesp!$C:$C=C98), 0)), "")</f>
        <v>17126</v>
      </c>
      <c r="P98" cm="1">
        <f t="array" ref="P98">IFERROR(INDEX(fesp!$G:$G, MATCH(1, (VALUE(LEFT(fesp!$A:$A,6))=VALUE(LEFT(B98,6)))*(fesp!$C:$C=C98), 0)), "")</f>
        <v>14657948</v>
      </c>
      <c r="Q98" cm="1">
        <f t="array" ref="Q98">IFERROR(INDEX(fesp!$H:$H, MATCH(1, (VALUE(LEFT(fesp!$A:$A,6))=VALUE(LEFT(B98,6)))*(fesp!$C:$C=C98), 0)), "")</f>
        <v>109</v>
      </c>
      <c r="R98" cm="1">
        <f t="array" ref="R98">IFERROR(INDEX(fesp!$I:$I, MATCH(1, (VALUE(LEFT(fesp!$A:$A,6))=VALUE(LEFT(B98,6)))*(fesp!$C:$C=C98), 0)), "")</f>
        <v>120</v>
      </c>
      <c r="S98" cm="1">
        <f t="array" ref="S98">IFERROR(INDEX(fesp!$J:$J, MATCH(1, (VALUE(LEFT(fesp!$A:$A,6))=VALUE(LEFT(B98,6)))*(fesp!$C:$C=C98), 0)), "")</f>
        <v>185</v>
      </c>
    </row>
    <row r="99" spans="1:19">
      <c r="A99" s="1" t="s">
        <v>7</v>
      </c>
      <c r="B99" s="3" t="s">
        <v>6</v>
      </c>
      <c r="C99" s="3">
        <v>2024</v>
      </c>
      <c r="D99" cm="1">
        <f t="array" ref="D99">IFERROR(INDEX(fesp!$D:$D, MATCH(1, (VALUE(LEFT(fesp!$A:$A,6))=VALUE(LEFT(B99,6)))*(fesp!$C:$C=C99), 0)), "")</f>
        <v>0</v>
      </c>
      <c r="E99" cm="1">
        <f t="array" aca="1" ref="E99" ca="1">IFERROR(INDEX(ft_medicos_clinicos!$C:$C, MATCH(1, (VALUE(LEFT(ft_medicos_clinicos!$A:$A,6))=VALUE(LEFT(B99,6)))*(ft_medicos_clinicos!$B:$B=C99), 0)), "")</f>
        <v>1690</v>
      </c>
      <c r="F99" cm="1">
        <f t="array" aca="1" ref="F99" ca="1">IFERROR(INDEX(ft_enfermeiros!$C:$C, MATCH(1, (VALUE(LEFT(ft_enfermeiros!$A:$A,6))=VALUE(LEFT(B99,6)))*(ft_enfermeiros!$B:$B=C99), 0)), "")</f>
        <v>6400</v>
      </c>
      <c r="G99" cm="1">
        <f t="array" aca="1" ref="G99" ca="1">IFERROR(INDEX(ft_equipes_acs!$C:$C, MATCH(1, (VALUE(LEFT(ft_equipes_acs!$A:$A,6))=VALUE(LEFT(B99,6)))*(ft_equipes_acs!$B:$B=C99), 0)), "")</f>
        <v>1</v>
      </c>
      <c r="H99" cm="1">
        <f t="array" aca="1" ref="H99" ca="1">IFERROR(INDEX(ci_leitos_internacao!$C:$C, MATCH(1, (VALUE(LEFT(ci_leitos_internacao!$A:$A,6))=VALUE(LEFT(B99,6)))*(ci_leitos_internacao!$B:$B=C99), 0)), "")</f>
        <v>8355</v>
      </c>
      <c r="I99" cm="1">
        <f t="array" aca="1" ref="I99" ca="1">IFERROR(INDEX(ci_hospitais_internacao!$C:$C, MATCH(1, (VALUE(LEFT(ci_hospitais_internacao!$A:$A,6))=VALUE(LEFT(B99,6)))*(ci_hospitais_internacao!$B:$B=C99), 0)), "")</f>
        <v>30</v>
      </c>
      <c r="J99" t="str" cm="1">
        <f t="array" aca="1" ref="J99" ca="1">IFERROR(INDEX(ci_pa_clinico!$C:$C, MATCH(1, (VALUE(LEFT(ci_pa_clinico!$A:$A,6))=VALUE(LEFT(B99,6)))*(ci_pa_clinico!$B:$B=C99), 0)), "")</f>
        <v/>
      </c>
      <c r="K99" t="str" cm="1">
        <f t="array" aca="1" ref="K99" ca="1">IFERROR(INDEX(aps_equipes_esf!$C:$C, MATCH(1, (VALUE(LEFT(aps_equipes_esf!$A:$A,6))=VALUE(LEFT(B99,6)))*(aps_equipes_esf!$B:$B=C99), 0)), "")</f>
        <v>-</v>
      </c>
      <c r="L99" cm="1">
        <f t="array" aca="1" ref="L99" ca="1">IFERROR(INDEX(casos!$C:$C, MATCH(1, (VALUE(LEFT(casos!$A:$A,6))=VALUE(LEFT(B99,6)))*(casos!$B:$B=C99), 0)), "")</f>
        <v>3635</v>
      </c>
      <c r="M99" cm="1">
        <f t="array" ref="M99">IFERROR(INDEX(srag!$D:$D, MATCH(1, (VALUE(LEFT(srag!$A:$A,6))=VALUE(LEFT(B99,6)))*(srag!$C:$C=C99), 0)), "")</f>
        <v>3354</v>
      </c>
      <c r="N99" cm="1">
        <f t="array" ref="N99">IFERROR(INDEX(fesp!$E:$E, MATCH(1, (VALUE(LEFT(fesp!$A:$A,6))=VALUE(LEFT(B99,6)))*(fesp!$C:$C=C99), 0)), "")</f>
        <v>803</v>
      </c>
      <c r="O99" cm="1">
        <f t="array" ref="O99">IFERROR(INDEX(fesp!$F:$F, MATCH(1, (VALUE(LEFT(fesp!$A:$A,6))=VALUE(LEFT(B99,6)))*(fesp!$C:$C=C99), 0)), "")</f>
        <v>29722</v>
      </c>
      <c r="P99" cm="1">
        <f t="array" ref="P99">IFERROR(INDEX(fesp!$G:$G, MATCH(1, (VALUE(LEFT(fesp!$A:$A,6))=VALUE(LEFT(B99,6)))*(fesp!$C:$C=C99), 0)), "")</f>
        <v>15677537</v>
      </c>
      <c r="Q99" cm="1">
        <f t="array" ref="Q99">IFERROR(INDEX(fesp!$H:$H, MATCH(1, (VALUE(LEFT(fesp!$A:$A,6))=VALUE(LEFT(B99,6)))*(fesp!$C:$C=C99), 0)), "")</f>
        <v>172</v>
      </c>
      <c r="R99" cm="1">
        <f t="array" ref="R99">IFERROR(INDEX(fesp!$I:$I, MATCH(1, (VALUE(LEFT(fesp!$A:$A,6))=VALUE(LEFT(B99,6)))*(fesp!$C:$C=C99), 0)), "")</f>
        <v>26</v>
      </c>
      <c r="S99" cm="1">
        <f t="array" ref="S99">IFERROR(INDEX(fesp!$J:$J, MATCH(1, (VALUE(LEFT(fesp!$A:$A,6))=VALUE(LEFT(B99,6)))*(fesp!$C:$C=C99), 0)), "")</f>
        <v>744</v>
      </c>
    </row>
    <row r="100" spans="1:19">
      <c r="A100" s="1" t="s">
        <v>7</v>
      </c>
      <c r="B100" s="3" t="s">
        <v>6</v>
      </c>
      <c r="C100" s="3">
        <v>2025</v>
      </c>
      <c r="D100" cm="1">
        <f t="array" ref="D100">IFERROR(INDEX(fesp!$D:$D, MATCH(1, (VALUE(LEFT(fesp!$A:$A,6))=VALUE(LEFT(B100,6)))*(fesp!$C:$C=C100), 0)), "")</f>
        <v>0</v>
      </c>
      <c r="E100" cm="1">
        <f t="array" aca="1" ref="E100" ca="1">IFERROR(INDEX(ft_medicos_clinicos!$C:$C, MATCH(1, (VALUE(LEFT(ft_medicos_clinicos!$A:$A,6))=VALUE(LEFT(B100,6)))*(ft_medicos_clinicos!$B:$B=C100), 0)), "")</f>
        <v>1818</v>
      </c>
      <c r="F100" cm="1">
        <f t="array" aca="1" ref="F100" ca="1">IFERROR(INDEX(ft_enfermeiros!$C:$C, MATCH(1, (VALUE(LEFT(ft_enfermeiros!$A:$A,6))=VALUE(LEFT(B100,6)))*(ft_enfermeiros!$B:$B=C100), 0)), "")</f>
        <v>6510</v>
      </c>
      <c r="G100" cm="1">
        <f t="array" aca="1" ref="G100" ca="1">IFERROR(INDEX(ft_equipes_acs!$C:$C, MATCH(1, (VALUE(LEFT(ft_equipes_acs!$A:$A,6))=VALUE(LEFT(B100,6)))*(ft_equipes_acs!$B:$B=C100), 0)), "")</f>
        <v>1</v>
      </c>
      <c r="H100" cm="1">
        <f t="array" aca="1" ref="H100" ca="1">IFERROR(INDEX(ci_leitos_internacao!$C:$C, MATCH(1, (VALUE(LEFT(ci_leitos_internacao!$A:$A,6))=VALUE(LEFT(B100,6)))*(ci_leitos_internacao!$B:$B=C100), 0)), "")</f>
        <v>8777</v>
      </c>
      <c r="I100" cm="1">
        <f t="array" aca="1" ref="I100" ca="1">IFERROR(INDEX(ci_hospitais_internacao!$C:$C, MATCH(1, (VALUE(LEFT(ci_hospitais_internacao!$A:$A,6))=VALUE(LEFT(B100,6)))*(ci_hospitais_internacao!$B:$B=C100), 0)), "")</f>
        <v>32</v>
      </c>
      <c r="J100" t="str" cm="1">
        <f t="array" aca="1" ref="J100" ca="1">IFERROR(INDEX(ci_pa_clinico!$C:$C, MATCH(1, (VALUE(LEFT(ci_pa_clinico!$A:$A,6))=VALUE(LEFT(B100,6)))*(ci_pa_clinico!$B:$B=C100), 0)), "")</f>
        <v/>
      </c>
      <c r="K100" t="str" cm="1">
        <f t="array" aca="1" ref="K100" ca="1">IFERROR(INDEX(aps_equipes_esf!$C:$C, MATCH(1, (VALUE(LEFT(aps_equipes_esf!$A:$A,6))=VALUE(LEFT(B100,6)))*(aps_equipes_esf!$B:$B=C100), 0)), "")</f>
        <v>-</v>
      </c>
      <c r="L100" cm="1">
        <f t="array" aca="1" ref="L100" ca="1">IFERROR(INDEX(casos!$C:$C, MATCH(1, (VALUE(LEFT(casos!$A:$A,6))=VALUE(LEFT(B100,6)))*(casos!$B:$B=C100), 0)), "")</f>
        <v>807</v>
      </c>
      <c r="M100" cm="1">
        <f t="array" ref="M100">IFERROR(INDEX(srag!$D:$D, MATCH(1, (VALUE(LEFT(srag!$A:$A,6))=VALUE(LEFT(B100,6)))*(srag!$C:$C=C100), 0)), "")</f>
        <v>2093</v>
      </c>
      <c r="N100" cm="1">
        <f t="array" ref="N100">IFERROR(INDEX(fesp!$E:$E, MATCH(1, (VALUE(LEFT(fesp!$A:$A,6))=VALUE(LEFT(B100,6)))*(fesp!$C:$C=C100), 0)), "")</f>
        <v>652</v>
      </c>
      <c r="O100" cm="1">
        <f t="array" ref="O100">IFERROR(INDEX(fesp!$F:$F, MATCH(1, (VALUE(LEFT(fesp!$A:$A,6))=VALUE(LEFT(B100,6)))*(fesp!$C:$C=C100), 0)), "")</f>
        <v>24347</v>
      </c>
      <c r="P100" cm="1">
        <f t="array" ref="P100">IFERROR(INDEX(fesp!$G:$G, MATCH(1, (VALUE(LEFT(fesp!$A:$A,6))=VALUE(LEFT(B100,6)))*(fesp!$C:$C=C100), 0)), "")</f>
        <v>14621936</v>
      </c>
      <c r="Q100" cm="1">
        <f t="array" ref="Q100">IFERROR(INDEX(fesp!$H:$H, MATCH(1, (VALUE(LEFT(fesp!$A:$A,6))=VALUE(LEFT(B100,6)))*(fesp!$C:$C=C100), 0)), "")</f>
        <v>104</v>
      </c>
      <c r="R100" cm="1">
        <f t="array" ref="R100">IFERROR(INDEX(fesp!$I:$I, MATCH(1, (VALUE(LEFT(fesp!$A:$A,6))=VALUE(LEFT(B100,6)))*(fesp!$C:$C=C100), 0)), "")</f>
        <v>255</v>
      </c>
      <c r="S100" cm="1">
        <f t="array" ref="S100">IFERROR(INDEX(fesp!$J:$J, MATCH(1, (VALUE(LEFT(fesp!$A:$A,6))=VALUE(LEFT(B100,6)))*(fesp!$C:$C=C100), 0)), "")</f>
        <v>332</v>
      </c>
    </row>
    <row r="101" spans="1:19">
      <c r="A101" s="1" t="s">
        <v>47</v>
      </c>
      <c r="B101" s="3">
        <v>2408102</v>
      </c>
      <c r="C101" s="3">
        <v>2015</v>
      </c>
      <c r="D101" cm="1">
        <f t="array" ref="D101">IFERROR(INDEX(fesp!$D:$D, MATCH(1, (VALUE(LEFT(fesp!$A:$A,6))=VALUE(LEFT(B101,6)))*(fesp!$C:$C=C101), 0)), "")</f>
        <v>869954</v>
      </c>
      <c r="E101" cm="1">
        <f t="array" aca="1" ref="E101" ca="1">IFERROR(INDEX(ft_medicos_clinicos!$C:$C, MATCH(1, (VALUE(LEFT(ft_medicos_clinicos!$A:$A,6))=VALUE(LEFT(B101,6)))*(ft_medicos_clinicos!$B:$B=C101), 0)), "")</f>
        <v>371</v>
      </c>
      <c r="F101" cm="1">
        <f t="array" aca="1" ref="F101" ca="1">IFERROR(INDEX(ft_enfermeiros!$C:$C, MATCH(1, (VALUE(LEFT(ft_enfermeiros!$A:$A,6))=VALUE(LEFT(B101,6)))*(ft_enfermeiros!$B:$B=C101), 0)), "")</f>
        <v>860</v>
      </c>
      <c r="G101" t="str" cm="1">
        <f t="array" aca="1" ref="G101" ca="1">IFERROR(INDEX(ft_equipes_acs!$C:$C, MATCH(1, (VALUE(LEFT(ft_equipes_acs!$A:$A,6))=VALUE(LEFT(B101,6)))*(ft_equipes_acs!$B:$B=C101), 0)), "")</f>
        <v/>
      </c>
      <c r="H101" cm="1">
        <f t="array" aca="1" ref="H101" ca="1">IFERROR(INDEX(ci_leitos_internacao!$C:$C, MATCH(1, (VALUE(LEFT(ci_leitos_internacao!$A:$A,6))=VALUE(LEFT(B101,6)))*(ci_leitos_internacao!$B:$B=C101), 0)), "")</f>
        <v>3106</v>
      </c>
      <c r="I101" cm="1">
        <f t="array" aca="1" ref="I101" ca="1">IFERROR(INDEX(ci_hospitais_internacao!$C:$C, MATCH(1, (VALUE(LEFT(ci_hospitais_internacao!$A:$A,6))=VALUE(LEFT(B101,6)))*(ci_hospitais_internacao!$B:$B=C101), 0)), "")</f>
        <v>10</v>
      </c>
      <c r="J101" t="str" cm="1">
        <f t="array" aca="1" ref="J101" ca="1">IFERROR(INDEX(ci_pa_clinico!$C:$C, MATCH(1, (VALUE(LEFT(ci_pa_clinico!$A:$A,6))=VALUE(LEFT(B101,6)))*(ci_pa_clinico!$B:$B=C101), 0)), "")</f>
        <v/>
      </c>
      <c r="K101" cm="1">
        <f t="array" aca="1" ref="K101" ca="1">IFERROR(INDEX(aps_equipes_esf!$C:$C, MATCH(1, (VALUE(LEFT(aps_equipes_esf!$A:$A,6))=VALUE(LEFT(B101,6)))*(aps_equipes_esf!$B:$B=C101), 0)), "")</f>
        <v>38</v>
      </c>
      <c r="L101" cm="1">
        <f t="array" aca="1" ref="L101" ca="1">IFERROR(INDEX(casos!$C:$C, MATCH(1, (VALUE(LEFT(casos!$A:$A,6))=VALUE(LEFT(B101,6)))*(casos!$B:$B=C101), 0)), "")</f>
        <v>8953</v>
      </c>
      <c r="M101" cm="1">
        <f t="array" ref="M101">IFERROR(INDEX(srag!$D:$D, MATCH(1, (VALUE(LEFT(srag!$A:$A,6))=VALUE(LEFT(B101,6)))*(srag!$C:$C=C101), 0)), "")</f>
        <v>100</v>
      </c>
      <c r="N101" cm="1">
        <f t="array" ref="N101">IFERROR(INDEX(fesp!$E:$E, MATCH(1, (VALUE(LEFT(fesp!$A:$A,6))=VALUE(LEFT(B101,6)))*(fesp!$C:$C=C101), 0)), "")</f>
        <v>431</v>
      </c>
      <c r="O101" cm="1">
        <f t="array" ref="O101">IFERROR(INDEX(fesp!$F:$F, MATCH(1, (VALUE(LEFT(fesp!$A:$A,6))=VALUE(LEFT(B101,6)))*(fesp!$C:$C=C101), 0)), "")</f>
        <v>10170</v>
      </c>
      <c r="P101" cm="1">
        <f t="array" ref="P101">IFERROR(INDEX(fesp!$G:$G, MATCH(1, (VALUE(LEFT(fesp!$A:$A,6))=VALUE(LEFT(B101,6)))*(fesp!$C:$C=C101), 0)), "")</f>
        <v>4765262</v>
      </c>
      <c r="Q101" cm="1">
        <f t="array" ref="Q101">IFERROR(INDEX(fesp!$H:$H, MATCH(1, (VALUE(LEFT(fesp!$A:$A,6))=VALUE(LEFT(B101,6)))*(fesp!$C:$C=C101), 0)), "")</f>
        <v>43</v>
      </c>
      <c r="R101" cm="1">
        <f t="array" ref="R101">IFERROR(INDEX(fesp!$I:$I, MATCH(1, (VALUE(LEFT(fesp!$A:$A,6))=VALUE(LEFT(B101,6)))*(fesp!$C:$C=C101), 0)), "")</f>
        <v>14173</v>
      </c>
      <c r="S101" cm="1">
        <f t="array" ref="S101">IFERROR(INDEX(fesp!$J:$J, MATCH(1, (VALUE(LEFT(fesp!$A:$A,6))=VALUE(LEFT(B101,6)))*(fesp!$C:$C=C101), 0)), "")</f>
        <v>309011</v>
      </c>
    </row>
    <row r="102" spans="1:19">
      <c r="A102" s="1" t="s">
        <v>47</v>
      </c>
      <c r="B102" s="3">
        <v>2408102</v>
      </c>
      <c r="C102" s="3">
        <v>2016</v>
      </c>
      <c r="D102" cm="1">
        <f t="array" ref="D102">IFERROR(INDEX(fesp!$D:$D, MATCH(1, (VALUE(LEFT(fesp!$A:$A,6))=VALUE(LEFT(B102,6)))*(fesp!$C:$C=C102), 0)), "")</f>
        <v>0</v>
      </c>
      <c r="E102" cm="1">
        <f t="array" aca="1" ref="E102" ca="1">IFERROR(INDEX(ft_medicos_clinicos!$C:$C, MATCH(1, (VALUE(LEFT(ft_medicos_clinicos!$A:$A,6))=VALUE(LEFT(B102,6)))*(ft_medicos_clinicos!$B:$B=C102), 0)), "")</f>
        <v>385</v>
      </c>
      <c r="F102" cm="1">
        <f t="array" aca="1" ref="F102" ca="1">IFERROR(INDEX(ft_enfermeiros!$C:$C, MATCH(1, (VALUE(LEFT(ft_enfermeiros!$A:$A,6))=VALUE(LEFT(B102,6)))*(ft_enfermeiros!$B:$B=C102), 0)), "")</f>
        <v>951</v>
      </c>
      <c r="G102" t="str" cm="1">
        <f t="array" aca="1" ref="G102" ca="1">IFERROR(INDEX(ft_equipes_acs!$C:$C, MATCH(1, (VALUE(LEFT(ft_equipes_acs!$A:$A,6))=VALUE(LEFT(B102,6)))*(ft_equipes_acs!$B:$B=C102), 0)), "")</f>
        <v/>
      </c>
      <c r="H102" cm="1">
        <f t="array" aca="1" ref="H102" ca="1">IFERROR(INDEX(ci_leitos_internacao!$C:$C, MATCH(1, (VALUE(LEFT(ci_leitos_internacao!$A:$A,6))=VALUE(LEFT(B102,6)))*(ci_leitos_internacao!$B:$B=C102), 0)), "")</f>
        <v>3018</v>
      </c>
      <c r="I102" cm="1">
        <f t="array" aca="1" ref="I102" ca="1">IFERROR(INDEX(ci_hospitais_internacao!$C:$C, MATCH(1, (VALUE(LEFT(ci_hospitais_internacao!$A:$A,6))=VALUE(LEFT(B102,6)))*(ci_hospitais_internacao!$B:$B=C102), 0)), "")</f>
        <v>10</v>
      </c>
      <c r="J102" t="str" cm="1">
        <f t="array" aca="1" ref="J102" ca="1">IFERROR(INDEX(ci_pa_clinico!$C:$C, MATCH(1, (VALUE(LEFT(ci_pa_clinico!$A:$A,6))=VALUE(LEFT(B102,6)))*(ci_pa_clinico!$B:$B=C102), 0)), "")</f>
        <v/>
      </c>
      <c r="K102" cm="1">
        <f t="array" aca="1" ref="K102" ca="1">IFERROR(INDEX(aps_equipes_esf!$C:$C, MATCH(1, (VALUE(LEFT(aps_equipes_esf!$A:$A,6))=VALUE(LEFT(B102,6)))*(aps_equipes_esf!$B:$B=C102), 0)), "")</f>
        <v>33</v>
      </c>
      <c r="L102" cm="1">
        <f t="array" aca="1" ref="L102" ca="1">IFERROR(INDEX(casos!$C:$C, MATCH(1, (VALUE(LEFT(casos!$A:$A,6))=VALUE(LEFT(B102,6)))*(casos!$B:$B=C102), 0)), "")</f>
        <v>15359</v>
      </c>
      <c r="M102" cm="1">
        <f t="array" ref="M102">IFERROR(INDEX(srag!$D:$D, MATCH(1, (VALUE(LEFT(srag!$A:$A,6))=VALUE(LEFT(B102,6)))*(srag!$C:$C=C102), 0)), "")</f>
        <v>187</v>
      </c>
      <c r="N102" cm="1">
        <f t="array" ref="N102">IFERROR(INDEX(fesp!$E:$E, MATCH(1, (VALUE(LEFT(fesp!$A:$A,6))=VALUE(LEFT(B102,6)))*(fesp!$C:$C=C102), 0)), "")</f>
        <v>355</v>
      </c>
      <c r="O102" cm="1">
        <f t="array" ref="O102">IFERROR(INDEX(fesp!$F:$F, MATCH(1, (VALUE(LEFT(fesp!$A:$A,6))=VALUE(LEFT(B102,6)))*(fesp!$C:$C=C102), 0)), "")</f>
        <v>8830</v>
      </c>
      <c r="P102" cm="1">
        <f t="array" ref="P102">IFERROR(INDEX(fesp!$G:$G, MATCH(1, (VALUE(LEFT(fesp!$A:$A,6))=VALUE(LEFT(B102,6)))*(fesp!$C:$C=C102), 0)), "")</f>
        <v>4801044</v>
      </c>
      <c r="Q102" cm="1">
        <f t="array" ref="Q102">IFERROR(INDEX(fesp!$H:$H, MATCH(1, (VALUE(LEFT(fesp!$A:$A,6))=VALUE(LEFT(B102,6)))*(fesp!$C:$C=C102), 0)), "")</f>
        <v>45</v>
      </c>
      <c r="R102" cm="1">
        <f t="array" ref="R102">IFERROR(INDEX(fesp!$I:$I, MATCH(1, (VALUE(LEFT(fesp!$A:$A,6))=VALUE(LEFT(B102,6)))*(fesp!$C:$C=C102), 0)), "")</f>
        <v>14106</v>
      </c>
      <c r="S102" cm="1">
        <f t="array" ref="S102">IFERROR(INDEX(fesp!$J:$J, MATCH(1, (VALUE(LEFT(fesp!$A:$A,6))=VALUE(LEFT(B102,6)))*(fesp!$C:$C=C102), 0)), "")</f>
        <v>227376</v>
      </c>
    </row>
    <row r="103" spans="1:19">
      <c r="A103" s="1" t="s">
        <v>47</v>
      </c>
      <c r="B103" s="3">
        <v>2408102</v>
      </c>
      <c r="C103" s="3">
        <v>2017</v>
      </c>
      <c r="D103" cm="1">
        <f t="array" ref="D103">IFERROR(INDEX(fesp!$D:$D, MATCH(1, (VALUE(LEFT(fesp!$A:$A,6))=VALUE(LEFT(B103,6)))*(fesp!$C:$C=C103), 0)), "")</f>
        <v>0</v>
      </c>
      <c r="E103" cm="1">
        <f t="array" aca="1" ref="E103" ca="1">IFERROR(INDEX(ft_medicos_clinicos!$C:$C, MATCH(1, (VALUE(LEFT(ft_medicos_clinicos!$A:$A,6))=VALUE(LEFT(B103,6)))*(ft_medicos_clinicos!$B:$B=C103), 0)), "")</f>
        <v>379</v>
      </c>
      <c r="F103" cm="1">
        <f t="array" aca="1" ref="F103" ca="1">IFERROR(INDEX(ft_enfermeiros!$C:$C, MATCH(1, (VALUE(LEFT(ft_enfermeiros!$A:$A,6))=VALUE(LEFT(B103,6)))*(ft_enfermeiros!$B:$B=C103), 0)), "")</f>
        <v>957</v>
      </c>
      <c r="G103" t="str" cm="1">
        <f t="array" aca="1" ref="G103" ca="1">IFERROR(INDEX(ft_equipes_acs!$C:$C, MATCH(1, (VALUE(LEFT(ft_equipes_acs!$A:$A,6))=VALUE(LEFT(B103,6)))*(ft_equipes_acs!$B:$B=C103), 0)), "")</f>
        <v/>
      </c>
      <c r="H103" cm="1">
        <f t="array" aca="1" ref="H103" ca="1">IFERROR(INDEX(ci_leitos_internacao!$C:$C, MATCH(1, (VALUE(LEFT(ci_leitos_internacao!$A:$A,6))=VALUE(LEFT(B103,6)))*(ci_leitos_internacao!$B:$B=C103), 0)), "")</f>
        <v>3150</v>
      </c>
      <c r="I103" cm="1">
        <f t="array" aca="1" ref="I103" ca="1">IFERROR(INDEX(ci_hospitais_internacao!$C:$C, MATCH(1, (VALUE(LEFT(ci_hospitais_internacao!$A:$A,6))=VALUE(LEFT(B103,6)))*(ci_hospitais_internacao!$B:$B=C103), 0)), "")</f>
        <v>8</v>
      </c>
      <c r="J103" t="str" cm="1">
        <f t="array" aca="1" ref="J103" ca="1">IFERROR(INDEX(ci_pa_clinico!$C:$C, MATCH(1, (VALUE(LEFT(ci_pa_clinico!$A:$A,6))=VALUE(LEFT(B103,6)))*(ci_pa_clinico!$B:$B=C103), 0)), "")</f>
        <v/>
      </c>
      <c r="K103" cm="1">
        <f t="array" aca="1" ref="K103" ca="1">IFERROR(INDEX(aps_equipes_esf!$C:$C, MATCH(1, (VALUE(LEFT(aps_equipes_esf!$A:$A,6))=VALUE(LEFT(B103,6)))*(aps_equipes_esf!$B:$B=C103), 0)), "")</f>
        <v>47</v>
      </c>
      <c r="L103" cm="1">
        <f t="array" aca="1" ref="L103" ca="1">IFERROR(INDEX(casos!$C:$C, MATCH(1, (VALUE(LEFT(casos!$A:$A,6))=VALUE(LEFT(B103,6)))*(casos!$B:$B=C103), 0)), "")</f>
        <v>4179</v>
      </c>
      <c r="M103" cm="1">
        <f t="array" ref="M103">IFERROR(INDEX(srag!$D:$D, MATCH(1, (VALUE(LEFT(srag!$A:$A,6))=VALUE(LEFT(B103,6)))*(srag!$C:$C=C103), 0)), "")</f>
        <v>95</v>
      </c>
      <c r="N103" cm="1">
        <f t="array" ref="N103">IFERROR(INDEX(fesp!$E:$E, MATCH(1, (VALUE(LEFT(fesp!$A:$A,6))=VALUE(LEFT(B103,6)))*(fesp!$C:$C=C103), 0)), "")</f>
        <v>343</v>
      </c>
      <c r="O103" cm="1">
        <f t="array" ref="O103">IFERROR(INDEX(fesp!$F:$F, MATCH(1, (VALUE(LEFT(fesp!$A:$A,6))=VALUE(LEFT(B103,6)))*(fesp!$C:$C=C103), 0)), "")</f>
        <v>8937</v>
      </c>
      <c r="P103" cm="1">
        <f t="array" ref="P103">IFERROR(INDEX(fesp!$G:$G, MATCH(1, (VALUE(LEFT(fesp!$A:$A,6))=VALUE(LEFT(B103,6)))*(fesp!$C:$C=C103), 0)), "")</f>
        <v>4996988</v>
      </c>
      <c r="Q103" cm="1">
        <f t="array" ref="Q103">IFERROR(INDEX(fesp!$H:$H, MATCH(1, (VALUE(LEFT(fesp!$A:$A,6))=VALUE(LEFT(B103,6)))*(fesp!$C:$C=C103), 0)), "")</f>
        <v>35</v>
      </c>
      <c r="R103" cm="1">
        <f t="array" ref="R103">IFERROR(INDEX(fesp!$I:$I, MATCH(1, (VALUE(LEFT(fesp!$A:$A,6))=VALUE(LEFT(B103,6)))*(fesp!$C:$C=C103), 0)), "")</f>
        <v>15885</v>
      </c>
      <c r="S103" cm="1">
        <f t="array" ref="S103">IFERROR(INDEX(fesp!$J:$J, MATCH(1, (VALUE(LEFT(fesp!$A:$A,6))=VALUE(LEFT(B103,6)))*(fesp!$C:$C=C103), 0)), "")</f>
        <v>162607</v>
      </c>
    </row>
    <row r="104" spans="1:19">
      <c r="A104" s="1" t="s">
        <v>47</v>
      </c>
      <c r="B104" s="3" t="s">
        <v>46</v>
      </c>
      <c r="C104" s="3">
        <v>2018</v>
      </c>
      <c r="D104" cm="1">
        <f t="array" ref="D104">IFERROR(INDEX(fesp!$D:$D, MATCH(1, (VALUE(LEFT(fesp!$A:$A,6))=VALUE(LEFT(B104,6)))*(fesp!$C:$C=C104), 0)), "")</f>
        <v>0</v>
      </c>
      <c r="E104" cm="1">
        <f t="array" aca="1" ref="E104" ca="1">IFERROR(INDEX(ft_medicos_clinicos!$C:$C, MATCH(1, (VALUE(LEFT(ft_medicos_clinicos!$A:$A,6))=VALUE(LEFT(B104,6)))*(ft_medicos_clinicos!$B:$B=C104), 0)), "")</f>
        <v>418</v>
      </c>
      <c r="F104" cm="1">
        <f t="array" aca="1" ref="F104" ca="1">IFERROR(INDEX(ft_enfermeiros!$C:$C, MATCH(1, (VALUE(LEFT(ft_enfermeiros!$A:$A,6))=VALUE(LEFT(B104,6)))*(ft_enfermeiros!$B:$B=C104), 0)), "")</f>
        <v>1071</v>
      </c>
      <c r="G104" t="str" cm="1">
        <f t="array" aca="1" ref="G104" ca="1">IFERROR(INDEX(ft_equipes_acs!$C:$C, MATCH(1, (VALUE(LEFT(ft_equipes_acs!$A:$A,6))=VALUE(LEFT(B104,6)))*(ft_equipes_acs!$B:$B=C104), 0)), "")</f>
        <v/>
      </c>
      <c r="H104" cm="1">
        <f t="array" aca="1" ref="H104" ca="1">IFERROR(INDEX(ci_leitos_internacao!$C:$C, MATCH(1, (VALUE(LEFT(ci_leitos_internacao!$A:$A,6))=VALUE(LEFT(B104,6)))*(ci_leitos_internacao!$B:$B=C104), 0)), "")</f>
        <v>2933</v>
      </c>
      <c r="I104" cm="1">
        <f t="array" aca="1" ref="I104" ca="1">IFERROR(INDEX(ci_hospitais_internacao!$C:$C, MATCH(1, (VALUE(LEFT(ci_hospitais_internacao!$A:$A,6))=VALUE(LEFT(B104,6)))*(ci_hospitais_internacao!$B:$B=C104), 0)), "")</f>
        <v>8</v>
      </c>
      <c r="J104" t="str" cm="1">
        <f t="array" aca="1" ref="J104" ca="1">IFERROR(INDEX(ci_pa_clinico!$C:$C, MATCH(1, (VALUE(LEFT(ci_pa_clinico!$A:$A,6))=VALUE(LEFT(B104,6)))*(ci_pa_clinico!$B:$B=C104), 0)), "")</f>
        <v/>
      </c>
      <c r="K104" cm="1">
        <f t="array" aca="1" ref="K104" ca="1">IFERROR(INDEX(aps_equipes_esf!$C:$C, MATCH(1, (VALUE(LEFT(aps_equipes_esf!$A:$A,6))=VALUE(LEFT(B104,6)))*(aps_equipes_esf!$B:$B=C104), 0)), "")</f>
        <v>50</v>
      </c>
      <c r="L104" cm="1">
        <f t="array" aca="1" ref="L104" ca="1">IFERROR(INDEX(casos!$C:$C, MATCH(1, (VALUE(LEFT(casos!$A:$A,6))=VALUE(LEFT(B104,6)))*(casos!$B:$B=C104), 0)), "")</f>
        <v>14954</v>
      </c>
      <c r="M104" cm="1">
        <f t="array" ref="M104">IFERROR(INDEX(srag!$D:$D, MATCH(1, (VALUE(LEFT(srag!$A:$A,6))=VALUE(LEFT(B104,6)))*(srag!$C:$C=C104), 0)), "")</f>
        <v>134</v>
      </c>
      <c r="N104" cm="1">
        <f t="array" ref="N104">IFERROR(INDEX(fesp!$E:$E, MATCH(1, (VALUE(LEFT(fesp!$A:$A,6))=VALUE(LEFT(B104,6)))*(fesp!$C:$C=C104), 0)), "")</f>
        <v>308</v>
      </c>
      <c r="O104" cm="1">
        <f t="array" ref="O104">IFERROR(INDEX(fesp!$F:$F, MATCH(1, (VALUE(LEFT(fesp!$A:$A,6))=VALUE(LEFT(B104,6)))*(fesp!$C:$C=C104), 0)), "")</f>
        <v>9764</v>
      </c>
      <c r="P104" cm="1">
        <f t="array" ref="P104">IFERROR(INDEX(fesp!$G:$G, MATCH(1, (VALUE(LEFT(fesp!$A:$A,6))=VALUE(LEFT(B104,6)))*(fesp!$C:$C=C104), 0)), "")</f>
        <v>5194998</v>
      </c>
      <c r="Q104" cm="1">
        <f t="array" ref="Q104">IFERROR(INDEX(fesp!$H:$H, MATCH(1, (VALUE(LEFT(fesp!$A:$A,6))=VALUE(LEFT(B104,6)))*(fesp!$C:$C=C104), 0)), "")</f>
        <v>31</v>
      </c>
      <c r="R104" cm="1">
        <f t="array" ref="R104">IFERROR(INDEX(fesp!$I:$I, MATCH(1, (VALUE(LEFT(fesp!$A:$A,6))=VALUE(LEFT(B104,6)))*(fesp!$C:$C=C104), 0)), "")</f>
        <v>9147</v>
      </c>
      <c r="S104" cm="1">
        <f t="array" ref="S104">IFERROR(INDEX(fesp!$J:$J, MATCH(1, (VALUE(LEFT(fesp!$A:$A,6))=VALUE(LEFT(B104,6)))*(fesp!$C:$C=C104), 0)), "")</f>
        <v>111658</v>
      </c>
    </row>
    <row r="105" spans="1:19">
      <c r="A105" s="1" t="s">
        <v>47</v>
      </c>
      <c r="B105" s="3" t="s">
        <v>46</v>
      </c>
      <c r="C105" s="3">
        <v>2019</v>
      </c>
      <c r="D105" cm="1">
        <f t="array" ref="D105">IFERROR(INDEX(fesp!$D:$D, MATCH(1, (VALUE(LEFT(fesp!$A:$A,6))=VALUE(LEFT(B105,6)))*(fesp!$C:$C=C105), 0)), "")</f>
        <v>0</v>
      </c>
      <c r="E105" cm="1">
        <f t="array" aca="1" ref="E105" ca="1">IFERROR(INDEX(ft_medicos_clinicos!$C:$C, MATCH(1, (VALUE(LEFT(ft_medicos_clinicos!$A:$A,6))=VALUE(LEFT(B105,6)))*(ft_medicos_clinicos!$B:$B=C105), 0)), "")</f>
        <v>532</v>
      </c>
      <c r="F105" cm="1">
        <f t="array" aca="1" ref="F105" ca="1">IFERROR(INDEX(ft_enfermeiros!$C:$C, MATCH(1, (VALUE(LEFT(ft_enfermeiros!$A:$A,6))=VALUE(LEFT(B105,6)))*(ft_enfermeiros!$B:$B=C105), 0)), "")</f>
        <v>1177</v>
      </c>
      <c r="G105" t="str" cm="1">
        <f t="array" aca="1" ref="G105" ca="1">IFERROR(INDEX(ft_equipes_acs!$C:$C, MATCH(1, (VALUE(LEFT(ft_equipes_acs!$A:$A,6))=VALUE(LEFT(B105,6)))*(ft_equipes_acs!$B:$B=C105), 0)), "")</f>
        <v/>
      </c>
      <c r="H105" cm="1">
        <f t="array" aca="1" ref="H105" ca="1">IFERROR(INDEX(ci_leitos_internacao!$C:$C, MATCH(1, (VALUE(LEFT(ci_leitos_internacao!$A:$A,6))=VALUE(LEFT(B105,6)))*(ci_leitos_internacao!$B:$B=C105), 0)), "")</f>
        <v>3132</v>
      </c>
      <c r="I105" cm="1">
        <f t="array" aca="1" ref="I105" ca="1">IFERROR(INDEX(ci_hospitais_internacao!$C:$C, MATCH(1, (VALUE(LEFT(ci_hospitais_internacao!$A:$A,6))=VALUE(LEFT(B105,6)))*(ci_hospitais_internacao!$B:$B=C105), 0)), "")</f>
        <v>10</v>
      </c>
      <c r="J105" t="str" cm="1">
        <f t="array" aca="1" ref="J105" ca="1">IFERROR(INDEX(ci_pa_clinico!$C:$C, MATCH(1, (VALUE(LEFT(ci_pa_clinico!$A:$A,6))=VALUE(LEFT(B105,6)))*(ci_pa_clinico!$B:$B=C105), 0)), "")</f>
        <v/>
      </c>
      <c r="K105" cm="1">
        <f t="array" aca="1" ref="K105" ca="1">IFERROR(INDEX(aps_equipes_esf!$C:$C, MATCH(1, (VALUE(LEFT(aps_equipes_esf!$A:$A,6))=VALUE(LEFT(B105,6)))*(aps_equipes_esf!$B:$B=C105), 0)), "")</f>
        <v>53</v>
      </c>
      <c r="L105" cm="1">
        <f t="array" aca="1" ref="L105" ca="1">IFERROR(INDEX(casos!$C:$C, MATCH(1, (VALUE(LEFT(casos!$A:$A,6))=VALUE(LEFT(B105,6)))*(casos!$B:$B=C105), 0)), "")</f>
        <v>18188</v>
      </c>
      <c r="M105" cm="1">
        <f t="array" ref="M105">IFERROR(INDEX(srag!$D:$D, MATCH(1, (VALUE(LEFT(srag!$A:$A,6))=VALUE(LEFT(B105,6)))*(srag!$C:$C=C105), 0)), "")</f>
        <v>111</v>
      </c>
      <c r="N105" cm="1">
        <f t="array" ref="N105">IFERROR(INDEX(fesp!$E:$E, MATCH(1, (VALUE(LEFT(fesp!$A:$A,6))=VALUE(LEFT(B105,6)))*(fesp!$C:$C=C105), 0)), "")</f>
        <v>222</v>
      </c>
      <c r="O105" cm="1">
        <f t="array" ref="O105">IFERROR(INDEX(fesp!$F:$F, MATCH(1, (VALUE(LEFT(fesp!$A:$A,6))=VALUE(LEFT(B105,6)))*(fesp!$C:$C=C105), 0)), "")</f>
        <v>9884</v>
      </c>
      <c r="P105" cm="1">
        <f t="array" ref="P105">IFERROR(INDEX(fesp!$G:$G, MATCH(1, (VALUE(LEFT(fesp!$A:$A,6))=VALUE(LEFT(B105,6)))*(fesp!$C:$C=C105), 0)), "")</f>
        <v>4896047</v>
      </c>
      <c r="Q105" cm="1">
        <f t="array" ref="Q105">IFERROR(INDEX(fesp!$H:$H, MATCH(1, (VALUE(LEFT(fesp!$A:$A,6))=VALUE(LEFT(B105,6)))*(fesp!$C:$C=C105), 0)), "")</f>
        <v>28</v>
      </c>
      <c r="R105" cm="1">
        <f t="array" ref="R105">IFERROR(INDEX(fesp!$I:$I, MATCH(1, (VALUE(LEFT(fesp!$A:$A,6))=VALUE(LEFT(B105,6)))*(fesp!$C:$C=C105), 0)), "")</f>
        <v>7193</v>
      </c>
      <c r="S105" cm="1">
        <f t="array" ref="S105">IFERROR(INDEX(fesp!$J:$J, MATCH(1, (VALUE(LEFT(fesp!$A:$A,6))=VALUE(LEFT(B105,6)))*(fesp!$C:$C=C105), 0)), "")</f>
        <v>103502</v>
      </c>
    </row>
    <row r="106" spans="1:19">
      <c r="A106" s="1" t="s">
        <v>47</v>
      </c>
      <c r="B106" s="3" t="s">
        <v>46</v>
      </c>
      <c r="C106" s="3">
        <v>2020</v>
      </c>
      <c r="D106" cm="1">
        <f t="array" ref="D106">IFERROR(INDEX(fesp!$D:$D, MATCH(1, (VALUE(LEFT(fesp!$A:$A,6))=VALUE(LEFT(B106,6)))*(fesp!$C:$C=C106), 0)), "")</f>
        <v>0</v>
      </c>
      <c r="E106" cm="1">
        <f t="array" aca="1" ref="E106" ca="1">IFERROR(INDEX(ft_medicos_clinicos!$C:$C, MATCH(1, (VALUE(LEFT(ft_medicos_clinicos!$A:$A,6))=VALUE(LEFT(B106,6)))*(ft_medicos_clinicos!$B:$B=C106), 0)), "")</f>
        <v>650</v>
      </c>
      <c r="F106" cm="1">
        <f t="array" aca="1" ref="F106" ca="1">IFERROR(INDEX(ft_enfermeiros!$C:$C, MATCH(1, (VALUE(LEFT(ft_enfermeiros!$A:$A,6))=VALUE(LEFT(B106,6)))*(ft_enfermeiros!$B:$B=C106), 0)), "")</f>
        <v>1199</v>
      </c>
      <c r="G106" t="str" cm="1">
        <f t="array" aca="1" ref="G106" ca="1">IFERROR(INDEX(ft_equipes_acs!$C:$C, MATCH(1, (VALUE(LEFT(ft_equipes_acs!$A:$A,6))=VALUE(LEFT(B106,6)))*(ft_equipes_acs!$B:$B=C106), 0)), "")</f>
        <v/>
      </c>
      <c r="H106" cm="1">
        <f t="array" aca="1" ref="H106" ca="1">IFERROR(INDEX(ci_leitos_internacao!$C:$C, MATCH(1, (VALUE(LEFT(ci_leitos_internacao!$A:$A,6))=VALUE(LEFT(B106,6)))*(ci_leitos_internacao!$B:$B=C106), 0)), "")</f>
        <v>3373</v>
      </c>
      <c r="I106" cm="1">
        <f t="array" aca="1" ref="I106" ca="1">IFERROR(INDEX(ci_hospitais_internacao!$C:$C, MATCH(1, (VALUE(LEFT(ci_hospitais_internacao!$A:$A,6))=VALUE(LEFT(B106,6)))*(ci_hospitais_internacao!$B:$B=C106), 0)), "")</f>
        <v>11</v>
      </c>
      <c r="J106" t="str" cm="1">
        <f t="array" aca="1" ref="J106" ca="1">IFERROR(INDEX(ci_pa_clinico!$C:$C, MATCH(1, (VALUE(LEFT(ci_pa_clinico!$A:$A,6))=VALUE(LEFT(B106,6)))*(ci_pa_clinico!$B:$B=C106), 0)), "")</f>
        <v/>
      </c>
      <c r="K106" t="str" cm="1">
        <f t="array" aca="1" ref="K106" ca="1">IFERROR(INDEX(aps_equipes_esf!$C:$C, MATCH(1, (VALUE(LEFT(aps_equipes_esf!$A:$A,6))=VALUE(LEFT(B106,6)))*(aps_equipes_esf!$B:$B=C106), 0)), "")</f>
        <v>-</v>
      </c>
      <c r="L106" cm="1">
        <f t="array" aca="1" ref="L106" ca="1">IFERROR(INDEX(casos!$C:$C, MATCH(1, (VALUE(LEFT(casos!$A:$A,6))=VALUE(LEFT(B106,6)))*(casos!$B:$B=C106), 0)), "")</f>
        <v>1371</v>
      </c>
      <c r="M106" cm="1">
        <f t="array" ref="M106">IFERROR(INDEX(srag!$D:$D, MATCH(1, (VALUE(LEFT(srag!$A:$A,6))=VALUE(LEFT(B106,6)))*(srag!$C:$C=C106), 0)), "")</f>
        <v>5186</v>
      </c>
      <c r="N106" cm="1">
        <f t="array" ref="N106">IFERROR(INDEX(fesp!$E:$E, MATCH(1, (VALUE(LEFT(fesp!$A:$A,6))=VALUE(LEFT(B106,6)))*(fesp!$C:$C=C106), 0)), "")</f>
        <v>307</v>
      </c>
      <c r="O106" cm="1">
        <f t="array" ref="O106">IFERROR(INDEX(fesp!$F:$F, MATCH(1, (VALUE(LEFT(fesp!$A:$A,6))=VALUE(LEFT(B106,6)))*(fesp!$C:$C=C106), 0)), "")</f>
        <v>7503</v>
      </c>
      <c r="P106" cm="1">
        <f t="array" ref="P106">IFERROR(INDEX(fesp!$G:$G, MATCH(1, (VALUE(LEFT(fesp!$A:$A,6))=VALUE(LEFT(B106,6)))*(fesp!$C:$C=C106), 0)), "")</f>
        <v>4454395</v>
      </c>
      <c r="Q106" cm="1">
        <f t="array" ref="Q106">IFERROR(INDEX(fesp!$H:$H, MATCH(1, (VALUE(LEFT(fesp!$A:$A,6))=VALUE(LEFT(B106,6)))*(fesp!$C:$C=C106), 0)), "")</f>
        <v>21</v>
      </c>
      <c r="R106" cm="1">
        <f t="array" ref="R106">IFERROR(INDEX(fesp!$I:$I, MATCH(1, (VALUE(LEFT(fesp!$A:$A,6))=VALUE(LEFT(B106,6)))*(fesp!$C:$C=C106), 0)), "")</f>
        <v>107693</v>
      </c>
      <c r="S106" cm="1">
        <f t="array" ref="S106">IFERROR(INDEX(fesp!$J:$J, MATCH(1, (VALUE(LEFT(fesp!$A:$A,6))=VALUE(LEFT(B106,6)))*(fesp!$C:$C=C106), 0)), "")</f>
        <v>48433</v>
      </c>
    </row>
    <row r="107" spans="1:19">
      <c r="A107" s="1" t="s">
        <v>47</v>
      </c>
      <c r="B107" s="3" t="s">
        <v>46</v>
      </c>
      <c r="C107" s="3">
        <v>2021</v>
      </c>
      <c r="D107" cm="1">
        <f t="array" ref="D107">IFERROR(INDEX(fesp!$D:$D, MATCH(1, (VALUE(LEFT(fesp!$A:$A,6))=VALUE(LEFT(B107,6)))*(fesp!$C:$C=C107), 0)), "")</f>
        <v>0</v>
      </c>
      <c r="E107" cm="1">
        <f t="array" aca="1" ref="E107" ca="1">IFERROR(INDEX(ft_medicos_clinicos!$C:$C, MATCH(1, (VALUE(LEFT(ft_medicos_clinicos!$A:$A,6))=VALUE(LEFT(B107,6)))*(ft_medicos_clinicos!$B:$B=C107), 0)), "")</f>
        <v>938</v>
      </c>
      <c r="F107" cm="1">
        <f t="array" aca="1" ref="F107" ca="1">IFERROR(INDEX(ft_enfermeiros!$C:$C, MATCH(1, (VALUE(LEFT(ft_enfermeiros!$A:$A,6))=VALUE(LEFT(B107,6)))*(ft_enfermeiros!$B:$B=C107), 0)), "")</f>
        <v>1518</v>
      </c>
      <c r="G107" t="str" cm="1">
        <f t="array" aca="1" ref="G107" ca="1">IFERROR(INDEX(ft_equipes_acs!$C:$C, MATCH(1, (VALUE(LEFT(ft_equipes_acs!$A:$A,6))=VALUE(LEFT(B107,6)))*(ft_equipes_acs!$B:$B=C107), 0)), "")</f>
        <v/>
      </c>
      <c r="H107" cm="1">
        <f t="array" aca="1" ref="H107" ca="1">IFERROR(INDEX(ci_leitos_internacao!$C:$C, MATCH(1, (VALUE(LEFT(ci_leitos_internacao!$A:$A,6))=VALUE(LEFT(B107,6)))*(ci_leitos_internacao!$B:$B=C107), 0)), "")</f>
        <v>3431</v>
      </c>
      <c r="I107" cm="1">
        <f t="array" aca="1" ref="I107" ca="1">IFERROR(INDEX(ci_hospitais_internacao!$C:$C, MATCH(1, (VALUE(LEFT(ci_hospitais_internacao!$A:$A,6))=VALUE(LEFT(B107,6)))*(ci_hospitais_internacao!$B:$B=C107), 0)), "")</f>
        <v>12</v>
      </c>
      <c r="J107" t="str" cm="1">
        <f t="array" aca="1" ref="J107" ca="1">IFERROR(INDEX(ci_pa_clinico!$C:$C, MATCH(1, (VALUE(LEFT(ci_pa_clinico!$A:$A,6))=VALUE(LEFT(B107,6)))*(ci_pa_clinico!$B:$B=C107), 0)), "")</f>
        <v/>
      </c>
      <c r="K107" t="str" cm="1">
        <f t="array" aca="1" ref="K107" ca="1">IFERROR(INDEX(aps_equipes_esf!$C:$C, MATCH(1, (VALUE(LEFT(aps_equipes_esf!$A:$A,6))=VALUE(LEFT(B107,6)))*(aps_equipes_esf!$B:$B=C107), 0)), "")</f>
        <v>-</v>
      </c>
      <c r="L107" cm="1">
        <f t="array" aca="1" ref="L107" ca="1">IFERROR(INDEX(casos!$C:$C, MATCH(1, (VALUE(LEFT(casos!$A:$A,6))=VALUE(LEFT(B107,6)))*(casos!$B:$B=C107), 0)), "")</f>
        <v>1394</v>
      </c>
      <c r="M107" cm="1">
        <f t="array" ref="M107">IFERROR(INDEX(srag!$D:$D, MATCH(1, (VALUE(LEFT(srag!$A:$A,6))=VALUE(LEFT(B107,6)))*(srag!$C:$C=C107), 0)), "")</f>
        <v>6606</v>
      </c>
      <c r="N107" cm="1">
        <f t="array" ref="N107">IFERROR(INDEX(fesp!$E:$E, MATCH(1, (VALUE(LEFT(fesp!$A:$A,6))=VALUE(LEFT(B107,6)))*(fesp!$C:$C=C107), 0)), "")</f>
        <v>241</v>
      </c>
      <c r="O107" cm="1">
        <f t="array" ref="O107">IFERROR(INDEX(fesp!$F:$F, MATCH(1, (VALUE(LEFT(fesp!$A:$A,6))=VALUE(LEFT(B107,6)))*(fesp!$C:$C=C107), 0)), "")</f>
        <v>11034</v>
      </c>
      <c r="P107" cm="1">
        <f t="array" ref="P107">IFERROR(INDEX(fesp!$G:$G, MATCH(1, (VALUE(LEFT(fesp!$A:$A,6))=VALUE(LEFT(B107,6)))*(fesp!$C:$C=C107), 0)), "")</f>
        <v>6520280</v>
      </c>
      <c r="Q107" cm="1">
        <f t="array" ref="Q107">IFERROR(INDEX(fesp!$H:$H, MATCH(1, (VALUE(LEFT(fesp!$A:$A,6))=VALUE(LEFT(B107,6)))*(fesp!$C:$C=C107), 0)), "")</f>
        <v>19</v>
      </c>
      <c r="R107" cm="1">
        <f t="array" ref="R107">IFERROR(INDEX(fesp!$I:$I, MATCH(1, (VALUE(LEFT(fesp!$A:$A,6))=VALUE(LEFT(B107,6)))*(fesp!$C:$C=C107), 0)), "")</f>
        <v>105946</v>
      </c>
      <c r="S107" cm="1">
        <f t="array" ref="S107">IFERROR(INDEX(fesp!$J:$J, MATCH(1, (VALUE(LEFT(fesp!$A:$A,6))=VALUE(LEFT(B107,6)))*(fesp!$C:$C=C107), 0)), "")</f>
        <v>53678</v>
      </c>
    </row>
    <row r="108" spans="1:19">
      <c r="A108" s="1" t="s">
        <v>47</v>
      </c>
      <c r="B108" s="3" t="s">
        <v>46</v>
      </c>
      <c r="C108" s="3">
        <v>2022</v>
      </c>
      <c r="D108" cm="1">
        <f t="array" ref="D108">IFERROR(INDEX(fesp!$D:$D, MATCH(1, (VALUE(LEFT(fesp!$A:$A,6))=VALUE(LEFT(B108,6)))*(fesp!$C:$C=C108), 0)), "")</f>
        <v>751300</v>
      </c>
      <c r="E108" cm="1">
        <f t="array" aca="1" ref="E108" ca="1">IFERROR(INDEX(ft_medicos_clinicos!$C:$C, MATCH(1, (VALUE(LEFT(ft_medicos_clinicos!$A:$A,6))=VALUE(LEFT(B108,6)))*(ft_medicos_clinicos!$B:$B=C108), 0)), "")</f>
        <v>973</v>
      </c>
      <c r="F108" cm="1">
        <f t="array" aca="1" ref="F108" ca="1">IFERROR(INDEX(ft_enfermeiros!$C:$C, MATCH(1, (VALUE(LEFT(ft_enfermeiros!$A:$A,6))=VALUE(LEFT(B108,6)))*(ft_enfermeiros!$B:$B=C108), 0)), "")</f>
        <v>1567</v>
      </c>
      <c r="G108" t="str" cm="1">
        <f t="array" aca="1" ref="G108" ca="1">IFERROR(INDEX(ft_equipes_acs!$C:$C, MATCH(1, (VALUE(LEFT(ft_equipes_acs!$A:$A,6))=VALUE(LEFT(B108,6)))*(ft_equipes_acs!$B:$B=C108), 0)), "")</f>
        <v/>
      </c>
      <c r="H108" cm="1">
        <f t="array" aca="1" ref="H108" ca="1">IFERROR(INDEX(ci_leitos_internacao!$C:$C, MATCH(1, (VALUE(LEFT(ci_leitos_internacao!$A:$A,6))=VALUE(LEFT(B108,6)))*(ci_leitos_internacao!$B:$B=C108), 0)), "")</f>
        <v>3555</v>
      </c>
      <c r="I108" cm="1">
        <f t="array" aca="1" ref="I108" ca="1">IFERROR(INDEX(ci_hospitais_internacao!$C:$C, MATCH(1, (VALUE(LEFT(ci_hospitais_internacao!$A:$A,6))=VALUE(LEFT(B108,6)))*(ci_hospitais_internacao!$B:$B=C108), 0)), "")</f>
        <v>12</v>
      </c>
      <c r="J108" t="str" cm="1">
        <f t="array" aca="1" ref="J108" ca="1">IFERROR(INDEX(ci_pa_clinico!$C:$C, MATCH(1, (VALUE(LEFT(ci_pa_clinico!$A:$A,6))=VALUE(LEFT(B108,6)))*(ci_pa_clinico!$B:$B=C108), 0)), "")</f>
        <v/>
      </c>
      <c r="K108" t="str" cm="1">
        <f t="array" aca="1" ref="K108" ca="1">IFERROR(INDEX(aps_equipes_esf!$C:$C, MATCH(1, (VALUE(LEFT(aps_equipes_esf!$A:$A,6))=VALUE(LEFT(B108,6)))*(aps_equipes_esf!$B:$B=C108), 0)), "")</f>
        <v>-</v>
      </c>
      <c r="L108" cm="1">
        <f t="array" aca="1" ref="L108" ca="1">IFERROR(INDEX(casos!$C:$C, MATCH(1, (VALUE(LEFT(casos!$A:$A,6))=VALUE(LEFT(B108,6)))*(casos!$B:$B=C108), 0)), "")</f>
        <v>19005</v>
      </c>
      <c r="M108" cm="1">
        <f t="array" ref="M108">IFERROR(INDEX(srag!$D:$D, MATCH(1, (VALUE(LEFT(srag!$A:$A,6))=VALUE(LEFT(B108,6)))*(srag!$C:$C=C108), 0)), "")</f>
        <v>1931</v>
      </c>
      <c r="N108" cm="1">
        <f t="array" ref="N108">IFERROR(INDEX(fesp!$E:$E, MATCH(1, (VALUE(LEFT(fesp!$A:$A,6))=VALUE(LEFT(B108,6)))*(fesp!$C:$C=C108), 0)), "")</f>
        <v>227</v>
      </c>
      <c r="O108" cm="1">
        <f t="array" ref="O108">IFERROR(INDEX(fesp!$F:$F, MATCH(1, (VALUE(LEFT(fesp!$A:$A,6))=VALUE(LEFT(B108,6)))*(fesp!$C:$C=C108), 0)), "")</f>
        <v>11384</v>
      </c>
      <c r="P108" cm="1">
        <f t="array" ref="P108">IFERROR(INDEX(fesp!$G:$G, MATCH(1, (VALUE(LEFT(fesp!$A:$A,6))=VALUE(LEFT(B108,6)))*(fesp!$C:$C=C108), 0)), "")</f>
        <v>6313597</v>
      </c>
      <c r="Q108" cm="1">
        <f t="array" ref="Q108">IFERROR(INDEX(fesp!$H:$H, MATCH(1, (VALUE(LEFT(fesp!$A:$A,6))=VALUE(LEFT(B108,6)))*(fesp!$C:$C=C108), 0)), "")</f>
        <v>11</v>
      </c>
      <c r="R108" cm="1">
        <f t="array" ref="R108">IFERROR(INDEX(fesp!$I:$I, MATCH(1, (VALUE(LEFT(fesp!$A:$A,6))=VALUE(LEFT(B108,6)))*(fesp!$C:$C=C108), 0)), "")</f>
        <v>3402</v>
      </c>
      <c r="S108" cm="1">
        <f t="array" ref="S108">IFERROR(INDEX(fesp!$J:$J, MATCH(1, (VALUE(LEFT(fesp!$A:$A,6))=VALUE(LEFT(B108,6)))*(fesp!$C:$C=C108), 0)), "")</f>
        <v>50452</v>
      </c>
    </row>
    <row r="109" spans="1:19">
      <c r="A109" s="1" t="s">
        <v>47</v>
      </c>
      <c r="B109" s="3" t="s">
        <v>46</v>
      </c>
      <c r="C109" s="3">
        <v>2023</v>
      </c>
      <c r="D109" cm="1">
        <f t="array" ref="D109">IFERROR(INDEX(fesp!$D:$D, MATCH(1, (VALUE(LEFT(fesp!$A:$A,6))=VALUE(LEFT(B109,6)))*(fesp!$C:$C=C109), 0)), "")</f>
        <v>0</v>
      </c>
      <c r="E109" cm="1">
        <f t="array" aca="1" ref="E109" ca="1">IFERROR(INDEX(ft_medicos_clinicos!$C:$C, MATCH(1, (VALUE(LEFT(ft_medicos_clinicos!$A:$A,6))=VALUE(LEFT(B109,6)))*(ft_medicos_clinicos!$B:$B=C109), 0)), "")</f>
        <v>1158</v>
      </c>
      <c r="F109" cm="1">
        <f t="array" aca="1" ref="F109" ca="1">IFERROR(INDEX(ft_enfermeiros!$C:$C, MATCH(1, (VALUE(LEFT(ft_enfermeiros!$A:$A,6))=VALUE(LEFT(B109,6)))*(ft_enfermeiros!$B:$B=C109), 0)), "")</f>
        <v>1895</v>
      </c>
      <c r="G109" t="str" cm="1">
        <f t="array" aca="1" ref="G109" ca="1">IFERROR(INDEX(ft_equipes_acs!$C:$C, MATCH(1, (VALUE(LEFT(ft_equipes_acs!$A:$A,6))=VALUE(LEFT(B109,6)))*(ft_equipes_acs!$B:$B=C109), 0)), "")</f>
        <v/>
      </c>
      <c r="H109" cm="1">
        <f t="array" aca="1" ref="H109" ca="1">IFERROR(INDEX(ci_leitos_internacao!$C:$C, MATCH(1, (VALUE(LEFT(ci_leitos_internacao!$A:$A,6))=VALUE(LEFT(B109,6)))*(ci_leitos_internacao!$B:$B=C109), 0)), "")</f>
        <v>3329</v>
      </c>
      <c r="I109" cm="1">
        <f t="array" aca="1" ref="I109" ca="1">IFERROR(INDEX(ci_hospitais_internacao!$C:$C, MATCH(1, (VALUE(LEFT(ci_hospitais_internacao!$A:$A,6))=VALUE(LEFT(B109,6)))*(ci_hospitais_internacao!$B:$B=C109), 0)), "")</f>
        <v>12</v>
      </c>
      <c r="J109" t="str" cm="1">
        <f t="array" aca="1" ref="J109" ca="1">IFERROR(INDEX(ci_pa_clinico!$C:$C, MATCH(1, (VALUE(LEFT(ci_pa_clinico!$A:$A,6))=VALUE(LEFT(B109,6)))*(ci_pa_clinico!$B:$B=C109), 0)), "")</f>
        <v/>
      </c>
      <c r="K109" t="str" cm="1">
        <f t="array" aca="1" ref="K109" ca="1">IFERROR(INDEX(aps_equipes_esf!$C:$C, MATCH(1, (VALUE(LEFT(aps_equipes_esf!$A:$A,6))=VALUE(LEFT(B109,6)))*(aps_equipes_esf!$B:$B=C109), 0)), "")</f>
        <v>-</v>
      </c>
      <c r="L109" cm="1">
        <f t="array" aca="1" ref="L109" ca="1">IFERROR(INDEX(casos!$C:$C, MATCH(1, (VALUE(LEFT(casos!$A:$A,6))=VALUE(LEFT(B109,6)))*(casos!$B:$B=C109), 0)), "")</f>
        <v>3734</v>
      </c>
      <c r="M109" cm="1">
        <f t="array" ref="M109">IFERROR(INDEX(srag!$D:$D, MATCH(1, (VALUE(LEFT(srag!$A:$A,6))=VALUE(LEFT(B109,6)))*(srag!$C:$C=C109), 0)), "")</f>
        <v>890</v>
      </c>
      <c r="N109" cm="1">
        <f t="array" ref="N109">IFERROR(INDEX(fesp!$E:$E, MATCH(1, (VALUE(LEFT(fesp!$A:$A,6))=VALUE(LEFT(B109,6)))*(fesp!$C:$C=C109), 0)), "")</f>
        <v>225</v>
      </c>
      <c r="O109" cm="1">
        <f t="array" ref="O109">IFERROR(INDEX(fesp!$F:$F, MATCH(1, (VALUE(LEFT(fesp!$A:$A,6))=VALUE(LEFT(B109,6)))*(fesp!$C:$C=C109), 0)), "")</f>
        <v>12642</v>
      </c>
      <c r="P109" cm="1">
        <f t="array" ref="P109">IFERROR(INDEX(fesp!$G:$G, MATCH(1, (VALUE(LEFT(fesp!$A:$A,6))=VALUE(LEFT(B109,6)))*(fesp!$C:$C=C109), 0)), "")</f>
        <v>7244958</v>
      </c>
      <c r="Q109" cm="1">
        <f t="array" ref="Q109">IFERROR(INDEX(fesp!$H:$H, MATCH(1, (VALUE(LEFT(fesp!$A:$A,6))=VALUE(LEFT(B109,6)))*(fesp!$C:$C=C109), 0)), "")</f>
        <v>23</v>
      </c>
      <c r="R109" cm="1">
        <f t="array" ref="R109">IFERROR(INDEX(fesp!$I:$I, MATCH(1, (VALUE(LEFT(fesp!$A:$A,6))=VALUE(LEFT(B109,6)))*(fesp!$C:$C=C109), 0)), "")</f>
        <v>891</v>
      </c>
      <c r="S109" cm="1">
        <f t="array" ref="S109">IFERROR(INDEX(fesp!$J:$J, MATCH(1, (VALUE(LEFT(fesp!$A:$A,6))=VALUE(LEFT(B109,6)))*(fesp!$C:$C=C109), 0)), "")</f>
        <v>22299</v>
      </c>
    </row>
    <row r="110" spans="1:19">
      <c r="A110" s="1" t="s">
        <v>47</v>
      </c>
      <c r="B110" s="3" t="s">
        <v>46</v>
      </c>
      <c r="C110" s="3">
        <v>2024</v>
      </c>
      <c r="D110" cm="1">
        <f t="array" ref="D110">IFERROR(INDEX(fesp!$D:$D, MATCH(1, (VALUE(LEFT(fesp!$A:$A,6))=VALUE(LEFT(B110,6)))*(fesp!$C:$C=C110), 0)), "")</f>
        <v>0</v>
      </c>
      <c r="E110" cm="1">
        <f t="array" aca="1" ref="E110" ca="1">IFERROR(INDEX(ft_medicos_clinicos!$C:$C, MATCH(1, (VALUE(LEFT(ft_medicos_clinicos!$A:$A,6))=VALUE(LEFT(B110,6)))*(ft_medicos_clinicos!$B:$B=C110), 0)), "")</f>
        <v>1199</v>
      </c>
      <c r="F110" cm="1">
        <f t="array" aca="1" ref="F110" ca="1">IFERROR(INDEX(ft_enfermeiros!$C:$C, MATCH(1, (VALUE(LEFT(ft_enfermeiros!$A:$A,6))=VALUE(LEFT(B110,6)))*(ft_enfermeiros!$B:$B=C110), 0)), "")</f>
        <v>2003</v>
      </c>
      <c r="G110" t="str" cm="1">
        <f t="array" aca="1" ref="G110" ca="1">IFERROR(INDEX(ft_equipes_acs!$C:$C, MATCH(1, (VALUE(LEFT(ft_equipes_acs!$A:$A,6))=VALUE(LEFT(B110,6)))*(ft_equipes_acs!$B:$B=C110), 0)), "")</f>
        <v/>
      </c>
      <c r="H110" cm="1">
        <f t="array" aca="1" ref="H110" ca="1">IFERROR(INDEX(ci_leitos_internacao!$C:$C, MATCH(1, (VALUE(LEFT(ci_leitos_internacao!$A:$A,6))=VALUE(LEFT(B110,6)))*(ci_leitos_internacao!$B:$B=C110), 0)), "")</f>
        <v>3446</v>
      </c>
      <c r="I110" cm="1">
        <f t="array" aca="1" ref="I110" ca="1">IFERROR(INDEX(ci_hospitais_internacao!$C:$C, MATCH(1, (VALUE(LEFT(ci_hospitais_internacao!$A:$A,6))=VALUE(LEFT(B110,6)))*(ci_hospitais_internacao!$B:$B=C110), 0)), "")</f>
        <v>12</v>
      </c>
      <c r="J110" t="str" cm="1">
        <f t="array" aca="1" ref="J110" ca="1">IFERROR(INDEX(ci_pa_clinico!$C:$C, MATCH(1, (VALUE(LEFT(ci_pa_clinico!$A:$A,6))=VALUE(LEFT(B110,6)))*(ci_pa_clinico!$B:$B=C110), 0)), "")</f>
        <v/>
      </c>
      <c r="K110" t="str" cm="1">
        <f t="array" aca="1" ref="K110" ca="1">IFERROR(INDEX(aps_equipes_esf!$C:$C, MATCH(1, (VALUE(LEFT(aps_equipes_esf!$A:$A,6))=VALUE(LEFT(B110,6)))*(aps_equipes_esf!$B:$B=C110), 0)), "")</f>
        <v>-</v>
      </c>
      <c r="L110" cm="1">
        <f t="array" aca="1" ref="L110" ca="1">IFERROR(INDEX(casos!$C:$C, MATCH(1, (VALUE(LEFT(casos!$A:$A,6))=VALUE(LEFT(B110,6)))*(casos!$B:$B=C110), 0)), "")</f>
        <v>8234</v>
      </c>
      <c r="M110" cm="1">
        <f t="array" ref="M110">IFERROR(INDEX(srag!$D:$D, MATCH(1, (VALUE(LEFT(srag!$A:$A,6))=VALUE(LEFT(B110,6)))*(srag!$C:$C=C110), 0)), "")</f>
        <v>919</v>
      </c>
      <c r="N110" cm="1">
        <f t="array" ref="N110">IFERROR(INDEX(fesp!$E:$E, MATCH(1, (VALUE(LEFT(fesp!$A:$A,6))=VALUE(LEFT(B110,6)))*(fesp!$C:$C=C110), 0)), "")</f>
        <v>330</v>
      </c>
      <c r="O110" cm="1">
        <f t="array" ref="O110">IFERROR(INDEX(fesp!$F:$F, MATCH(1, (VALUE(LEFT(fesp!$A:$A,6))=VALUE(LEFT(B110,6)))*(fesp!$C:$C=C110), 0)), "")</f>
        <v>13055</v>
      </c>
      <c r="P110" cm="1">
        <f t="array" ref="P110">IFERROR(INDEX(fesp!$G:$G, MATCH(1, (VALUE(LEFT(fesp!$A:$A,6))=VALUE(LEFT(B110,6)))*(fesp!$C:$C=C110), 0)), "")</f>
        <v>7508293</v>
      </c>
      <c r="Q110" cm="1">
        <f t="array" ref="Q110">IFERROR(INDEX(fesp!$H:$H, MATCH(1, (VALUE(LEFT(fesp!$A:$A,6))=VALUE(LEFT(B110,6)))*(fesp!$C:$C=C110), 0)), "")</f>
        <v>14</v>
      </c>
      <c r="R110" cm="1">
        <f t="array" ref="R110">IFERROR(INDEX(fesp!$I:$I, MATCH(1, (VALUE(LEFT(fesp!$A:$A,6))=VALUE(LEFT(B110,6)))*(fesp!$C:$C=C110), 0)), "")</f>
        <v>229</v>
      </c>
      <c r="S110" cm="1">
        <f t="array" ref="S110">IFERROR(INDEX(fesp!$J:$J, MATCH(1, (VALUE(LEFT(fesp!$A:$A,6))=VALUE(LEFT(B110,6)))*(fesp!$C:$C=C110), 0)), "")</f>
        <v>10634</v>
      </c>
    </row>
    <row r="111" spans="1:19">
      <c r="A111" s="1" t="s">
        <v>47</v>
      </c>
      <c r="B111" s="3">
        <v>2408102</v>
      </c>
      <c r="C111" s="3">
        <v>2025</v>
      </c>
      <c r="D111" cm="1">
        <f t="array" ref="D111">IFERROR(INDEX(fesp!$D:$D, MATCH(1, (VALUE(LEFT(fesp!$A:$A,6))=VALUE(LEFT(B111,6)))*(fesp!$C:$C=C111), 0)), "")</f>
        <v>0</v>
      </c>
      <c r="E111" cm="1">
        <f t="array" aca="1" ref="E111" ca="1">IFERROR(INDEX(ft_medicos_clinicos!$C:$C, MATCH(1, (VALUE(LEFT(ft_medicos_clinicos!$A:$A,6))=VALUE(LEFT(B111,6)))*(ft_medicos_clinicos!$B:$B=C111), 0)), "")</f>
        <v>1124</v>
      </c>
      <c r="F111" cm="1">
        <f t="array" aca="1" ref="F111" ca="1">IFERROR(INDEX(ft_enfermeiros!$C:$C, MATCH(1, (VALUE(LEFT(ft_enfermeiros!$A:$A,6))=VALUE(LEFT(B111,6)))*(ft_enfermeiros!$B:$B=C111), 0)), "")</f>
        <v>2104</v>
      </c>
      <c r="G111" t="str" cm="1">
        <f t="array" aca="1" ref="G111" ca="1">IFERROR(INDEX(ft_equipes_acs!$C:$C, MATCH(1, (VALUE(LEFT(ft_equipes_acs!$A:$A,6))=VALUE(LEFT(B111,6)))*(ft_equipes_acs!$B:$B=C111), 0)), "")</f>
        <v/>
      </c>
      <c r="H111" cm="1">
        <f t="array" aca="1" ref="H111" ca="1">IFERROR(INDEX(ci_leitos_internacao!$C:$C, MATCH(1, (VALUE(LEFT(ci_leitos_internacao!$A:$A,6))=VALUE(LEFT(B111,6)))*(ci_leitos_internacao!$B:$B=C111), 0)), "")</f>
        <v>3580</v>
      </c>
      <c r="I111" cm="1">
        <f t="array" aca="1" ref="I111" ca="1">IFERROR(INDEX(ci_hospitais_internacao!$C:$C, MATCH(1, (VALUE(LEFT(ci_hospitais_internacao!$A:$A,6))=VALUE(LEFT(B111,6)))*(ci_hospitais_internacao!$B:$B=C111), 0)), "")</f>
        <v>13</v>
      </c>
      <c r="J111" t="str" cm="1">
        <f t="array" aca="1" ref="J111" ca="1">IFERROR(INDEX(ci_pa_clinico!$C:$C, MATCH(1, (VALUE(LEFT(ci_pa_clinico!$A:$A,6))=VALUE(LEFT(B111,6)))*(ci_pa_clinico!$B:$B=C111), 0)), "")</f>
        <v/>
      </c>
      <c r="K111" t="str" cm="1">
        <f t="array" aca="1" ref="K111" ca="1">IFERROR(INDEX(aps_equipes_esf!$C:$C, MATCH(1, (VALUE(LEFT(aps_equipes_esf!$A:$A,6))=VALUE(LEFT(B111,6)))*(aps_equipes_esf!$B:$B=C111), 0)), "")</f>
        <v>-</v>
      </c>
      <c r="L111" cm="1">
        <f t="array" aca="1" ref="L111" ca="1">IFERROR(INDEX(casos!$C:$C, MATCH(1, (VALUE(LEFT(casos!$A:$A,6))=VALUE(LEFT(B111,6)))*(casos!$B:$B=C111), 0)), "")</f>
        <v>5433</v>
      </c>
      <c r="M111" cm="1">
        <f t="array" ref="M111">IFERROR(INDEX(srag!$D:$D, MATCH(1, (VALUE(LEFT(srag!$A:$A,6))=VALUE(LEFT(B111,6)))*(srag!$C:$C=C111), 0)), "")</f>
        <v>804</v>
      </c>
      <c r="N111" cm="1">
        <f t="array" ref="N111">IFERROR(INDEX(fesp!$E:$E, MATCH(1, (VALUE(LEFT(fesp!$A:$A,6))=VALUE(LEFT(B111,6)))*(fesp!$C:$C=C111), 0)), "")</f>
        <v>353</v>
      </c>
      <c r="O111" cm="1">
        <f t="array" ref="O111">IFERROR(INDEX(fesp!$F:$F, MATCH(1, (VALUE(LEFT(fesp!$A:$A,6))=VALUE(LEFT(B111,6)))*(fesp!$C:$C=C111), 0)), "")</f>
        <v>11682</v>
      </c>
      <c r="P111" cm="1">
        <f t="array" ref="P111">IFERROR(INDEX(fesp!$G:$G, MATCH(1, (VALUE(LEFT(fesp!$A:$A,6))=VALUE(LEFT(B111,6)))*(fesp!$C:$C=C111), 0)), "")</f>
        <v>5908423</v>
      </c>
      <c r="Q111" cm="1">
        <f t="array" ref="Q111">IFERROR(INDEX(fesp!$H:$H, MATCH(1, (VALUE(LEFT(fesp!$A:$A,6))=VALUE(LEFT(B111,6)))*(fesp!$C:$C=C111), 0)), "")</f>
        <v>10</v>
      </c>
      <c r="R111" cm="1">
        <f t="array" ref="R111">IFERROR(INDEX(fesp!$I:$I, MATCH(1, (VALUE(LEFT(fesp!$A:$A,6))=VALUE(LEFT(B111,6)))*(fesp!$C:$C=C111), 0)), "")</f>
        <v>35</v>
      </c>
      <c r="S111" cm="1">
        <f t="array" ref="S111">IFERROR(INDEX(fesp!$J:$J, MATCH(1, (VALUE(LEFT(fesp!$A:$A,6))=VALUE(LEFT(B111,6)))*(fesp!$C:$C=C111), 0)), "")</f>
        <v>3405</v>
      </c>
    </row>
    <row r="112" spans="1:19">
      <c r="A112" s="1" t="s">
        <v>109</v>
      </c>
      <c r="B112" s="3">
        <v>2504009</v>
      </c>
      <c r="C112" s="3">
        <v>2015</v>
      </c>
      <c r="D112" cm="1">
        <f t="array" ref="D112">IFERROR(INDEX(fesp!$D:$D, MATCH(1, (VALUE(LEFT(fesp!$A:$A,6))=VALUE(LEFT(B112,6)))*(fesp!$C:$C=C112), 0)), "")</f>
        <v>405072</v>
      </c>
      <c r="E112" cm="1">
        <f t="array" aca="1" ref="E112" ca="1">IFERROR(INDEX(ft_medicos_clinicos!$C:$C, MATCH(1, (VALUE(LEFT(ft_medicos_clinicos!$A:$A,6))=VALUE(LEFT(B112,6)))*(ft_medicos_clinicos!$B:$B=C112), 0)), "")</f>
        <v>243</v>
      </c>
      <c r="F112" cm="1">
        <f t="array" aca="1" ref="F112" ca="1">IFERROR(INDEX(ft_enfermeiros!$C:$C, MATCH(1, (VALUE(LEFT(ft_enfermeiros!$A:$A,6))=VALUE(LEFT(B112,6)))*(ft_enfermeiros!$B:$B=C112), 0)), "")</f>
        <v>341</v>
      </c>
      <c r="G112" cm="1">
        <f t="array" aca="1" ref="G112" ca="1">IFERROR(INDEX(ft_equipes_acs!$C:$C, MATCH(1, (VALUE(LEFT(ft_equipes_acs!$A:$A,6))=VALUE(LEFT(B112,6)))*(ft_equipes_acs!$B:$B=C112), 0)), "")</f>
        <v>4</v>
      </c>
      <c r="H112" cm="1">
        <f t="array" aca="1" ref="H112" ca="1">IFERROR(INDEX(ci_leitos_internacao!$C:$C, MATCH(1, (VALUE(LEFT(ci_leitos_internacao!$A:$A,6))=VALUE(LEFT(B112,6)))*(ci_leitos_internacao!$B:$B=C112), 0)), "")</f>
        <v>1754</v>
      </c>
      <c r="I112" cm="1">
        <f t="array" aca="1" ref="I112" ca="1">IFERROR(INDEX(ci_hospitais_internacao!$C:$C, MATCH(1, (VALUE(LEFT(ci_hospitais_internacao!$A:$A,6))=VALUE(LEFT(B112,6)))*(ci_hospitais_internacao!$B:$B=C112), 0)), "")</f>
        <v>8</v>
      </c>
      <c r="J112" cm="1">
        <f t="array" aca="1" ref="J112" ca="1">IFERROR(INDEX(ci_pa_clinico!$C:$C, MATCH(1, (VALUE(LEFT(ci_pa_clinico!$A:$A,6))=VALUE(LEFT(B112,6)))*(ci_pa_clinico!$B:$B=C112), 0)), "")</f>
        <v>5</v>
      </c>
      <c r="K112" cm="1">
        <f t="array" aca="1" ref="K112" ca="1">IFERROR(INDEX(aps_equipes_esf!$C:$C, MATCH(1, (VALUE(LEFT(aps_equipes_esf!$A:$A,6))=VALUE(LEFT(B112,6)))*(aps_equipes_esf!$B:$B=C112), 0)), "")</f>
        <v>50</v>
      </c>
      <c r="L112" cm="1">
        <f t="array" aca="1" ref="L112" ca="1">IFERROR(INDEX(casos!$C:$C, MATCH(1, (VALUE(LEFT(casos!$A:$A,6))=VALUE(LEFT(B112,6)))*(casos!$B:$B=C112), 0)), "")</f>
        <v>266</v>
      </c>
      <c r="M112" cm="1">
        <f t="array" ref="M112">IFERROR(INDEX(srag!$D:$D, MATCH(1, (VALUE(LEFT(srag!$A:$A,6))=VALUE(LEFT(B112,6)))*(srag!$C:$C=C112), 0)), "")</f>
        <v>1</v>
      </c>
      <c r="N112" cm="1">
        <f t="array" ref="N112">IFERROR(INDEX(fesp!$E:$E, MATCH(1, (VALUE(LEFT(fesp!$A:$A,6))=VALUE(LEFT(B112,6)))*(fesp!$C:$C=C112), 0)), "")</f>
        <v>774</v>
      </c>
      <c r="O112" cm="1">
        <f t="array" ref="O112">IFERROR(INDEX(fesp!$F:$F, MATCH(1, (VALUE(LEFT(fesp!$A:$A,6))=VALUE(LEFT(B112,6)))*(fesp!$C:$C=C112), 0)), "")</f>
        <v>3199</v>
      </c>
      <c r="P112" cm="1">
        <f t="array" ref="P112">IFERROR(INDEX(fesp!$G:$G, MATCH(1, (VALUE(LEFT(fesp!$A:$A,6))=VALUE(LEFT(B112,6)))*(fesp!$C:$C=C112), 0)), "")</f>
        <v>2290669</v>
      </c>
      <c r="Q112" cm="1">
        <f t="array" ref="Q112">IFERROR(INDEX(fesp!$H:$H, MATCH(1, (VALUE(LEFT(fesp!$A:$A,6))=VALUE(LEFT(B112,6)))*(fesp!$C:$C=C112), 0)), "")</f>
        <v>229</v>
      </c>
      <c r="R112" cm="1">
        <f t="array" ref="R112">IFERROR(INDEX(fesp!$I:$I, MATCH(1, (VALUE(LEFT(fesp!$A:$A,6))=VALUE(LEFT(B112,6)))*(fesp!$C:$C=C112), 0)), "")</f>
        <v>19879</v>
      </c>
      <c r="S112" cm="1">
        <f t="array" ref="S112">IFERROR(INDEX(fesp!$J:$J, MATCH(1, (VALUE(LEFT(fesp!$A:$A,6))=VALUE(LEFT(B112,6)))*(fesp!$C:$C=C112), 0)), "")</f>
        <v>101693</v>
      </c>
    </row>
    <row r="113" spans="1:19">
      <c r="A113" s="1" t="s">
        <v>109</v>
      </c>
      <c r="B113" s="3">
        <v>2504009</v>
      </c>
      <c r="C113" s="3">
        <v>2016</v>
      </c>
      <c r="D113" cm="1">
        <f t="array" ref="D113">IFERROR(INDEX(fesp!$D:$D, MATCH(1, (VALUE(LEFT(fesp!$A:$A,6))=VALUE(LEFT(B113,6)))*(fesp!$C:$C=C113), 0)), "")</f>
        <v>0</v>
      </c>
      <c r="E113" cm="1">
        <f t="array" aca="1" ref="E113" ca="1">IFERROR(INDEX(ft_medicos_clinicos!$C:$C, MATCH(1, (VALUE(LEFT(ft_medicos_clinicos!$A:$A,6))=VALUE(LEFT(B113,6)))*(ft_medicos_clinicos!$B:$B=C113), 0)), "")</f>
        <v>233</v>
      </c>
      <c r="F113" cm="1">
        <f t="array" aca="1" ref="F113" ca="1">IFERROR(INDEX(ft_enfermeiros!$C:$C, MATCH(1, (VALUE(LEFT(ft_enfermeiros!$A:$A,6))=VALUE(LEFT(B113,6)))*(ft_enfermeiros!$B:$B=C113), 0)), "")</f>
        <v>477</v>
      </c>
      <c r="G113" cm="1">
        <f t="array" aca="1" ref="G113" ca="1">IFERROR(INDEX(ft_equipes_acs!$C:$C, MATCH(1, (VALUE(LEFT(ft_equipes_acs!$A:$A,6))=VALUE(LEFT(B113,6)))*(ft_equipes_acs!$B:$B=C113), 0)), "")</f>
        <v>4</v>
      </c>
      <c r="H113" cm="1">
        <f t="array" aca="1" ref="H113" ca="1">IFERROR(INDEX(ci_leitos_internacao!$C:$C, MATCH(1, (VALUE(LEFT(ci_leitos_internacao!$A:$A,6))=VALUE(LEFT(B113,6)))*(ci_leitos_internacao!$B:$B=C113), 0)), "")</f>
        <v>1803</v>
      </c>
      <c r="I113" cm="1">
        <f t="array" aca="1" ref="I113" ca="1">IFERROR(INDEX(ci_hospitais_internacao!$C:$C, MATCH(1, (VALUE(LEFT(ci_hospitais_internacao!$A:$A,6))=VALUE(LEFT(B113,6)))*(ci_hospitais_internacao!$B:$B=C113), 0)), "")</f>
        <v>8</v>
      </c>
      <c r="J113" cm="1">
        <f t="array" aca="1" ref="J113" ca="1">IFERROR(INDEX(ci_pa_clinico!$C:$C, MATCH(1, (VALUE(LEFT(ci_pa_clinico!$A:$A,6))=VALUE(LEFT(B113,6)))*(ci_pa_clinico!$B:$B=C113), 0)), "")</f>
        <v>5</v>
      </c>
      <c r="K113" cm="1">
        <f t="array" aca="1" ref="K113" ca="1">IFERROR(INDEX(aps_equipes_esf!$C:$C, MATCH(1, (VALUE(LEFT(aps_equipes_esf!$A:$A,6))=VALUE(LEFT(B113,6)))*(aps_equipes_esf!$B:$B=C113), 0)), "")</f>
        <v>48</v>
      </c>
      <c r="L113" cm="1">
        <f t="array" aca="1" ref="L113" ca="1">IFERROR(INDEX(casos!$C:$C, MATCH(1, (VALUE(LEFT(casos!$A:$A,6))=VALUE(LEFT(B113,6)))*(casos!$B:$B=C113), 0)), "")</f>
        <v>379</v>
      </c>
      <c r="M113" cm="1">
        <f t="array" ref="M113">IFERROR(INDEX(srag!$D:$D, MATCH(1, (VALUE(LEFT(srag!$A:$A,6))=VALUE(LEFT(B113,6)))*(srag!$C:$C=C113), 0)), "")</f>
        <v>72</v>
      </c>
      <c r="N113" cm="1">
        <f t="array" ref="N113">IFERROR(INDEX(fesp!$E:$E, MATCH(1, (VALUE(LEFT(fesp!$A:$A,6))=VALUE(LEFT(B113,6)))*(fesp!$C:$C=C113), 0)), "")</f>
        <v>825</v>
      </c>
      <c r="O113" cm="1">
        <f t="array" ref="O113">IFERROR(INDEX(fesp!$F:$F, MATCH(1, (VALUE(LEFT(fesp!$A:$A,6))=VALUE(LEFT(B113,6)))*(fesp!$C:$C=C113), 0)), "")</f>
        <v>3233</v>
      </c>
      <c r="P113" cm="1">
        <f t="array" ref="P113">IFERROR(INDEX(fesp!$G:$G, MATCH(1, (VALUE(LEFT(fesp!$A:$A,6))=VALUE(LEFT(B113,6)))*(fesp!$C:$C=C113), 0)), "")</f>
        <v>2339184</v>
      </c>
      <c r="Q113" cm="1">
        <f t="array" ref="Q113">IFERROR(INDEX(fesp!$H:$H, MATCH(1, (VALUE(LEFT(fesp!$A:$A,6))=VALUE(LEFT(B113,6)))*(fesp!$C:$C=C113), 0)), "")</f>
        <v>211</v>
      </c>
      <c r="R113" cm="1">
        <f t="array" ref="R113">IFERROR(INDEX(fesp!$I:$I, MATCH(1, (VALUE(LEFT(fesp!$A:$A,6))=VALUE(LEFT(B113,6)))*(fesp!$C:$C=C113), 0)), "")</f>
        <v>22586</v>
      </c>
      <c r="S113" cm="1">
        <f t="array" ref="S113">IFERROR(INDEX(fesp!$J:$J, MATCH(1, (VALUE(LEFT(fesp!$A:$A,6))=VALUE(LEFT(B113,6)))*(fesp!$C:$C=C113), 0)), "")</f>
        <v>104922</v>
      </c>
    </row>
    <row r="114" spans="1:19">
      <c r="A114" s="1" t="s">
        <v>109</v>
      </c>
      <c r="B114" s="3">
        <v>2504009</v>
      </c>
      <c r="C114" s="3">
        <v>2017</v>
      </c>
      <c r="D114" cm="1">
        <f t="array" ref="D114">IFERROR(INDEX(fesp!$D:$D, MATCH(1, (VALUE(LEFT(fesp!$A:$A,6))=VALUE(LEFT(B114,6)))*(fesp!$C:$C=C114), 0)), "")</f>
        <v>0</v>
      </c>
      <c r="E114" cm="1">
        <f t="array" aca="1" ref="E114" ca="1">IFERROR(INDEX(ft_medicos_clinicos!$C:$C, MATCH(1, (VALUE(LEFT(ft_medicos_clinicos!$A:$A,6))=VALUE(LEFT(B114,6)))*(ft_medicos_clinicos!$B:$B=C114), 0)), "")</f>
        <v>240</v>
      </c>
      <c r="F114" cm="1">
        <f t="array" aca="1" ref="F114" ca="1">IFERROR(INDEX(ft_enfermeiros!$C:$C, MATCH(1, (VALUE(LEFT(ft_enfermeiros!$A:$A,6))=VALUE(LEFT(B114,6)))*(ft_enfermeiros!$B:$B=C114), 0)), "")</f>
        <v>538</v>
      </c>
      <c r="G114" cm="1">
        <f t="array" aca="1" ref="G114" ca="1">IFERROR(INDEX(ft_equipes_acs!$C:$C, MATCH(1, (VALUE(LEFT(ft_equipes_acs!$A:$A,6))=VALUE(LEFT(B114,6)))*(ft_equipes_acs!$B:$B=C114), 0)), "")</f>
        <v>4</v>
      </c>
      <c r="H114" cm="1">
        <f t="array" aca="1" ref="H114" ca="1">IFERROR(INDEX(ci_leitos_internacao!$C:$C, MATCH(1, (VALUE(LEFT(ci_leitos_internacao!$A:$A,6))=VALUE(LEFT(B114,6)))*(ci_leitos_internacao!$B:$B=C114), 0)), "")</f>
        <v>1780</v>
      </c>
      <c r="I114" cm="1">
        <f t="array" aca="1" ref="I114" ca="1">IFERROR(INDEX(ci_hospitais_internacao!$C:$C, MATCH(1, (VALUE(LEFT(ci_hospitais_internacao!$A:$A,6))=VALUE(LEFT(B114,6)))*(ci_hospitais_internacao!$B:$B=C114), 0)), "")</f>
        <v>8</v>
      </c>
      <c r="J114" cm="1">
        <f t="array" aca="1" ref="J114" ca="1">IFERROR(INDEX(ci_pa_clinico!$C:$C, MATCH(1, (VALUE(LEFT(ci_pa_clinico!$A:$A,6))=VALUE(LEFT(B114,6)))*(ci_pa_clinico!$B:$B=C114), 0)), "")</f>
        <v>6</v>
      </c>
      <c r="K114" cm="1">
        <f t="array" aca="1" ref="K114" ca="1">IFERROR(INDEX(aps_equipes_esf!$C:$C, MATCH(1, (VALUE(LEFT(aps_equipes_esf!$A:$A,6))=VALUE(LEFT(B114,6)))*(aps_equipes_esf!$B:$B=C114), 0)), "")</f>
        <v>59</v>
      </c>
      <c r="L114" cm="1">
        <f t="array" aca="1" ref="L114" ca="1">IFERROR(INDEX(casos!$C:$C, MATCH(1, (VALUE(LEFT(casos!$A:$A,6))=VALUE(LEFT(B114,6)))*(casos!$B:$B=C114), 0)), "")</f>
        <v>165</v>
      </c>
      <c r="M114" cm="1">
        <f t="array" ref="M114">IFERROR(INDEX(srag!$D:$D, MATCH(1, (VALUE(LEFT(srag!$A:$A,6))=VALUE(LEFT(B114,6)))*(srag!$C:$C=C114), 0)), "")</f>
        <v>15</v>
      </c>
      <c r="N114" cm="1">
        <f t="array" ref="N114">IFERROR(INDEX(fesp!$E:$E, MATCH(1, (VALUE(LEFT(fesp!$A:$A,6))=VALUE(LEFT(B114,6)))*(fesp!$C:$C=C114), 0)), "")</f>
        <v>873</v>
      </c>
      <c r="O114" cm="1">
        <f t="array" ref="O114">IFERROR(INDEX(fesp!$F:$F, MATCH(1, (VALUE(LEFT(fesp!$A:$A,6))=VALUE(LEFT(B114,6)))*(fesp!$C:$C=C114), 0)), "")</f>
        <v>3770</v>
      </c>
      <c r="P114" cm="1">
        <f t="array" ref="P114">IFERROR(INDEX(fesp!$G:$G, MATCH(1, (VALUE(LEFT(fesp!$A:$A,6))=VALUE(LEFT(B114,6)))*(fesp!$C:$C=C114), 0)), "")</f>
        <v>2013065</v>
      </c>
      <c r="Q114" cm="1">
        <f t="array" ref="Q114">IFERROR(INDEX(fesp!$H:$H, MATCH(1, (VALUE(LEFT(fesp!$A:$A,6))=VALUE(LEFT(B114,6)))*(fesp!$C:$C=C114), 0)), "")</f>
        <v>208</v>
      </c>
      <c r="R114" cm="1">
        <f t="array" ref="R114">IFERROR(INDEX(fesp!$I:$I, MATCH(1, (VALUE(LEFT(fesp!$A:$A,6))=VALUE(LEFT(B114,6)))*(fesp!$C:$C=C114), 0)), "")</f>
        <v>22637</v>
      </c>
      <c r="S114" cm="1">
        <f t="array" ref="S114">IFERROR(INDEX(fesp!$J:$J, MATCH(1, (VALUE(LEFT(fesp!$A:$A,6))=VALUE(LEFT(B114,6)))*(fesp!$C:$C=C114), 0)), "")</f>
        <v>60193</v>
      </c>
    </row>
    <row r="115" spans="1:19">
      <c r="A115" s="1" t="s">
        <v>109</v>
      </c>
      <c r="B115" s="3" t="s">
        <v>108</v>
      </c>
      <c r="C115" s="3">
        <v>2018</v>
      </c>
      <c r="D115" cm="1">
        <f t="array" ref="D115">IFERROR(INDEX(fesp!$D:$D, MATCH(1, (VALUE(LEFT(fesp!$A:$A,6))=VALUE(LEFT(B115,6)))*(fesp!$C:$C=C115), 0)), "")</f>
        <v>0</v>
      </c>
      <c r="E115" cm="1">
        <f t="array" aca="1" ref="E115" ca="1">IFERROR(INDEX(ft_medicos_clinicos!$C:$C, MATCH(1, (VALUE(LEFT(ft_medicos_clinicos!$A:$A,6))=VALUE(LEFT(B115,6)))*(ft_medicos_clinicos!$B:$B=C115), 0)), "")</f>
        <v>226</v>
      </c>
      <c r="F115" cm="1">
        <f t="array" aca="1" ref="F115" ca="1">IFERROR(INDEX(ft_enfermeiros!$C:$C, MATCH(1, (VALUE(LEFT(ft_enfermeiros!$A:$A,6))=VALUE(LEFT(B115,6)))*(ft_enfermeiros!$B:$B=C115), 0)), "")</f>
        <v>602</v>
      </c>
      <c r="G115" cm="1">
        <f t="array" aca="1" ref="G115" ca="1">IFERROR(INDEX(ft_equipes_acs!$C:$C, MATCH(1, (VALUE(LEFT(ft_equipes_acs!$A:$A,6))=VALUE(LEFT(B115,6)))*(ft_equipes_acs!$B:$B=C115), 0)), "")</f>
        <v>4</v>
      </c>
      <c r="H115" cm="1">
        <f t="array" aca="1" ref="H115" ca="1">IFERROR(INDEX(ci_leitos_internacao!$C:$C, MATCH(1, (VALUE(LEFT(ci_leitos_internacao!$A:$A,6))=VALUE(LEFT(B115,6)))*(ci_leitos_internacao!$B:$B=C115), 0)), "")</f>
        <v>1593</v>
      </c>
      <c r="I115" cm="1">
        <f t="array" aca="1" ref="I115" ca="1">IFERROR(INDEX(ci_hospitais_internacao!$C:$C, MATCH(1, (VALUE(LEFT(ci_hospitais_internacao!$A:$A,6))=VALUE(LEFT(B115,6)))*(ci_hospitais_internacao!$B:$B=C115), 0)), "")</f>
        <v>8</v>
      </c>
      <c r="J115" cm="1">
        <f t="array" aca="1" ref="J115" ca="1">IFERROR(INDEX(ci_pa_clinico!$C:$C, MATCH(1, (VALUE(LEFT(ci_pa_clinico!$A:$A,6))=VALUE(LEFT(B115,6)))*(ci_pa_clinico!$B:$B=C115), 0)), "")</f>
        <v>6</v>
      </c>
      <c r="K115" cm="1">
        <f t="array" aca="1" ref="K115" ca="1">IFERROR(INDEX(aps_equipes_esf!$C:$C, MATCH(1, (VALUE(LEFT(aps_equipes_esf!$A:$A,6))=VALUE(LEFT(B115,6)))*(aps_equipes_esf!$B:$B=C115), 0)), "")</f>
        <v>53</v>
      </c>
      <c r="L115" cm="1">
        <f t="array" aca="1" ref="L115" ca="1">IFERROR(INDEX(casos!$C:$C, MATCH(1, (VALUE(LEFT(casos!$A:$A,6))=VALUE(LEFT(B115,6)))*(casos!$B:$B=C115), 0)), "")</f>
        <v>867</v>
      </c>
      <c r="M115" cm="1">
        <f t="array" ref="M115">IFERROR(INDEX(srag!$D:$D, MATCH(1, (VALUE(LEFT(srag!$A:$A,6))=VALUE(LEFT(B115,6)))*(srag!$C:$C=C115), 0)), "")</f>
        <v>30</v>
      </c>
      <c r="N115" cm="1">
        <f t="array" ref="N115">IFERROR(INDEX(fesp!$E:$E, MATCH(1, (VALUE(LEFT(fesp!$A:$A,6))=VALUE(LEFT(B115,6)))*(fesp!$C:$C=C115), 0)), "")</f>
        <v>878</v>
      </c>
      <c r="O115" cm="1">
        <f t="array" ref="O115">IFERROR(INDEX(fesp!$F:$F, MATCH(1, (VALUE(LEFT(fesp!$A:$A,6))=VALUE(LEFT(B115,6)))*(fesp!$C:$C=C115), 0)), "")</f>
        <v>3709</v>
      </c>
      <c r="P115" cm="1">
        <f t="array" ref="P115">IFERROR(INDEX(fesp!$G:$G, MATCH(1, (VALUE(LEFT(fesp!$A:$A,6))=VALUE(LEFT(B115,6)))*(fesp!$C:$C=C115), 0)), "")</f>
        <v>1468896</v>
      </c>
      <c r="Q115" cm="1">
        <f t="array" ref="Q115">IFERROR(INDEX(fesp!$H:$H, MATCH(1, (VALUE(LEFT(fesp!$A:$A,6))=VALUE(LEFT(B115,6)))*(fesp!$C:$C=C115), 0)), "")</f>
        <v>237</v>
      </c>
      <c r="R115" cm="1">
        <f t="array" ref="R115">IFERROR(INDEX(fesp!$I:$I, MATCH(1, (VALUE(LEFT(fesp!$A:$A,6))=VALUE(LEFT(B115,6)))*(fesp!$C:$C=C115), 0)), "")</f>
        <v>9524</v>
      </c>
      <c r="S115" cm="1">
        <f t="array" ref="S115">IFERROR(INDEX(fesp!$J:$J, MATCH(1, (VALUE(LEFT(fesp!$A:$A,6))=VALUE(LEFT(B115,6)))*(fesp!$C:$C=C115), 0)), "")</f>
        <v>8055</v>
      </c>
    </row>
    <row r="116" spans="1:19">
      <c r="A116" s="1" t="s">
        <v>109</v>
      </c>
      <c r="B116" s="3" t="s">
        <v>108</v>
      </c>
      <c r="C116" s="3">
        <v>2019</v>
      </c>
      <c r="D116" cm="1">
        <f t="array" ref="D116">IFERROR(INDEX(fesp!$D:$D, MATCH(1, (VALUE(LEFT(fesp!$A:$A,6))=VALUE(LEFT(B116,6)))*(fesp!$C:$C=C116), 0)), "")</f>
        <v>0</v>
      </c>
      <c r="E116" cm="1">
        <f t="array" aca="1" ref="E116" ca="1">IFERROR(INDEX(ft_medicos_clinicos!$C:$C, MATCH(1, (VALUE(LEFT(ft_medicos_clinicos!$A:$A,6))=VALUE(LEFT(B116,6)))*(ft_medicos_clinicos!$B:$B=C116), 0)), "")</f>
        <v>235</v>
      </c>
      <c r="F116" cm="1">
        <f t="array" aca="1" ref="F116" ca="1">IFERROR(INDEX(ft_enfermeiros!$C:$C, MATCH(1, (VALUE(LEFT(ft_enfermeiros!$A:$A,6))=VALUE(LEFT(B116,6)))*(ft_enfermeiros!$B:$B=C116), 0)), "")</f>
        <v>665</v>
      </c>
      <c r="G116" cm="1">
        <f t="array" aca="1" ref="G116" ca="1">IFERROR(INDEX(ft_equipes_acs!$C:$C, MATCH(1, (VALUE(LEFT(ft_equipes_acs!$A:$A,6))=VALUE(LEFT(B116,6)))*(ft_equipes_acs!$B:$B=C116), 0)), "")</f>
        <v>5</v>
      </c>
      <c r="H116" cm="1">
        <f t="array" aca="1" ref="H116" ca="1">IFERROR(INDEX(ci_leitos_internacao!$C:$C, MATCH(1, (VALUE(LEFT(ci_leitos_internacao!$A:$A,6))=VALUE(LEFT(B116,6)))*(ci_leitos_internacao!$B:$B=C116), 0)), "")</f>
        <v>1569</v>
      </c>
      <c r="I116" cm="1">
        <f t="array" aca="1" ref="I116" ca="1">IFERROR(INDEX(ci_hospitais_internacao!$C:$C, MATCH(1, (VALUE(LEFT(ci_hospitais_internacao!$A:$A,6))=VALUE(LEFT(B116,6)))*(ci_hospitais_internacao!$B:$B=C116), 0)), "")</f>
        <v>8</v>
      </c>
      <c r="J116" cm="1">
        <f t="array" aca="1" ref="J116" ca="1">IFERROR(INDEX(ci_pa_clinico!$C:$C, MATCH(1, (VALUE(LEFT(ci_pa_clinico!$A:$A,6))=VALUE(LEFT(B116,6)))*(ci_pa_clinico!$B:$B=C116), 0)), "")</f>
        <v>6</v>
      </c>
      <c r="K116" cm="1">
        <f t="array" aca="1" ref="K116" ca="1">IFERROR(INDEX(aps_equipes_esf!$C:$C, MATCH(1, (VALUE(LEFT(aps_equipes_esf!$A:$A,6))=VALUE(LEFT(B116,6)))*(aps_equipes_esf!$B:$B=C116), 0)), "")</f>
        <v>55</v>
      </c>
      <c r="L116" cm="1">
        <f t="array" aca="1" ref="L116" ca="1">IFERROR(INDEX(casos!$C:$C, MATCH(1, (VALUE(LEFT(casos!$A:$A,6))=VALUE(LEFT(B116,6)))*(casos!$B:$B=C116), 0)), "")</f>
        <v>150</v>
      </c>
      <c r="M116" cm="1">
        <f t="array" ref="M116">IFERROR(INDEX(srag!$D:$D, MATCH(1, (VALUE(LEFT(srag!$A:$A,6))=VALUE(LEFT(B116,6)))*(srag!$C:$C=C116), 0)), "")</f>
        <v>42</v>
      </c>
      <c r="N116" cm="1">
        <f t="array" ref="N116">IFERROR(INDEX(fesp!$E:$E, MATCH(1, (VALUE(LEFT(fesp!$A:$A,6))=VALUE(LEFT(B116,6)))*(fesp!$C:$C=C116), 0)), "")</f>
        <v>631</v>
      </c>
      <c r="O116" cm="1">
        <f t="array" ref="O116">IFERROR(INDEX(fesp!$F:$F, MATCH(1, (VALUE(LEFT(fesp!$A:$A,6))=VALUE(LEFT(B116,6)))*(fesp!$C:$C=C116), 0)), "")</f>
        <v>4023</v>
      </c>
      <c r="P116" cm="1">
        <f t="array" ref="P116">IFERROR(INDEX(fesp!$G:$G, MATCH(1, (VALUE(LEFT(fesp!$A:$A,6))=VALUE(LEFT(B116,6)))*(fesp!$C:$C=C116), 0)), "")</f>
        <v>1515695</v>
      </c>
      <c r="Q116" cm="1">
        <f t="array" ref="Q116">IFERROR(INDEX(fesp!$H:$H, MATCH(1, (VALUE(LEFT(fesp!$A:$A,6))=VALUE(LEFT(B116,6)))*(fesp!$C:$C=C116), 0)), "")</f>
        <v>144</v>
      </c>
      <c r="R116" cm="1">
        <f t="array" ref="R116">IFERROR(INDEX(fesp!$I:$I, MATCH(1, (VALUE(LEFT(fesp!$A:$A,6))=VALUE(LEFT(B116,6)))*(fesp!$C:$C=C116), 0)), "")</f>
        <v>1761</v>
      </c>
      <c r="S116" cm="1">
        <f t="array" ref="S116">IFERROR(INDEX(fesp!$J:$J, MATCH(1, (VALUE(LEFT(fesp!$A:$A,6))=VALUE(LEFT(B116,6)))*(fesp!$C:$C=C116), 0)), "")</f>
        <v>6928</v>
      </c>
    </row>
    <row r="117" spans="1:19">
      <c r="A117" s="1" t="s">
        <v>109</v>
      </c>
      <c r="B117" s="3" t="s">
        <v>108</v>
      </c>
      <c r="C117" s="3">
        <v>2020</v>
      </c>
      <c r="D117" cm="1">
        <f t="array" ref="D117">IFERROR(INDEX(fesp!$D:$D, MATCH(1, (VALUE(LEFT(fesp!$A:$A,6))=VALUE(LEFT(B117,6)))*(fesp!$C:$C=C117), 0)), "")</f>
        <v>0</v>
      </c>
      <c r="E117" cm="1">
        <f t="array" aca="1" ref="E117" ca="1">IFERROR(INDEX(ft_medicos_clinicos!$C:$C, MATCH(1, (VALUE(LEFT(ft_medicos_clinicos!$A:$A,6))=VALUE(LEFT(B117,6)))*(ft_medicos_clinicos!$B:$B=C117), 0)), "")</f>
        <v>262</v>
      </c>
      <c r="F117" cm="1">
        <f t="array" aca="1" ref="F117" ca="1">IFERROR(INDEX(ft_enfermeiros!$C:$C, MATCH(1, (VALUE(LEFT(ft_enfermeiros!$A:$A,6))=VALUE(LEFT(B117,6)))*(ft_enfermeiros!$B:$B=C117), 0)), "")</f>
        <v>688</v>
      </c>
      <c r="G117" t="str" cm="1">
        <f t="array" aca="1" ref="G117" ca="1">IFERROR(INDEX(ft_equipes_acs!$C:$C, MATCH(1, (VALUE(LEFT(ft_equipes_acs!$A:$A,6))=VALUE(LEFT(B117,6)))*(ft_equipes_acs!$B:$B=C117), 0)), "")</f>
        <v>-</v>
      </c>
      <c r="H117" cm="1">
        <f t="array" aca="1" ref="H117" ca="1">IFERROR(INDEX(ci_leitos_internacao!$C:$C, MATCH(1, (VALUE(LEFT(ci_leitos_internacao!$A:$A,6))=VALUE(LEFT(B117,6)))*(ci_leitos_internacao!$B:$B=C117), 0)), "")</f>
        <v>1803</v>
      </c>
      <c r="I117" cm="1">
        <f t="array" aca="1" ref="I117" ca="1">IFERROR(INDEX(ci_hospitais_internacao!$C:$C, MATCH(1, (VALUE(LEFT(ci_hospitais_internacao!$A:$A,6))=VALUE(LEFT(B117,6)))*(ci_hospitais_internacao!$B:$B=C117), 0)), "")</f>
        <v>10</v>
      </c>
      <c r="J117" cm="1">
        <f t="array" aca="1" ref="J117" ca="1">IFERROR(INDEX(ci_pa_clinico!$C:$C, MATCH(1, (VALUE(LEFT(ci_pa_clinico!$A:$A,6))=VALUE(LEFT(B117,6)))*(ci_pa_clinico!$B:$B=C117), 0)), "")</f>
        <v>6</v>
      </c>
      <c r="K117" t="str" cm="1">
        <f t="array" aca="1" ref="K117" ca="1">IFERROR(INDEX(aps_equipes_esf!$C:$C, MATCH(1, (VALUE(LEFT(aps_equipes_esf!$A:$A,6))=VALUE(LEFT(B117,6)))*(aps_equipes_esf!$B:$B=C117), 0)), "")</f>
        <v>-</v>
      </c>
      <c r="L117" cm="1">
        <f t="array" aca="1" ref="L117" ca="1">IFERROR(INDEX(casos!$C:$C, MATCH(1, (VALUE(LEFT(casos!$A:$A,6))=VALUE(LEFT(B117,6)))*(casos!$B:$B=C117), 0)), "")</f>
        <v>401</v>
      </c>
      <c r="M117" cm="1">
        <f t="array" ref="M117">IFERROR(INDEX(srag!$D:$D, MATCH(1, (VALUE(LEFT(srag!$A:$A,6))=VALUE(LEFT(B117,6)))*(srag!$C:$C=C117), 0)), "")</f>
        <v>2242</v>
      </c>
      <c r="N117" cm="1">
        <f t="array" ref="N117">IFERROR(INDEX(fesp!$E:$E, MATCH(1, (VALUE(LEFT(fesp!$A:$A,6))=VALUE(LEFT(B117,6)))*(fesp!$C:$C=C117), 0)), "")</f>
        <v>441</v>
      </c>
      <c r="O117" cm="1">
        <f t="array" ref="O117">IFERROR(INDEX(fesp!$F:$F, MATCH(1, (VALUE(LEFT(fesp!$A:$A,6))=VALUE(LEFT(B117,6)))*(fesp!$C:$C=C117), 0)), "")</f>
        <v>2671</v>
      </c>
      <c r="P117" cm="1">
        <f t="array" ref="P117">IFERROR(INDEX(fesp!$G:$G, MATCH(1, (VALUE(LEFT(fesp!$A:$A,6))=VALUE(LEFT(B117,6)))*(fesp!$C:$C=C117), 0)), "")</f>
        <v>1160327</v>
      </c>
      <c r="Q117" cm="1">
        <f t="array" ref="Q117">IFERROR(INDEX(fesp!$H:$H, MATCH(1, (VALUE(LEFT(fesp!$A:$A,6))=VALUE(LEFT(B117,6)))*(fesp!$C:$C=C117), 0)), "")</f>
        <v>118</v>
      </c>
      <c r="R117" cm="1">
        <f t="array" ref="R117">IFERROR(INDEX(fesp!$I:$I, MATCH(1, (VALUE(LEFT(fesp!$A:$A,6))=VALUE(LEFT(B117,6)))*(fesp!$C:$C=C117), 0)), "")</f>
        <v>501</v>
      </c>
      <c r="S117" cm="1">
        <f t="array" ref="S117">IFERROR(INDEX(fesp!$J:$J, MATCH(1, (VALUE(LEFT(fesp!$A:$A,6))=VALUE(LEFT(B117,6)))*(fesp!$C:$C=C117), 0)), "")</f>
        <v>5507</v>
      </c>
    </row>
    <row r="118" spans="1:19">
      <c r="A118" s="1" t="s">
        <v>109</v>
      </c>
      <c r="B118" s="3" t="s">
        <v>108</v>
      </c>
      <c r="C118" s="3">
        <v>2021</v>
      </c>
      <c r="D118" cm="1">
        <f t="array" ref="D118">IFERROR(INDEX(fesp!$D:$D, MATCH(1, (VALUE(LEFT(fesp!$A:$A,6))=VALUE(LEFT(B118,6)))*(fesp!$C:$C=C118), 0)), "")</f>
        <v>0</v>
      </c>
      <c r="E118" cm="1">
        <f t="array" aca="1" ref="E118" ca="1">IFERROR(INDEX(ft_medicos_clinicos!$C:$C, MATCH(1, (VALUE(LEFT(ft_medicos_clinicos!$A:$A,6))=VALUE(LEFT(B118,6)))*(ft_medicos_clinicos!$B:$B=C118), 0)), "")</f>
        <v>286</v>
      </c>
      <c r="F118" cm="1">
        <f t="array" aca="1" ref="F118" ca="1">IFERROR(INDEX(ft_enfermeiros!$C:$C, MATCH(1, (VALUE(LEFT(ft_enfermeiros!$A:$A,6))=VALUE(LEFT(B118,6)))*(ft_enfermeiros!$B:$B=C118), 0)), "")</f>
        <v>802</v>
      </c>
      <c r="G118" t="str" cm="1">
        <f t="array" aca="1" ref="G118" ca="1">IFERROR(INDEX(ft_equipes_acs!$C:$C, MATCH(1, (VALUE(LEFT(ft_equipes_acs!$A:$A,6))=VALUE(LEFT(B118,6)))*(ft_equipes_acs!$B:$B=C118), 0)), "")</f>
        <v>-</v>
      </c>
      <c r="H118" cm="1">
        <f t="array" aca="1" ref="H118" ca="1">IFERROR(INDEX(ci_leitos_internacao!$C:$C, MATCH(1, (VALUE(LEFT(ci_leitos_internacao!$A:$A,6))=VALUE(LEFT(B118,6)))*(ci_leitos_internacao!$B:$B=C118), 0)), "")</f>
        <v>1939</v>
      </c>
      <c r="I118" cm="1">
        <f t="array" aca="1" ref="I118" ca="1">IFERROR(INDEX(ci_hospitais_internacao!$C:$C, MATCH(1, (VALUE(LEFT(ci_hospitais_internacao!$A:$A,6))=VALUE(LEFT(B118,6)))*(ci_hospitais_internacao!$B:$B=C118), 0)), "")</f>
        <v>11</v>
      </c>
      <c r="J118" cm="1">
        <f t="array" aca="1" ref="J118" ca="1">IFERROR(INDEX(ci_pa_clinico!$C:$C, MATCH(1, (VALUE(LEFT(ci_pa_clinico!$A:$A,6))=VALUE(LEFT(B118,6)))*(ci_pa_clinico!$B:$B=C118), 0)), "")</f>
        <v>6</v>
      </c>
      <c r="K118" t="str" cm="1">
        <f t="array" aca="1" ref="K118" ca="1">IFERROR(INDEX(aps_equipes_esf!$C:$C, MATCH(1, (VALUE(LEFT(aps_equipes_esf!$A:$A,6))=VALUE(LEFT(B118,6)))*(aps_equipes_esf!$B:$B=C118), 0)), "")</f>
        <v>-</v>
      </c>
      <c r="L118" cm="1">
        <f t="array" aca="1" ref="L118" ca="1">IFERROR(INDEX(casos!$C:$C, MATCH(1, (VALUE(LEFT(casos!$A:$A,6))=VALUE(LEFT(B118,6)))*(casos!$B:$B=C118), 0)), "")</f>
        <v>118</v>
      </c>
      <c r="M118" cm="1">
        <f t="array" ref="M118">IFERROR(INDEX(srag!$D:$D, MATCH(1, (VALUE(LEFT(srag!$A:$A,6))=VALUE(LEFT(B118,6)))*(srag!$C:$C=C118), 0)), "")</f>
        <v>3782</v>
      </c>
      <c r="N118" cm="1">
        <f t="array" ref="N118">IFERROR(INDEX(fesp!$E:$E, MATCH(1, (VALUE(LEFT(fesp!$A:$A,6))=VALUE(LEFT(B118,6)))*(fesp!$C:$C=C118), 0)), "")</f>
        <v>593</v>
      </c>
      <c r="O118" cm="1">
        <f t="array" ref="O118">IFERROR(INDEX(fesp!$F:$F, MATCH(1, (VALUE(LEFT(fesp!$A:$A,6))=VALUE(LEFT(B118,6)))*(fesp!$C:$C=C118), 0)), "")</f>
        <v>4602</v>
      </c>
      <c r="P118" cm="1">
        <f t="array" ref="P118">IFERROR(INDEX(fesp!$G:$G, MATCH(1, (VALUE(LEFT(fesp!$A:$A,6))=VALUE(LEFT(B118,6)))*(fesp!$C:$C=C118), 0)), "")</f>
        <v>1560659</v>
      </c>
      <c r="Q118" cm="1">
        <f t="array" ref="Q118">IFERROR(INDEX(fesp!$H:$H, MATCH(1, (VALUE(LEFT(fesp!$A:$A,6))=VALUE(LEFT(B118,6)))*(fesp!$C:$C=C118), 0)), "")</f>
        <v>168</v>
      </c>
      <c r="R118" cm="1">
        <f t="array" ref="R118">IFERROR(INDEX(fesp!$I:$I, MATCH(1, (VALUE(LEFT(fesp!$A:$A,6))=VALUE(LEFT(B118,6)))*(fesp!$C:$C=C118), 0)), "")</f>
        <v>610</v>
      </c>
      <c r="S118" cm="1">
        <f t="array" ref="S118">IFERROR(INDEX(fesp!$J:$J, MATCH(1, (VALUE(LEFT(fesp!$A:$A,6))=VALUE(LEFT(B118,6)))*(fesp!$C:$C=C118), 0)), "")</f>
        <v>6373</v>
      </c>
    </row>
    <row r="119" spans="1:19">
      <c r="A119" s="1" t="s">
        <v>109</v>
      </c>
      <c r="B119" s="3" t="s">
        <v>108</v>
      </c>
      <c r="C119" s="3">
        <v>2022</v>
      </c>
      <c r="D119" cm="1">
        <f t="array" ref="D119">IFERROR(INDEX(fesp!$D:$D, MATCH(1, (VALUE(LEFT(fesp!$A:$A,6))=VALUE(LEFT(B119,6)))*(fesp!$C:$C=C119), 0)), "")</f>
        <v>419379</v>
      </c>
      <c r="E119" cm="1">
        <f t="array" aca="1" ref="E119" ca="1">IFERROR(INDEX(ft_medicos_clinicos!$C:$C, MATCH(1, (VALUE(LEFT(ft_medicos_clinicos!$A:$A,6))=VALUE(LEFT(B119,6)))*(ft_medicos_clinicos!$B:$B=C119), 0)), "")</f>
        <v>358</v>
      </c>
      <c r="F119" cm="1">
        <f t="array" aca="1" ref="F119" ca="1">IFERROR(INDEX(ft_enfermeiros!$C:$C, MATCH(1, (VALUE(LEFT(ft_enfermeiros!$A:$A,6))=VALUE(LEFT(B119,6)))*(ft_enfermeiros!$B:$B=C119), 0)), "")</f>
        <v>847</v>
      </c>
      <c r="G119" t="str" cm="1">
        <f t="array" aca="1" ref="G119" ca="1">IFERROR(INDEX(ft_equipes_acs!$C:$C, MATCH(1, (VALUE(LEFT(ft_equipes_acs!$A:$A,6))=VALUE(LEFT(B119,6)))*(ft_equipes_acs!$B:$B=C119), 0)), "")</f>
        <v>-</v>
      </c>
      <c r="H119" cm="1">
        <f t="array" aca="1" ref="H119" ca="1">IFERROR(INDEX(ci_leitos_internacao!$C:$C, MATCH(1, (VALUE(LEFT(ci_leitos_internacao!$A:$A,6))=VALUE(LEFT(B119,6)))*(ci_leitos_internacao!$B:$B=C119), 0)), "")</f>
        <v>1958</v>
      </c>
      <c r="I119" cm="1">
        <f t="array" aca="1" ref="I119" ca="1">IFERROR(INDEX(ci_hospitais_internacao!$C:$C, MATCH(1, (VALUE(LEFT(ci_hospitais_internacao!$A:$A,6))=VALUE(LEFT(B119,6)))*(ci_hospitais_internacao!$B:$B=C119), 0)), "")</f>
        <v>10</v>
      </c>
      <c r="J119" cm="1">
        <f t="array" aca="1" ref="J119" ca="1">IFERROR(INDEX(ci_pa_clinico!$C:$C, MATCH(1, (VALUE(LEFT(ci_pa_clinico!$A:$A,6))=VALUE(LEFT(B119,6)))*(ci_pa_clinico!$B:$B=C119), 0)), "")</f>
        <v>6</v>
      </c>
      <c r="K119" t="str" cm="1">
        <f t="array" aca="1" ref="K119" ca="1">IFERROR(INDEX(aps_equipes_esf!$C:$C, MATCH(1, (VALUE(LEFT(aps_equipes_esf!$A:$A,6))=VALUE(LEFT(B119,6)))*(aps_equipes_esf!$B:$B=C119), 0)), "")</f>
        <v>-</v>
      </c>
      <c r="L119" cm="1">
        <f t="array" aca="1" ref="L119" ca="1">IFERROR(INDEX(casos!$C:$C, MATCH(1, (VALUE(LEFT(casos!$A:$A,6))=VALUE(LEFT(B119,6)))*(casos!$B:$B=C119), 0)), "")</f>
        <v>354</v>
      </c>
      <c r="M119" cm="1">
        <f t="array" ref="M119">IFERROR(INDEX(srag!$D:$D, MATCH(1, (VALUE(LEFT(srag!$A:$A,6))=VALUE(LEFT(B119,6)))*(srag!$C:$C=C119), 0)), "")</f>
        <v>959</v>
      </c>
      <c r="N119" cm="1">
        <f t="array" ref="N119">IFERROR(INDEX(fesp!$E:$E, MATCH(1, (VALUE(LEFT(fesp!$A:$A,6))=VALUE(LEFT(B119,6)))*(fesp!$C:$C=C119), 0)), "")</f>
        <v>472</v>
      </c>
      <c r="O119" cm="1">
        <f t="array" ref="O119">IFERROR(INDEX(fesp!$F:$F, MATCH(1, (VALUE(LEFT(fesp!$A:$A,6))=VALUE(LEFT(B119,6)))*(fesp!$C:$C=C119), 0)), "")</f>
        <v>6594</v>
      </c>
      <c r="P119" cm="1">
        <f t="array" ref="P119">IFERROR(INDEX(fesp!$G:$G, MATCH(1, (VALUE(LEFT(fesp!$A:$A,6))=VALUE(LEFT(B119,6)))*(fesp!$C:$C=C119), 0)), "")</f>
        <v>2069873</v>
      </c>
      <c r="Q119" cm="1">
        <f t="array" ref="Q119">IFERROR(INDEX(fesp!$H:$H, MATCH(1, (VALUE(LEFT(fesp!$A:$A,6))=VALUE(LEFT(B119,6)))*(fesp!$C:$C=C119), 0)), "")</f>
        <v>88</v>
      </c>
      <c r="R119" cm="1">
        <f t="array" ref="R119">IFERROR(INDEX(fesp!$I:$I, MATCH(1, (VALUE(LEFT(fesp!$A:$A,6))=VALUE(LEFT(B119,6)))*(fesp!$C:$C=C119), 0)), "")</f>
        <v>227</v>
      </c>
      <c r="S119" cm="1">
        <f t="array" ref="S119">IFERROR(INDEX(fesp!$J:$J, MATCH(1, (VALUE(LEFT(fesp!$A:$A,6))=VALUE(LEFT(B119,6)))*(fesp!$C:$C=C119), 0)), "")</f>
        <v>6847</v>
      </c>
    </row>
    <row r="120" spans="1:19">
      <c r="A120" s="1" t="s">
        <v>109</v>
      </c>
      <c r="B120" s="3" t="s">
        <v>108</v>
      </c>
      <c r="C120" s="3">
        <v>2023</v>
      </c>
      <c r="D120" cm="1">
        <f t="array" ref="D120">IFERROR(INDEX(fesp!$D:$D, MATCH(1, (VALUE(LEFT(fesp!$A:$A,6))=VALUE(LEFT(B120,6)))*(fesp!$C:$C=C120), 0)), "")</f>
        <v>0</v>
      </c>
      <c r="E120" cm="1">
        <f t="array" aca="1" ref="E120" ca="1">IFERROR(INDEX(ft_medicos_clinicos!$C:$C, MATCH(1, (VALUE(LEFT(ft_medicos_clinicos!$A:$A,6))=VALUE(LEFT(B120,6)))*(ft_medicos_clinicos!$B:$B=C120), 0)), "")</f>
        <v>426</v>
      </c>
      <c r="F120" cm="1">
        <f t="array" aca="1" ref="F120" ca="1">IFERROR(INDEX(ft_enfermeiros!$C:$C, MATCH(1, (VALUE(LEFT(ft_enfermeiros!$A:$A,6))=VALUE(LEFT(B120,6)))*(ft_enfermeiros!$B:$B=C120), 0)), "")</f>
        <v>1170</v>
      </c>
      <c r="G120" t="str" cm="1">
        <f t="array" aca="1" ref="G120" ca="1">IFERROR(INDEX(ft_equipes_acs!$C:$C, MATCH(1, (VALUE(LEFT(ft_equipes_acs!$A:$A,6))=VALUE(LEFT(B120,6)))*(ft_equipes_acs!$B:$B=C120), 0)), "")</f>
        <v>-</v>
      </c>
      <c r="H120" cm="1">
        <f t="array" aca="1" ref="H120" ca="1">IFERROR(INDEX(ci_leitos_internacao!$C:$C, MATCH(1, (VALUE(LEFT(ci_leitos_internacao!$A:$A,6))=VALUE(LEFT(B120,6)))*(ci_leitos_internacao!$B:$B=C120), 0)), "")</f>
        <v>2219</v>
      </c>
      <c r="I120" cm="1">
        <f t="array" aca="1" ref="I120" ca="1">IFERROR(INDEX(ci_hospitais_internacao!$C:$C, MATCH(1, (VALUE(LEFT(ci_hospitais_internacao!$A:$A,6))=VALUE(LEFT(B120,6)))*(ci_hospitais_internacao!$B:$B=C120), 0)), "")</f>
        <v>10</v>
      </c>
      <c r="J120" cm="1">
        <f t="array" aca="1" ref="J120" ca="1">IFERROR(INDEX(ci_pa_clinico!$C:$C, MATCH(1, (VALUE(LEFT(ci_pa_clinico!$A:$A,6))=VALUE(LEFT(B120,6)))*(ci_pa_clinico!$B:$B=C120), 0)), "")</f>
        <v>6</v>
      </c>
      <c r="K120" t="str" cm="1">
        <f t="array" aca="1" ref="K120" ca="1">IFERROR(INDEX(aps_equipes_esf!$C:$C, MATCH(1, (VALUE(LEFT(aps_equipes_esf!$A:$A,6))=VALUE(LEFT(B120,6)))*(aps_equipes_esf!$B:$B=C120), 0)), "")</f>
        <v>-</v>
      </c>
      <c r="L120" cm="1">
        <f t="array" aca="1" ref="L120" ca="1">IFERROR(INDEX(casos!$C:$C, MATCH(1, (VALUE(LEFT(casos!$A:$A,6))=VALUE(LEFT(B120,6)))*(casos!$B:$B=C120), 0)), "")</f>
        <v>120</v>
      </c>
      <c r="M120" cm="1">
        <f t="array" ref="M120">IFERROR(INDEX(srag!$D:$D, MATCH(1, (VALUE(LEFT(srag!$A:$A,6))=VALUE(LEFT(B120,6)))*(srag!$C:$C=C120), 0)), "")</f>
        <v>898</v>
      </c>
      <c r="N120" cm="1">
        <f t="array" ref="N120">IFERROR(INDEX(fesp!$E:$E, MATCH(1, (VALUE(LEFT(fesp!$A:$A,6))=VALUE(LEFT(B120,6)))*(fesp!$C:$C=C120), 0)), "")</f>
        <v>370</v>
      </c>
      <c r="O120" cm="1">
        <f t="array" ref="O120">IFERROR(INDEX(fesp!$F:$F, MATCH(1, (VALUE(LEFT(fesp!$A:$A,6))=VALUE(LEFT(B120,6)))*(fesp!$C:$C=C120), 0)), "")</f>
        <v>7461</v>
      </c>
      <c r="P120" cm="1">
        <f t="array" ref="P120">IFERROR(INDEX(fesp!$G:$G, MATCH(1, (VALUE(LEFT(fesp!$A:$A,6))=VALUE(LEFT(B120,6)))*(fesp!$C:$C=C120), 0)), "")</f>
        <v>2197735</v>
      </c>
      <c r="Q120" cm="1">
        <f t="array" ref="Q120">IFERROR(INDEX(fesp!$H:$H, MATCH(1, (VALUE(LEFT(fesp!$A:$A,6))=VALUE(LEFT(B120,6)))*(fesp!$C:$C=C120), 0)), "")</f>
        <v>89</v>
      </c>
      <c r="R120" cm="1">
        <f t="array" ref="R120">IFERROR(INDEX(fesp!$I:$I, MATCH(1, (VALUE(LEFT(fesp!$A:$A,6))=VALUE(LEFT(B120,6)))*(fesp!$C:$C=C120), 0)), "")</f>
        <v>69</v>
      </c>
      <c r="S120" cm="1">
        <f t="array" ref="S120">IFERROR(INDEX(fesp!$J:$J, MATCH(1, (VALUE(LEFT(fesp!$A:$A,6))=VALUE(LEFT(B120,6)))*(fesp!$C:$C=C120), 0)), "")</f>
        <v>1699</v>
      </c>
    </row>
    <row r="121" spans="1:19">
      <c r="A121" s="1" t="s">
        <v>109</v>
      </c>
      <c r="B121" s="3" t="s">
        <v>108</v>
      </c>
      <c r="C121" s="3">
        <v>2024</v>
      </c>
      <c r="D121" cm="1">
        <f t="array" ref="D121">IFERROR(INDEX(fesp!$D:$D, MATCH(1, (VALUE(LEFT(fesp!$A:$A,6))=VALUE(LEFT(B121,6)))*(fesp!$C:$C=C121), 0)), "")</f>
        <v>0</v>
      </c>
      <c r="E121" cm="1">
        <f t="array" aca="1" ref="E121" ca="1">IFERROR(INDEX(ft_medicos_clinicos!$C:$C, MATCH(1, (VALUE(LEFT(ft_medicos_clinicos!$A:$A,6))=VALUE(LEFT(B121,6)))*(ft_medicos_clinicos!$B:$B=C121), 0)), "")</f>
        <v>582</v>
      </c>
      <c r="F121" cm="1">
        <f t="array" aca="1" ref="F121" ca="1">IFERROR(INDEX(ft_enfermeiros!$C:$C, MATCH(1, (VALUE(LEFT(ft_enfermeiros!$A:$A,6))=VALUE(LEFT(B121,6)))*(ft_enfermeiros!$B:$B=C121), 0)), "")</f>
        <v>1317</v>
      </c>
      <c r="G121" t="str" cm="1">
        <f t="array" aca="1" ref="G121" ca="1">IFERROR(INDEX(ft_equipes_acs!$C:$C, MATCH(1, (VALUE(LEFT(ft_equipes_acs!$A:$A,6))=VALUE(LEFT(B121,6)))*(ft_equipes_acs!$B:$B=C121), 0)), "")</f>
        <v>-</v>
      </c>
      <c r="H121" cm="1">
        <f t="array" aca="1" ref="H121" ca="1">IFERROR(INDEX(ci_leitos_internacao!$C:$C, MATCH(1, (VALUE(LEFT(ci_leitos_internacao!$A:$A,6))=VALUE(LEFT(B121,6)))*(ci_leitos_internacao!$B:$B=C121), 0)), "")</f>
        <v>2088</v>
      </c>
      <c r="I121" cm="1">
        <f t="array" aca="1" ref="I121" ca="1">IFERROR(INDEX(ci_hospitais_internacao!$C:$C, MATCH(1, (VALUE(LEFT(ci_hospitais_internacao!$A:$A,6))=VALUE(LEFT(B121,6)))*(ci_hospitais_internacao!$B:$B=C121), 0)), "")</f>
        <v>10</v>
      </c>
      <c r="J121" cm="1">
        <f t="array" aca="1" ref="J121" ca="1">IFERROR(INDEX(ci_pa_clinico!$C:$C, MATCH(1, (VALUE(LEFT(ci_pa_clinico!$A:$A,6))=VALUE(LEFT(B121,6)))*(ci_pa_clinico!$B:$B=C121), 0)), "")</f>
        <v>6</v>
      </c>
      <c r="K121" t="str" cm="1">
        <f t="array" aca="1" ref="K121" ca="1">IFERROR(INDEX(aps_equipes_esf!$C:$C, MATCH(1, (VALUE(LEFT(aps_equipes_esf!$A:$A,6))=VALUE(LEFT(B121,6)))*(aps_equipes_esf!$B:$B=C121), 0)), "")</f>
        <v>-</v>
      </c>
      <c r="L121" cm="1">
        <f t="array" aca="1" ref="L121" ca="1">IFERROR(INDEX(casos!$C:$C, MATCH(1, (VALUE(LEFT(casos!$A:$A,6))=VALUE(LEFT(B121,6)))*(casos!$B:$B=C121), 0)), "")</f>
        <v>466</v>
      </c>
      <c r="M121" cm="1">
        <f t="array" ref="M121">IFERROR(INDEX(srag!$D:$D, MATCH(1, (VALUE(LEFT(srag!$A:$A,6))=VALUE(LEFT(B121,6)))*(srag!$C:$C=C121), 0)), "")</f>
        <v>921</v>
      </c>
      <c r="N121" cm="1">
        <f t="array" ref="N121">IFERROR(INDEX(fesp!$E:$E, MATCH(1, (VALUE(LEFT(fesp!$A:$A,6))=VALUE(LEFT(B121,6)))*(fesp!$C:$C=C121), 0)), "")</f>
        <v>508</v>
      </c>
      <c r="O121" cm="1">
        <f t="array" ref="O121">IFERROR(INDEX(fesp!$F:$F, MATCH(1, (VALUE(LEFT(fesp!$A:$A,6))=VALUE(LEFT(B121,6)))*(fesp!$C:$C=C121), 0)), "")</f>
        <v>8595</v>
      </c>
      <c r="P121" cm="1">
        <f t="array" ref="P121">IFERROR(INDEX(fesp!$G:$G, MATCH(1, (VALUE(LEFT(fesp!$A:$A,6))=VALUE(LEFT(B121,6)))*(fesp!$C:$C=C121), 0)), "")</f>
        <v>2123065</v>
      </c>
      <c r="Q121" cm="1">
        <f t="array" ref="Q121">IFERROR(INDEX(fesp!$H:$H, MATCH(1, (VALUE(LEFT(fesp!$A:$A,6))=VALUE(LEFT(B121,6)))*(fesp!$C:$C=C121), 0)), "")</f>
        <v>83</v>
      </c>
      <c r="R121" cm="1">
        <f t="array" ref="R121">IFERROR(INDEX(fesp!$I:$I, MATCH(1, (VALUE(LEFT(fesp!$A:$A,6))=VALUE(LEFT(B121,6)))*(fesp!$C:$C=C121), 0)), "")</f>
        <v>220</v>
      </c>
      <c r="S121" cm="1">
        <f t="array" ref="S121">IFERROR(INDEX(fesp!$J:$J, MATCH(1, (VALUE(LEFT(fesp!$A:$A,6))=VALUE(LEFT(B121,6)))*(fesp!$C:$C=C121), 0)), "")</f>
        <v>1069</v>
      </c>
    </row>
    <row r="122" spans="1:19">
      <c r="A122" s="1" t="s">
        <v>109</v>
      </c>
      <c r="B122" s="3">
        <v>2504009</v>
      </c>
      <c r="C122" s="3">
        <v>2025</v>
      </c>
      <c r="D122" cm="1">
        <f t="array" ref="D122">IFERROR(INDEX(fesp!$D:$D, MATCH(1, (VALUE(LEFT(fesp!$A:$A,6))=VALUE(LEFT(B122,6)))*(fesp!$C:$C=C122), 0)), "")</f>
        <v>0</v>
      </c>
      <c r="E122" cm="1">
        <f t="array" aca="1" ref="E122" ca="1">IFERROR(INDEX(ft_medicos_clinicos!$C:$C, MATCH(1, (VALUE(LEFT(ft_medicos_clinicos!$A:$A,6))=VALUE(LEFT(B122,6)))*(ft_medicos_clinicos!$B:$B=C122), 0)), "")</f>
        <v>689</v>
      </c>
      <c r="F122" cm="1">
        <f t="array" aca="1" ref="F122" ca="1">IFERROR(INDEX(ft_enfermeiros!$C:$C, MATCH(1, (VALUE(LEFT(ft_enfermeiros!$A:$A,6))=VALUE(LEFT(B122,6)))*(ft_enfermeiros!$B:$B=C122), 0)), "")</f>
        <v>1367</v>
      </c>
      <c r="G122" t="str" cm="1">
        <f t="array" aca="1" ref="G122" ca="1">IFERROR(INDEX(ft_equipes_acs!$C:$C, MATCH(1, (VALUE(LEFT(ft_equipes_acs!$A:$A,6))=VALUE(LEFT(B122,6)))*(ft_equipes_acs!$B:$B=C122), 0)), "")</f>
        <v>-</v>
      </c>
      <c r="H122" cm="1">
        <f t="array" aca="1" ref="H122" ca="1">IFERROR(INDEX(ci_leitos_internacao!$C:$C, MATCH(1, (VALUE(LEFT(ci_leitos_internacao!$A:$A,6))=VALUE(LEFT(B122,6)))*(ci_leitos_internacao!$B:$B=C122), 0)), "")</f>
        <v>2225</v>
      </c>
      <c r="I122" cm="1">
        <f t="array" aca="1" ref="I122" ca="1">IFERROR(INDEX(ci_hospitais_internacao!$C:$C, MATCH(1, (VALUE(LEFT(ci_hospitais_internacao!$A:$A,6))=VALUE(LEFT(B122,6)))*(ci_hospitais_internacao!$B:$B=C122), 0)), "")</f>
        <v>11</v>
      </c>
      <c r="J122" cm="1">
        <f t="array" aca="1" ref="J122" ca="1">IFERROR(INDEX(ci_pa_clinico!$C:$C, MATCH(1, (VALUE(LEFT(ci_pa_clinico!$A:$A,6))=VALUE(LEFT(B122,6)))*(ci_pa_clinico!$B:$B=C122), 0)), "")</f>
        <v>7</v>
      </c>
      <c r="K122" t="str" cm="1">
        <f t="array" aca="1" ref="K122" ca="1">IFERROR(INDEX(aps_equipes_esf!$C:$C, MATCH(1, (VALUE(LEFT(aps_equipes_esf!$A:$A,6))=VALUE(LEFT(B122,6)))*(aps_equipes_esf!$B:$B=C122), 0)), "")</f>
        <v>-</v>
      </c>
      <c r="L122" cm="1">
        <f t="array" aca="1" ref="L122" ca="1">IFERROR(INDEX(casos!$C:$C, MATCH(1, (VALUE(LEFT(casos!$A:$A,6))=VALUE(LEFT(B122,6)))*(casos!$B:$B=C122), 0)), "")</f>
        <v>236</v>
      </c>
      <c r="M122" cm="1">
        <f t="array" ref="M122">IFERROR(INDEX(srag!$D:$D, MATCH(1, (VALUE(LEFT(srag!$A:$A,6))=VALUE(LEFT(B122,6)))*(srag!$C:$C=C122), 0)), "")</f>
        <v>1546</v>
      </c>
      <c r="N122" cm="1">
        <f t="array" ref="N122">IFERROR(INDEX(fesp!$E:$E, MATCH(1, (VALUE(LEFT(fesp!$A:$A,6))=VALUE(LEFT(B122,6)))*(fesp!$C:$C=C122), 0)), "")</f>
        <v>335</v>
      </c>
      <c r="O122" cm="1">
        <f t="array" ref="O122">IFERROR(INDEX(fesp!$F:$F, MATCH(1, (VALUE(LEFT(fesp!$A:$A,6))=VALUE(LEFT(B122,6)))*(fesp!$C:$C=C122), 0)), "")</f>
        <v>6794</v>
      </c>
      <c r="P122" cm="1">
        <f t="array" ref="P122">IFERROR(INDEX(fesp!$G:$G, MATCH(1, (VALUE(LEFT(fesp!$A:$A,6))=VALUE(LEFT(B122,6)))*(fesp!$C:$C=C122), 0)), "")</f>
        <v>1494124</v>
      </c>
      <c r="Q122" cm="1">
        <f t="array" ref="Q122">IFERROR(INDEX(fesp!$H:$H, MATCH(1, (VALUE(LEFT(fesp!$A:$A,6))=VALUE(LEFT(B122,6)))*(fesp!$C:$C=C122), 0)), "")</f>
        <v>55</v>
      </c>
      <c r="R122" cm="1">
        <f t="array" ref="R122">IFERROR(INDEX(fesp!$I:$I, MATCH(1, (VALUE(LEFT(fesp!$A:$A,6))=VALUE(LEFT(B122,6)))*(fesp!$C:$C=C122), 0)), "")</f>
        <v>349</v>
      </c>
      <c r="S122" cm="1">
        <f t="array" ref="S122">IFERROR(INDEX(fesp!$J:$J, MATCH(1, (VALUE(LEFT(fesp!$A:$A,6))=VALUE(LEFT(B122,6)))*(fesp!$C:$C=C122), 0)), "")</f>
        <v>304</v>
      </c>
    </row>
    <row r="123" spans="1:19">
      <c r="A123" s="1" t="s">
        <v>39</v>
      </c>
      <c r="B123" s="3">
        <v>2507507</v>
      </c>
      <c r="C123" s="3">
        <v>2015</v>
      </c>
      <c r="D123" cm="1">
        <f t="array" ref="D123">IFERROR(INDEX(fesp!$D:$D, MATCH(1, (VALUE(LEFT(fesp!$A:$A,6))=VALUE(LEFT(B123,6)))*(fesp!$C:$C=C123), 0)), "")</f>
        <v>791438</v>
      </c>
      <c r="E123" cm="1">
        <f t="array" aca="1" ref="E123" ca="1">IFERROR(INDEX(ft_medicos_clinicos!$C:$C, MATCH(1, (VALUE(LEFT(ft_medicos_clinicos!$A:$A,6))=VALUE(LEFT(B123,6)))*(ft_medicos_clinicos!$B:$B=C123), 0)), "")</f>
        <v>411</v>
      </c>
      <c r="F123" cm="1">
        <f t="array" aca="1" ref="F123" ca="1">IFERROR(INDEX(ft_enfermeiros!$C:$C, MATCH(1, (VALUE(LEFT(ft_enfermeiros!$A:$A,6))=VALUE(LEFT(B123,6)))*(ft_enfermeiros!$B:$B=C123), 0)), "")</f>
        <v>1211</v>
      </c>
      <c r="G123" t="str" cm="1">
        <f t="array" aca="1" ref="G123" ca="1">IFERROR(INDEX(ft_equipes_acs!$C:$C, MATCH(1, (VALUE(LEFT(ft_equipes_acs!$A:$A,6))=VALUE(LEFT(B123,6)))*(ft_equipes_acs!$B:$B=C123), 0)), "")</f>
        <v/>
      </c>
      <c r="H123" cm="1">
        <f t="array" aca="1" ref="H123" ca="1">IFERROR(INDEX(ci_leitos_internacao!$C:$C, MATCH(1, (VALUE(LEFT(ci_leitos_internacao!$A:$A,6))=VALUE(LEFT(B123,6)))*(ci_leitos_internacao!$B:$B=C123), 0)), "")</f>
        <v>2791</v>
      </c>
      <c r="I123" cm="1">
        <f t="array" aca="1" ref="I123" ca="1">IFERROR(INDEX(ci_hospitais_internacao!$C:$C, MATCH(1, (VALUE(LEFT(ci_hospitais_internacao!$A:$A,6))=VALUE(LEFT(B123,6)))*(ci_hospitais_internacao!$B:$B=C123), 0)), "")</f>
        <v>10</v>
      </c>
      <c r="J123" t="str" cm="1">
        <f t="array" aca="1" ref="J123" ca="1">IFERROR(INDEX(ci_pa_clinico!$C:$C, MATCH(1, (VALUE(LEFT(ci_pa_clinico!$A:$A,6))=VALUE(LEFT(B123,6)))*(ci_pa_clinico!$B:$B=C123), 0)), "")</f>
        <v/>
      </c>
      <c r="K123" cm="1">
        <f t="array" aca="1" ref="K123" ca="1">IFERROR(INDEX(aps_equipes_esf!$C:$C, MATCH(1, (VALUE(LEFT(aps_equipes_esf!$A:$A,6))=VALUE(LEFT(B123,6)))*(aps_equipes_esf!$B:$B=C123), 0)), "")</f>
        <v>11</v>
      </c>
      <c r="L123" cm="1">
        <f t="array" aca="1" ref="L123" ca="1">IFERROR(INDEX(casos!$C:$C, MATCH(1, (VALUE(LEFT(casos!$A:$A,6))=VALUE(LEFT(B123,6)))*(casos!$B:$B=C123), 0)), "")</f>
        <v>4688</v>
      </c>
      <c r="M123" cm="1">
        <f t="array" ref="M123">IFERROR(INDEX(srag!$D:$D, MATCH(1, (VALUE(LEFT(srag!$A:$A,6))=VALUE(LEFT(B123,6)))*(srag!$C:$C=C123), 0)), "")</f>
        <v>2</v>
      </c>
      <c r="N123" cm="1">
        <f t="array" ref="N123">IFERROR(INDEX(fesp!$E:$E, MATCH(1, (VALUE(LEFT(fesp!$A:$A,6))=VALUE(LEFT(B123,6)))*(fesp!$C:$C=C123), 0)), "")</f>
        <v>631</v>
      </c>
      <c r="O123" cm="1">
        <f t="array" ref="O123">IFERROR(INDEX(fesp!$F:$F, MATCH(1, (VALUE(LEFT(fesp!$A:$A,6))=VALUE(LEFT(B123,6)))*(fesp!$C:$C=C123), 0)), "")</f>
        <v>10890</v>
      </c>
      <c r="P123" cm="1">
        <f t="array" ref="P123">IFERROR(INDEX(fesp!$G:$G, MATCH(1, (VALUE(LEFT(fesp!$A:$A,6))=VALUE(LEFT(B123,6)))*(fesp!$C:$C=C123), 0)), "")</f>
        <v>4001417</v>
      </c>
      <c r="Q123" cm="1">
        <f t="array" ref="Q123">IFERROR(INDEX(fesp!$H:$H, MATCH(1, (VALUE(LEFT(fesp!$A:$A,6))=VALUE(LEFT(B123,6)))*(fesp!$C:$C=C123), 0)), "")</f>
        <v>101</v>
      </c>
      <c r="R123" cm="1">
        <f t="array" ref="R123">IFERROR(INDEX(fesp!$I:$I, MATCH(1, (VALUE(LEFT(fesp!$A:$A,6))=VALUE(LEFT(B123,6)))*(fesp!$C:$C=C123), 0)), "")</f>
        <v>1001</v>
      </c>
      <c r="S123" cm="1">
        <f t="array" ref="S123">IFERROR(INDEX(fesp!$J:$J, MATCH(1, (VALUE(LEFT(fesp!$A:$A,6))=VALUE(LEFT(B123,6)))*(fesp!$C:$C=C123), 0)), "")</f>
        <v>10623</v>
      </c>
    </row>
    <row r="124" spans="1:19">
      <c r="A124" s="1" t="s">
        <v>39</v>
      </c>
      <c r="B124" s="3" t="s">
        <v>38</v>
      </c>
      <c r="C124" s="3">
        <v>2016</v>
      </c>
      <c r="D124" cm="1">
        <f t="array" ref="D124">IFERROR(INDEX(fesp!$D:$D, MATCH(1, (VALUE(LEFT(fesp!$A:$A,6))=VALUE(LEFT(B124,6)))*(fesp!$C:$C=C124), 0)), "")</f>
        <v>0</v>
      </c>
      <c r="E124" cm="1">
        <f t="array" aca="1" ref="E124" ca="1">IFERROR(INDEX(ft_medicos_clinicos!$C:$C, MATCH(1, (VALUE(LEFT(ft_medicos_clinicos!$A:$A,6))=VALUE(LEFT(B124,6)))*(ft_medicos_clinicos!$B:$B=C124), 0)), "")</f>
        <v>426</v>
      </c>
      <c r="F124" cm="1">
        <f t="array" aca="1" ref="F124" ca="1">IFERROR(INDEX(ft_enfermeiros!$C:$C, MATCH(1, (VALUE(LEFT(ft_enfermeiros!$A:$A,6))=VALUE(LEFT(B124,6)))*(ft_enfermeiros!$B:$B=C124), 0)), "")</f>
        <v>1330</v>
      </c>
      <c r="G124" t="str" cm="1">
        <f t="array" aca="1" ref="G124" ca="1">IFERROR(INDEX(ft_equipes_acs!$C:$C, MATCH(1, (VALUE(LEFT(ft_equipes_acs!$A:$A,6))=VALUE(LEFT(B124,6)))*(ft_equipes_acs!$B:$B=C124), 0)), "")</f>
        <v/>
      </c>
      <c r="H124" cm="1">
        <f t="array" aca="1" ref="H124" ca="1">IFERROR(INDEX(ci_leitos_internacao!$C:$C, MATCH(1, (VALUE(LEFT(ci_leitos_internacao!$A:$A,6))=VALUE(LEFT(B124,6)))*(ci_leitos_internacao!$B:$B=C124), 0)), "")</f>
        <v>2944</v>
      </c>
      <c r="I124" cm="1">
        <f t="array" aca="1" ref="I124" ca="1">IFERROR(INDEX(ci_hospitais_internacao!$C:$C, MATCH(1, (VALUE(LEFT(ci_hospitais_internacao!$A:$A,6))=VALUE(LEFT(B124,6)))*(ci_hospitais_internacao!$B:$B=C124), 0)), "")</f>
        <v>9</v>
      </c>
      <c r="J124" t="str" cm="1">
        <f t="array" aca="1" ref="J124" ca="1">IFERROR(INDEX(ci_pa_clinico!$C:$C, MATCH(1, (VALUE(LEFT(ci_pa_clinico!$A:$A,6))=VALUE(LEFT(B124,6)))*(ci_pa_clinico!$B:$B=C124), 0)), "")</f>
        <v/>
      </c>
      <c r="K124" cm="1">
        <f t="array" aca="1" ref="K124" ca="1">IFERROR(INDEX(aps_equipes_esf!$C:$C, MATCH(1, (VALUE(LEFT(aps_equipes_esf!$A:$A,6))=VALUE(LEFT(B124,6)))*(aps_equipes_esf!$B:$B=C124), 0)), "")</f>
        <v>16</v>
      </c>
      <c r="L124" cm="1">
        <f t="array" aca="1" ref="L124" ca="1">IFERROR(INDEX(casos!$C:$C, MATCH(1, (VALUE(LEFT(casos!$A:$A,6))=VALUE(LEFT(B124,6)))*(casos!$B:$B=C124), 0)), "")</f>
        <v>7039</v>
      </c>
      <c r="M124" cm="1">
        <f t="array" ref="M124">IFERROR(INDEX(srag!$D:$D, MATCH(1, (VALUE(LEFT(srag!$A:$A,6))=VALUE(LEFT(B124,6)))*(srag!$C:$C=C124), 0)), "")</f>
        <v>97</v>
      </c>
      <c r="N124" cm="1">
        <f t="array" ref="N124">IFERROR(INDEX(fesp!$E:$E, MATCH(1, (VALUE(LEFT(fesp!$A:$A,6))=VALUE(LEFT(B124,6)))*(fesp!$C:$C=C124), 0)), "")</f>
        <v>375</v>
      </c>
      <c r="O124" cm="1">
        <f t="array" ref="O124">IFERROR(INDEX(fesp!$F:$F, MATCH(1, (VALUE(LEFT(fesp!$A:$A,6))=VALUE(LEFT(B124,6)))*(fesp!$C:$C=C124), 0)), "")</f>
        <v>10008</v>
      </c>
      <c r="P124" cm="1">
        <f t="array" ref="P124">IFERROR(INDEX(fesp!$G:$G, MATCH(1, (VALUE(LEFT(fesp!$A:$A,6))=VALUE(LEFT(B124,6)))*(fesp!$C:$C=C124), 0)), "")</f>
        <v>4043657</v>
      </c>
      <c r="Q124" cm="1">
        <f t="array" ref="Q124">IFERROR(INDEX(fesp!$H:$H, MATCH(1, (VALUE(LEFT(fesp!$A:$A,6))=VALUE(LEFT(B124,6)))*(fesp!$C:$C=C124), 0)), "")</f>
        <v>109</v>
      </c>
      <c r="R124" cm="1">
        <f t="array" ref="R124">IFERROR(INDEX(fesp!$I:$I, MATCH(1, (VALUE(LEFT(fesp!$A:$A,6))=VALUE(LEFT(B124,6)))*(fesp!$C:$C=C124), 0)), "")</f>
        <v>2012</v>
      </c>
      <c r="S124" cm="1">
        <f t="array" ref="S124">IFERROR(INDEX(fesp!$J:$J, MATCH(1, (VALUE(LEFT(fesp!$A:$A,6))=VALUE(LEFT(B124,6)))*(fesp!$C:$C=C124), 0)), "")</f>
        <v>15592</v>
      </c>
    </row>
    <row r="125" spans="1:19">
      <c r="A125" s="1" t="s">
        <v>39</v>
      </c>
      <c r="B125" s="3" t="s">
        <v>38</v>
      </c>
      <c r="C125" s="3">
        <v>2017</v>
      </c>
      <c r="D125" cm="1">
        <f t="array" ref="D125">IFERROR(INDEX(fesp!$D:$D, MATCH(1, (VALUE(LEFT(fesp!$A:$A,6))=VALUE(LEFT(B125,6)))*(fesp!$C:$C=C125), 0)), "")</f>
        <v>0</v>
      </c>
      <c r="E125" cm="1">
        <f t="array" aca="1" ref="E125" ca="1">IFERROR(INDEX(ft_medicos_clinicos!$C:$C, MATCH(1, (VALUE(LEFT(ft_medicos_clinicos!$A:$A,6))=VALUE(LEFT(B125,6)))*(ft_medicos_clinicos!$B:$B=C125), 0)), "")</f>
        <v>403</v>
      </c>
      <c r="F125" cm="1">
        <f t="array" aca="1" ref="F125" ca="1">IFERROR(INDEX(ft_enfermeiros!$C:$C, MATCH(1, (VALUE(LEFT(ft_enfermeiros!$A:$A,6))=VALUE(LEFT(B125,6)))*(ft_enfermeiros!$B:$B=C125), 0)), "")</f>
        <v>1367</v>
      </c>
      <c r="G125" t="str" cm="1">
        <f t="array" aca="1" ref="G125" ca="1">IFERROR(INDEX(ft_equipes_acs!$C:$C, MATCH(1, (VALUE(LEFT(ft_equipes_acs!$A:$A,6))=VALUE(LEFT(B125,6)))*(ft_equipes_acs!$B:$B=C125), 0)), "")</f>
        <v/>
      </c>
      <c r="H125" cm="1">
        <f t="array" aca="1" ref="H125" ca="1">IFERROR(INDEX(ci_leitos_internacao!$C:$C, MATCH(1, (VALUE(LEFT(ci_leitos_internacao!$A:$A,6))=VALUE(LEFT(B125,6)))*(ci_leitos_internacao!$B:$B=C125), 0)), "")</f>
        <v>2993</v>
      </c>
      <c r="I125" cm="1">
        <f t="array" aca="1" ref="I125" ca="1">IFERROR(INDEX(ci_hospitais_internacao!$C:$C, MATCH(1, (VALUE(LEFT(ci_hospitais_internacao!$A:$A,6))=VALUE(LEFT(B125,6)))*(ci_hospitais_internacao!$B:$B=C125), 0)), "")</f>
        <v>11</v>
      </c>
      <c r="J125" t="str" cm="1">
        <f t="array" aca="1" ref="J125" ca="1">IFERROR(INDEX(ci_pa_clinico!$C:$C, MATCH(1, (VALUE(LEFT(ci_pa_clinico!$A:$A,6))=VALUE(LEFT(B125,6)))*(ci_pa_clinico!$B:$B=C125), 0)), "")</f>
        <v/>
      </c>
      <c r="K125" cm="1">
        <f t="array" aca="1" ref="K125" ca="1">IFERROR(INDEX(aps_equipes_esf!$C:$C, MATCH(1, (VALUE(LEFT(aps_equipes_esf!$A:$A,6))=VALUE(LEFT(B125,6)))*(aps_equipes_esf!$B:$B=C125), 0)), "")</f>
        <v>19</v>
      </c>
      <c r="L125" cm="1">
        <f t="array" aca="1" ref="L125" ca="1">IFERROR(INDEX(casos!$C:$C, MATCH(1, (VALUE(LEFT(casos!$A:$A,6))=VALUE(LEFT(B125,6)))*(casos!$B:$B=C125), 0)), "")</f>
        <v>2548</v>
      </c>
      <c r="M125" cm="1">
        <f t="array" ref="M125">IFERROR(INDEX(srag!$D:$D, MATCH(1, (VALUE(LEFT(srag!$A:$A,6))=VALUE(LEFT(B125,6)))*(srag!$C:$C=C125), 0)), "")</f>
        <v>131</v>
      </c>
      <c r="N125" cm="1">
        <f t="array" ref="N125">IFERROR(INDEX(fesp!$E:$E, MATCH(1, (VALUE(LEFT(fesp!$A:$A,6))=VALUE(LEFT(B125,6)))*(fesp!$C:$C=C125), 0)), "")</f>
        <v>398</v>
      </c>
      <c r="O125" cm="1">
        <f t="array" ref="O125">IFERROR(INDEX(fesp!$F:$F, MATCH(1, (VALUE(LEFT(fesp!$A:$A,6))=VALUE(LEFT(B125,6)))*(fesp!$C:$C=C125), 0)), "")</f>
        <v>9820</v>
      </c>
      <c r="P125" cm="1">
        <f t="array" ref="P125">IFERROR(INDEX(fesp!$G:$G, MATCH(1, (VALUE(LEFT(fesp!$A:$A,6))=VALUE(LEFT(B125,6)))*(fesp!$C:$C=C125), 0)), "")</f>
        <v>4087862</v>
      </c>
      <c r="Q125" cm="1">
        <f t="array" ref="Q125">IFERROR(INDEX(fesp!$H:$H, MATCH(1, (VALUE(LEFT(fesp!$A:$A,6))=VALUE(LEFT(B125,6)))*(fesp!$C:$C=C125), 0)), "")</f>
        <v>108</v>
      </c>
      <c r="R125" cm="1">
        <f t="array" ref="R125">IFERROR(INDEX(fesp!$I:$I, MATCH(1, (VALUE(LEFT(fesp!$A:$A,6))=VALUE(LEFT(B125,6)))*(fesp!$C:$C=C125), 0)), "")</f>
        <v>347</v>
      </c>
      <c r="S125" cm="1">
        <f t="array" ref="S125">IFERROR(INDEX(fesp!$J:$J, MATCH(1, (VALUE(LEFT(fesp!$A:$A,6))=VALUE(LEFT(B125,6)))*(fesp!$C:$C=C125), 0)), "")</f>
        <v>15783</v>
      </c>
    </row>
    <row r="126" spans="1:19">
      <c r="A126" s="1" t="s">
        <v>39</v>
      </c>
      <c r="B126" s="3" t="s">
        <v>38</v>
      </c>
      <c r="C126" s="3">
        <v>2018</v>
      </c>
      <c r="D126" cm="1">
        <f t="array" ref="D126">IFERROR(INDEX(fesp!$D:$D, MATCH(1, (VALUE(LEFT(fesp!$A:$A,6))=VALUE(LEFT(B126,6)))*(fesp!$C:$C=C126), 0)), "")</f>
        <v>0</v>
      </c>
      <c r="E126" cm="1">
        <f t="array" aca="1" ref="E126" ca="1">IFERROR(INDEX(ft_medicos_clinicos!$C:$C, MATCH(1, (VALUE(LEFT(ft_medicos_clinicos!$A:$A,6))=VALUE(LEFT(B126,6)))*(ft_medicos_clinicos!$B:$B=C126), 0)), "")</f>
        <v>399</v>
      </c>
      <c r="F126" cm="1">
        <f t="array" aca="1" ref="F126" ca="1">IFERROR(INDEX(ft_enfermeiros!$C:$C, MATCH(1, (VALUE(LEFT(ft_enfermeiros!$A:$A,6))=VALUE(LEFT(B126,6)))*(ft_enfermeiros!$B:$B=C126), 0)), "")</f>
        <v>1433</v>
      </c>
      <c r="G126" t="str" cm="1">
        <f t="array" aca="1" ref="G126" ca="1">IFERROR(INDEX(ft_equipes_acs!$C:$C, MATCH(1, (VALUE(LEFT(ft_equipes_acs!$A:$A,6))=VALUE(LEFT(B126,6)))*(ft_equipes_acs!$B:$B=C126), 0)), "")</f>
        <v/>
      </c>
      <c r="H126" cm="1">
        <f t="array" aca="1" ref="H126" ca="1">IFERROR(INDEX(ci_leitos_internacao!$C:$C, MATCH(1, (VALUE(LEFT(ci_leitos_internacao!$A:$A,6))=VALUE(LEFT(B126,6)))*(ci_leitos_internacao!$B:$B=C126), 0)), "")</f>
        <v>2811</v>
      </c>
      <c r="I126" cm="1">
        <f t="array" aca="1" ref="I126" ca="1">IFERROR(INDEX(ci_hospitais_internacao!$C:$C, MATCH(1, (VALUE(LEFT(ci_hospitais_internacao!$A:$A,6))=VALUE(LEFT(B126,6)))*(ci_hospitais_internacao!$B:$B=C126), 0)), "")</f>
        <v>11</v>
      </c>
      <c r="J126" t="str" cm="1">
        <f t="array" aca="1" ref="J126" ca="1">IFERROR(INDEX(ci_pa_clinico!$C:$C, MATCH(1, (VALUE(LEFT(ci_pa_clinico!$A:$A,6))=VALUE(LEFT(B126,6)))*(ci_pa_clinico!$B:$B=C126), 0)), "")</f>
        <v/>
      </c>
      <c r="K126" cm="1">
        <f t="array" aca="1" ref="K126" ca="1">IFERROR(INDEX(aps_equipes_esf!$C:$C, MATCH(1, (VALUE(LEFT(aps_equipes_esf!$A:$A,6))=VALUE(LEFT(B126,6)))*(aps_equipes_esf!$B:$B=C126), 0)), "")</f>
        <v>19</v>
      </c>
      <c r="L126" cm="1">
        <f t="array" aca="1" ref="L126" ca="1">IFERROR(INDEX(casos!$C:$C, MATCH(1, (VALUE(LEFT(casos!$A:$A,6))=VALUE(LEFT(B126,6)))*(casos!$B:$B=C126), 0)), "")</f>
        <v>3340</v>
      </c>
      <c r="M126" cm="1">
        <f t="array" ref="M126">IFERROR(INDEX(srag!$D:$D, MATCH(1, (VALUE(LEFT(srag!$A:$A,6))=VALUE(LEFT(B126,6)))*(srag!$C:$C=C126), 0)), "")</f>
        <v>181</v>
      </c>
      <c r="N126" cm="1">
        <f t="array" ref="N126">IFERROR(INDEX(fesp!$E:$E, MATCH(1, (VALUE(LEFT(fesp!$A:$A,6))=VALUE(LEFT(B126,6)))*(fesp!$C:$C=C126), 0)), "")</f>
        <v>432</v>
      </c>
      <c r="O126" cm="1">
        <f t="array" ref="O126">IFERROR(INDEX(fesp!$F:$F, MATCH(1, (VALUE(LEFT(fesp!$A:$A,6))=VALUE(LEFT(B126,6)))*(fesp!$C:$C=C126), 0)), "")</f>
        <v>12708</v>
      </c>
      <c r="P126" cm="1">
        <f t="array" ref="P126">IFERROR(INDEX(fesp!$G:$G, MATCH(1, (VALUE(LEFT(fesp!$A:$A,6))=VALUE(LEFT(B126,6)))*(fesp!$C:$C=C126), 0)), "")</f>
        <v>5038159</v>
      </c>
      <c r="Q126" cm="1">
        <f t="array" ref="Q126">IFERROR(INDEX(fesp!$H:$H, MATCH(1, (VALUE(LEFT(fesp!$A:$A,6))=VALUE(LEFT(B126,6)))*(fesp!$C:$C=C126), 0)), "")</f>
        <v>79</v>
      </c>
      <c r="R126" cm="1">
        <f t="array" ref="R126">IFERROR(INDEX(fesp!$I:$I, MATCH(1, (VALUE(LEFT(fesp!$A:$A,6))=VALUE(LEFT(B126,6)))*(fesp!$C:$C=C126), 0)), "")</f>
        <v>390</v>
      </c>
      <c r="S126" cm="1">
        <f t="array" ref="S126">IFERROR(INDEX(fesp!$J:$J, MATCH(1, (VALUE(LEFT(fesp!$A:$A,6))=VALUE(LEFT(B126,6)))*(fesp!$C:$C=C126), 0)), "")</f>
        <v>7685</v>
      </c>
    </row>
    <row r="127" spans="1:19">
      <c r="A127" s="1" t="s">
        <v>39</v>
      </c>
      <c r="B127" s="3" t="s">
        <v>38</v>
      </c>
      <c r="C127" s="3">
        <v>2019</v>
      </c>
      <c r="D127" cm="1">
        <f t="array" ref="D127">IFERROR(INDEX(fesp!$D:$D, MATCH(1, (VALUE(LEFT(fesp!$A:$A,6))=VALUE(LEFT(B127,6)))*(fesp!$C:$C=C127), 0)), "")</f>
        <v>0</v>
      </c>
      <c r="E127" cm="1">
        <f t="array" aca="1" ref="E127" ca="1">IFERROR(INDEX(ft_medicos_clinicos!$C:$C, MATCH(1, (VALUE(LEFT(ft_medicos_clinicos!$A:$A,6))=VALUE(LEFT(B127,6)))*(ft_medicos_clinicos!$B:$B=C127), 0)), "")</f>
        <v>417</v>
      </c>
      <c r="F127" cm="1">
        <f t="array" aca="1" ref="F127" ca="1">IFERROR(INDEX(ft_enfermeiros!$C:$C, MATCH(1, (VALUE(LEFT(ft_enfermeiros!$A:$A,6))=VALUE(LEFT(B127,6)))*(ft_enfermeiros!$B:$B=C127), 0)), "")</f>
        <v>1496</v>
      </c>
      <c r="G127" t="str" cm="1">
        <f t="array" aca="1" ref="G127" ca="1">IFERROR(INDEX(ft_equipes_acs!$C:$C, MATCH(1, (VALUE(LEFT(ft_equipes_acs!$A:$A,6))=VALUE(LEFT(B127,6)))*(ft_equipes_acs!$B:$B=C127), 0)), "")</f>
        <v/>
      </c>
      <c r="H127" cm="1">
        <f t="array" aca="1" ref="H127" ca="1">IFERROR(INDEX(ci_leitos_internacao!$C:$C, MATCH(1, (VALUE(LEFT(ci_leitos_internacao!$A:$A,6))=VALUE(LEFT(B127,6)))*(ci_leitos_internacao!$B:$B=C127), 0)), "")</f>
        <v>2775</v>
      </c>
      <c r="I127" cm="1">
        <f t="array" aca="1" ref="I127" ca="1">IFERROR(INDEX(ci_hospitais_internacao!$C:$C, MATCH(1, (VALUE(LEFT(ci_hospitais_internacao!$A:$A,6))=VALUE(LEFT(B127,6)))*(ci_hospitais_internacao!$B:$B=C127), 0)), "")</f>
        <v>11</v>
      </c>
      <c r="J127" t="str" cm="1">
        <f t="array" aca="1" ref="J127" ca="1">IFERROR(INDEX(ci_pa_clinico!$C:$C, MATCH(1, (VALUE(LEFT(ci_pa_clinico!$A:$A,6))=VALUE(LEFT(B127,6)))*(ci_pa_clinico!$B:$B=C127), 0)), "")</f>
        <v/>
      </c>
      <c r="K127" cm="1">
        <f t="array" aca="1" ref="K127" ca="1">IFERROR(INDEX(aps_equipes_esf!$C:$C, MATCH(1, (VALUE(LEFT(aps_equipes_esf!$A:$A,6))=VALUE(LEFT(B127,6)))*(aps_equipes_esf!$B:$B=C127), 0)), "")</f>
        <v>25</v>
      </c>
      <c r="L127" cm="1">
        <f t="array" aca="1" ref="L127" ca="1">IFERROR(INDEX(casos!$C:$C, MATCH(1, (VALUE(LEFT(casos!$A:$A,6))=VALUE(LEFT(B127,6)))*(casos!$B:$B=C127), 0)), "")</f>
        <v>11488</v>
      </c>
      <c r="M127" cm="1">
        <f t="array" ref="M127">IFERROR(INDEX(srag!$D:$D, MATCH(1, (VALUE(LEFT(srag!$A:$A,6))=VALUE(LEFT(B127,6)))*(srag!$C:$C=C127), 0)), "")</f>
        <v>150</v>
      </c>
      <c r="N127" cm="1">
        <f t="array" ref="N127">IFERROR(INDEX(fesp!$E:$E, MATCH(1, (VALUE(LEFT(fesp!$A:$A,6))=VALUE(LEFT(B127,6)))*(fesp!$C:$C=C127), 0)), "")</f>
        <v>381</v>
      </c>
      <c r="O127" cm="1">
        <f t="array" ref="O127">IFERROR(INDEX(fesp!$F:$F, MATCH(1, (VALUE(LEFT(fesp!$A:$A,6))=VALUE(LEFT(B127,6)))*(fesp!$C:$C=C127), 0)), "")</f>
        <v>16782</v>
      </c>
      <c r="P127" cm="1">
        <f t="array" ref="P127">IFERROR(INDEX(fesp!$G:$G, MATCH(1, (VALUE(LEFT(fesp!$A:$A,6))=VALUE(LEFT(B127,6)))*(fesp!$C:$C=C127), 0)), "")</f>
        <v>4716520</v>
      </c>
      <c r="Q127" cm="1">
        <f t="array" ref="Q127">IFERROR(INDEX(fesp!$H:$H, MATCH(1, (VALUE(LEFT(fesp!$A:$A,6))=VALUE(LEFT(B127,6)))*(fesp!$C:$C=C127), 0)), "")</f>
        <v>133</v>
      </c>
      <c r="R127" cm="1">
        <f t="array" ref="R127">IFERROR(INDEX(fesp!$I:$I, MATCH(1, (VALUE(LEFT(fesp!$A:$A,6))=VALUE(LEFT(B127,6)))*(fesp!$C:$C=C127), 0)), "")</f>
        <v>343</v>
      </c>
      <c r="S127" cm="1">
        <f t="array" ref="S127">IFERROR(INDEX(fesp!$J:$J, MATCH(1, (VALUE(LEFT(fesp!$A:$A,6))=VALUE(LEFT(B127,6)))*(fesp!$C:$C=C127), 0)), "")</f>
        <v>3601</v>
      </c>
    </row>
    <row r="128" spans="1:19">
      <c r="A128" s="1" t="s">
        <v>39</v>
      </c>
      <c r="B128" s="3" t="s">
        <v>38</v>
      </c>
      <c r="C128" s="3">
        <v>2020</v>
      </c>
      <c r="D128" cm="1">
        <f t="array" ref="D128">IFERROR(INDEX(fesp!$D:$D, MATCH(1, (VALUE(LEFT(fesp!$A:$A,6))=VALUE(LEFT(B128,6)))*(fesp!$C:$C=C128), 0)), "")</f>
        <v>0</v>
      </c>
      <c r="E128" cm="1">
        <f t="array" aca="1" ref="E128" ca="1">IFERROR(INDEX(ft_medicos_clinicos!$C:$C, MATCH(1, (VALUE(LEFT(ft_medicos_clinicos!$A:$A,6))=VALUE(LEFT(B128,6)))*(ft_medicos_clinicos!$B:$B=C128), 0)), "")</f>
        <v>477</v>
      </c>
      <c r="F128" cm="1">
        <f t="array" aca="1" ref="F128" ca="1">IFERROR(INDEX(ft_enfermeiros!$C:$C, MATCH(1, (VALUE(LEFT(ft_enfermeiros!$A:$A,6))=VALUE(LEFT(B128,6)))*(ft_enfermeiros!$B:$B=C128), 0)), "")</f>
        <v>1637</v>
      </c>
      <c r="G128" t="str" cm="1">
        <f t="array" aca="1" ref="G128" ca="1">IFERROR(INDEX(ft_equipes_acs!$C:$C, MATCH(1, (VALUE(LEFT(ft_equipes_acs!$A:$A,6))=VALUE(LEFT(B128,6)))*(ft_equipes_acs!$B:$B=C128), 0)), "")</f>
        <v/>
      </c>
      <c r="H128" cm="1">
        <f t="array" aca="1" ref="H128" ca="1">IFERROR(INDEX(ci_leitos_internacao!$C:$C, MATCH(1, (VALUE(LEFT(ci_leitos_internacao!$A:$A,6))=VALUE(LEFT(B128,6)))*(ci_leitos_internacao!$B:$B=C128), 0)), "")</f>
        <v>2986</v>
      </c>
      <c r="I128" cm="1">
        <f t="array" aca="1" ref="I128" ca="1">IFERROR(INDEX(ci_hospitais_internacao!$C:$C, MATCH(1, (VALUE(LEFT(ci_hospitais_internacao!$A:$A,6))=VALUE(LEFT(B128,6)))*(ci_hospitais_internacao!$B:$B=C128), 0)), "")</f>
        <v>13</v>
      </c>
      <c r="J128" t="str" cm="1">
        <f t="array" aca="1" ref="J128" ca="1">IFERROR(INDEX(ci_pa_clinico!$C:$C, MATCH(1, (VALUE(LEFT(ci_pa_clinico!$A:$A,6))=VALUE(LEFT(B128,6)))*(ci_pa_clinico!$B:$B=C128), 0)), "")</f>
        <v/>
      </c>
      <c r="K128" t="str" cm="1">
        <f t="array" aca="1" ref="K128" ca="1">IFERROR(INDEX(aps_equipes_esf!$C:$C, MATCH(1, (VALUE(LEFT(aps_equipes_esf!$A:$A,6))=VALUE(LEFT(B128,6)))*(aps_equipes_esf!$B:$B=C128), 0)), "")</f>
        <v>-</v>
      </c>
      <c r="L128" cm="1">
        <f t="array" aca="1" ref="L128" ca="1">IFERROR(INDEX(casos!$C:$C, MATCH(1, (VALUE(LEFT(casos!$A:$A,6))=VALUE(LEFT(B128,6)))*(casos!$B:$B=C128), 0)), "")</f>
        <v>2867</v>
      </c>
      <c r="M128" cm="1">
        <f t="array" ref="M128">IFERROR(INDEX(srag!$D:$D, MATCH(1, (VALUE(LEFT(srag!$A:$A,6))=VALUE(LEFT(B128,6)))*(srag!$C:$C=C128), 0)), "")</f>
        <v>7254</v>
      </c>
      <c r="N128" cm="1">
        <f t="array" ref="N128">IFERROR(INDEX(fesp!$E:$E, MATCH(1, (VALUE(LEFT(fesp!$A:$A,6))=VALUE(LEFT(B128,6)))*(fesp!$C:$C=C128), 0)), "")</f>
        <v>295</v>
      </c>
      <c r="O128" cm="1">
        <f t="array" ref="O128">IFERROR(INDEX(fesp!$F:$F, MATCH(1, (VALUE(LEFT(fesp!$A:$A,6))=VALUE(LEFT(B128,6)))*(fesp!$C:$C=C128), 0)), "")</f>
        <v>12713</v>
      </c>
      <c r="P128" cm="1">
        <f t="array" ref="P128">IFERROR(INDEX(fesp!$G:$G, MATCH(1, (VALUE(LEFT(fesp!$A:$A,6))=VALUE(LEFT(B128,6)))*(fesp!$C:$C=C128), 0)), "")</f>
        <v>2396526</v>
      </c>
      <c r="Q128" cm="1">
        <f t="array" ref="Q128">IFERROR(INDEX(fesp!$H:$H, MATCH(1, (VALUE(LEFT(fesp!$A:$A,6))=VALUE(LEFT(B128,6)))*(fesp!$C:$C=C128), 0)), "")</f>
        <v>59</v>
      </c>
      <c r="R128" cm="1">
        <f t="array" ref="R128">IFERROR(INDEX(fesp!$I:$I, MATCH(1, (VALUE(LEFT(fesp!$A:$A,6))=VALUE(LEFT(B128,6)))*(fesp!$C:$C=C128), 0)), "")</f>
        <v>163</v>
      </c>
      <c r="S128" cm="1">
        <f t="array" ref="S128">IFERROR(INDEX(fesp!$J:$J, MATCH(1, (VALUE(LEFT(fesp!$A:$A,6))=VALUE(LEFT(B128,6)))*(fesp!$C:$C=C128), 0)), "")</f>
        <v>888</v>
      </c>
    </row>
    <row r="129" spans="1:19">
      <c r="A129" s="1" t="s">
        <v>39</v>
      </c>
      <c r="B129" s="3" t="s">
        <v>38</v>
      </c>
      <c r="C129" s="3">
        <v>2021</v>
      </c>
      <c r="D129" cm="1">
        <f t="array" ref="D129">IFERROR(INDEX(fesp!$D:$D, MATCH(1, (VALUE(LEFT(fesp!$A:$A,6))=VALUE(LEFT(B129,6)))*(fesp!$C:$C=C129), 0)), "")</f>
        <v>0</v>
      </c>
      <c r="E129" cm="1">
        <f t="array" aca="1" ref="E129" ca="1">IFERROR(INDEX(ft_medicos_clinicos!$C:$C, MATCH(1, (VALUE(LEFT(ft_medicos_clinicos!$A:$A,6))=VALUE(LEFT(B129,6)))*(ft_medicos_clinicos!$B:$B=C129), 0)), "")</f>
        <v>649</v>
      </c>
      <c r="F129" cm="1">
        <f t="array" aca="1" ref="F129" ca="1">IFERROR(INDEX(ft_enfermeiros!$C:$C, MATCH(1, (VALUE(LEFT(ft_enfermeiros!$A:$A,6))=VALUE(LEFT(B129,6)))*(ft_enfermeiros!$B:$B=C129), 0)), "")</f>
        <v>1839</v>
      </c>
      <c r="G129" t="str" cm="1">
        <f t="array" aca="1" ref="G129" ca="1">IFERROR(INDEX(ft_equipes_acs!$C:$C, MATCH(1, (VALUE(LEFT(ft_equipes_acs!$A:$A,6))=VALUE(LEFT(B129,6)))*(ft_equipes_acs!$B:$B=C129), 0)), "")</f>
        <v/>
      </c>
      <c r="H129" cm="1">
        <f t="array" aca="1" ref="H129" ca="1">IFERROR(INDEX(ci_leitos_internacao!$C:$C, MATCH(1, (VALUE(LEFT(ci_leitos_internacao!$A:$A,6))=VALUE(LEFT(B129,6)))*(ci_leitos_internacao!$B:$B=C129), 0)), "")</f>
        <v>3291</v>
      </c>
      <c r="I129" cm="1">
        <f t="array" aca="1" ref="I129" ca="1">IFERROR(INDEX(ci_hospitais_internacao!$C:$C, MATCH(1, (VALUE(LEFT(ci_hospitais_internacao!$A:$A,6))=VALUE(LEFT(B129,6)))*(ci_hospitais_internacao!$B:$B=C129), 0)), "")</f>
        <v>13</v>
      </c>
      <c r="J129" t="str" cm="1">
        <f t="array" aca="1" ref="J129" ca="1">IFERROR(INDEX(ci_pa_clinico!$C:$C, MATCH(1, (VALUE(LEFT(ci_pa_clinico!$A:$A,6))=VALUE(LEFT(B129,6)))*(ci_pa_clinico!$B:$B=C129), 0)), "")</f>
        <v/>
      </c>
      <c r="K129" t="str" cm="1">
        <f t="array" aca="1" ref="K129" ca="1">IFERROR(INDEX(aps_equipes_esf!$C:$C, MATCH(1, (VALUE(LEFT(aps_equipes_esf!$A:$A,6))=VALUE(LEFT(B129,6)))*(aps_equipes_esf!$B:$B=C129), 0)), "")</f>
        <v>-</v>
      </c>
      <c r="L129" cm="1">
        <f t="array" aca="1" ref="L129" ca="1">IFERROR(INDEX(casos!$C:$C, MATCH(1, (VALUE(LEFT(casos!$A:$A,6))=VALUE(LEFT(B129,6)))*(casos!$B:$B=C129), 0)), "")</f>
        <v>8545</v>
      </c>
      <c r="M129" cm="1">
        <f t="array" ref="M129">IFERROR(INDEX(srag!$D:$D, MATCH(1, (VALUE(LEFT(srag!$A:$A,6))=VALUE(LEFT(B129,6)))*(srag!$C:$C=C129), 0)), "")</f>
        <v>9095</v>
      </c>
      <c r="N129" cm="1">
        <f t="array" ref="N129">IFERROR(INDEX(fesp!$E:$E, MATCH(1, (VALUE(LEFT(fesp!$A:$A,6))=VALUE(LEFT(B129,6)))*(fesp!$C:$C=C129), 0)), "")</f>
        <v>322</v>
      </c>
      <c r="O129" cm="1">
        <f t="array" ref="O129">IFERROR(INDEX(fesp!$F:$F, MATCH(1, (VALUE(LEFT(fesp!$A:$A,6))=VALUE(LEFT(B129,6)))*(fesp!$C:$C=C129), 0)), "")</f>
        <v>12664</v>
      </c>
      <c r="P129" cm="1">
        <f t="array" ref="P129">IFERROR(INDEX(fesp!$G:$G, MATCH(1, (VALUE(LEFT(fesp!$A:$A,6))=VALUE(LEFT(B129,6)))*(fesp!$C:$C=C129), 0)), "")</f>
        <v>3316491</v>
      </c>
      <c r="Q129" cm="1">
        <f t="array" ref="Q129">IFERROR(INDEX(fesp!$H:$H, MATCH(1, (VALUE(LEFT(fesp!$A:$A,6))=VALUE(LEFT(B129,6)))*(fesp!$C:$C=C129), 0)), "")</f>
        <v>80</v>
      </c>
      <c r="R129" cm="1">
        <f t="array" ref="R129">IFERROR(INDEX(fesp!$I:$I, MATCH(1, (VALUE(LEFT(fesp!$A:$A,6))=VALUE(LEFT(B129,6)))*(fesp!$C:$C=C129), 0)), "")</f>
        <v>188</v>
      </c>
      <c r="S129" cm="1">
        <f t="array" ref="S129">IFERROR(INDEX(fesp!$J:$J, MATCH(1, (VALUE(LEFT(fesp!$A:$A,6))=VALUE(LEFT(B129,6)))*(fesp!$C:$C=C129), 0)), "")</f>
        <v>1684</v>
      </c>
    </row>
    <row r="130" spans="1:19">
      <c r="A130" s="1" t="s">
        <v>39</v>
      </c>
      <c r="B130" s="3" t="s">
        <v>38</v>
      </c>
      <c r="C130" s="3">
        <v>2022</v>
      </c>
      <c r="D130" cm="1">
        <f t="array" ref="D130">IFERROR(INDEX(fesp!$D:$D, MATCH(1, (VALUE(LEFT(fesp!$A:$A,6))=VALUE(LEFT(B130,6)))*(fesp!$C:$C=C130), 0)), "")</f>
        <v>833932</v>
      </c>
      <c r="E130" cm="1">
        <f t="array" aca="1" ref="E130" ca="1">IFERROR(INDEX(ft_medicos_clinicos!$C:$C, MATCH(1, (VALUE(LEFT(ft_medicos_clinicos!$A:$A,6))=VALUE(LEFT(B130,6)))*(ft_medicos_clinicos!$B:$B=C130), 0)), "")</f>
        <v>683</v>
      </c>
      <c r="F130" cm="1">
        <f t="array" aca="1" ref="F130" ca="1">IFERROR(INDEX(ft_enfermeiros!$C:$C, MATCH(1, (VALUE(LEFT(ft_enfermeiros!$A:$A,6))=VALUE(LEFT(B130,6)))*(ft_enfermeiros!$B:$B=C130), 0)), "")</f>
        <v>1919</v>
      </c>
      <c r="G130" t="str" cm="1">
        <f t="array" aca="1" ref="G130" ca="1">IFERROR(INDEX(ft_equipes_acs!$C:$C, MATCH(1, (VALUE(LEFT(ft_equipes_acs!$A:$A,6))=VALUE(LEFT(B130,6)))*(ft_equipes_acs!$B:$B=C130), 0)), "")</f>
        <v/>
      </c>
      <c r="H130" cm="1">
        <f t="array" aca="1" ref="H130" ca="1">IFERROR(INDEX(ci_leitos_internacao!$C:$C, MATCH(1, (VALUE(LEFT(ci_leitos_internacao!$A:$A,6))=VALUE(LEFT(B130,6)))*(ci_leitos_internacao!$B:$B=C130), 0)), "")</f>
        <v>3168</v>
      </c>
      <c r="I130" cm="1">
        <f t="array" aca="1" ref="I130" ca="1">IFERROR(INDEX(ci_hospitais_internacao!$C:$C, MATCH(1, (VALUE(LEFT(ci_hospitais_internacao!$A:$A,6))=VALUE(LEFT(B130,6)))*(ci_hospitais_internacao!$B:$B=C130), 0)), "")</f>
        <v>13</v>
      </c>
      <c r="J130" t="str" cm="1">
        <f t="array" aca="1" ref="J130" ca="1">IFERROR(INDEX(ci_pa_clinico!$C:$C, MATCH(1, (VALUE(LEFT(ci_pa_clinico!$A:$A,6))=VALUE(LEFT(B130,6)))*(ci_pa_clinico!$B:$B=C130), 0)), "")</f>
        <v/>
      </c>
      <c r="K130" t="str" cm="1">
        <f t="array" aca="1" ref="K130" ca="1">IFERROR(INDEX(aps_equipes_esf!$C:$C, MATCH(1, (VALUE(LEFT(aps_equipes_esf!$A:$A,6))=VALUE(LEFT(B130,6)))*(aps_equipes_esf!$B:$B=C130), 0)), "")</f>
        <v>-</v>
      </c>
      <c r="L130" cm="1">
        <f t="array" aca="1" ref="L130" ca="1">IFERROR(INDEX(casos!$C:$C, MATCH(1, (VALUE(LEFT(casos!$A:$A,6))=VALUE(LEFT(B130,6)))*(casos!$B:$B=C130), 0)), "")</f>
        <v>11114</v>
      </c>
      <c r="M130" cm="1">
        <f t="array" ref="M130">IFERROR(INDEX(srag!$D:$D, MATCH(1, (VALUE(LEFT(srag!$A:$A,6))=VALUE(LEFT(B130,6)))*(srag!$C:$C=C130), 0)), "")</f>
        <v>2838</v>
      </c>
      <c r="N130" cm="1">
        <f t="array" ref="N130">IFERROR(INDEX(fesp!$E:$E, MATCH(1, (VALUE(LEFT(fesp!$A:$A,6))=VALUE(LEFT(B130,6)))*(fesp!$C:$C=C130), 0)), "")</f>
        <v>295</v>
      </c>
      <c r="O130" cm="1">
        <f t="array" ref="O130">IFERROR(INDEX(fesp!$F:$F, MATCH(1, (VALUE(LEFT(fesp!$A:$A,6))=VALUE(LEFT(B130,6)))*(fesp!$C:$C=C130), 0)), "")</f>
        <v>13485</v>
      </c>
      <c r="P130" cm="1">
        <f t="array" ref="P130">IFERROR(INDEX(fesp!$G:$G, MATCH(1, (VALUE(LEFT(fesp!$A:$A,6))=VALUE(LEFT(B130,6)))*(fesp!$C:$C=C130), 0)), "")</f>
        <v>3256483</v>
      </c>
      <c r="Q130" cm="1">
        <f t="array" ref="Q130">IFERROR(INDEX(fesp!$H:$H, MATCH(1, (VALUE(LEFT(fesp!$A:$A,6))=VALUE(LEFT(B130,6)))*(fesp!$C:$C=C130), 0)), "")</f>
        <v>48</v>
      </c>
      <c r="R130" cm="1">
        <f t="array" ref="R130">IFERROR(INDEX(fesp!$I:$I, MATCH(1, (VALUE(LEFT(fesp!$A:$A,6))=VALUE(LEFT(B130,6)))*(fesp!$C:$C=C130), 0)), "")</f>
        <v>43</v>
      </c>
      <c r="S130" cm="1">
        <f t="array" ref="S130">IFERROR(INDEX(fesp!$J:$J, MATCH(1, (VALUE(LEFT(fesp!$A:$A,6))=VALUE(LEFT(B130,6)))*(fesp!$C:$C=C130), 0)), "")</f>
        <v>1669</v>
      </c>
    </row>
    <row r="131" spans="1:19">
      <c r="A131" s="1" t="s">
        <v>39</v>
      </c>
      <c r="B131" s="3" t="s">
        <v>38</v>
      </c>
      <c r="C131" s="3">
        <v>2023</v>
      </c>
      <c r="D131" cm="1">
        <f t="array" ref="D131">IFERROR(INDEX(fesp!$D:$D, MATCH(1, (VALUE(LEFT(fesp!$A:$A,6))=VALUE(LEFT(B131,6)))*(fesp!$C:$C=C131), 0)), "")</f>
        <v>0</v>
      </c>
      <c r="E131" cm="1">
        <f t="array" aca="1" ref="E131" ca="1">IFERROR(INDEX(ft_medicos_clinicos!$C:$C, MATCH(1, (VALUE(LEFT(ft_medicos_clinicos!$A:$A,6))=VALUE(LEFT(B131,6)))*(ft_medicos_clinicos!$B:$B=C131), 0)), "")</f>
        <v>757</v>
      </c>
      <c r="F131" cm="1">
        <f t="array" aca="1" ref="F131" ca="1">IFERROR(INDEX(ft_enfermeiros!$C:$C, MATCH(1, (VALUE(LEFT(ft_enfermeiros!$A:$A,6))=VALUE(LEFT(B131,6)))*(ft_enfermeiros!$B:$B=C131), 0)), "")</f>
        <v>2666</v>
      </c>
      <c r="G131" t="str" cm="1">
        <f t="array" aca="1" ref="G131" ca="1">IFERROR(INDEX(ft_equipes_acs!$C:$C, MATCH(1, (VALUE(LEFT(ft_equipes_acs!$A:$A,6))=VALUE(LEFT(B131,6)))*(ft_equipes_acs!$B:$B=C131), 0)), "")</f>
        <v/>
      </c>
      <c r="H131" cm="1">
        <f t="array" aca="1" ref="H131" ca="1">IFERROR(INDEX(ci_leitos_internacao!$C:$C, MATCH(1, (VALUE(LEFT(ci_leitos_internacao!$A:$A,6))=VALUE(LEFT(B131,6)))*(ci_leitos_internacao!$B:$B=C131), 0)), "")</f>
        <v>3249</v>
      </c>
      <c r="I131" cm="1">
        <f t="array" aca="1" ref="I131" ca="1">IFERROR(INDEX(ci_hospitais_internacao!$C:$C, MATCH(1, (VALUE(LEFT(ci_hospitais_internacao!$A:$A,6))=VALUE(LEFT(B131,6)))*(ci_hospitais_internacao!$B:$B=C131), 0)), "")</f>
        <v>12</v>
      </c>
      <c r="J131" t="str" cm="1">
        <f t="array" aca="1" ref="J131" ca="1">IFERROR(INDEX(ci_pa_clinico!$C:$C, MATCH(1, (VALUE(LEFT(ci_pa_clinico!$A:$A,6))=VALUE(LEFT(B131,6)))*(ci_pa_clinico!$B:$B=C131), 0)), "")</f>
        <v/>
      </c>
      <c r="K131" t="str" cm="1">
        <f t="array" aca="1" ref="K131" ca="1">IFERROR(INDEX(aps_equipes_esf!$C:$C, MATCH(1, (VALUE(LEFT(aps_equipes_esf!$A:$A,6))=VALUE(LEFT(B131,6)))*(aps_equipes_esf!$B:$B=C131), 0)), "")</f>
        <v>-</v>
      </c>
      <c r="L131" cm="1">
        <f t="array" aca="1" ref="L131" ca="1">IFERROR(INDEX(casos!$C:$C, MATCH(1, (VALUE(LEFT(casos!$A:$A,6))=VALUE(LEFT(B131,6)))*(casos!$B:$B=C131), 0)), "")</f>
        <v>4339</v>
      </c>
      <c r="M131" cm="1">
        <f t="array" ref="M131">IFERROR(INDEX(srag!$D:$D, MATCH(1, (VALUE(LEFT(srag!$A:$A,6))=VALUE(LEFT(B131,6)))*(srag!$C:$C=C131), 0)), "")</f>
        <v>693</v>
      </c>
      <c r="N131" cm="1">
        <f t="array" ref="N131">IFERROR(INDEX(fesp!$E:$E, MATCH(1, (VALUE(LEFT(fesp!$A:$A,6))=VALUE(LEFT(B131,6)))*(fesp!$C:$C=C131), 0)), "")</f>
        <v>227</v>
      </c>
      <c r="O131" cm="1">
        <f t="array" ref="O131">IFERROR(INDEX(fesp!$F:$F, MATCH(1, (VALUE(LEFT(fesp!$A:$A,6))=VALUE(LEFT(B131,6)))*(fesp!$C:$C=C131), 0)), "")</f>
        <v>15553</v>
      </c>
      <c r="P131" cm="1">
        <f t="array" ref="P131">IFERROR(INDEX(fesp!$G:$G, MATCH(1, (VALUE(LEFT(fesp!$A:$A,6))=VALUE(LEFT(B131,6)))*(fesp!$C:$C=C131), 0)), "")</f>
        <v>4239156</v>
      </c>
      <c r="Q131" cm="1">
        <f t="array" ref="Q131">IFERROR(INDEX(fesp!$H:$H, MATCH(1, (VALUE(LEFT(fesp!$A:$A,6))=VALUE(LEFT(B131,6)))*(fesp!$C:$C=C131), 0)), "")</f>
        <v>58</v>
      </c>
      <c r="R131" cm="1">
        <f t="array" ref="R131">IFERROR(INDEX(fesp!$I:$I, MATCH(1, (VALUE(LEFT(fesp!$A:$A,6))=VALUE(LEFT(B131,6)))*(fesp!$C:$C=C131), 0)), "")</f>
        <v>9285</v>
      </c>
      <c r="S131" cm="1">
        <f t="array" ref="S131">IFERROR(INDEX(fesp!$J:$J, MATCH(1, (VALUE(LEFT(fesp!$A:$A,6))=VALUE(LEFT(B131,6)))*(fesp!$C:$C=C131), 0)), "")</f>
        <v>423631</v>
      </c>
    </row>
    <row r="132" spans="1:19">
      <c r="A132" s="1" t="s">
        <v>39</v>
      </c>
      <c r="B132" s="3" t="s">
        <v>38</v>
      </c>
      <c r="C132" s="3">
        <v>2024</v>
      </c>
      <c r="D132" cm="1">
        <f t="array" ref="D132">IFERROR(INDEX(fesp!$D:$D, MATCH(1, (VALUE(LEFT(fesp!$A:$A,6))=VALUE(LEFT(B132,6)))*(fesp!$C:$C=C132), 0)), "")</f>
        <v>0</v>
      </c>
      <c r="E132" cm="1">
        <f t="array" aca="1" ref="E132" ca="1">IFERROR(INDEX(ft_medicos_clinicos!$C:$C, MATCH(1, (VALUE(LEFT(ft_medicos_clinicos!$A:$A,6))=VALUE(LEFT(B132,6)))*(ft_medicos_clinicos!$B:$B=C132), 0)), "")</f>
        <v>844</v>
      </c>
      <c r="F132" cm="1">
        <f t="array" aca="1" ref="F132" ca="1">IFERROR(INDEX(ft_enfermeiros!$C:$C, MATCH(1, (VALUE(LEFT(ft_enfermeiros!$A:$A,6))=VALUE(LEFT(B132,6)))*(ft_enfermeiros!$B:$B=C132), 0)), "")</f>
        <v>2874</v>
      </c>
      <c r="G132" t="str" cm="1">
        <f t="array" aca="1" ref="G132" ca="1">IFERROR(INDEX(ft_equipes_acs!$C:$C, MATCH(1, (VALUE(LEFT(ft_equipes_acs!$A:$A,6))=VALUE(LEFT(B132,6)))*(ft_equipes_acs!$B:$B=C132), 0)), "")</f>
        <v/>
      </c>
      <c r="H132" cm="1">
        <f t="array" aca="1" ref="H132" ca="1">IFERROR(INDEX(ci_leitos_internacao!$C:$C, MATCH(1, (VALUE(LEFT(ci_leitos_internacao!$A:$A,6))=VALUE(LEFT(B132,6)))*(ci_leitos_internacao!$B:$B=C132), 0)), "")</f>
        <v>3387</v>
      </c>
      <c r="I132" cm="1">
        <f t="array" aca="1" ref="I132" ca="1">IFERROR(INDEX(ci_hospitais_internacao!$C:$C, MATCH(1, (VALUE(LEFT(ci_hospitais_internacao!$A:$A,6))=VALUE(LEFT(B132,6)))*(ci_hospitais_internacao!$B:$B=C132), 0)), "")</f>
        <v>12</v>
      </c>
      <c r="J132" t="str" cm="1">
        <f t="array" aca="1" ref="J132" ca="1">IFERROR(INDEX(ci_pa_clinico!$C:$C, MATCH(1, (VALUE(LEFT(ci_pa_clinico!$A:$A,6))=VALUE(LEFT(B132,6)))*(ci_pa_clinico!$B:$B=C132), 0)), "")</f>
        <v/>
      </c>
      <c r="K132" t="str" cm="1">
        <f t="array" aca="1" ref="K132" ca="1">IFERROR(INDEX(aps_equipes_esf!$C:$C, MATCH(1, (VALUE(LEFT(aps_equipes_esf!$A:$A,6))=VALUE(LEFT(B132,6)))*(aps_equipes_esf!$B:$B=C132), 0)), "")</f>
        <v>-</v>
      </c>
      <c r="L132" cm="1">
        <f t="array" aca="1" ref="L132" ca="1">IFERROR(INDEX(casos!$C:$C, MATCH(1, (VALUE(LEFT(casos!$A:$A,6))=VALUE(LEFT(B132,6)))*(casos!$B:$B=C132), 0)), "")</f>
        <v>7990</v>
      </c>
      <c r="M132" cm="1">
        <f t="array" ref="M132">IFERROR(INDEX(srag!$D:$D, MATCH(1, (VALUE(LEFT(srag!$A:$A,6))=VALUE(LEFT(B132,6)))*(srag!$C:$C=C132), 0)), "")</f>
        <v>1171</v>
      </c>
      <c r="N132" cm="1">
        <f t="array" ref="N132">IFERROR(INDEX(fesp!$E:$E, MATCH(1, (VALUE(LEFT(fesp!$A:$A,6))=VALUE(LEFT(B132,6)))*(fesp!$C:$C=C132), 0)), "")</f>
        <v>288</v>
      </c>
      <c r="O132" cm="1">
        <f t="array" ref="O132">IFERROR(INDEX(fesp!$F:$F, MATCH(1, (VALUE(LEFT(fesp!$A:$A,6))=VALUE(LEFT(B132,6)))*(fesp!$C:$C=C132), 0)), "")</f>
        <v>16633</v>
      </c>
      <c r="P132" cm="1">
        <f t="array" ref="P132">IFERROR(INDEX(fesp!$G:$G, MATCH(1, (VALUE(LEFT(fesp!$A:$A,6))=VALUE(LEFT(B132,6)))*(fesp!$C:$C=C132), 0)), "")</f>
        <v>5938171</v>
      </c>
      <c r="Q132" cm="1">
        <f t="array" ref="Q132">IFERROR(INDEX(fesp!$H:$H, MATCH(1, (VALUE(LEFT(fesp!$A:$A,6))=VALUE(LEFT(B132,6)))*(fesp!$C:$C=C132), 0)), "")</f>
        <v>70</v>
      </c>
      <c r="R132" cm="1">
        <f t="array" ref="R132">IFERROR(INDEX(fesp!$I:$I, MATCH(1, (VALUE(LEFT(fesp!$A:$A,6))=VALUE(LEFT(B132,6)))*(fesp!$C:$C=C132), 0)), "")</f>
        <v>23773</v>
      </c>
      <c r="S132" cm="1">
        <f t="array" ref="S132">IFERROR(INDEX(fesp!$J:$J, MATCH(1, (VALUE(LEFT(fesp!$A:$A,6))=VALUE(LEFT(B132,6)))*(fesp!$C:$C=C132), 0)), "")</f>
        <v>1102050</v>
      </c>
    </row>
    <row r="133" spans="1:19">
      <c r="A133" s="1" t="s">
        <v>39</v>
      </c>
      <c r="B133" s="3">
        <v>2507507</v>
      </c>
      <c r="C133" s="3">
        <v>2025</v>
      </c>
      <c r="D133" cm="1">
        <f t="array" ref="D133">IFERROR(INDEX(fesp!$D:$D, MATCH(1, (VALUE(LEFT(fesp!$A:$A,6))=VALUE(LEFT(B133,6)))*(fesp!$C:$C=C133), 0)), "")</f>
        <v>0</v>
      </c>
      <c r="E133" cm="1">
        <f t="array" aca="1" ref="E133" ca="1">IFERROR(INDEX(ft_medicos_clinicos!$C:$C, MATCH(1, (VALUE(LEFT(ft_medicos_clinicos!$A:$A,6))=VALUE(LEFT(B133,6)))*(ft_medicos_clinicos!$B:$B=C133), 0)), "")</f>
        <v>833</v>
      </c>
      <c r="F133" cm="1">
        <f t="array" aca="1" ref="F133" ca="1">IFERROR(INDEX(ft_enfermeiros!$C:$C, MATCH(1, (VALUE(LEFT(ft_enfermeiros!$A:$A,6))=VALUE(LEFT(B133,6)))*(ft_enfermeiros!$B:$B=C133), 0)), "")</f>
        <v>3008</v>
      </c>
      <c r="G133" t="str" cm="1">
        <f t="array" aca="1" ref="G133" ca="1">IFERROR(INDEX(ft_equipes_acs!$C:$C, MATCH(1, (VALUE(LEFT(ft_equipes_acs!$A:$A,6))=VALUE(LEFT(B133,6)))*(ft_equipes_acs!$B:$B=C133), 0)), "")</f>
        <v/>
      </c>
      <c r="H133" cm="1">
        <f t="array" aca="1" ref="H133" ca="1">IFERROR(INDEX(ci_leitos_internacao!$C:$C, MATCH(1, (VALUE(LEFT(ci_leitos_internacao!$A:$A,6))=VALUE(LEFT(B133,6)))*(ci_leitos_internacao!$B:$B=C133), 0)), "")</f>
        <v>3412</v>
      </c>
      <c r="I133" cm="1">
        <f t="array" aca="1" ref="I133" ca="1">IFERROR(INDEX(ci_hospitais_internacao!$C:$C, MATCH(1, (VALUE(LEFT(ci_hospitais_internacao!$A:$A,6))=VALUE(LEFT(B133,6)))*(ci_hospitais_internacao!$B:$B=C133), 0)), "")</f>
        <v>14</v>
      </c>
      <c r="J133" t="str" cm="1">
        <f t="array" aca="1" ref="J133" ca="1">IFERROR(INDEX(ci_pa_clinico!$C:$C, MATCH(1, (VALUE(LEFT(ci_pa_clinico!$A:$A,6))=VALUE(LEFT(B133,6)))*(ci_pa_clinico!$B:$B=C133), 0)), "")</f>
        <v/>
      </c>
      <c r="K133" t="str" cm="1">
        <f t="array" aca="1" ref="K133" ca="1">IFERROR(INDEX(aps_equipes_esf!$C:$C, MATCH(1, (VALUE(LEFT(aps_equipes_esf!$A:$A,6))=VALUE(LEFT(B133,6)))*(aps_equipes_esf!$B:$B=C133), 0)), "")</f>
        <v>-</v>
      </c>
      <c r="L133" cm="1">
        <f t="array" aca="1" ref="L133" ca="1">IFERROR(INDEX(casos!$C:$C, MATCH(1, (VALUE(LEFT(casos!$A:$A,6))=VALUE(LEFT(B133,6)))*(casos!$B:$B=C133), 0)), "")</f>
        <v>4464</v>
      </c>
      <c r="M133" cm="1">
        <f t="array" ref="M133">IFERROR(INDEX(srag!$D:$D, MATCH(1, (VALUE(LEFT(srag!$A:$A,6))=VALUE(LEFT(B133,6)))*(srag!$C:$C=C133), 0)), "")</f>
        <v>1270</v>
      </c>
      <c r="N133" cm="1">
        <f t="array" ref="N133">IFERROR(INDEX(fesp!$E:$E, MATCH(1, (VALUE(LEFT(fesp!$A:$A,6))=VALUE(LEFT(B133,6)))*(fesp!$C:$C=C133), 0)), "")</f>
        <v>231</v>
      </c>
      <c r="O133" cm="1">
        <f t="array" ref="O133">IFERROR(INDEX(fesp!$F:$F, MATCH(1, (VALUE(LEFT(fesp!$A:$A,6))=VALUE(LEFT(B133,6)))*(fesp!$C:$C=C133), 0)), "")</f>
        <v>11118</v>
      </c>
      <c r="P133" cm="1">
        <f t="array" ref="P133">IFERROR(INDEX(fesp!$G:$G, MATCH(1, (VALUE(LEFT(fesp!$A:$A,6))=VALUE(LEFT(B133,6)))*(fesp!$C:$C=C133), 0)), "")</f>
        <v>3841750</v>
      </c>
      <c r="Q133" cm="1">
        <f t="array" ref="Q133">IFERROR(INDEX(fesp!$H:$H, MATCH(1, (VALUE(LEFT(fesp!$A:$A,6))=VALUE(LEFT(B133,6)))*(fesp!$C:$C=C133), 0)), "")</f>
        <v>49</v>
      </c>
      <c r="R133" cm="1">
        <f t="array" ref="R133">IFERROR(INDEX(fesp!$I:$I, MATCH(1, (VALUE(LEFT(fesp!$A:$A,6))=VALUE(LEFT(B133,6)))*(fesp!$C:$C=C133), 0)), "")</f>
        <v>137</v>
      </c>
      <c r="S133" cm="1">
        <f t="array" ref="S133">IFERROR(INDEX(fesp!$J:$J, MATCH(1, (VALUE(LEFT(fesp!$A:$A,6))=VALUE(LEFT(B133,6)))*(fesp!$C:$C=C133), 0)), "")</f>
        <v>136</v>
      </c>
    </row>
    <row r="134" spans="1:19">
      <c r="A134" s="1" t="s">
        <v>127</v>
      </c>
      <c r="B134" s="3">
        <v>2604106</v>
      </c>
      <c r="C134" s="3">
        <v>2015</v>
      </c>
      <c r="D134" cm="1">
        <f t="array" ref="D134">IFERROR(INDEX(fesp!$D:$D, MATCH(1, (VALUE(LEFT(fesp!$A:$A,6))=VALUE(LEFT(B134,6)))*(fesp!$C:$C=C134), 0)), "")</f>
        <v>347088</v>
      </c>
      <c r="E134" cm="1">
        <f t="array" aca="1" ref="E134" ca="1">IFERROR(INDEX(ft_medicos_clinicos!$C:$C, MATCH(1, (VALUE(LEFT(ft_medicos_clinicos!$A:$A,6))=VALUE(LEFT(B134,6)))*(ft_medicos_clinicos!$B:$B=C134), 0)), "")</f>
        <v>188</v>
      </c>
      <c r="F134" cm="1">
        <f t="array" aca="1" ref="F134" ca="1">IFERROR(INDEX(ft_enfermeiros!$C:$C, MATCH(1, (VALUE(LEFT(ft_enfermeiros!$A:$A,6))=VALUE(LEFT(B134,6)))*(ft_enfermeiros!$B:$B=C134), 0)), "")</f>
        <v>411</v>
      </c>
      <c r="G134" cm="1">
        <f t="array" aca="1" ref="G134" ca="1">IFERROR(INDEX(ft_equipes_acs!$C:$C, MATCH(1, (VALUE(LEFT(ft_equipes_acs!$A:$A,6))=VALUE(LEFT(B134,6)))*(ft_equipes_acs!$B:$B=C134), 0)), "")</f>
        <v>11</v>
      </c>
      <c r="H134" cm="1">
        <f t="array" aca="1" ref="H134" ca="1">IFERROR(INDEX(ci_leitos_internacao!$C:$C, MATCH(1, (VALUE(LEFT(ci_leitos_internacao!$A:$A,6))=VALUE(LEFT(B134,6)))*(ci_leitos_internacao!$B:$B=C134), 0)), "")</f>
        <v>947</v>
      </c>
      <c r="I134" cm="1">
        <f t="array" aca="1" ref="I134" ca="1">IFERROR(INDEX(ci_hospitais_internacao!$C:$C, MATCH(1, (VALUE(LEFT(ci_hospitais_internacao!$A:$A,6))=VALUE(LEFT(B134,6)))*(ci_hospitais_internacao!$B:$B=C134), 0)), "")</f>
        <v>7</v>
      </c>
      <c r="J134" cm="1">
        <f t="array" aca="1" ref="J134" ca="1">IFERROR(INDEX(ci_pa_clinico!$C:$C, MATCH(1, (VALUE(LEFT(ci_pa_clinico!$A:$A,6))=VALUE(LEFT(B134,6)))*(ci_pa_clinico!$B:$B=C134), 0)), "")</f>
        <v>6</v>
      </c>
      <c r="K134" cm="1">
        <f t="array" aca="1" ref="K134" ca="1">IFERROR(INDEX(aps_equipes_esf!$C:$C, MATCH(1, (VALUE(LEFT(aps_equipes_esf!$A:$A,6))=VALUE(LEFT(B134,6)))*(aps_equipes_esf!$B:$B=C134), 0)), "")</f>
        <v>15</v>
      </c>
      <c r="L134" cm="1">
        <f t="array" aca="1" ref="L134" ca="1">IFERROR(INDEX(casos!$C:$C, MATCH(1, (VALUE(LEFT(casos!$A:$A,6))=VALUE(LEFT(B134,6)))*(casos!$B:$B=C134), 0)), "")</f>
        <v>693</v>
      </c>
      <c r="M134" cm="1">
        <f t="array" ref="M134">IFERROR(INDEX(srag!$D:$D, MATCH(1, (VALUE(LEFT(srag!$A:$A,6))=VALUE(LEFT(B134,6)))*(srag!$C:$C=C134), 0)), "")</f>
        <v>3</v>
      </c>
      <c r="N134" cm="1">
        <f t="array" ref="N134">IFERROR(INDEX(fesp!$E:$E, MATCH(1, (VALUE(LEFT(fesp!$A:$A,6))=VALUE(LEFT(B134,6)))*(fesp!$C:$C=C134), 0)), "")</f>
        <v>156</v>
      </c>
      <c r="O134" cm="1">
        <f t="array" ref="O134">IFERROR(INDEX(fesp!$F:$F, MATCH(1, (VALUE(LEFT(fesp!$A:$A,6))=VALUE(LEFT(B134,6)))*(fesp!$C:$C=C134), 0)), "")</f>
        <v>2825</v>
      </c>
      <c r="P134" cm="1">
        <f t="array" ref="P134">IFERROR(INDEX(fesp!$G:$G, MATCH(1, (VALUE(LEFT(fesp!$A:$A,6))=VALUE(LEFT(B134,6)))*(fesp!$C:$C=C134), 0)), "")</f>
        <v>1528122</v>
      </c>
      <c r="Q134" cm="1">
        <f t="array" ref="Q134">IFERROR(INDEX(fesp!$H:$H, MATCH(1, (VALUE(LEFT(fesp!$A:$A,6))=VALUE(LEFT(B134,6)))*(fesp!$C:$C=C134), 0)), "")</f>
        <v>47</v>
      </c>
      <c r="R134" cm="1">
        <f t="array" ref="R134">IFERROR(INDEX(fesp!$I:$I, MATCH(1, (VALUE(LEFT(fesp!$A:$A,6))=VALUE(LEFT(B134,6)))*(fesp!$C:$C=C134), 0)), "")</f>
        <v>33181</v>
      </c>
      <c r="S134" cm="1">
        <f t="array" ref="S134">IFERROR(INDEX(fesp!$J:$J, MATCH(1, (VALUE(LEFT(fesp!$A:$A,6))=VALUE(LEFT(B134,6)))*(fesp!$C:$C=C134), 0)), "")</f>
        <v>204160</v>
      </c>
    </row>
    <row r="135" spans="1:19">
      <c r="A135" s="1" t="s">
        <v>127</v>
      </c>
      <c r="B135" s="3">
        <v>2604106</v>
      </c>
      <c r="C135" s="3">
        <v>2016</v>
      </c>
      <c r="D135" cm="1">
        <f t="array" ref="D135">IFERROR(INDEX(fesp!$D:$D, MATCH(1, (VALUE(LEFT(fesp!$A:$A,6))=VALUE(LEFT(B135,6)))*(fesp!$C:$C=C135), 0)), "")</f>
        <v>0</v>
      </c>
      <c r="E135" cm="1">
        <f t="array" aca="1" ref="E135" ca="1">IFERROR(INDEX(ft_medicos_clinicos!$C:$C, MATCH(1, (VALUE(LEFT(ft_medicos_clinicos!$A:$A,6))=VALUE(LEFT(B135,6)))*(ft_medicos_clinicos!$B:$B=C135), 0)), "")</f>
        <v>190</v>
      </c>
      <c r="F135" cm="1">
        <f t="array" aca="1" ref="F135" ca="1">IFERROR(INDEX(ft_enfermeiros!$C:$C, MATCH(1, (VALUE(LEFT(ft_enfermeiros!$A:$A,6))=VALUE(LEFT(B135,6)))*(ft_enfermeiros!$B:$B=C135), 0)), "")</f>
        <v>411</v>
      </c>
      <c r="G135" cm="1">
        <f t="array" aca="1" ref="G135" ca="1">IFERROR(INDEX(ft_equipes_acs!$C:$C, MATCH(1, (VALUE(LEFT(ft_equipes_acs!$A:$A,6))=VALUE(LEFT(B135,6)))*(ft_equipes_acs!$B:$B=C135), 0)), "")</f>
        <v>11</v>
      </c>
      <c r="H135" cm="1">
        <f t="array" aca="1" ref="H135" ca="1">IFERROR(INDEX(ci_leitos_internacao!$C:$C, MATCH(1, (VALUE(LEFT(ci_leitos_internacao!$A:$A,6))=VALUE(LEFT(B135,6)))*(ci_leitos_internacao!$B:$B=C135), 0)), "")</f>
        <v>961</v>
      </c>
      <c r="I135" cm="1">
        <f t="array" aca="1" ref="I135" ca="1">IFERROR(INDEX(ci_hospitais_internacao!$C:$C, MATCH(1, (VALUE(LEFT(ci_hospitais_internacao!$A:$A,6))=VALUE(LEFT(B135,6)))*(ci_hospitais_internacao!$B:$B=C135), 0)), "")</f>
        <v>7</v>
      </c>
      <c r="J135" cm="1">
        <f t="array" aca="1" ref="J135" ca="1">IFERROR(INDEX(ci_pa_clinico!$C:$C, MATCH(1, (VALUE(LEFT(ci_pa_clinico!$A:$A,6))=VALUE(LEFT(B135,6)))*(ci_pa_clinico!$B:$B=C135), 0)), "")</f>
        <v>8</v>
      </c>
      <c r="K135" cm="1">
        <f t="array" aca="1" ref="K135" ca="1">IFERROR(INDEX(aps_equipes_esf!$C:$C, MATCH(1, (VALUE(LEFT(aps_equipes_esf!$A:$A,6))=VALUE(LEFT(B135,6)))*(aps_equipes_esf!$B:$B=C135), 0)), "")</f>
        <v>18</v>
      </c>
      <c r="L135" cm="1">
        <f t="array" aca="1" ref="L135" ca="1">IFERROR(INDEX(casos!$C:$C, MATCH(1, (VALUE(LEFT(casos!$A:$A,6))=VALUE(LEFT(B135,6)))*(casos!$B:$B=C135), 0)), "")</f>
        <v>817</v>
      </c>
      <c r="M135" cm="1">
        <f t="array" ref="M135">IFERROR(INDEX(srag!$D:$D, MATCH(1, (VALUE(LEFT(srag!$A:$A,6))=VALUE(LEFT(B135,6)))*(srag!$C:$C=C135), 0)), "")</f>
        <v>28</v>
      </c>
      <c r="N135" cm="1">
        <f t="array" ref="N135">IFERROR(INDEX(fesp!$E:$E, MATCH(1, (VALUE(LEFT(fesp!$A:$A,6))=VALUE(LEFT(B135,6)))*(fesp!$C:$C=C135), 0)), "")</f>
        <v>199</v>
      </c>
      <c r="O135" cm="1">
        <f t="array" ref="O135">IFERROR(INDEX(fesp!$F:$F, MATCH(1, (VALUE(LEFT(fesp!$A:$A,6))=VALUE(LEFT(B135,6)))*(fesp!$C:$C=C135), 0)), "")</f>
        <v>1752</v>
      </c>
      <c r="P135" cm="1">
        <f t="array" ref="P135">IFERROR(INDEX(fesp!$G:$G, MATCH(1, (VALUE(LEFT(fesp!$A:$A,6))=VALUE(LEFT(B135,6)))*(fesp!$C:$C=C135), 0)), "")</f>
        <v>1607124</v>
      </c>
      <c r="Q135" cm="1">
        <f t="array" ref="Q135">IFERROR(INDEX(fesp!$H:$H, MATCH(1, (VALUE(LEFT(fesp!$A:$A,6))=VALUE(LEFT(B135,6)))*(fesp!$C:$C=C135), 0)), "")</f>
        <v>120</v>
      </c>
      <c r="R135" cm="1">
        <f t="array" ref="R135">IFERROR(INDEX(fesp!$I:$I, MATCH(1, (VALUE(LEFT(fesp!$A:$A,6))=VALUE(LEFT(B135,6)))*(fesp!$C:$C=C135), 0)), "")</f>
        <v>21226</v>
      </c>
      <c r="S135" cm="1">
        <f t="array" ref="S135">IFERROR(INDEX(fesp!$J:$J, MATCH(1, (VALUE(LEFT(fesp!$A:$A,6))=VALUE(LEFT(B135,6)))*(fesp!$C:$C=C135), 0)), "")</f>
        <v>170257</v>
      </c>
    </row>
    <row r="136" spans="1:19">
      <c r="A136" s="1" t="s">
        <v>127</v>
      </c>
      <c r="B136" s="3">
        <v>2604106</v>
      </c>
      <c r="C136" s="3">
        <v>2017</v>
      </c>
      <c r="D136" cm="1">
        <f t="array" ref="D136">IFERROR(INDEX(fesp!$D:$D, MATCH(1, (VALUE(LEFT(fesp!$A:$A,6))=VALUE(LEFT(B136,6)))*(fesp!$C:$C=C136), 0)), "")</f>
        <v>0</v>
      </c>
      <c r="E136" cm="1">
        <f t="array" aca="1" ref="E136" ca="1">IFERROR(INDEX(ft_medicos_clinicos!$C:$C, MATCH(1, (VALUE(LEFT(ft_medicos_clinicos!$A:$A,6))=VALUE(LEFT(B136,6)))*(ft_medicos_clinicos!$B:$B=C136), 0)), "")</f>
        <v>163</v>
      </c>
      <c r="F136" cm="1">
        <f t="array" aca="1" ref="F136" ca="1">IFERROR(INDEX(ft_enfermeiros!$C:$C, MATCH(1, (VALUE(LEFT(ft_enfermeiros!$A:$A,6))=VALUE(LEFT(B136,6)))*(ft_enfermeiros!$B:$B=C136), 0)), "")</f>
        <v>515</v>
      </c>
      <c r="G136" cm="1">
        <f t="array" aca="1" ref="G136" ca="1">IFERROR(INDEX(ft_equipes_acs!$C:$C, MATCH(1, (VALUE(LEFT(ft_equipes_acs!$A:$A,6))=VALUE(LEFT(B136,6)))*(ft_equipes_acs!$B:$B=C136), 0)), "")</f>
        <v>11</v>
      </c>
      <c r="H136" cm="1">
        <f t="array" aca="1" ref="H136" ca="1">IFERROR(INDEX(ci_leitos_internacao!$C:$C, MATCH(1, (VALUE(LEFT(ci_leitos_internacao!$A:$A,6))=VALUE(LEFT(B136,6)))*(ci_leitos_internacao!$B:$B=C136), 0)), "")</f>
        <v>808</v>
      </c>
      <c r="I136" cm="1">
        <f t="array" aca="1" ref="I136" ca="1">IFERROR(INDEX(ci_hospitais_internacao!$C:$C, MATCH(1, (VALUE(LEFT(ci_hospitais_internacao!$A:$A,6))=VALUE(LEFT(B136,6)))*(ci_hospitais_internacao!$B:$B=C136), 0)), "")</f>
        <v>6</v>
      </c>
      <c r="J136" cm="1">
        <f t="array" aca="1" ref="J136" ca="1">IFERROR(INDEX(ci_pa_clinico!$C:$C, MATCH(1, (VALUE(LEFT(ci_pa_clinico!$A:$A,6))=VALUE(LEFT(B136,6)))*(ci_pa_clinico!$B:$B=C136), 0)), "")</f>
        <v>7</v>
      </c>
      <c r="K136" cm="1">
        <f t="array" aca="1" ref="K136" ca="1">IFERROR(INDEX(aps_equipes_esf!$C:$C, MATCH(1, (VALUE(LEFT(aps_equipes_esf!$A:$A,6))=VALUE(LEFT(B136,6)))*(aps_equipes_esf!$B:$B=C136), 0)), "")</f>
        <v>16</v>
      </c>
      <c r="L136" cm="1">
        <f t="array" aca="1" ref="L136" ca="1">IFERROR(INDEX(casos!$C:$C, MATCH(1, (VALUE(LEFT(casos!$A:$A,6))=VALUE(LEFT(B136,6)))*(casos!$B:$B=C136), 0)), "")</f>
        <v>297</v>
      </c>
      <c r="M136" cm="1">
        <f t="array" ref="M136">IFERROR(INDEX(srag!$D:$D, MATCH(1, (VALUE(LEFT(srag!$A:$A,6))=VALUE(LEFT(B136,6)))*(srag!$C:$C=C136), 0)), "")</f>
        <v>15</v>
      </c>
      <c r="N136" cm="1">
        <f t="array" ref="N136">IFERROR(INDEX(fesp!$E:$E, MATCH(1, (VALUE(LEFT(fesp!$A:$A,6))=VALUE(LEFT(B136,6)))*(fesp!$C:$C=C136), 0)), "")</f>
        <v>205</v>
      </c>
      <c r="O136" cm="1">
        <f t="array" ref="O136">IFERROR(INDEX(fesp!$F:$F, MATCH(1, (VALUE(LEFT(fesp!$A:$A,6))=VALUE(LEFT(B136,6)))*(fesp!$C:$C=C136), 0)), "")</f>
        <v>1764</v>
      </c>
      <c r="P136" cm="1">
        <f t="array" ref="P136">IFERROR(INDEX(fesp!$G:$G, MATCH(1, (VALUE(LEFT(fesp!$A:$A,6))=VALUE(LEFT(B136,6)))*(fesp!$C:$C=C136), 0)), "")</f>
        <v>1736119</v>
      </c>
      <c r="Q136" cm="1">
        <f t="array" ref="Q136">IFERROR(INDEX(fesp!$H:$H, MATCH(1, (VALUE(LEFT(fesp!$A:$A,6))=VALUE(LEFT(B136,6)))*(fesp!$C:$C=C136), 0)), "")</f>
        <v>126</v>
      </c>
      <c r="R136" cm="1">
        <f t="array" ref="R136">IFERROR(INDEX(fesp!$I:$I, MATCH(1, (VALUE(LEFT(fesp!$A:$A,6))=VALUE(LEFT(B136,6)))*(fesp!$C:$C=C136), 0)), "")</f>
        <v>16616</v>
      </c>
      <c r="S136" cm="1">
        <f t="array" ref="S136">IFERROR(INDEX(fesp!$J:$J, MATCH(1, (VALUE(LEFT(fesp!$A:$A,6))=VALUE(LEFT(B136,6)))*(fesp!$C:$C=C136), 0)), "")</f>
        <v>94967</v>
      </c>
    </row>
    <row r="137" spans="1:19">
      <c r="A137" s="1" t="s">
        <v>127</v>
      </c>
      <c r="B137" s="3" t="s">
        <v>126</v>
      </c>
      <c r="C137" s="3">
        <v>2018</v>
      </c>
      <c r="D137" cm="1">
        <f t="array" ref="D137">IFERROR(INDEX(fesp!$D:$D, MATCH(1, (VALUE(LEFT(fesp!$A:$A,6))=VALUE(LEFT(B137,6)))*(fesp!$C:$C=C137), 0)), "")</f>
        <v>0</v>
      </c>
      <c r="E137" cm="1">
        <f t="array" aca="1" ref="E137" ca="1">IFERROR(INDEX(ft_medicos_clinicos!$C:$C, MATCH(1, (VALUE(LEFT(ft_medicos_clinicos!$A:$A,6))=VALUE(LEFT(B137,6)))*(ft_medicos_clinicos!$B:$B=C137), 0)), "")</f>
        <v>181</v>
      </c>
      <c r="F137" cm="1">
        <f t="array" aca="1" ref="F137" ca="1">IFERROR(INDEX(ft_enfermeiros!$C:$C, MATCH(1, (VALUE(LEFT(ft_enfermeiros!$A:$A,6))=VALUE(LEFT(B137,6)))*(ft_enfermeiros!$B:$B=C137), 0)), "")</f>
        <v>579</v>
      </c>
      <c r="G137" cm="1">
        <f t="array" aca="1" ref="G137" ca="1">IFERROR(INDEX(ft_equipes_acs!$C:$C, MATCH(1, (VALUE(LEFT(ft_equipes_acs!$A:$A,6))=VALUE(LEFT(B137,6)))*(ft_equipes_acs!$B:$B=C137), 0)), "")</f>
        <v>11</v>
      </c>
      <c r="H137" cm="1">
        <f t="array" aca="1" ref="H137" ca="1">IFERROR(INDEX(ci_leitos_internacao!$C:$C, MATCH(1, (VALUE(LEFT(ci_leitos_internacao!$A:$A,6))=VALUE(LEFT(B137,6)))*(ci_leitos_internacao!$B:$B=C137), 0)), "")</f>
        <v>917</v>
      </c>
      <c r="I137" cm="1">
        <f t="array" aca="1" ref="I137" ca="1">IFERROR(INDEX(ci_hospitais_internacao!$C:$C, MATCH(1, (VALUE(LEFT(ci_hospitais_internacao!$A:$A,6))=VALUE(LEFT(B137,6)))*(ci_hospitais_internacao!$B:$B=C137), 0)), "")</f>
        <v>7</v>
      </c>
      <c r="J137" cm="1">
        <f t="array" aca="1" ref="J137" ca="1">IFERROR(INDEX(ci_pa_clinico!$C:$C, MATCH(1, (VALUE(LEFT(ci_pa_clinico!$A:$A,6))=VALUE(LEFT(B137,6)))*(ci_pa_clinico!$B:$B=C137), 0)), "")</f>
        <v>7</v>
      </c>
      <c r="K137" cm="1">
        <f t="array" aca="1" ref="K137" ca="1">IFERROR(INDEX(aps_equipes_esf!$C:$C, MATCH(1, (VALUE(LEFT(aps_equipes_esf!$A:$A,6))=VALUE(LEFT(B137,6)))*(aps_equipes_esf!$B:$B=C137), 0)), "")</f>
        <v>14</v>
      </c>
      <c r="L137" cm="1">
        <f t="array" aca="1" ref="L137" ca="1">IFERROR(INDEX(casos!$C:$C, MATCH(1, (VALUE(LEFT(casos!$A:$A,6))=VALUE(LEFT(B137,6)))*(casos!$B:$B=C137), 0)), "")</f>
        <v>273</v>
      </c>
      <c r="M137" cm="1">
        <f t="array" ref="M137">IFERROR(INDEX(srag!$D:$D, MATCH(1, (VALUE(LEFT(srag!$A:$A,6))=VALUE(LEFT(B137,6)))*(srag!$C:$C=C137), 0)), "")</f>
        <v>23</v>
      </c>
      <c r="N137" cm="1">
        <f t="array" ref="N137">IFERROR(INDEX(fesp!$E:$E, MATCH(1, (VALUE(LEFT(fesp!$A:$A,6))=VALUE(LEFT(B137,6)))*(fesp!$C:$C=C137), 0)), "")</f>
        <v>146</v>
      </c>
      <c r="O137" cm="1">
        <f t="array" ref="O137">IFERROR(INDEX(fesp!$F:$F, MATCH(1, (VALUE(LEFT(fesp!$A:$A,6))=VALUE(LEFT(B137,6)))*(fesp!$C:$C=C137), 0)), "")</f>
        <v>1404</v>
      </c>
      <c r="P137" cm="1">
        <f t="array" ref="P137">IFERROR(INDEX(fesp!$G:$G, MATCH(1, (VALUE(LEFT(fesp!$A:$A,6))=VALUE(LEFT(B137,6)))*(fesp!$C:$C=C137), 0)), "")</f>
        <v>1658756</v>
      </c>
      <c r="Q137" cm="1">
        <f t="array" ref="Q137">IFERROR(INDEX(fesp!$H:$H, MATCH(1, (VALUE(LEFT(fesp!$A:$A,6))=VALUE(LEFT(B137,6)))*(fesp!$C:$C=C137), 0)), "")</f>
        <v>129</v>
      </c>
      <c r="R137" cm="1">
        <f t="array" ref="R137">IFERROR(INDEX(fesp!$I:$I, MATCH(1, (VALUE(LEFT(fesp!$A:$A,6))=VALUE(LEFT(B137,6)))*(fesp!$C:$C=C137), 0)), "")</f>
        <v>5593</v>
      </c>
      <c r="S137" cm="1">
        <f t="array" ref="S137">IFERROR(INDEX(fesp!$J:$J, MATCH(1, (VALUE(LEFT(fesp!$A:$A,6))=VALUE(LEFT(B137,6)))*(fesp!$C:$C=C137), 0)), "")</f>
        <v>52204</v>
      </c>
    </row>
    <row r="138" spans="1:19">
      <c r="A138" s="1" t="s">
        <v>127</v>
      </c>
      <c r="B138" s="3" t="s">
        <v>126</v>
      </c>
      <c r="C138" s="3">
        <v>2019</v>
      </c>
      <c r="D138" cm="1">
        <f t="array" ref="D138">IFERROR(INDEX(fesp!$D:$D, MATCH(1, (VALUE(LEFT(fesp!$A:$A,6))=VALUE(LEFT(B138,6)))*(fesp!$C:$C=C138), 0)), "")</f>
        <v>0</v>
      </c>
      <c r="E138" cm="1">
        <f t="array" aca="1" ref="E138" ca="1">IFERROR(INDEX(ft_medicos_clinicos!$C:$C, MATCH(1, (VALUE(LEFT(ft_medicos_clinicos!$A:$A,6))=VALUE(LEFT(B138,6)))*(ft_medicos_clinicos!$B:$B=C138), 0)), "")</f>
        <v>180</v>
      </c>
      <c r="F138" cm="1">
        <f t="array" aca="1" ref="F138" ca="1">IFERROR(INDEX(ft_enfermeiros!$C:$C, MATCH(1, (VALUE(LEFT(ft_enfermeiros!$A:$A,6))=VALUE(LEFT(B138,6)))*(ft_enfermeiros!$B:$B=C138), 0)), "")</f>
        <v>664</v>
      </c>
      <c r="G138" cm="1">
        <f t="array" aca="1" ref="G138" ca="1">IFERROR(INDEX(ft_equipes_acs!$C:$C, MATCH(1, (VALUE(LEFT(ft_equipes_acs!$A:$A,6))=VALUE(LEFT(B138,6)))*(ft_equipes_acs!$B:$B=C138), 0)), "")</f>
        <v>11</v>
      </c>
      <c r="H138" cm="1">
        <f t="array" aca="1" ref="H138" ca="1">IFERROR(INDEX(ci_leitos_internacao!$C:$C, MATCH(1, (VALUE(LEFT(ci_leitos_internacao!$A:$A,6))=VALUE(LEFT(B138,6)))*(ci_leitos_internacao!$B:$B=C138), 0)), "")</f>
        <v>899</v>
      </c>
      <c r="I138" cm="1">
        <f t="array" aca="1" ref="I138" ca="1">IFERROR(INDEX(ci_hospitais_internacao!$C:$C, MATCH(1, (VALUE(LEFT(ci_hospitais_internacao!$A:$A,6))=VALUE(LEFT(B138,6)))*(ci_hospitais_internacao!$B:$B=C138), 0)), "")</f>
        <v>7</v>
      </c>
      <c r="J138" cm="1">
        <f t="array" aca="1" ref="J138" ca="1">IFERROR(INDEX(ci_pa_clinico!$C:$C, MATCH(1, (VALUE(LEFT(ci_pa_clinico!$A:$A,6))=VALUE(LEFT(B138,6)))*(ci_pa_clinico!$B:$B=C138), 0)), "")</f>
        <v>7</v>
      </c>
      <c r="K138" cm="1">
        <f t="array" aca="1" ref="K138" ca="1">IFERROR(INDEX(aps_equipes_esf!$C:$C, MATCH(1, (VALUE(LEFT(aps_equipes_esf!$A:$A,6))=VALUE(LEFT(B138,6)))*(aps_equipes_esf!$B:$B=C138), 0)), "")</f>
        <v>11</v>
      </c>
      <c r="L138" cm="1">
        <f t="array" aca="1" ref="L138" ca="1">IFERROR(INDEX(casos!$C:$C, MATCH(1, (VALUE(LEFT(casos!$A:$A,6))=VALUE(LEFT(B138,6)))*(casos!$B:$B=C138), 0)), "")</f>
        <v>230</v>
      </c>
      <c r="M138" cm="1">
        <f t="array" ref="M138">IFERROR(INDEX(srag!$D:$D, MATCH(1, (VALUE(LEFT(srag!$A:$A,6))=VALUE(LEFT(B138,6)))*(srag!$C:$C=C138), 0)), "")</f>
        <v>29</v>
      </c>
      <c r="N138" cm="1">
        <f t="array" ref="N138">IFERROR(INDEX(fesp!$E:$E, MATCH(1, (VALUE(LEFT(fesp!$A:$A,6))=VALUE(LEFT(B138,6)))*(fesp!$C:$C=C138), 0)), "")</f>
        <v>154</v>
      </c>
      <c r="O138" cm="1">
        <f t="array" ref="O138">IFERROR(INDEX(fesp!$F:$F, MATCH(1, (VALUE(LEFT(fesp!$A:$A,6))=VALUE(LEFT(B138,6)))*(fesp!$C:$C=C138), 0)), "")</f>
        <v>1539</v>
      </c>
      <c r="P138" cm="1">
        <f t="array" ref="P138">IFERROR(INDEX(fesp!$G:$G, MATCH(1, (VALUE(LEFT(fesp!$A:$A,6))=VALUE(LEFT(B138,6)))*(fesp!$C:$C=C138), 0)), "")</f>
        <v>1802330</v>
      </c>
      <c r="Q138" cm="1">
        <f t="array" ref="Q138">IFERROR(INDEX(fesp!$H:$H, MATCH(1, (VALUE(LEFT(fesp!$A:$A,6))=VALUE(LEFT(B138,6)))*(fesp!$C:$C=C138), 0)), "")</f>
        <v>150</v>
      </c>
      <c r="R138" cm="1">
        <f t="array" ref="R138">IFERROR(INDEX(fesp!$I:$I, MATCH(1, (VALUE(LEFT(fesp!$A:$A,6))=VALUE(LEFT(B138,6)))*(fesp!$C:$C=C138), 0)), "")</f>
        <v>3130</v>
      </c>
      <c r="S138" cm="1">
        <f t="array" ref="S138">IFERROR(INDEX(fesp!$J:$J, MATCH(1, (VALUE(LEFT(fesp!$A:$A,6))=VALUE(LEFT(B138,6)))*(fesp!$C:$C=C138), 0)), "")</f>
        <v>45459</v>
      </c>
    </row>
    <row r="139" spans="1:19">
      <c r="A139" s="1" t="s">
        <v>127</v>
      </c>
      <c r="B139" s="3" t="s">
        <v>126</v>
      </c>
      <c r="C139" s="3">
        <v>2020</v>
      </c>
      <c r="D139" cm="1">
        <f t="array" ref="D139">IFERROR(INDEX(fesp!$D:$D, MATCH(1, (VALUE(LEFT(fesp!$A:$A,6))=VALUE(LEFT(B139,6)))*(fesp!$C:$C=C139), 0)), "")</f>
        <v>0</v>
      </c>
      <c r="E139" cm="1">
        <f t="array" aca="1" ref="E139" ca="1">IFERROR(INDEX(ft_medicos_clinicos!$C:$C, MATCH(1, (VALUE(LEFT(ft_medicos_clinicos!$A:$A,6))=VALUE(LEFT(B139,6)))*(ft_medicos_clinicos!$B:$B=C139), 0)), "")</f>
        <v>231</v>
      </c>
      <c r="F139" cm="1">
        <f t="array" aca="1" ref="F139" ca="1">IFERROR(INDEX(ft_enfermeiros!$C:$C, MATCH(1, (VALUE(LEFT(ft_enfermeiros!$A:$A,6))=VALUE(LEFT(B139,6)))*(ft_enfermeiros!$B:$B=C139), 0)), "")</f>
        <v>720</v>
      </c>
      <c r="G139" cm="1">
        <f t="array" aca="1" ref="G139" ca="1">IFERROR(INDEX(ft_equipes_acs!$C:$C, MATCH(1, (VALUE(LEFT(ft_equipes_acs!$A:$A,6))=VALUE(LEFT(B139,6)))*(ft_equipes_acs!$B:$B=C139), 0)), "")</f>
        <v>6</v>
      </c>
      <c r="H139" cm="1">
        <f t="array" aca="1" ref="H139" ca="1">IFERROR(INDEX(ci_leitos_internacao!$C:$C, MATCH(1, (VALUE(LEFT(ci_leitos_internacao!$A:$A,6))=VALUE(LEFT(B139,6)))*(ci_leitos_internacao!$B:$B=C139), 0)), "")</f>
        <v>884</v>
      </c>
      <c r="I139" cm="1">
        <f t="array" aca="1" ref="I139" ca="1">IFERROR(INDEX(ci_hospitais_internacao!$C:$C, MATCH(1, (VALUE(LEFT(ci_hospitais_internacao!$A:$A,6))=VALUE(LEFT(B139,6)))*(ci_hospitais_internacao!$B:$B=C139), 0)), "")</f>
        <v>8</v>
      </c>
      <c r="J139" cm="1">
        <f t="array" aca="1" ref="J139" ca="1">IFERROR(INDEX(ci_pa_clinico!$C:$C, MATCH(1, (VALUE(LEFT(ci_pa_clinico!$A:$A,6))=VALUE(LEFT(B139,6)))*(ci_pa_clinico!$B:$B=C139), 0)), "")</f>
        <v>8</v>
      </c>
      <c r="K139" t="str" cm="1">
        <f t="array" aca="1" ref="K139" ca="1">IFERROR(INDEX(aps_equipes_esf!$C:$C, MATCH(1, (VALUE(LEFT(aps_equipes_esf!$A:$A,6))=VALUE(LEFT(B139,6)))*(aps_equipes_esf!$B:$B=C139), 0)), "")</f>
        <v>-</v>
      </c>
      <c r="L139" cm="1">
        <f t="array" aca="1" ref="L139" ca="1">IFERROR(INDEX(casos!$C:$C, MATCH(1, (VALUE(LEFT(casos!$A:$A,6))=VALUE(LEFT(B139,6)))*(casos!$B:$B=C139), 0)), "")</f>
        <v>143</v>
      </c>
      <c r="M139" cm="1">
        <f t="array" ref="M139">IFERROR(INDEX(srag!$D:$D, MATCH(1, (VALUE(LEFT(srag!$A:$A,6))=VALUE(LEFT(B139,6)))*(srag!$C:$C=C139), 0)), "")</f>
        <v>2347</v>
      </c>
      <c r="N139" cm="1">
        <f t="array" ref="N139">IFERROR(INDEX(fesp!$E:$E, MATCH(1, (VALUE(LEFT(fesp!$A:$A,6))=VALUE(LEFT(B139,6)))*(fesp!$C:$C=C139), 0)), "")</f>
        <v>175</v>
      </c>
      <c r="O139" cm="1">
        <f t="array" ref="O139">IFERROR(INDEX(fesp!$F:$F, MATCH(1, (VALUE(LEFT(fesp!$A:$A,6))=VALUE(LEFT(B139,6)))*(fesp!$C:$C=C139), 0)), "")</f>
        <v>1591</v>
      </c>
      <c r="P139" cm="1">
        <f t="array" ref="P139">IFERROR(INDEX(fesp!$G:$G, MATCH(1, (VALUE(LEFT(fesp!$A:$A,6))=VALUE(LEFT(B139,6)))*(fesp!$C:$C=C139), 0)), "")</f>
        <v>1225427</v>
      </c>
      <c r="Q139" cm="1">
        <f t="array" ref="Q139">IFERROR(INDEX(fesp!$H:$H, MATCH(1, (VALUE(LEFT(fesp!$A:$A,6))=VALUE(LEFT(B139,6)))*(fesp!$C:$C=C139), 0)), "")</f>
        <v>140</v>
      </c>
      <c r="R139" cm="1">
        <f t="array" ref="R139">IFERROR(INDEX(fesp!$I:$I, MATCH(1, (VALUE(LEFT(fesp!$A:$A,6))=VALUE(LEFT(B139,6)))*(fesp!$C:$C=C139), 0)), "")</f>
        <v>3923</v>
      </c>
      <c r="S139" cm="1">
        <f t="array" ref="S139">IFERROR(INDEX(fesp!$J:$J, MATCH(1, (VALUE(LEFT(fesp!$A:$A,6))=VALUE(LEFT(B139,6)))*(fesp!$C:$C=C139), 0)), "")</f>
        <v>6419</v>
      </c>
    </row>
    <row r="140" spans="1:19">
      <c r="A140" s="1" t="s">
        <v>127</v>
      </c>
      <c r="B140" s="3" t="s">
        <v>126</v>
      </c>
      <c r="C140" s="3">
        <v>2021</v>
      </c>
      <c r="D140" cm="1">
        <f t="array" ref="D140">IFERROR(INDEX(fesp!$D:$D, MATCH(1, (VALUE(LEFT(fesp!$A:$A,6))=VALUE(LEFT(B140,6)))*(fesp!$C:$C=C140), 0)), "")</f>
        <v>0</v>
      </c>
      <c r="E140" cm="1">
        <f t="array" aca="1" ref="E140" ca="1">IFERROR(INDEX(ft_medicos_clinicos!$C:$C, MATCH(1, (VALUE(LEFT(ft_medicos_clinicos!$A:$A,6))=VALUE(LEFT(B140,6)))*(ft_medicos_clinicos!$B:$B=C140), 0)), "")</f>
        <v>253</v>
      </c>
      <c r="F140" cm="1">
        <f t="array" aca="1" ref="F140" ca="1">IFERROR(INDEX(ft_enfermeiros!$C:$C, MATCH(1, (VALUE(LEFT(ft_enfermeiros!$A:$A,6))=VALUE(LEFT(B140,6)))*(ft_enfermeiros!$B:$B=C140), 0)), "")</f>
        <v>925</v>
      </c>
      <c r="G140" cm="1">
        <f t="array" aca="1" ref="G140" ca="1">IFERROR(INDEX(ft_equipes_acs!$C:$C, MATCH(1, (VALUE(LEFT(ft_equipes_acs!$A:$A,6))=VALUE(LEFT(B140,6)))*(ft_equipes_acs!$B:$B=C140), 0)), "")</f>
        <v>6</v>
      </c>
      <c r="H140" cm="1">
        <f t="array" aca="1" ref="H140" ca="1">IFERROR(INDEX(ci_leitos_internacao!$C:$C, MATCH(1, (VALUE(LEFT(ci_leitos_internacao!$A:$A,6))=VALUE(LEFT(B140,6)))*(ci_leitos_internacao!$B:$B=C140), 0)), "")</f>
        <v>973</v>
      </c>
      <c r="I140" cm="1">
        <f t="array" aca="1" ref="I140" ca="1">IFERROR(INDEX(ci_hospitais_internacao!$C:$C, MATCH(1, (VALUE(LEFT(ci_hospitais_internacao!$A:$A,6))=VALUE(LEFT(B140,6)))*(ci_hospitais_internacao!$B:$B=C140), 0)), "")</f>
        <v>8</v>
      </c>
      <c r="J140" cm="1">
        <f t="array" aca="1" ref="J140" ca="1">IFERROR(INDEX(ci_pa_clinico!$C:$C, MATCH(1, (VALUE(LEFT(ci_pa_clinico!$A:$A,6))=VALUE(LEFT(B140,6)))*(ci_pa_clinico!$B:$B=C140), 0)), "")</f>
        <v>8</v>
      </c>
      <c r="K140" t="str" cm="1">
        <f t="array" aca="1" ref="K140" ca="1">IFERROR(INDEX(aps_equipes_esf!$C:$C, MATCH(1, (VALUE(LEFT(aps_equipes_esf!$A:$A,6))=VALUE(LEFT(B140,6)))*(aps_equipes_esf!$B:$B=C140), 0)), "")</f>
        <v>-</v>
      </c>
      <c r="L140" cm="1">
        <f t="array" aca="1" ref="L140" ca="1">IFERROR(INDEX(casos!$C:$C, MATCH(1, (VALUE(LEFT(casos!$A:$A,6))=VALUE(LEFT(B140,6)))*(casos!$B:$B=C140), 0)), "")</f>
        <v>91</v>
      </c>
      <c r="M140" cm="1">
        <f t="array" ref="M140">IFERROR(INDEX(srag!$D:$D, MATCH(1, (VALUE(LEFT(srag!$A:$A,6))=VALUE(LEFT(B140,6)))*(srag!$C:$C=C140), 0)), "")</f>
        <v>1540</v>
      </c>
      <c r="N140" cm="1">
        <f t="array" ref="N140">IFERROR(INDEX(fesp!$E:$E, MATCH(1, (VALUE(LEFT(fesp!$A:$A,6))=VALUE(LEFT(B140,6)))*(fesp!$C:$C=C140), 0)), "")</f>
        <v>223</v>
      </c>
      <c r="O140" cm="1">
        <f t="array" ref="O140">IFERROR(INDEX(fesp!$F:$F, MATCH(1, (VALUE(LEFT(fesp!$A:$A,6))=VALUE(LEFT(B140,6)))*(fesp!$C:$C=C140), 0)), "")</f>
        <v>2653</v>
      </c>
      <c r="P140" cm="1">
        <f t="array" ref="P140">IFERROR(INDEX(fesp!$G:$G, MATCH(1, (VALUE(LEFT(fesp!$A:$A,6))=VALUE(LEFT(B140,6)))*(fesp!$C:$C=C140), 0)), "")</f>
        <v>1642057</v>
      </c>
      <c r="Q140" cm="1">
        <f t="array" ref="Q140">IFERROR(INDEX(fesp!$H:$H, MATCH(1, (VALUE(LEFT(fesp!$A:$A,6))=VALUE(LEFT(B140,6)))*(fesp!$C:$C=C140), 0)), "")</f>
        <v>159</v>
      </c>
      <c r="R140" cm="1">
        <f t="array" ref="R140">IFERROR(INDEX(fesp!$I:$I, MATCH(1, (VALUE(LEFT(fesp!$A:$A,6))=VALUE(LEFT(B140,6)))*(fesp!$C:$C=C140), 0)), "")</f>
        <v>3717</v>
      </c>
      <c r="S140" cm="1">
        <f t="array" ref="S140">IFERROR(INDEX(fesp!$J:$J, MATCH(1, (VALUE(LEFT(fesp!$A:$A,6))=VALUE(LEFT(B140,6)))*(fesp!$C:$C=C140), 0)), "")</f>
        <v>0</v>
      </c>
    </row>
    <row r="141" spans="1:19">
      <c r="A141" s="1" t="s">
        <v>127</v>
      </c>
      <c r="B141" s="3" t="s">
        <v>126</v>
      </c>
      <c r="C141" s="3">
        <v>2022</v>
      </c>
      <c r="D141" cm="1">
        <f t="array" ref="D141">IFERROR(INDEX(fesp!$D:$D, MATCH(1, (VALUE(LEFT(fesp!$A:$A,6))=VALUE(LEFT(B141,6)))*(fesp!$C:$C=C141), 0)), "")</f>
        <v>378048</v>
      </c>
      <c r="E141" cm="1">
        <f t="array" aca="1" ref="E141" ca="1">IFERROR(INDEX(ft_medicos_clinicos!$C:$C, MATCH(1, (VALUE(LEFT(ft_medicos_clinicos!$A:$A,6))=VALUE(LEFT(B141,6)))*(ft_medicos_clinicos!$B:$B=C141), 0)), "")</f>
        <v>246</v>
      </c>
      <c r="F141" cm="1">
        <f t="array" aca="1" ref="F141" ca="1">IFERROR(INDEX(ft_enfermeiros!$C:$C, MATCH(1, (VALUE(LEFT(ft_enfermeiros!$A:$A,6))=VALUE(LEFT(B141,6)))*(ft_enfermeiros!$B:$B=C141), 0)), "")</f>
        <v>904</v>
      </c>
      <c r="G141" cm="1">
        <f t="array" aca="1" ref="G141" ca="1">IFERROR(INDEX(ft_equipes_acs!$C:$C, MATCH(1, (VALUE(LEFT(ft_equipes_acs!$A:$A,6))=VALUE(LEFT(B141,6)))*(ft_equipes_acs!$B:$B=C141), 0)), "")</f>
        <v>6</v>
      </c>
      <c r="H141" cm="1">
        <f t="array" aca="1" ref="H141" ca="1">IFERROR(INDEX(ci_leitos_internacao!$C:$C, MATCH(1, (VALUE(LEFT(ci_leitos_internacao!$A:$A,6))=VALUE(LEFT(B141,6)))*(ci_leitos_internacao!$B:$B=C141), 0)), "")</f>
        <v>1112</v>
      </c>
      <c r="I141" cm="1">
        <f t="array" aca="1" ref="I141" ca="1">IFERROR(INDEX(ci_hospitais_internacao!$C:$C, MATCH(1, (VALUE(LEFT(ci_hospitais_internacao!$A:$A,6))=VALUE(LEFT(B141,6)))*(ci_hospitais_internacao!$B:$B=C141), 0)), "")</f>
        <v>8</v>
      </c>
      <c r="J141" cm="1">
        <f t="array" aca="1" ref="J141" ca="1">IFERROR(INDEX(ci_pa_clinico!$C:$C, MATCH(1, (VALUE(LEFT(ci_pa_clinico!$A:$A,6))=VALUE(LEFT(B141,6)))*(ci_pa_clinico!$B:$B=C141), 0)), "")</f>
        <v>7</v>
      </c>
      <c r="K141" t="str" cm="1">
        <f t="array" aca="1" ref="K141" ca="1">IFERROR(INDEX(aps_equipes_esf!$C:$C, MATCH(1, (VALUE(LEFT(aps_equipes_esf!$A:$A,6))=VALUE(LEFT(B141,6)))*(aps_equipes_esf!$B:$B=C141), 0)), "")</f>
        <v>-</v>
      </c>
      <c r="L141" cm="1">
        <f t="array" aca="1" ref="L141" ca="1">IFERROR(INDEX(casos!$C:$C, MATCH(1, (VALUE(LEFT(casos!$A:$A,6))=VALUE(LEFT(B141,6)))*(casos!$B:$B=C141), 0)), "")</f>
        <v>355</v>
      </c>
      <c r="M141" cm="1">
        <f t="array" ref="M141">IFERROR(INDEX(srag!$D:$D, MATCH(1, (VALUE(LEFT(srag!$A:$A,6))=VALUE(LEFT(B141,6)))*(srag!$C:$C=C141), 0)), "")</f>
        <v>715</v>
      </c>
      <c r="N141" cm="1">
        <f t="array" ref="N141">IFERROR(INDEX(fesp!$E:$E, MATCH(1, (VALUE(LEFT(fesp!$A:$A,6))=VALUE(LEFT(B141,6)))*(fesp!$C:$C=C141), 0)), "")</f>
        <v>228</v>
      </c>
      <c r="O141" cm="1">
        <f t="array" ref="O141">IFERROR(INDEX(fesp!$F:$F, MATCH(1, (VALUE(LEFT(fesp!$A:$A,6))=VALUE(LEFT(B141,6)))*(fesp!$C:$C=C141), 0)), "")</f>
        <v>2020</v>
      </c>
      <c r="P141" cm="1">
        <f t="array" ref="P141">IFERROR(INDEX(fesp!$G:$G, MATCH(1, (VALUE(LEFT(fesp!$A:$A,6))=VALUE(LEFT(B141,6)))*(fesp!$C:$C=C141), 0)), "")</f>
        <v>1779443</v>
      </c>
      <c r="Q141" cm="1">
        <f t="array" ref="Q141">IFERROR(INDEX(fesp!$H:$H, MATCH(1, (VALUE(LEFT(fesp!$A:$A,6))=VALUE(LEFT(B141,6)))*(fesp!$C:$C=C141), 0)), "")</f>
        <v>304</v>
      </c>
      <c r="R141" cm="1">
        <f t="array" ref="R141">IFERROR(INDEX(fesp!$I:$I, MATCH(1, (VALUE(LEFT(fesp!$A:$A,6))=VALUE(LEFT(B141,6)))*(fesp!$C:$C=C141), 0)), "")</f>
        <v>4489</v>
      </c>
      <c r="S141" cm="1">
        <f t="array" ref="S141">IFERROR(INDEX(fesp!$J:$J, MATCH(1, (VALUE(LEFT(fesp!$A:$A,6))=VALUE(LEFT(B141,6)))*(fesp!$C:$C=C141), 0)), "")</f>
        <v>0</v>
      </c>
    </row>
    <row r="142" spans="1:19">
      <c r="A142" s="1" t="s">
        <v>127</v>
      </c>
      <c r="B142" s="3" t="s">
        <v>126</v>
      </c>
      <c r="C142" s="3">
        <v>2023</v>
      </c>
      <c r="D142" cm="1">
        <f t="array" ref="D142">IFERROR(INDEX(fesp!$D:$D, MATCH(1, (VALUE(LEFT(fesp!$A:$A,6))=VALUE(LEFT(B142,6)))*(fesp!$C:$C=C142), 0)), "")</f>
        <v>0</v>
      </c>
      <c r="E142" cm="1">
        <f t="array" aca="1" ref="E142" ca="1">IFERROR(INDEX(ft_medicos_clinicos!$C:$C, MATCH(1, (VALUE(LEFT(ft_medicos_clinicos!$A:$A,6))=VALUE(LEFT(B142,6)))*(ft_medicos_clinicos!$B:$B=C142), 0)), "")</f>
        <v>242</v>
      </c>
      <c r="F142" cm="1">
        <f t="array" aca="1" ref="F142" ca="1">IFERROR(INDEX(ft_enfermeiros!$C:$C, MATCH(1, (VALUE(LEFT(ft_enfermeiros!$A:$A,6))=VALUE(LEFT(B142,6)))*(ft_enfermeiros!$B:$B=C142), 0)), "")</f>
        <v>803</v>
      </c>
      <c r="G142" cm="1">
        <f t="array" aca="1" ref="G142" ca="1">IFERROR(INDEX(ft_equipes_acs!$C:$C, MATCH(1, (VALUE(LEFT(ft_equipes_acs!$A:$A,6))=VALUE(LEFT(B142,6)))*(ft_equipes_acs!$B:$B=C142), 0)), "")</f>
        <v>6</v>
      </c>
      <c r="H142" cm="1">
        <f t="array" aca="1" ref="H142" ca="1">IFERROR(INDEX(ci_leitos_internacao!$C:$C, MATCH(1, (VALUE(LEFT(ci_leitos_internacao!$A:$A,6))=VALUE(LEFT(B142,6)))*(ci_leitos_internacao!$B:$B=C142), 0)), "")</f>
        <v>1069</v>
      </c>
      <c r="I142" cm="1">
        <f t="array" aca="1" ref="I142" ca="1">IFERROR(INDEX(ci_hospitais_internacao!$C:$C, MATCH(1, (VALUE(LEFT(ci_hospitais_internacao!$A:$A,6))=VALUE(LEFT(B142,6)))*(ci_hospitais_internacao!$B:$B=C142), 0)), "")</f>
        <v>8</v>
      </c>
      <c r="J142" cm="1">
        <f t="array" aca="1" ref="J142" ca="1">IFERROR(INDEX(ci_pa_clinico!$C:$C, MATCH(1, (VALUE(LEFT(ci_pa_clinico!$A:$A,6))=VALUE(LEFT(B142,6)))*(ci_pa_clinico!$B:$B=C142), 0)), "")</f>
        <v>7</v>
      </c>
      <c r="K142" t="str" cm="1">
        <f t="array" aca="1" ref="K142" ca="1">IFERROR(INDEX(aps_equipes_esf!$C:$C, MATCH(1, (VALUE(LEFT(aps_equipes_esf!$A:$A,6))=VALUE(LEFT(B142,6)))*(aps_equipes_esf!$B:$B=C142), 0)), "")</f>
        <v>-</v>
      </c>
      <c r="L142" cm="1">
        <f t="array" aca="1" ref="L142" ca="1">IFERROR(INDEX(casos!$C:$C, MATCH(1, (VALUE(LEFT(casos!$A:$A,6))=VALUE(LEFT(B142,6)))*(casos!$B:$B=C142), 0)), "")</f>
        <v>107</v>
      </c>
      <c r="M142" cm="1">
        <f t="array" ref="M142">IFERROR(INDEX(srag!$D:$D, MATCH(1, (VALUE(LEFT(srag!$A:$A,6))=VALUE(LEFT(B142,6)))*(srag!$C:$C=C142), 0)), "")</f>
        <v>126</v>
      </c>
      <c r="N142" cm="1">
        <f t="array" ref="N142">IFERROR(INDEX(fesp!$E:$E, MATCH(1, (VALUE(LEFT(fesp!$A:$A,6))=VALUE(LEFT(B142,6)))*(fesp!$C:$C=C142), 0)), "")</f>
        <v>187</v>
      </c>
      <c r="O142" cm="1">
        <f t="array" ref="O142">IFERROR(INDEX(fesp!$F:$F, MATCH(1, (VALUE(LEFT(fesp!$A:$A,6))=VALUE(LEFT(B142,6)))*(fesp!$C:$C=C142), 0)), "")</f>
        <v>2392</v>
      </c>
      <c r="P142" cm="1">
        <f t="array" ref="P142">IFERROR(INDEX(fesp!$G:$G, MATCH(1, (VALUE(LEFT(fesp!$A:$A,6))=VALUE(LEFT(B142,6)))*(fesp!$C:$C=C142), 0)), "")</f>
        <v>1916775</v>
      </c>
      <c r="Q142" cm="1">
        <f t="array" ref="Q142">IFERROR(INDEX(fesp!$H:$H, MATCH(1, (VALUE(LEFT(fesp!$A:$A,6))=VALUE(LEFT(B142,6)))*(fesp!$C:$C=C142), 0)), "")</f>
        <v>243</v>
      </c>
      <c r="R142" cm="1">
        <f t="array" ref="R142">IFERROR(INDEX(fesp!$I:$I, MATCH(1, (VALUE(LEFT(fesp!$A:$A,6))=VALUE(LEFT(B142,6)))*(fesp!$C:$C=C142), 0)), "")</f>
        <v>2879</v>
      </c>
      <c r="S142" cm="1">
        <f t="array" ref="S142">IFERROR(INDEX(fesp!$J:$J, MATCH(1, (VALUE(LEFT(fesp!$A:$A,6))=VALUE(LEFT(B142,6)))*(fesp!$C:$C=C142), 0)), "")</f>
        <v>0</v>
      </c>
    </row>
    <row r="143" spans="1:19">
      <c r="A143" s="1" t="s">
        <v>127</v>
      </c>
      <c r="B143" s="3" t="s">
        <v>126</v>
      </c>
      <c r="C143" s="3">
        <v>2024</v>
      </c>
      <c r="D143" cm="1">
        <f t="array" ref="D143">IFERROR(INDEX(fesp!$D:$D, MATCH(1, (VALUE(LEFT(fesp!$A:$A,6))=VALUE(LEFT(B143,6)))*(fesp!$C:$C=C143), 0)), "")</f>
        <v>0</v>
      </c>
      <c r="E143" cm="1">
        <f t="array" aca="1" ref="E143" ca="1">IFERROR(INDEX(ft_medicos_clinicos!$C:$C, MATCH(1, (VALUE(LEFT(ft_medicos_clinicos!$A:$A,6))=VALUE(LEFT(B143,6)))*(ft_medicos_clinicos!$B:$B=C143), 0)), "")</f>
        <v>259</v>
      </c>
      <c r="F143" cm="1">
        <f t="array" aca="1" ref="F143" ca="1">IFERROR(INDEX(ft_enfermeiros!$C:$C, MATCH(1, (VALUE(LEFT(ft_enfermeiros!$A:$A,6))=VALUE(LEFT(B143,6)))*(ft_enfermeiros!$B:$B=C143), 0)), "")</f>
        <v>845</v>
      </c>
      <c r="G143" cm="1">
        <f t="array" aca="1" ref="G143" ca="1">IFERROR(INDEX(ft_equipes_acs!$C:$C, MATCH(1, (VALUE(LEFT(ft_equipes_acs!$A:$A,6))=VALUE(LEFT(B143,6)))*(ft_equipes_acs!$B:$B=C143), 0)), "")</f>
        <v>6</v>
      </c>
      <c r="H143" cm="1">
        <f t="array" aca="1" ref="H143" ca="1">IFERROR(INDEX(ci_leitos_internacao!$C:$C, MATCH(1, (VALUE(LEFT(ci_leitos_internacao!$A:$A,6))=VALUE(LEFT(B143,6)))*(ci_leitos_internacao!$B:$B=C143), 0)), "")</f>
        <v>1186</v>
      </c>
      <c r="I143" cm="1">
        <f t="array" aca="1" ref="I143" ca="1">IFERROR(INDEX(ci_hospitais_internacao!$C:$C, MATCH(1, (VALUE(LEFT(ci_hospitais_internacao!$A:$A,6))=VALUE(LEFT(B143,6)))*(ci_hospitais_internacao!$B:$B=C143), 0)), "")</f>
        <v>9</v>
      </c>
      <c r="J143" cm="1">
        <f t="array" aca="1" ref="J143" ca="1">IFERROR(INDEX(ci_pa_clinico!$C:$C, MATCH(1, (VALUE(LEFT(ci_pa_clinico!$A:$A,6))=VALUE(LEFT(B143,6)))*(ci_pa_clinico!$B:$B=C143), 0)), "")</f>
        <v>6</v>
      </c>
      <c r="K143" t="str" cm="1">
        <f t="array" aca="1" ref="K143" ca="1">IFERROR(INDEX(aps_equipes_esf!$C:$C, MATCH(1, (VALUE(LEFT(aps_equipes_esf!$A:$A,6))=VALUE(LEFT(B143,6)))*(aps_equipes_esf!$B:$B=C143), 0)), "")</f>
        <v>-</v>
      </c>
      <c r="L143" cm="1">
        <f t="array" aca="1" ref="L143" ca="1">IFERROR(INDEX(casos!$C:$C, MATCH(1, (VALUE(LEFT(casos!$A:$A,6))=VALUE(LEFT(B143,6)))*(casos!$B:$B=C143), 0)), "")</f>
        <v>276</v>
      </c>
      <c r="M143" cm="1">
        <f t="array" ref="M143">IFERROR(INDEX(srag!$D:$D, MATCH(1, (VALUE(LEFT(srag!$A:$A,6))=VALUE(LEFT(B143,6)))*(srag!$C:$C=C143), 0)), "")</f>
        <v>129</v>
      </c>
      <c r="N143" cm="1">
        <f t="array" ref="N143">IFERROR(INDEX(fesp!$E:$E, MATCH(1, (VALUE(LEFT(fesp!$A:$A,6))=VALUE(LEFT(B143,6)))*(fesp!$C:$C=C143), 0)), "")</f>
        <v>148</v>
      </c>
      <c r="O143" cm="1">
        <f t="array" ref="O143">IFERROR(INDEX(fesp!$F:$F, MATCH(1, (VALUE(LEFT(fesp!$A:$A,6))=VALUE(LEFT(B143,6)))*(fesp!$C:$C=C143), 0)), "")</f>
        <v>2470</v>
      </c>
      <c r="P143" cm="1">
        <f t="array" ref="P143">IFERROR(INDEX(fesp!$G:$G, MATCH(1, (VALUE(LEFT(fesp!$A:$A,6))=VALUE(LEFT(B143,6)))*(fesp!$C:$C=C143), 0)), "")</f>
        <v>2105946</v>
      </c>
      <c r="Q143" cm="1">
        <f t="array" ref="Q143">IFERROR(INDEX(fesp!$H:$H, MATCH(1, (VALUE(LEFT(fesp!$A:$A,6))=VALUE(LEFT(B143,6)))*(fesp!$C:$C=C143), 0)), "")</f>
        <v>286</v>
      </c>
      <c r="R143" cm="1">
        <f t="array" ref="R143">IFERROR(INDEX(fesp!$I:$I, MATCH(1, (VALUE(LEFT(fesp!$A:$A,6))=VALUE(LEFT(B143,6)))*(fesp!$C:$C=C143), 0)), "")</f>
        <v>2131</v>
      </c>
      <c r="S143" cm="1">
        <f t="array" ref="S143">IFERROR(INDEX(fesp!$J:$J, MATCH(1, (VALUE(LEFT(fesp!$A:$A,6))=VALUE(LEFT(B143,6)))*(fesp!$C:$C=C143), 0)), "")</f>
        <v>139</v>
      </c>
    </row>
    <row r="144" spans="1:19">
      <c r="A144" s="1" t="s">
        <v>127</v>
      </c>
      <c r="B144" s="3" t="s">
        <v>126</v>
      </c>
      <c r="C144" s="3">
        <v>2025</v>
      </c>
      <c r="D144" cm="1">
        <f t="array" ref="D144">IFERROR(INDEX(fesp!$D:$D, MATCH(1, (VALUE(LEFT(fesp!$A:$A,6))=VALUE(LEFT(B144,6)))*(fesp!$C:$C=C144), 0)), "")</f>
        <v>0</v>
      </c>
      <c r="E144" cm="1">
        <f t="array" aca="1" ref="E144" ca="1">IFERROR(INDEX(ft_medicos_clinicos!$C:$C, MATCH(1, (VALUE(LEFT(ft_medicos_clinicos!$A:$A,6))=VALUE(LEFT(B144,6)))*(ft_medicos_clinicos!$B:$B=C144), 0)), "")</f>
        <v>281</v>
      </c>
      <c r="F144" cm="1">
        <f t="array" aca="1" ref="F144" ca="1">IFERROR(INDEX(ft_enfermeiros!$C:$C, MATCH(1, (VALUE(LEFT(ft_enfermeiros!$A:$A,6))=VALUE(LEFT(B144,6)))*(ft_enfermeiros!$B:$B=C144), 0)), "")</f>
        <v>925</v>
      </c>
      <c r="G144" cm="1">
        <f t="array" aca="1" ref="G144" ca="1">IFERROR(INDEX(ft_equipes_acs!$C:$C, MATCH(1, (VALUE(LEFT(ft_equipes_acs!$A:$A,6))=VALUE(LEFT(B144,6)))*(ft_equipes_acs!$B:$B=C144), 0)), "")</f>
        <v>6</v>
      </c>
      <c r="H144" cm="1">
        <f t="array" aca="1" ref="H144" ca="1">IFERROR(INDEX(ci_leitos_internacao!$C:$C, MATCH(1, (VALUE(LEFT(ci_leitos_internacao!$A:$A,6))=VALUE(LEFT(B144,6)))*(ci_leitos_internacao!$B:$B=C144), 0)), "")</f>
        <v>1300</v>
      </c>
      <c r="I144" cm="1">
        <f t="array" aca="1" ref="I144" ca="1">IFERROR(INDEX(ci_hospitais_internacao!$C:$C, MATCH(1, (VALUE(LEFT(ci_hospitais_internacao!$A:$A,6))=VALUE(LEFT(B144,6)))*(ci_hospitais_internacao!$B:$B=C144), 0)), "")</f>
        <v>8</v>
      </c>
      <c r="J144" cm="1">
        <f t="array" aca="1" ref="J144" ca="1">IFERROR(INDEX(ci_pa_clinico!$C:$C, MATCH(1, (VALUE(LEFT(ci_pa_clinico!$A:$A,6))=VALUE(LEFT(B144,6)))*(ci_pa_clinico!$B:$B=C144), 0)), "")</f>
        <v>5</v>
      </c>
      <c r="K144" t="str" cm="1">
        <f t="array" aca="1" ref="K144" ca="1">IFERROR(INDEX(aps_equipes_esf!$C:$C, MATCH(1, (VALUE(LEFT(aps_equipes_esf!$A:$A,6))=VALUE(LEFT(B144,6)))*(aps_equipes_esf!$B:$B=C144), 0)), "")</f>
        <v>-</v>
      </c>
      <c r="L144" cm="1">
        <f t="array" aca="1" ref="L144" ca="1">IFERROR(INDEX(casos!$C:$C, MATCH(1, (VALUE(LEFT(casos!$A:$A,6))=VALUE(LEFT(B144,6)))*(casos!$B:$B=C144), 0)), "")</f>
        <v>227</v>
      </c>
      <c r="M144" cm="1">
        <f t="array" ref="M144">IFERROR(INDEX(srag!$D:$D, MATCH(1, (VALUE(LEFT(srag!$A:$A,6))=VALUE(LEFT(B144,6)))*(srag!$C:$C=C144), 0)), "")</f>
        <v>79</v>
      </c>
      <c r="N144" cm="1">
        <f t="array" ref="N144">IFERROR(INDEX(fesp!$E:$E, MATCH(1, (VALUE(LEFT(fesp!$A:$A,6))=VALUE(LEFT(B144,6)))*(fesp!$C:$C=C144), 0)), "")</f>
        <v>178</v>
      </c>
      <c r="O144" cm="1">
        <f t="array" ref="O144">IFERROR(INDEX(fesp!$F:$F, MATCH(1, (VALUE(LEFT(fesp!$A:$A,6))=VALUE(LEFT(B144,6)))*(fesp!$C:$C=C144), 0)), "")</f>
        <v>3191</v>
      </c>
      <c r="P144" cm="1">
        <f t="array" ref="P144">IFERROR(INDEX(fesp!$G:$G, MATCH(1, (VALUE(LEFT(fesp!$A:$A,6))=VALUE(LEFT(B144,6)))*(fesp!$C:$C=C144), 0)), "")</f>
        <v>1669260</v>
      </c>
      <c r="Q144" cm="1">
        <f t="array" ref="Q144">IFERROR(INDEX(fesp!$H:$H, MATCH(1, (VALUE(LEFT(fesp!$A:$A,6))=VALUE(LEFT(B144,6)))*(fesp!$C:$C=C144), 0)), "")</f>
        <v>206</v>
      </c>
      <c r="R144" cm="1">
        <f t="array" ref="R144">IFERROR(INDEX(fesp!$I:$I, MATCH(1, (VALUE(LEFT(fesp!$A:$A,6))=VALUE(LEFT(B144,6)))*(fesp!$C:$C=C144), 0)), "")</f>
        <v>2644</v>
      </c>
      <c r="S144" cm="1">
        <f t="array" ref="S144">IFERROR(INDEX(fesp!$J:$J, MATCH(1, (VALUE(LEFT(fesp!$A:$A,6))=VALUE(LEFT(B144,6)))*(fesp!$C:$C=C144), 0)), "")</f>
        <v>0</v>
      </c>
    </row>
    <row r="145" spans="1:19">
      <c r="A145" s="1" t="s">
        <v>63</v>
      </c>
      <c r="B145" s="3">
        <v>2607901</v>
      </c>
      <c r="C145" s="3">
        <v>2015</v>
      </c>
      <c r="D145" cm="1">
        <f t="array" ref="D145">IFERROR(INDEX(fesp!$D:$D, MATCH(1, (VALUE(LEFT(fesp!$A:$A,6))=VALUE(LEFT(B145,6)))*(fesp!$C:$C=C145), 0)), "")</f>
        <v>686122</v>
      </c>
      <c r="E145" cm="1">
        <f t="array" aca="1" ref="E145" ca="1">IFERROR(INDEX(ft_medicos_clinicos!$C:$C, MATCH(1, (VALUE(LEFT(ft_medicos_clinicos!$A:$A,6))=VALUE(LEFT(B145,6)))*(ft_medicos_clinicos!$B:$B=C145), 0)), "")</f>
        <v>201</v>
      </c>
      <c r="F145" cm="1">
        <f t="array" aca="1" ref="F145" ca="1">IFERROR(INDEX(ft_enfermeiros!$C:$C, MATCH(1, (VALUE(LEFT(ft_enfermeiros!$A:$A,6))=VALUE(LEFT(B145,6)))*(ft_enfermeiros!$B:$B=C145), 0)), "")</f>
        <v>318</v>
      </c>
      <c r="G145" cm="1">
        <f t="array" aca="1" ref="G145" ca="1">IFERROR(INDEX(ft_equipes_acs!$C:$C, MATCH(1, (VALUE(LEFT(ft_equipes_acs!$A:$A,6))=VALUE(LEFT(B145,6)))*(ft_equipes_acs!$B:$B=C145), 0)), "")</f>
        <v>19</v>
      </c>
      <c r="H145" cm="1">
        <f t="array" aca="1" ref="H145" ca="1">IFERROR(INDEX(ci_leitos_internacao!$C:$C, MATCH(1, (VALUE(LEFT(ci_leitos_internacao!$A:$A,6))=VALUE(LEFT(B145,6)))*(ci_leitos_internacao!$B:$B=C145), 0)), "")</f>
        <v>576</v>
      </c>
      <c r="I145" cm="1">
        <f t="array" aca="1" ref="I145" ca="1">IFERROR(INDEX(ci_hospitais_internacao!$C:$C, MATCH(1, (VALUE(LEFT(ci_hospitais_internacao!$A:$A,6))=VALUE(LEFT(B145,6)))*(ci_hospitais_internacao!$B:$B=C145), 0)), "")</f>
        <v>4</v>
      </c>
      <c r="J145" t="str" cm="1">
        <f t="array" aca="1" ref="J145" ca="1">IFERROR(INDEX(ci_pa_clinico!$C:$C, MATCH(1, (VALUE(LEFT(ci_pa_clinico!$A:$A,6))=VALUE(LEFT(B145,6)))*(ci_pa_clinico!$B:$B=C145), 0)), "")</f>
        <v/>
      </c>
      <c r="K145" cm="1">
        <f t="array" aca="1" ref="K145" ca="1">IFERROR(INDEX(aps_equipes_esf!$C:$C, MATCH(1, (VALUE(LEFT(aps_equipes_esf!$A:$A,6))=VALUE(LEFT(B145,6)))*(aps_equipes_esf!$B:$B=C145), 0)), "")</f>
        <v>32</v>
      </c>
      <c r="L145" cm="1">
        <f t="array" aca="1" ref="L145" ca="1">IFERROR(INDEX(casos!$C:$C, MATCH(1, (VALUE(LEFT(casos!$A:$A,6))=VALUE(LEFT(B145,6)))*(casos!$B:$B=C145), 0)), "")</f>
        <v>4360</v>
      </c>
      <c r="M145" cm="1">
        <f t="array" ref="M145">IFERROR(INDEX(srag!$D:$D, MATCH(1, (VALUE(LEFT(srag!$A:$A,6))=VALUE(LEFT(B145,6)))*(srag!$C:$C=C145), 0)), "")</f>
        <v>176</v>
      </c>
      <c r="N145" cm="1">
        <f t="array" ref="N145">IFERROR(INDEX(fesp!$E:$E, MATCH(1, (VALUE(LEFT(fesp!$A:$A,6))=VALUE(LEFT(B145,6)))*(fesp!$C:$C=C145), 0)), "")</f>
        <v>164</v>
      </c>
      <c r="O145" cm="1">
        <f t="array" ref="O145">IFERROR(INDEX(fesp!$F:$F, MATCH(1, (VALUE(LEFT(fesp!$A:$A,6))=VALUE(LEFT(B145,6)))*(fesp!$C:$C=C145), 0)), "")</f>
        <v>4918</v>
      </c>
      <c r="P145" cm="1">
        <f t="array" ref="P145">IFERROR(INDEX(fesp!$G:$G, MATCH(1, (VALUE(LEFT(fesp!$A:$A,6))=VALUE(LEFT(B145,6)))*(fesp!$C:$C=C145), 0)), "")</f>
        <v>2296675</v>
      </c>
      <c r="Q145" cm="1">
        <f t="array" ref="Q145">IFERROR(INDEX(fesp!$H:$H, MATCH(1, (VALUE(LEFT(fesp!$A:$A,6))=VALUE(LEFT(B145,6)))*(fesp!$C:$C=C145), 0)), "")</f>
        <v>12</v>
      </c>
      <c r="R145" cm="1">
        <f t="array" ref="R145">IFERROR(INDEX(fesp!$I:$I, MATCH(1, (VALUE(LEFT(fesp!$A:$A,6))=VALUE(LEFT(B145,6)))*(fesp!$C:$C=C145), 0)), "")</f>
        <v>50253</v>
      </c>
      <c r="S145" cm="1">
        <f t="array" ref="S145">IFERROR(INDEX(fesp!$J:$J, MATCH(1, (VALUE(LEFT(fesp!$A:$A,6))=VALUE(LEFT(B145,6)))*(fesp!$C:$C=C145), 0)), "")</f>
        <v>365335</v>
      </c>
    </row>
    <row r="146" spans="1:19">
      <c r="A146" s="1" t="s">
        <v>63</v>
      </c>
      <c r="B146" s="3">
        <v>2607901</v>
      </c>
      <c r="C146" s="3">
        <v>2016</v>
      </c>
      <c r="D146" cm="1">
        <f t="array" ref="D146">IFERROR(INDEX(fesp!$D:$D, MATCH(1, (VALUE(LEFT(fesp!$A:$A,6))=VALUE(LEFT(B146,6)))*(fesp!$C:$C=C146), 0)), "")</f>
        <v>0</v>
      </c>
      <c r="E146" cm="1">
        <f t="array" aca="1" ref="E146" ca="1">IFERROR(INDEX(ft_medicos_clinicos!$C:$C, MATCH(1, (VALUE(LEFT(ft_medicos_clinicos!$A:$A,6))=VALUE(LEFT(B146,6)))*(ft_medicos_clinicos!$B:$B=C146), 0)), "")</f>
        <v>216</v>
      </c>
      <c r="F146" cm="1">
        <f t="array" aca="1" ref="F146" ca="1">IFERROR(INDEX(ft_enfermeiros!$C:$C, MATCH(1, (VALUE(LEFT(ft_enfermeiros!$A:$A,6))=VALUE(LEFT(B146,6)))*(ft_enfermeiros!$B:$B=C146), 0)), "")</f>
        <v>343</v>
      </c>
      <c r="G146" cm="1">
        <f t="array" aca="1" ref="G146" ca="1">IFERROR(INDEX(ft_equipes_acs!$C:$C, MATCH(1, (VALUE(LEFT(ft_equipes_acs!$A:$A,6))=VALUE(LEFT(B146,6)))*(ft_equipes_acs!$B:$B=C146), 0)), "")</f>
        <v>18</v>
      </c>
      <c r="H146" cm="1">
        <f t="array" aca="1" ref="H146" ca="1">IFERROR(INDEX(ci_leitos_internacao!$C:$C, MATCH(1, (VALUE(LEFT(ci_leitos_internacao!$A:$A,6))=VALUE(LEFT(B146,6)))*(ci_leitos_internacao!$B:$B=C146), 0)), "")</f>
        <v>523</v>
      </c>
      <c r="I146" cm="1">
        <f t="array" aca="1" ref="I146" ca="1">IFERROR(INDEX(ci_hospitais_internacao!$C:$C, MATCH(1, (VALUE(LEFT(ci_hospitais_internacao!$A:$A,6))=VALUE(LEFT(B146,6)))*(ci_hospitais_internacao!$B:$B=C146), 0)), "")</f>
        <v>4</v>
      </c>
      <c r="J146" t="str" cm="1">
        <f t="array" aca="1" ref="J146" ca="1">IFERROR(INDEX(ci_pa_clinico!$C:$C, MATCH(1, (VALUE(LEFT(ci_pa_clinico!$A:$A,6))=VALUE(LEFT(B146,6)))*(ci_pa_clinico!$B:$B=C146), 0)), "")</f>
        <v/>
      </c>
      <c r="K146" cm="1">
        <f t="array" aca="1" ref="K146" ca="1">IFERROR(INDEX(aps_equipes_esf!$C:$C, MATCH(1, (VALUE(LEFT(aps_equipes_esf!$A:$A,6))=VALUE(LEFT(B146,6)))*(aps_equipes_esf!$B:$B=C146), 0)), "")</f>
        <v>31</v>
      </c>
      <c r="L146" cm="1">
        <f t="array" aca="1" ref="L146" ca="1">IFERROR(INDEX(casos!$C:$C, MATCH(1, (VALUE(LEFT(casos!$A:$A,6))=VALUE(LEFT(B146,6)))*(casos!$B:$B=C146), 0)), "")</f>
        <v>2734</v>
      </c>
      <c r="M146" cm="1">
        <f t="array" ref="M146">IFERROR(INDEX(srag!$D:$D, MATCH(1, (VALUE(LEFT(srag!$A:$A,6))=VALUE(LEFT(B146,6)))*(srag!$C:$C=C146), 0)), "")</f>
        <v>199</v>
      </c>
      <c r="N146" cm="1">
        <f t="array" ref="N146">IFERROR(INDEX(fesp!$E:$E, MATCH(1, (VALUE(LEFT(fesp!$A:$A,6))=VALUE(LEFT(B146,6)))*(fesp!$C:$C=C146), 0)), "")</f>
        <v>239</v>
      </c>
      <c r="O146" cm="1">
        <f t="array" ref="O146">IFERROR(INDEX(fesp!$F:$F, MATCH(1, (VALUE(LEFT(fesp!$A:$A,6))=VALUE(LEFT(B146,6)))*(fesp!$C:$C=C146), 0)), "")</f>
        <v>4142</v>
      </c>
      <c r="P146" cm="1">
        <f t="array" ref="P146">IFERROR(INDEX(fesp!$G:$G, MATCH(1, (VALUE(LEFT(fesp!$A:$A,6))=VALUE(LEFT(B146,6)))*(fesp!$C:$C=C146), 0)), "")</f>
        <v>2087159</v>
      </c>
      <c r="Q146" cm="1">
        <f t="array" ref="Q146">IFERROR(INDEX(fesp!$H:$H, MATCH(1, (VALUE(LEFT(fesp!$A:$A,6))=VALUE(LEFT(B146,6)))*(fesp!$C:$C=C146), 0)), "")</f>
        <v>27</v>
      </c>
      <c r="R146" cm="1">
        <f t="array" ref="R146">IFERROR(INDEX(fesp!$I:$I, MATCH(1, (VALUE(LEFT(fesp!$A:$A,6))=VALUE(LEFT(B146,6)))*(fesp!$C:$C=C146), 0)), "")</f>
        <v>49990</v>
      </c>
      <c r="S146" cm="1">
        <f t="array" ref="S146">IFERROR(INDEX(fesp!$J:$J, MATCH(1, (VALUE(LEFT(fesp!$A:$A,6))=VALUE(LEFT(B146,6)))*(fesp!$C:$C=C146), 0)), "")</f>
        <v>299839</v>
      </c>
    </row>
    <row r="147" spans="1:19">
      <c r="A147" s="1" t="s">
        <v>63</v>
      </c>
      <c r="B147" s="3" t="s">
        <v>62</v>
      </c>
      <c r="C147" s="3">
        <v>2017</v>
      </c>
      <c r="D147" cm="1">
        <f t="array" ref="D147">IFERROR(INDEX(fesp!$D:$D, MATCH(1, (VALUE(LEFT(fesp!$A:$A,6))=VALUE(LEFT(B147,6)))*(fesp!$C:$C=C147), 0)), "")</f>
        <v>0</v>
      </c>
      <c r="E147" cm="1">
        <f t="array" aca="1" ref="E147" ca="1">IFERROR(INDEX(ft_medicos_clinicos!$C:$C, MATCH(1, (VALUE(LEFT(ft_medicos_clinicos!$A:$A,6))=VALUE(LEFT(B147,6)))*(ft_medicos_clinicos!$B:$B=C147), 0)), "")</f>
        <v>220</v>
      </c>
      <c r="F147" cm="1">
        <f t="array" aca="1" ref="F147" ca="1">IFERROR(INDEX(ft_enfermeiros!$C:$C, MATCH(1, (VALUE(LEFT(ft_enfermeiros!$A:$A,6))=VALUE(LEFT(B147,6)))*(ft_enfermeiros!$B:$B=C147), 0)), "")</f>
        <v>310</v>
      </c>
      <c r="G147" cm="1">
        <f t="array" aca="1" ref="G147" ca="1">IFERROR(INDEX(ft_equipes_acs!$C:$C, MATCH(1, (VALUE(LEFT(ft_equipes_acs!$A:$A,6))=VALUE(LEFT(B147,6)))*(ft_equipes_acs!$B:$B=C147), 0)), "")</f>
        <v>18</v>
      </c>
      <c r="H147" cm="1">
        <f t="array" aca="1" ref="H147" ca="1">IFERROR(INDEX(ci_leitos_internacao!$C:$C, MATCH(1, (VALUE(LEFT(ci_leitos_internacao!$A:$A,6))=VALUE(LEFT(B147,6)))*(ci_leitos_internacao!$B:$B=C147), 0)), "")</f>
        <v>535</v>
      </c>
      <c r="I147" cm="1">
        <f t="array" aca="1" ref="I147" ca="1">IFERROR(INDEX(ci_hospitais_internacao!$C:$C, MATCH(1, (VALUE(LEFT(ci_hospitais_internacao!$A:$A,6))=VALUE(LEFT(B147,6)))*(ci_hospitais_internacao!$B:$B=C147), 0)), "")</f>
        <v>4</v>
      </c>
      <c r="J147" t="str" cm="1">
        <f t="array" aca="1" ref="J147" ca="1">IFERROR(INDEX(ci_pa_clinico!$C:$C, MATCH(1, (VALUE(LEFT(ci_pa_clinico!$A:$A,6))=VALUE(LEFT(B147,6)))*(ci_pa_clinico!$B:$B=C147), 0)), "")</f>
        <v/>
      </c>
      <c r="K147" cm="1">
        <f t="array" aca="1" ref="K147" ca="1">IFERROR(INDEX(aps_equipes_esf!$C:$C, MATCH(1, (VALUE(LEFT(aps_equipes_esf!$A:$A,6))=VALUE(LEFT(B147,6)))*(aps_equipes_esf!$B:$B=C147), 0)), "")</f>
        <v>27</v>
      </c>
      <c r="L147" cm="1">
        <f t="array" aca="1" ref="L147" ca="1">IFERROR(INDEX(casos!$C:$C, MATCH(1, (VALUE(LEFT(casos!$A:$A,6))=VALUE(LEFT(B147,6)))*(casos!$B:$B=C147), 0)), "")</f>
        <v>170</v>
      </c>
      <c r="M147" cm="1">
        <f t="array" ref="M147">IFERROR(INDEX(srag!$D:$D, MATCH(1, (VALUE(LEFT(srag!$A:$A,6))=VALUE(LEFT(B147,6)))*(srag!$C:$C=C147), 0)), "")</f>
        <v>234</v>
      </c>
      <c r="N147" cm="1">
        <f t="array" ref="N147">IFERROR(INDEX(fesp!$E:$E, MATCH(1, (VALUE(LEFT(fesp!$A:$A,6))=VALUE(LEFT(B147,6)))*(fesp!$C:$C=C147), 0)), "")</f>
        <v>211</v>
      </c>
      <c r="O147" cm="1">
        <f t="array" ref="O147">IFERROR(INDEX(fesp!$F:$F, MATCH(1, (VALUE(LEFT(fesp!$A:$A,6))=VALUE(LEFT(B147,6)))*(fesp!$C:$C=C147), 0)), "")</f>
        <v>4037</v>
      </c>
      <c r="P147" cm="1">
        <f t="array" ref="P147">IFERROR(INDEX(fesp!$G:$G, MATCH(1, (VALUE(LEFT(fesp!$A:$A,6))=VALUE(LEFT(B147,6)))*(fesp!$C:$C=C147), 0)), "")</f>
        <v>1772247</v>
      </c>
      <c r="Q147" cm="1">
        <f t="array" ref="Q147">IFERROR(INDEX(fesp!$H:$H, MATCH(1, (VALUE(LEFT(fesp!$A:$A,6))=VALUE(LEFT(B147,6)))*(fesp!$C:$C=C147), 0)), "")</f>
        <v>18</v>
      </c>
      <c r="R147" cm="1">
        <f t="array" ref="R147">IFERROR(INDEX(fesp!$I:$I, MATCH(1, (VALUE(LEFT(fesp!$A:$A,6))=VALUE(LEFT(B147,6)))*(fesp!$C:$C=C147), 0)), "")</f>
        <v>20795</v>
      </c>
      <c r="S147" cm="1">
        <f t="array" ref="S147">IFERROR(INDEX(fesp!$J:$J, MATCH(1, (VALUE(LEFT(fesp!$A:$A,6))=VALUE(LEFT(B147,6)))*(fesp!$C:$C=C147), 0)), "")</f>
        <v>160944</v>
      </c>
    </row>
    <row r="148" spans="1:19">
      <c r="A148" s="1" t="s">
        <v>63</v>
      </c>
      <c r="B148" s="3" t="s">
        <v>62</v>
      </c>
      <c r="C148" s="3">
        <v>2018</v>
      </c>
      <c r="D148" cm="1">
        <f t="array" ref="D148">IFERROR(INDEX(fesp!$D:$D, MATCH(1, (VALUE(LEFT(fesp!$A:$A,6))=VALUE(LEFT(B148,6)))*(fesp!$C:$C=C148), 0)), "")</f>
        <v>0</v>
      </c>
      <c r="E148" cm="1">
        <f t="array" aca="1" ref="E148" ca="1">IFERROR(INDEX(ft_medicos_clinicos!$C:$C, MATCH(1, (VALUE(LEFT(ft_medicos_clinicos!$A:$A,6))=VALUE(LEFT(B148,6)))*(ft_medicos_clinicos!$B:$B=C148), 0)), "")</f>
        <v>247</v>
      </c>
      <c r="F148" cm="1">
        <f t="array" aca="1" ref="F148" ca="1">IFERROR(INDEX(ft_enfermeiros!$C:$C, MATCH(1, (VALUE(LEFT(ft_enfermeiros!$A:$A,6))=VALUE(LEFT(B148,6)))*(ft_enfermeiros!$B:$B=C148), 0)), "")</f>
        <v>320</v>
      </c>
      <c r="G148" cm="1">
        <f t="array" aca="1" ref="G148" ca="1">IFERROR(INDEX(ft_equipes_acs!$C:$C, MATCH(1, (VALUE(LEFT(ft_equipes_acs!$A:$A,6))=VALUE(LEFT(B148,6)))*(ft_equipes_acs!$B:$B=C148), 0)), "")</f>
        <v>18</v>
      </c>
      <c r="H148" cm="1">
        <f t="array" aca="1" ref="H148" ca="1">IFERROR(INDEX(ci_leitos_internacao!$C:$C, MATCH(1, (VALUE(LEFT(ci_leitos_internacao!$A:$A,6))=VALUE(LEFT(B148,6)))*(ci_leitos_internacao!$B:$B=C148), 0)), "")</f>
        <v>656</v>
      </c>
      <c r="I148" cm="1">
        <f t="array" aca="1" ref="I148" ca="1">IFERROR(INDEX(ci_hospitais_internacao!$C:$C, MATCH(1, (VALUE(LEFT(ci_hospitais_internacao!$A:$A,6))=VALUE(LEFT(B148,6)))*(ci_hospitais_internacao!$B:$B=C148), 0)), "")</f>
        <v>5</v>
      </c>
      <c r="J148" t="str" cm="1">
        <f t="array" aca="1" ref="J148" ca="1">IFERROR(INDEX(ci_pa_clinico!$C:$C, MATCH(1, (VALUE(LEFT(ci_pa_clinico!$A:$A,6))=VALUE(LEFT(B148,6)))*(ci_pa_clinico!$B:$B=C148), 0)), "")</f>
        <v/>
      </c>
      <c r="K148" cm="1">
        <f t="array" aca="1" ref="K148" ca="1">IFERROR(INDEX(aps_equipes_esf!$C:$C, MATCH(1, (VALUE(LEFT(aps_equipes_esf!$A:$A,6))=VALUE(LEFT(B148,6)))*(aps_equipes_esf!$B:$B=C148), 0)), "")</f>
        <v>25</v>
      </c>
      <c r="L148" cm="1">
        <f t="array" aca="1" ref="L148" ca="1">IFERROR(INDEX(casos!$C:$C, MATCH(1, (VALUE(LEFT(casos!$A:$A,6))=VALUE(LEFT(B148,6)))*(casos!$B:$B=C148), 0)), "")</f>
        <v>750</v>
      </c>
      <c r="M148" cm="1">
        <f t="array" ref="M148">IFERROR(INDEX(srag!$D:$D, MATCH(1, (VALUE(LEFT(srag!$A:$A,6))=VALUE(LEFT(B148,6)))*(srag!$C:$C=C148), 0)), "")</f>
        <v>289</v>
      </c>
      <c r="N148" cm="1">
        <f t="array" ref="N148">IFERROR(INDEX(fesp!$E:$E, MATCH(1, (VALUE(LEFT(fesp!$A:$A,6))=VALUE(LEFT(B148,6)))*(fesp!$C:$C=C148), 0)), "")</f>
        <v>283</v>
      </c>
      <c r="O148" cm="1">
        <f t="array" ref="O148">IFERROR(INDEX(fesp!$F:$F, MATCH(1, (VALUE(LEFT(fesp!$A:$A,6))=VALUE(LEFT(B148,6)))*(fesp!$C:$C=C148), 0)), "")</f>
        <v>5326</v>
      </c>
      <c r="P148" cm="1">
        <f t="array" ref="P148">IFERROR(INDEX(fesp!$G:$G, MATCH(1, (VALUE(LEFT(fesp!$A:$A,6))=VALUE(LEFT(B148,6)))*(fesp!$C:$C=C148), 0)), "")</f>
        <v>1651017</v>
      </c>
      <c r="Q148" cm="1">
        <f t="array" ref="Q148">IFERROR(INDEX(fesp!$H:$H, MATCH(1, (VALUE(LEFT(fesp!$A:$A,6))=VALUE(LEFT(B148,6)))*(fesp!$C:$C=C148), 0)), "")</f>
        <v>8</v>
      </c>
      <c r="R148" cm="1">
        <f t="array" ref="R148">IFERROR(INDEX(fesp!$I:$I, MATCH(1, (VALUE(LEFT(fesp!$A:$A,6))=VALUE(LEFT(B148,6)))*(fesp!$C:$C=C148), 0)), "")</f>
        <v>3544</v>
      </c>
      <c r="S148" cm="1">
        <f t="array" ref="S148">IFERROR(INDEX(fesp!$J:$J, MATCH(1, (VALUE(LEFT(fesp!$A:$A,6))=VALUE(LEFT(B148,6)))*(fesp!$C:$C=C148), 0)), "")</f>
        <v>77321</v>
      </c>
    </row>
    <row r="149" spans="1:19">
      <c r="A149" s="1" t="s">
        <v>63</v>
      </c>
      <c r="B149" s="3" t="s">
        <v>62</v>
      </c>
      <c r="C149" s="3">
        <v>2019</v>
      </c>
      <c r="D149" cm="1">
        <f t="array" ref="D149">IFERROR(INDEX(fesp!$D:$D, MATCH(1, (VALUE(LEFT(fesp!$A:$A,6))=VALUE(LEFT(B149,6)))*(fesp!$C:$C=C149), 0)), "")</f>
        <v>0</v>
      </c>
      <c r="E149" cm="1">
        <f t="array" aca="1" ref="E149" ca="1">IFERROR(INDEX(ft_medicos_clinicos!$C:$C, MATCH(1, (VALUE(LEFT(ft_medicos_clinicos!$A:$A,6))=VALUE(LEFT(B149,6)))*(ft_medicos_clinicos!$B:$B=C149), 0)), "")</f>
        <v>282</v>
      </c>
      <c r="F149" cm="1">
        <f t="array" aca="1" ref="F149" ca="1">IFERROR(INDEX(ft_enfermeiros!$C:$C, MATCH(1, (VALUE(LEFT(ft_enfermeiros!$A:$A,6))=VALUE(LEFT(B149,6)))*(ft_enfermeiros!$B:$B=C149), 0)), "")</f>
        <v>362</v>
      </c>
      <c r="G149" cm="1">
        <f t="array" aca="1" ref="G149" ca="1">IFERROR(INDEX(ft_equipes_acs!$C:$C, MATCH(1, (VALUE(LEFT(ft_equipes_acs!$A:$A,6))=VALUE(LEFT(B149,6)))*(ft_equipes_acs!$B:$B=C149), 0)), "")</f>
        <v>18</v>
      </c>
      <c r="H149" cm="1">
        <f t="array" aca="1" ref="H149" ca="1">IFERROR(INDEX(ci_leitos_internacao!$C:$C, MATCH(1, (VALUE(LEFT(ci_leitos_internacao!$A:$A,6))=VALUE(LEFT(B149,6)))*(ci_leitos_internacao!$B:$B=C149), 0)), "")</f>
        <v>726</v>
      </c>
      <c r="I149" cm="1">
        <f t="array" aca="1" ref="I149" ca="1">IFERROR(INDEX(ci_hospitais_internacao!$C:$C, MATCH(1, (VALUE(LEFT(ci_hospitais_internacao!$A:$A,6))=VALUE(LEFT(B149,6)))*(ci_hospitais_internacao!$B:$B=C149), 0)), "")</f>
        <v>5</v>
      </c>
      <c r="J149" t="str" cm="1">
        <f t="array" aca="1" ref="J149" ca="1">IFERROR(INDEX(ci_pa_clinico!$C:$C, MATCH(1, (VALUE(LEFT(ci_pa_clinico!$A:$A,6))=VALUE(LEFT(B149,6)))*(ci_pa_clinico!$B:$B=C149), 0)), "")</f>
        <v/>
      </c>
      <c r="K149" cm="1">
        <f t="array" aca="1" ref="K149" ca="1">IFERROR(INDEX(aps_equipes_esf!$C:$C, MATCH(1, (VALUE(LEFT(aps_equipes_esf!$A:$A,6))=VALUE(LEFT(B149,6)))*(aps_equipes_esf!$B:$B=C149), 0)), "")</f>
        <v>26</v>
      </c>
      <c r="L149" cm="1">
        <f t="array" aca="1" ref="L149" ca="1">IFERROR(INDEX(casos!$C:$C, MATCH(1, (VALUE(LEFT(casos!$A:$A,6))=VALUE(LEFT(B149,6)))*(casos!$B:$B=C149), 0)), "")</f>
        <v>4358</v>
      </c>
      <c r="M149" cm="1">
        <f t="array" ref="M149">IFERROR(INDEX(srag!$D:$D, MATCH(1, (VALUE(LEFT(srag!$A:$A,6))=VALUE(LEFT(B149,6)))*(srag!$C:$C=C149), 0)), "")</f>
        <v>386</v>
      </c>
      <c r="N149" cm="1">
        <f t="array" ref="N149">IFERROR(INDEX(fesp!$E:$E, MATCH(1, (VALUE(LEFT(fesp!$A:$A,6))=VALUE(LEFT(B149,6)))*(fesp!$C:$C=C149), 0)), "")</f>
        <v>208</v>
      </c>
      <c r="O149" cm="1">
        <f t="array" ref="O149">IFERROR(INDEX(fesp!$F:$F, MATCH(1, (VALUE(LEFT(fesp!$A:$A,6))=VALUE(LEFT(B149,6)))*(fesp!$C:$C=C149), 0)), "")</f>
        <v>6707</v>
      </c>
      <c r="P149" cm="1">
        <f t="array" ref="P149">IFERROR(INDEX(fesp!$G:$G, MATCH(1, (VALUE(LEFT(fesp!$A:$A,6))=VALUE(LEFT(B149,6)))*(fesp!$C:$C=C149), 0)), "")</f>
        <v>2085188</v>
      </c>
      <c r="Q149" cm="1">
        <f t="array" ref="Q149">IFERROR(INDEX(fesp!$H:$H, MATCH(1, (VALUE(LEFT(fesp!$A:$A,6))=VALUE(LEFT(B149,6)))*(fesp!$C:$C=C149), 0)), "")</f>
        <v>7</v>
      </c>
      <c r="R149" cm="1">
        <f t="array" ref="R149">IFERROR(INDEX(fesp!$I:$I, MATCH(1, (VALUE(LEFT(fesp!$A:$A,6))=VALUE(LEFT(B149,6)))*(fesp!$C:$C=C149), 0)), "")</f>
        <v>2680</v>
      </c>
      <c r="S149" cm="1">
        <f t="array" ref="S149">IFERROR(INDEX(fesp!$J:$J, MATCH(1, (VALUE(LEFT(fesp!$A:$A,6))=VALUE(LEFT(B149,6)))*(fesp!$C:$C=C149), 0)), "")</f>
        <v>71666</v>
      </c>
    </row>
    <row r="150" spans="1:19">
      <c r="A150" s="1" t="s">
        <v>63</v>
      </c>
      <c r="B150" s="3" t="s">
        <v>62</v>
      </c>
      <c r="C150" s="3">
        <v>2020</v>
      </c>
      <c r="D150" cm="1">
        <f t="array" ref="D150">IFERROR(INDEX(fesp!$D:$D, MATCH(1, (VALUE(LEFT(fesp!$A:$A,6))=VALUE(LEFT(B150,6)))*(fesp!$C:$C=C150), 0)), "")</f>
        <v>0</v>
      </c>
      <c r="E150" cm="1">
        <f t="array" aca="1" ref="E150" ca="1">IFERROR(INDEX(ft_medicos_clinicos!$C:$C, MATCH(1, (VALUE(LEFT(ft_medicos_clinicos!$A:$A,6))=VALUE(LEFT(B150,6)))*(ft_medicos_clinicos!$B:$B=C150), 0)), "")</f>
        <v>322</v>
      </c>
      <c r="F150" cm="1">
        <f t="array" aca="1" ref="F150" ca="1">IFERROR(INDEX(ft_enfermeiros!$C:$C, MATCH(1, (VALUE(LEFT(ft_enfermeiros!$A:$A,6))=VALUE(LEFT(B150,6)))*(ft_enfermeiros!$B:$B=C150), 0)), "")</f>
        <v>447</v>
      </c>
      <c r="G150" cm="1">
        <f t="array" aca="1" ref="G150" ca="1">IFERROR(INDEX(ft_equipes_acs!$C:$C, MATCH(1, (VALUE(LEFT(ft_equipes_acs!$A:$A,6))=VALUE(LEFT(B150,6)))*(ft_equipes_acs!$B:$B=C150), 0)), "")</f>
        <v>15</v>
      </c>
      <c r="H150" cm="1">
        <f t="array" aca="1" ref="H150" ca="1">IFERROR(INDEX(ci_leitos_internacao!$C:$C, MATCH(1, (VALUE(LEFT(ci_leitos_internacao!$A:$A,6))=VALUE(LEFT(B150,6)))*(ci_leitos_internacao!$B:$B=C150), 0)), "")</f>
        <v>879</v>
      </c>
      <c r="I150" cm="1">
        <f t="array" aca="1" ref="I150" ca="1">IFERROR(INDEX(ci_hospitais_internacao!$C:$C, MATCH(1, (VALUE(LEFT(ci_hospitais_internacao!$A:$A,6))=VALUE(LEFT(B150,6)))*(ci_hospitais_internacao!$B:$B=C150), 0)), "")</f>
        <v>6</v>
      </c>
      <c r="J150" t="str" cm="1">
        <f t="array" aca="1" ref="J150" ca="1">IFERROR(INDEX(ci_pa_clinico!$C:$C, MATCH(1, (VALUE(LEFT(ci_pa_clinico!$A:$A,6))=VALUE(LEFT(B150,6)))*(ci_pa_clinico!$B:$B=C150), 0)), "")</f>
        <v/>
      </c>
      <c r="K150" t="str" cm="1">
        <f t="array" aca="1" ref="K150" ca="1">IFERROR(INDEX(aps_equipes_esf!$C:$C, MATCH(1, (VALUE(LEFT(aps_equipes_esf!$A:$A,6))=VALUE(LEFT(B150,6)))*(aps_equipes_esf!$B:$B=C150), 0)), "")</f>
        <v>-</v>
      </c>
      <c r="L150" cm="1">
        <f t="array" aca="1" ref="L150" ca="1">IFERROR(INDEX(casos!$C:$C, MATCH(1, (VALUE(LEFT(casos!$A:$A,6))=VALUE(LEFT(B150,6)))*(casos!$B:$B=C150), 0)), "")</f>
        <v>3120</v>
      </c>
      <c r="M150" cm="1">
        <f t="array" ref="M150">IFERROR(INDEX(srag!$D:$D, MATCH(1, (VALUE(LEFT(srag!$A:$A,6))=VALUE(LEFT(B150,6)))*(srag!$C:$C=C150), 0)), "")</f>
        <v>5262</v>
      </c>
      <c r="N150" cm="1">
        <f t="array" ref="N150">IFERROR(INDEX(fesp!$E:$E, MATCH(1, (VALUE(LEFT(fesp!$A:$A,6))=VALUE(LEFT(B150,6)))*(fesp!$C:$C=C150), 0)), "")</f>
        <v>194</v>
      </c>
      <c r="O150" cm="1">
        <f t="array" ref="O150">IFERROR(INDEX(fesp!$F:$F, MATCH(1, (VALUE(LEFT(fesp!$A:$A,6))=VALUE(LEFT(B150,6)))*(fesp!$C:$C=C150), 0)), "")</f>
        <v>4437</v>
      </c>
      <c r="P150" cm="1">
        <f t="array" ref="P150">IFERROR(INDEX(fesp!$G:$G, MATCH(1, (VALUE(LEFT(fesp!$A:$A,6))=VALUE(LEFT(B150,6)))*(fesp!$C:$C=C150), 0)), "")</f>
        <v>1303067</v>
      </c>
      <c r="Q150" cm="1">
        <f t="array" ref="Q150">IFERROR(INDEX(fesp!$H:$H, MATCH(1, (VALUE(LEFT(fesp!$A:$A,6))=VALUE(LEFT(B150,6)))*(fesp!$C:$C=C150), 0)), "")</f>
        <v>11</v>
      </c>
      <c r="R150" cm="1">
        <f t="array" ref="R150">IFERROR(INDEX(fesp!$I:$I, MATCH(1, (VALUE(LEFT(fesp!$A:$A,6))=VALUE(LEFT(B150,6)))*(fesp!$C:$C=C150), 0)), "")</f>
        <v>3355</v>
      </c>
      <c r="S150" cm="1">
        <f t="array" ref="S150">IFERROR(INDEX(fesp!$J:$J, MATCH(1, (VALUE(LEFT(fesp!$A:$A,6))=VALUE(LEFT(B150,6)))*(fesp!$C:$C=C150), 0)), "")</f>
        <v>27546</v>
      </c>
    </row>
    <row r="151" spans="1:19">
      <c r="A151" s="1" t="s">
        <v>63</v>
      </c>
      <c r="B151" s="3" t="s">
        <v>62</v>
      </c>
      <c r="C151" s="3">
        <v>2021</v>
      </c>
      <c r="D151" cm="1">
        <f t="array" ref="D151">IFERROR(INDEX(fesp!$D:$D, MATCH(1, (VALUE(LEFT(fesp!$A:$A,6))=VALUE(LEFT(B151,6)))*(fesp!$C:$C=C151), 0)), "")</f>
        <v>0</v>
      </c>
      <c r="E151" cm="1">
        <f t="array" aca="1" ref="E151" ca="1">IFERROR(INDEX(ft_medicos_clinicos!$C:$C, MATCH(1, (VALUE(LEFT(ft_medicos_clinicos!$A:$A,6))=VALUE(LEFT(B151,6)))*(ft_medicos_clinicos!$B:$B=C151), 0)), "")</f>
        <v>351</v>
      </c>
      <c r="F151" cm="1">
        <f t="array" aca="1" ref="F151" ca="1">IFERROR(INDEX(ft_enfermeiros!$C:$C, MATCH(1, (VALUE(LEFT(ft_enfermeiros!$A:$A,6))=VALUE(LEFT(B151,6)))*(ft_enfermeiros!$B:$B=C151), 0)), "")</f>
        <v>537</v>
      </c>
      <c r="G151" cm="1">
        <f t="array" aca="1" ref="G151" ca="1">IFERROR(INDEX(ft_equipes_acs!$C:$C, MATCH(1, (VALUE(LEFT(ft_equipes_acs!$A:$A,6))=VALUE(LEFT(B151,6)))*(ft_equipes_acs!$B:$B=C151), 0)), "")</f>
        <v>15</v>
      </c>
      <c r="H151" cm="1">
        <f t="array" aca="1" ref="H151" ca="1">IFERROR(INDEX(ci_leitos_internacao!$C:$C, MATCH(1, (VALUE(LEFT(ci_leitos_internacao!$A:$A,6))=VALUE(LEFT(B151,6)))*(ci_leitos_internacao!$B:$B=C151), 0)), "")</f>
        <v>868</v>
      </c>
      <c r="I151" cm="1">
        <f t="array" aca="1" ref="I151" ca="1">IFERROR(INDEX(ci_hospitais_internacao!$C:$C, MATCH(1, (VALUE(LEFT(ci_hospitais_internacao!$A:$A,6))=VALUE(LEFT(B151,6)))*(ci_hospitais_internacao!$B:$B=C151), 0)), "")</f>
        <v>6</v>
      </c>
      <c r="J151" t="str" cm="1">
        <f t="array" aca="1" ref="J151" ca="1">IFERROR(INDEX(ci_pa_clinico!$C:$C, MATCH(1, (VALUE(LEFT(ci_pa_clinico!$A:$A,6))=VALUE(LEFT(B151,6)))*(ci_pa_clinico!$B:$B=C151), 0)), "")</f>
        <v/>
      </c>
      <c r="K151" t="str" cm="1">
        <f t="array" aca="1" ref="K151" ca="1">IFERROR(INDEX(aps_equipes_esf!$C:$C, MATCH(1, (VALUE(LEFT(aps_equipes_esf!$A:$A,6))=VALUE(LEFT(B151,6)))*(aps_equipes_esf!$B:$B=C151), 0)), "")</f>
        <v>-</v>
      </c>
      <c r="L151" cm="1">
        <f t="array" aca="1" ref="L151" ca="1">IFERROR(INDEX(casos!$C:$C, MATCH(1, (VALUE(LEFT(casos!$A:$A,6))=VALUE(LEFT(B151,6)))*(casos!$B:$B=C151), 0)), "")</f>
        <v>9000</v>
      </c>
      <c r="M151" cm="1">
        <f t="array" ref="M151">IFERROR(INDEX(srag!$D:$D, MATCH(1, (VALUE(LEFT(srag!$A:$A,6))=VALUE(LEFT(B151,6)))*(srag!$C:$C=C151), 0)), "")</f>
        <v>5363</v>
      </c>
      <c r="N151" cm="1">
        <f t="array" ref="N151">IFERROR(INDEX(fesp!$E:$E, MATCH(1, (VALUE(LEFT(fesp!$A:$A,6))=VALUE(LEFT(B151,6)))*(fesp!$C:$C=C151), 0)), "")</f>
        <v>325</v>
      </c>
      <c r="O151" cm="1">
        <f t="array" ref="O151">IFERROR(INDEX(fesp!$F:$F, MATCH(1, (VALUE(LEFT(fesp!$A:$A,6))=VALUE(LEFT(B151,6)))*(fesp!$C:$C=C151), 0)), "")</f>
        <v>8615</v>
      </c>
      <c r="P151" cm="1">
        <f t="array" ref="P151">IFERROR(INDEX(fesp!$G:$G, MATCH(1, (VALUE(LEFT(fesp!$A:$A,6))=VALUE(LEFT(B151,6)))*(fesp!$C:$C=C151), 0)), "")</f>
        <v>1955259</v>
      </c>
      <c r="Q151" cm="1">
        <f t="array" ref="Q151">IFERROR(INDEX(fesp!$H:$H, MATCH(1, (VALUE(LEFT(fesp!$A:$A,6))=VALUE(LEFT(B151,6)))*(fesp!$C:$C=C151), 0)), "")</f>
        <v>14</v>
      </c>
      <c r="R151" cm="1">
        <f t="array" ref="R151">IFERROR(INDEX(fesp!$I:$I, MATCH(1, (VALUE(LEFT(fesp!$A:$A,6))=VALUE(LEFT(B151,6)))*(fesp!$C:$C=C151), 0)), "")</f>
        <v>5226</v>
      </c>
      <c r="S151" cm="1">
        <f t="array" ref="S151">IFERROR(INDEX(fesp!$J:$J, MATCH(1, (VALUE(LEFT(fesp!$A:$A,6))=VALUE(LEFT(B151,6)))*(fesp!$C:$C=C151), 0)), "")</f>
        <v>33059</v>
      </c>
    </row>
    <row r="152" spans="1:19">
      <c r="A152" s="1" t="s">
        <v>63</v>
      </c>
      <c r="B152" s="3" t="s">
        <v>62</v>
      </c>
      <c r="C152" s="3">
        <v>2022</v>
      </c>
      <c r="D152" cm="1">
        <f t="array" ref="D152">IFERROR(INDEX(fesp!$D:$D, MATCH(1, (VALUE(LEFT(fesp!$A:$A,6))=VALUE(LEFT(B152,6)))*(fesp!$C:$C=C152), 0)), "")</f>
        <v>0</v>
      </c>
      <c r="E152" cm="1">
        <f t="array" aca="1" ref="E152" ca="1">IFERROR(INDEX(ft_medicos_clinicos!$C:$C, MATCH(1, (VALUE(LEFT(ft_medicos_clinicos!$A:$A,6))=VALUE(LEFT(B152,6)))*(ft_medicos_clinicos!$B:$B=C152), 0)), "")</f>
        <v>322</v>
      </c>
      <c r="F152" cm="1">
        <f t="array" aca="1" ref="F152" ca="1">IFERROR(INDEX(ft_enfermeiros!$C:$C, MATCH(1, (VALUE(LEFT(ft_enfermeiros!$A:$A,6))=VALUE(LEFT(B152,6)))*(ft_enfermeiros!$B:$B=C152), 0)), "")</f>
        <v>526</v>
      </c>
      <c r="G152" cm="1">
        <f t="array" aca="1" ref="G152" ca="1">IFERROR(INDEX(ft_equipes_acs!$C:$C, MATCH(1, (VALUE(LEFT(ft_equipes_acs!$A:$A,6))=VALUE(LEFT(B152,6)))*(ft_equipes_acs!$B:$B=C152), 0)), "")</f>
        <v>15</v>
      </c>
      <c r="H152" cm="1">
        <f t="array" aca="1" ref="H152" ca="1">IFERROR(INDEX(ci_leitos_internacao!$C:$C, MATCH(1, (VALUE(LEFT(ci_leitos_internacao!$A:$A,6))=VALUE(LEFT(B152,6)))*(ci_leitos_internacao!$B:$B=C152), 0)), "")</f>
        <v>844</v>
      </c>
      <c r="I152" cm="1">
        <f t="array" aca="1" ref="I152" ca="1">IFERROR(INDEX(ci_hospitais_internacao!$C:$C, MATCH(1, (VALUE(LEFT(ci_hospitais_internacao!$A:$A,6))=VALUE(LEFT(B152,6)))*(ci_hospitais_internacao!$B:$B=C152), 0)), "")</f>
        <v>6</v>
      </c>
      <c r="J152" t="str" cm="1">
        <f t="array" aca="1" ref="J152" ca="1">IFERROR(INDEX(ci_pa_clinico!$C:$C, MATCH(1, (VALUE(LEFT(ci_pa_clinico!$A:$A,6))=VALUE(LEFT(B152,6)))*(ci_pa_clinico!$B:$B=C152), 0)), "")</f>
        <v/>
      </c>
      <c r="K152" t="str" cm="1">
        <f t="array" aca="1" ref="K152" ca="1">IFERROR(INDEX(aps_equipes_esf!$C:$C, MATCH(1, (VALUE(LEFT(aps_equipes_esf!$A:$A,6))=VALUE(LEFT(B152,6)))*(aps_equipes_esf!$B:$B=C152), 0)), "")</f>
        <v>-</v>
      </c>
      <c r="L152" cm="1">
        <f t="array" aca="1" ref="L152" ca="1">IFERROR(INDEX(casos!$C:$C, MATCH(1, (VALUE(LEFT(casos!$A:$A,6))=VALUE(LEFT(B152,6)))*(casos!$B:$B=C152), 0)), "")</f>
        <v>1554</v>
      </c>
      <c r="M152" cm="1">
        <f t="array" ref="M152">IFERROR(INDEX(srag!$D:$D, MATCH(1, (VALUE(LEFT(srag!$A:$A,6))=VALUE(LEFT(B152,6)))*(srag!$C:$C=C152), 0)), "")</f>
        <v>2161</v>
      </c>
      <c r="N152" cm="1">
        <f t="array" ref="N152">IFERROR(INDEX(fesp!$E:$E, MATCH(1, (VALUE(LEFT(fesp!$A:$A,6))=VALUE(LEFT(B152,6)))*(fesp!$C:$C=C152), 0)), "")</f>
        <v>326</v>
      </c>
      <c r="O152" cm="1">
        <f t="array" ref="O152">IFERROR(INDEX(fesp!$F:$F, MATCH(1, (VALUE(LEFT(fesp!$A:$A,6))=VALUE(LEFT(B152,6)))*(fesp!$C:$C=C152), 0)), "")</f>
        <v>9152</v>
      </c>
      <c r="P152" cm="1">
        <f t="array" ref="P152">IFERROR(INDEX(fesp!$G:$G, MATCH(1, (VALUE(LEFT(fesp!$A:$A,6))=VALUE(LEFT(B152,6)))*(fesp!$C:$C=C152), 0)), "")</f>
        <v>2371300</v>
      </c>
      <c r="Q152" cm="1">
        <f t="array" ref="Q152">IFERROR(INDEX(fesp!$H:$H, MATCH(1, (VALUE(LEFT(fesp!$A:$A,6))=VALUE(LEFT(B152,6)))*(fesp!$C:$C=C152), 0)), "")</f>
        <v>36</v>
      </c>
      <c r="R152" cm="1">
        <f t="array" ref="R152">IFERROR(INDEX(fesp!$I:$I, MATCH(1, (VALUE(LEFT(fesp!$A:$A,6))=VALUE(LEFT(B152,6)))*(fesp!$C:$C=C152), 0)), "")</f>
        <v>3419</v>
      </c>
      <c r="S152" cm="1">
        <f t="array" ref="S152">IFERROR(INDEX(fesp!$J:$J, MATCH(1, (VALUE(LEFT(fesp!$A:$A,6))=VALUE(LEFT(B152,6)))*(fesp!$C:$C=C152), 0)), "")</f>
        <v>24770</v>
      </c>
    </row>
    <row r="153" spans="1:19">
      <c r="A153" s="1" t="s">
        <v>63</v>
      </c>
      <c r="B153" s="3" t="s">
        <v>62</v>
      </c>
      <c r="C153" s="3">
        <v>2023</v>
      </c>
      <c r="D153" cm="1">
        <f t="array" ref="D153">IFERROR(INDEX(fesp!$D:$D, MATCH(1, (VALUE(LEFT(fesp!$A:$A,6))=VALUE(LEFT(B153,6)))*(fesp!$C:$C=C153), 0)), "")</f>
        <v>0</v>
      </c>
      <c r="E153" cm="1">
        <f t="array" aca="1" ref="E153" ca="1">IFERROR(INDEX(ft_medicos_clinicos!$C:$C, MATCH(1, (VALUE(LEFT(ft_medicos_clinicos!$A:$A,6))=VALUE(LEFT(B153,6)))*(ft_medicos_clinicos!$B:$B=C153), 0)), "")</f>
        <v>304</v>
      </c>
      <c r="F153" cm="1">
        <f t="array" aca="1" ref="F153" ca="1">IFERROR(INDEX(ft_enfermeiros!$C:$C, MATCH(1, (VALUE(LEFT(ft_enfermeiros!$A:$A,6))=VALUE(LEFT(B153,6)))*(ft_enfermeiros!$B:$B=C153), 0)), "")</f>
        <v>470</v>
      </c>
      <c r="G153" cm="1">
        <f t="array" aca="1" ref="G153" ca="1">IFERROR(INDEX(ft_equipes_acs!$C:$C, MATCH(1, (VALUE(LEFT(ft_equipes_acs!$A:$A,6))=VALUE(LEFT(B153,6)))*(ft_equipes_acs!$B:$B=C153), 0)), "")</f>
        <v>15</v>
      </c>
      <c r="H153" cm="1">
        <f t="array" aca="1" ref="H153" ca="1">IFERROR(INDEX(ci_leitos_internacao!$C:$C, MATCH(1, (VALUE(LEFT(ci_leitos_internacao!$A:$A,6))=VALUE(LEFT(B153,6)))*(ci_leitos_internacao!$B:$B=C153), 0)), "")</f>
        <v>578</v>
      </c>
      <c r="I153" cm="1">
        <f t="array" aca="1" ref="I153" ca="1">IFERROR(INDEX(ci_hospitais_internacao!$C:$C, MATCH(1, (VALUE(LEFT(ci_hospitais_internacao!$A:$A,6))=VALUE(LEFT(B153,6)))*(ci_hospitais_internacao!$B:$B=C153), 0)), "")</f>
        <v>4</v>
      </c>
      <c r="J153" t="str" cm="1">
        <f t="array" aca="1" ref="J153" ca="1">IFERROR(INDEX(ci_pa_clinico!$C:$C, MATCH(1, (VALUE(LEFT(ci_pa_clinico!$A:$A,6))=VALUE(LEFT(B153,6)))*(ci_pa_clinico!$B:$B=C153), 0)), "")</f>
        <v/>
      </c>
      <c r="K153" t="str" cm="1">
        <f t="array" aca="1" ref="K153" ca="1">IFERROR(INDEX(aps_equipes_esf!$C:$C, MATCH(1, (VALUE(LEFT(aps_equipes_esf!$A:$A,6))=VALUE(LEFT(B153,6)))*(aps_equipes_esf!$B:$B=C153), 0)), "")</f>
        <v>-</v>
      </c>
      <c r="L153" cm="1">
        <f t="array" aca="1" ref="L153" ca="1">IFERROR(INDEX(casos!$C:$C, MATCH(1, (VALUE(LEFT(casos!$A:$A,6))=VALUE(LEFT(B153,6)))*(casos!$B:$B=C153), 0)), "")</f>
        <v>965</v>
      </c>
      <c r="M153" cm="1">
        <f t="array" ref="M153">IFERROR(INDEX(srag!$D:$D, MATCH(1, (VALUE(LEFT(srag!$A:$A,6))=VALUE(LEFT(B153,6)))*(srag!$C:$C=C153), 0)), "")</f>
        <v>881</v>
      </c>
      <c r="N153" cm="1">
        <f t="array" ref="N153">IFERROR(INDEX(fesp!$E:$E, MATCH(1, (VALUE(LEFT(fesp!$A:$A,6))=VALUE(LEFT(B153,6)))*(fesp!$C:$C=C153), 0)), "")</f>
        <v>248</v>
      </c>
      <c r="O153" cm="1">
        <f t="array" ref="O153">IFERROR(INDEX(fesp!$F:$F, MATCH(1, (VALUE(LEFT(fesp!$A:$A,6))=VALUE(LEFT(B153,6)))*(fesp!$C:$C=C153), 0)), "")</f>
        <v>12416</v>
      </c>
      <c r="P153" cm="1">
        <f t="array" ref="P153">IFERROR(INDEX(fesp!$G:$G, MATCH(1, (VALUE(LEFT(fesp!$A:$A,6))=VALUE(LEFT(B153,6)))*(fesp!$C:$C=C153), 0)), "")</f>
        <v>2857152</v>
      </c>
      <c r="Q153" cm="1">
        <f t="array" ref="Q153">IFERROR(INDEX(fesp!$H:$H, MATCH(1, (VALUE(LEFT(fesp!$A:$A,6))=VALUE(LEFT(B153,6)))*(fesp!$C:$C=C153), 0)), "")</f>
        <v>19</v>
      </c>
      <c r="R153" cm="1">
        <f t="array" ref="R153">IFERROR(INDEX(fesp!$I:$I, MATCH(1, (VALUE(LEFT(fesp!$A:$A,6))=VALUE(LEFT(B153,6)))*(fesp!$C:$C=C153), 0)), "")</f>
        <v>4100</v>
      </c>
      <c r="S153" cm="1">
        <f t="array" ref="S153">IFERROR(INDEX(fesp!$J:$J, MATCH(1, (VALUE(LEFT(fesp!$A:$A,6))=VALUE(LEFT(B153,6)))*(fesp!$C:$C=C153), 0)), "")</f>
        <v>32974</v>
      </c>
    </row>
    <row r="154" spans="1:19">
      <c r="A154" s="1" t="s">
        <v>63</v>
      </c>
      <c r="B154" s="3" t="s">
        <v>62</v>
      </c>
      <c r="C154" s="3">
        <v>2024</v>
      </c>
      <c r="D154" cm="1">
        <f t="array" ref="D154">IFERROR(INDEX(fesp!$D:$D, MATCH(1, (VALUE(LEFT(fesp!$A:$A,6))=VALUE(LEFT(B154,6)))*(fesp!$C:$C=C154), 0)), "")</f>
        <v>0</v>
      </c>
      <c r="E154" cm="1">
        <f t="array" aca="1" ref="E154" ca="1">IFERROR(INDEX(ft_medicos_clinicos!$C:$C, MATCH(1, (VALUE(LEFT(ft_medicos_clinicos!$A:$A,6))=VALUE(LEFT(B154,6)))*(ft_medicos_clinicos!$B:$B=C154), 0)), "")</f>
        <v>270</v>
      </c>
      <c r="F154" cm="1">
        <f t="array" aca="1" ref="F154" ca="1">IFERROR(INDEX(ft_enfermeiros!$C:$C, MATCH(1, (VALUE(LEFT(ft_enfermeiros!$A:$A,6))=VALUE(LEFT(B154,6)))*(ft_enfermeiros!$B:$B=C154), 0)), "")</f>
        <v>497</v>
      </c>
      <c r="G154" cm="1">
        <f t="array" aca="1" ref="G154" ca="1">IFERROR(INDEX(ft_equipes_acs!$C:$C, MATCH(1, (VALUE(LEFT(ft_equipes_acs!$A:$A,6))=VALUE(LEFT(B154,6)))*(ft_equipes_acs!$B:$B=C154), 0)), "")</f>
        <v>15</v>
      </c>
      <c r="H154" cm="1">
        <f t="array" aca="1" ref="H154" ca="1">IFERROR(INDEX(ci_leitos_internacao!$C:$C, MATCH(1, (VALUE(LEFT(ci_leitos_internacao!$A:$A,6))=VALUE(LEFT(B154,6)))*(ci_leitos_internacao!$B:$B=C154), 0)), "")</f>
        <v>569</v>
      </c>
      <c r="I154" cm="1">
        <f t="array" aca="1" ref="I154" ca="1">IFERROR(INDEX(ci_hospitais_internacao!$C:$C, MATCH(1, (VALUE(LEFT(ci_hospitais_internacao!$A:$A,6))=VALUE(LEFT(B154,6)))*(ci_hospitais_internacao!$B:$B=C154), 0)), "")</f>
        <v>4</v>
      </c>
      <c r="J154" t="str" cm="1">
        <f t="array" aca="1" ref="J154" ca="1">IFERROR(INDEX(ci_pa_clinico!$C:$C, MATCH(1, (VALUE(LEFT(ci_pa_clinico!$A:$A,6))=VALUE(LEFT(B154,6)))*(ci_pa_clinico!$B:$B=C154), 0)), "")</f>
        <v/>
      </c>
      <c r="K154" t="str" cm="1">
        <f t="array" aca="1" ref="K154" ca="1">IFERROR(INDEX(aps_equipes_esf!$C:$C, MATCH(1, (VALUE(LEFT(aps_equipes_esf!$A:$A,6))=VALUE(LEFT(B154,6)))*(aps_equipes_esf!$B:$B=C154), 0)), "")</f>
        <v>-</v>
      </c>
      <c r="L154" cm="1">
        <f t="array" aca="1" ref="L154" ca="1">IFERROR(INDEX(casos!$C:$C, MATCH(1, (VALUE(LEFT(casos!$A:$A,6))=VALUE(LEFT(B154,6)))*(casos!$B:$B=C154), 0)), "")</f>
        <v>1423</v>
      </c>
      <c r="M154" cm="1">
        <f t="array" ref="M154">IFERROR(INDEX(srag!$D:$D, MATCH(1, (VALUE(LEFT(srag!$A:$A,6))=VALUE(LEFT(B154,6)))*(srag!$C:$C=C154), 0)), "")</f>
        <v>590</v>
      </c>
      <c r="N154" cm="1">
        <f t="array" ref="N154">IFERROR(INDEX(fesp!$E:$E, MATCH(1, (VALUE(LEFT(fesp!$A:$A,6))=VALUE(LEFT(B154,6)))*(fesp!$C:$C=C154), 0)), "")</f>
        <v>224</v>
      </c>
      <c r="O154" cm="1">
        <f t="array" ref="O154">IFERROR(INDEX(fesp!$F:$F, MATCH(1, (VALUE(LEFT(fesp!$A:$A,6))=VALUE(LEFT(B154,6)))*(fesp!$C:$C=C154), 0)), "")</f>
        <v>10713</v>
      </c>
      <c r="P154" cm="1">
        <f t="array" ref="P154">IFERROR(INDEX(fesp!$G:$G, MATCH(1, (VALUE(LEFT(fesp!$A:$A,6))=VALUE(LEFT(B154,6)))*(fesp!$C:$C=C154), 0)), "")</f>
        <v>2896012</v>
      </c>
      <c r="Q154" cm="1">
        <f t="array" ref="Q154">IFERROR(INDEX(fesp!$H:$H, MATCH(1, (VALUE(LEFT(fesp!$A:$A,6))=VALUE(LEFT(B154,6)))*(fesp!$C:$C=C154), 0)), "")</f>
        <v>21</v>
      </c>
      <c r="R154" cm="1">
        <f t="array" ref="R154">IFERROR(INDEX(fesp!$I:$I, MATCH(1, (VALUE(LEFT(fesp!$A:$A,6))=VALUE(LEFT(B154,6)))*(fesp!$C:$C=C154), 0)), "")</f>
        <v>2651</v>
      </c>
      <c r="S154" cm="1">
        <f t="array" ref="S154">IFERROR(INDEX(fesp!$J:$J, MATCH(1, (VALUE(LEFT(fesp!$A:$A,6))=VALUE(LEFT(B154,6)))*(fesp!$C:$C=C154), 0)), "")</f>
        <v>23227</v>
      </c>
    </row>
    <row r="155" spans="1:19">
      <c r="A155" s="1" t="s">
        <v>63</v>
      </c>
      <c r="B155" s="3">
        <v>2607901</v>
      </c>
      <c r="C155" s="3">
        <v>2025</v>
      </c>
      <c r="D155" cm="1">
        <f t="array" ref="D155">IFERROR(INDEX(fesp!$D:$D, MATCH(1, (VALUE(LEFT(fesp!$A:$A,6))=VALUE(LEFT(B155,6)))*(fesp!$C:$C=C155), 0)), "")</f>
        <v>0</v>
      </c>
      <c r="E155" cm="1">
        <f t="array" aca="1" ref="E155" ca="1">IFERROR(INDEX(ft_medicos_clinicos!$C:$C, MATCH(1, (VALUE(LEFT(ft_medicos_clinicos!$A:$A,6))=VALUE(LEFT(B155,6)))*(ft_medicos_clinicos!$B:$B=C155), 0)), "")</f>
        <v>280</v>
      </c>
      <c r="F155" cm="1">
        <f t="array" aca="1" ref="F155" ca="1">IFERROR(INDEX(ft_enfermeiros!$C:$C, MATCH(1, (VALUE(LEFT(ft_enfermeiros!$A:$A,6))=VALUE(LEFT(B155,6)))*(ft_enfermeiros!$B:$B=C155), 0)), "")</f>
        <v>519</v>
      </c>
      <c r="G155" cm="1">
        <f t="array" aca="1" ref="G155" ca="1">IFERROR(INDEX(ft_equipes_acs!$C:$C, MATCH(1, (VALUE(LEFT(ft_equipes_acs!$A:$A,6))=VALUE(LEFT(B155,6)))*(ft_equipes_acs!$B:$B=C155), 0)), "")</f>
        <v>15</v>
      </c>
      <c r="H155" cm="1">
        <f t="array" aca="1" ref="H155" ca="1">IFERROR(INDEX(ci_leitos_internacao!$C:$C, MATCH(1, (VALUE(LEFT(ci_leitos_internacao!$A:$A,6))=VALUE(LEFT(B155,6)))*(ci_leitos_internacao!$B:$B=C155), 0)), "")</f>
        <v>564</v>
      </c>
      <c r="I155" cm="1">
        <f t="array" aca="1" ref="I155" ca="1">IFERROR(INDEX(ci_hospitais_internacao!$C:$C, MATCH(1, (VALUE(LEFT(ci_hospitais_internacao!$A:$A,6))=VALUE(LEFT(B155,6)))*(ci_hospitais_internacao!$B:$B=C155), 0)), "")</f>
        <v>4</v>
      </c>
      <c r="J155" t="str" cm="1">
        <f t="array" aca="1" ref="J155" ca="1">IFERROR(INDEX(ci_pa_clinico!$C:$C, MATCH(1, (VALUE(LEFT(ci_pa_clinico!$A:$A,6))=VALUE(LEFT(B155,6)))*(ci_pa_clinico!$B:$B=C155), 0)), "")</f>
        <v/>
      </c>
      <c r="K155" t="str" cm="1">
        <f t="array" aca="1" ref="K155" ca="1">IFERROR(INDEX(aps_equipes_esf!$C:$C, MATCH(1, (VALUE(LEFT(aps_equipes_esf!$A:$A,6))=VALUE(LEFT(B155,6)))*(aps_equipes_esf!$B:$B=C155), 0)), "")</f>
        <v>-</v>
      </c>
      <c r="L155" cm="1">
        <f t="array" aca="1" ref="L155" ca="1">IFERROR(INDEX(casos!$C:$C, MATCH(1, (VALUE(LEFT(casos!$A:$A,6))=VALUE(LEFT(B155,6)))*(casos!$B:$B=C155), 0)), "")</f>
        <v>2781</v>
      </c>
      <c r="M155" cm="1">
        <f t="array" ref="M155">IFERROR(INDEX(srag!$D:$D, MATCH(1, (VALUE(LEFT(srag!$A:$A,6))=VALUE(LEFT(B155,6)))*(srag!$C:$C=C155), 0)), "")</f>
        <v>480</v>
      </c>
      <c r="N155" cm="1">
        <f t="array" ref="N155">IFERROR(INDEX(fesp!$E:$E, MATCH(1, (VALUE(LEFT(fesp!$A:$A,6))=VALUE(LEFT(B155,6)))*(fesp!$C:$C=C155), 0)), "")</f>
        <v>286</v>
      </c>
      <c r="O155" cm="1">
        <f t="array" ref="O155">IFERROR(INDEX(fesp!$F:$F, MATCH(1, (VALUE(LEFT(fesp!$A:$A,6))=VALUE(LEFT(B155,6)))*(fesp!$C:$C=C155), 0)), "")</f>
        <v>11782</v>
      </c>
      <c r="P155" cm="1">
        <f t="array" ref="P155">IFERROR(INDEX(fesp!$G:$G, MATCH(1, (VALUE(LEFT(fesp!$A:$A,6))=VALUE(LEFT(B155,6)))*(fesp!$C:$C=C155), 0)), "")</f>
        <v>2399708</v>
      </c>
      <c r="Q155" cm="1">
        <f t="array" ref="Q155">IFERROR(INDEX(fesp!$H:$H, MATCH(1, (VALUE(LEFT(fesp!$A:$A,6))=VALUE(LEFT(B155,6)))*(fesp!$C:$C=C155), 0)), "")</f>
        <v>17</v>
      </c>
      <c r="R155" cm="1">
        <f t="array" ref="R155">IFERROR(INDEX(fesp!$I:$I, MATCH(1, (VALUE(LEFT(fesp!$A:$A,6))=VALUE(LEFT(B155,6)))*(fesp!$C:$C=C155), 0)), "")</f>
        <v>1516</v>
      </c>
      <c r="S155" cm="1">
        <f t="array" ref="S155">IFERROR(INDEX(fesp!$J:$J, MATCH(1, (VALUE(LEFT(fesp!$A:$A,6))=VALUE(LEFT(B155,6)))*(fesp!$C:$C=C155), 0)), "")</f>
        <v>11200</v>
      </c>
    </row>
    <row r="156" spans="1:19">
      <c r="A156" s="1" t="s">
        <v>125</v>
      </c>
      <c r="B156" s="3">
        <v>2611101</v>
      </c>
      <c r="C156" s="3">
        <v>2015</v>
      </c>
      <c r="D156" cm="1">
        <f t="array" ref="D156">IFERROR(INDEX(fesp!$D:$D, MATCH(1, (VALUE(LEFT(fesp!$A:$A,6))=VALUE(LEFT(B156,6)))*(fesp!$C:$C=C156), 0)), "")</f>
        <v>331951</v>
      </c>
      <c r="E156" cm="1">
        <f t="array" aca="1" ref="E156" ca="1">IFERROR(INDEX(ft_medicos_clinicos!$C:$C, MATCH(1, (VALUE(LEFT(ft_medicos_clinicos!$A:$A,6))=VALUE(LEFT(B156,6)))*(ft_medicos_clinicos!$B:$B=C156), 0)), "")</f>
        <v>135</v>
      </c>
      <c r="F156" cm="1">
        <f t="array" aca="1" ref="F156" ca="1">IFERROR(INDEX(ft_enfermeiros!$C:$C, MATCH(1, (VALUE(LEFT(ft_enfermeiros!$A:$A,6))=VALUE(LEFT(B156,6)))*(ft_enfermeiros!$B:$B=C156), 0)), "")</f>
        <v>299</v>
      </c>
      <c r="G156" cm="1">
        <f t="array" aca="1" ref="G156" ca="1">IFERROR(INDEX(ft_equipes_acs!$C:$C, MATCH(1, (VALUE(LEFT(ft_equipes_acs!$A:$A,6))=VALUE(LEFT(B156,6)))*(ft_equipes_acs!$B:$B=C156), 0)), "")</f>
        <v>6</v>
      </c>
      <c r="H156" cm="1">
        <f t="array" aca="1" ref="H156" ca="1">IFERROR(INDEX(ci_leitos_internacao!$C:$C, MATCH(1, (VALUE(LEFT(ci_leitos_internacao!$A:$A,6))=VALUE(LEFT(B156,6)))*(ci_leitos_internacao!$B:$B=C156), 0)), "")</f>
        <v>492</v>
      </c>
      <c r="I156" cm="1">
        <f t="array" aca="1" ref="I156" ca="1">IFERROR(INDEX(ci_hospitais_internacao!$C:$C, MATCH(1, (VALUE(LEFT(ci_hospitais_internacao!$A:$A,6))=VALUE(LEFT(B156,6)))*(ci_hospitais_internacao!$B:$B=C156), 0)), "")</f>
        <v>4</v>
      </c>
      <c r="J156" cm="1">
        <f t="array" aca="1" ref="J156" ca="1">IFERROR(INDEX(ci_pa_clinico!$C:$C, MATCH(1, (VALUE(LEFT(ci_pa_clinico!$A:$A,6))=VALUE(LEFT(B156,6)))*(ci_pa_clinico!$B:$B=C156), 0)), "")</f>
        <v>2</v>
      </c>
      <c r="K156" cm="1">
        <f t="array" aca="1" ref="K156" ca="1">IFERROR(INDEX(aps_equipes_esf!$C:$C, MATCH(1, (VALUE(LEFT(aps_equipes_esf!$A:$A,6))=VALUE(LEFT(B156,6)))*(aps_equipes_esf!$B:$B=C156), 0)), "")</f>
        <v>48</v>
      </c>
      <c r="L156" cm="1">
        <f t="array" aca="1" ref="L156" ca="1">IFERROR(INDEX(casos!$C:$C, MATCH(1, (VALUE(LEFT(casos!$A:$A,6))=VALUE(LEFT(B156,6)))*(casos!$B:$B=C156), 0)), "")</f>
        <v>1556</v>
      </c>
      <c r="M156" cm="1">
        <f t="array" ref="M156">IFERROR(INDEX(srag!$D:$D, MATCH(1, (VALUE(LEFT(srag!$A:$A,6))=VALUE(LEFT(B156,6)))*(srag!$C:$C=C156), 0)), "")</f>
        <v>0</v>
      </c>
      <c r="N156" cm="1">
        <f t="array" ref="N156">IFERROR(INDEX(fesp!$E:$E, MATCH(1, (VALUE(LEFT(fesp!$A:$A,6))=VALUE(LEFT(B156,6)))*(fesp!$C:$C=C156), 0)), "")</f>
        <v>42</v>
      </c>
      <c r="O156" cm="1">
        <f t="array" ref="O156">IFERROR(INDEX(fesp!$F:$F, MATCH(1, (VALUE(LEFT(fesp!$A:$A,6))=VALUE(LEFT(B156,6)))*(fesp!$C:$C=C156), 0)), "")</f>
        <v>1382</v>
      </c>
      <c r="P156" cm="1">
        <f t="array" ref="P156">IFERROR(INDEX(fesp!$G:$G, MATCH(1, (VALUE(LEFT(fesp!$A:$A,6))=VALUE(LEFT(B156,6)))*(fesp!$C:$C=C156), 0)), "")</f>
        <v>1330166</v>
      </c>
      <c r="Q156" cm="1">
        <f t="array" ref="Q156">IFERROR(INDEX(fesp!$H:$H, MATCH(1, (VALUE(LEFT(fesp!$A:$A,6))=VALUE(LEFT(B156,6)))*(fesp!$C:$C=C156), 0)), "")</f>
        <v>22</v>
      </c>
      <c r="R156" cm="1">
        <f t="array" ref="R156">IFERROR(INDEX(fesp!$I:$I, MATCH(1, (VALUE(LEFT(fesp!$A:$A,6))=VALUE(LEFT(B156,6)))*(fesp!$C:$C=C156), 0)), "")</f>
        <v>50815</v>
      </c>
      <c r="S156" cm="1">
        <f t="array" ref="S156">IFERROR(INDEX(fesp!$J:$J, MATCH(1, (VALUE(LEFT(fesp!$A:$A,6))=VALUE(LEFT(B156,6)))*(fesp!$C:$C=C156), 0)), "")</f>
        <v>276508</v>
      </c>
    </row>
    <row r="157" spans="1:19">
      <c r="A157" s="1" t="s">
        <v>125</v>
      </c>
      <c r="B157" s="3">
        <v>2611101</v>
      </c>
      <c r="C157" s="3">
        <v>2016</v>
      </c>
      <c r="D157" cm="1">
        <f t="array" ref="D157">IFERROR(INDEX(fesp!$D:$D, MATCH(1, (VALUE(LEFT(fesp!$A:$A,6))=VALUE(LEFT(B157,6)))*(fesp!$C:$C=C157), 0)), "")</f>
        <v>0</v>
      </c>
      <c r="E157" cm="1">
        <f t="array" aca="1" ref="E157" ca="1">IFERROR(INDEX(ft_medicos_clinicos!$C:$C, MATCH(1, (VALUE(LEFT(ft_medicos_clinicos!$A:$A,6))=VALUE(LEFT(B157,6)))*(ft_medicos_clinicos!$B:$B=C157), 0)), "")</f>
        <v>135</v>
      </c>
      <c r="F157" cm="1">
        <f t="array" aca="1" ref="F157" ca="1">IFERROR(INDEX(ft_enfermeiros!$C:$C, MATCH(1, (VALUE(LEFT(ft_enfermeiros!$A:$A,6))=VALUE(LEFT(B157,6)))*(ft_enfermeiros!$B:$B=C157), 0)), "")</f>
        <v>349</v>
      </c>
      <c r="G157" cm="1">
        <f t="array" aca="1" ref="G157" ca="1">IFERROR(INDEX(ft_equipes_acs!$C:$C, MATCH(1, (VALUE(LEFT(ft_equipes_acs!$A:$A,6))=VALUE(LEFT(B157,6)))*(ft_equipes_acs!$B:$B=C157), 0)), "")</f>
        <v>2</v>
      </c>
      <c r="H157" cm="1">
        <f t="array" aca="1" ref="H157" ca="1">IFERROR(INDEX(ci_leitos_internacao!$C:$C, MATCH(1, (VALUE(LEFT(ci_leitos_internacao!$A:$A,6))=VALUE(LEFT(B157,6)))*(ci_leitos_internacao!$B:$B=C157), 0)), "")</f>
        <v>511</v>
      </c>
      <c r="I157" cm="1">
        <f t="array" aca="1" ref="I157" ca="1">IFERROR(INDEX(ci_hospitais_internacao!$C:$C, MATCH(1, (VALUE(LEFT(ci_hospitais_internacao!$A:$A,6))=VALUE(LEFT(B157,6)))*(ci_hospitais_internacao!$B:$B=C157), 0)), "")</f>
        <v>4</v>
      </c>
      <c r="J157" cm="1">
        <f t="array" aca="1" ref="J157" ca="1">IFERROR(INDEX(ci_pa_clinico!$C:$C, MATCH(1, (VALUE(LEFT(ci_pa_clinico!$A:$A,6))=VALUE(LEFT(B157,6)))*(ci_pa_clinico!$B:$B=C157), 0)), "")</f>
        <v>2</v>
      </c>
      <c r="K157" cm="1">
        <f t="array" aca="1" ref="K157" ca="1">IFERROR(INDEX(aps_equipes_esf!$C:$C, MATCH(1, (VALUE(LEFT(aps_equipes_esf!$A:$A,6))=VALUE(LEFT(B157,6)))*(aps_equipes_esf!$B:$B=C157), 0)), "")</f>
        <v>47</v>
      </c>
      <c r="L157" cm="1">
        <f t="array" aca="1" ref="L157" ca="1">IFERROR(INDEX(casos!$C:$C, MATCH(1, (VALUE(LEFT(casos!$A:$A,6))=VALUE(LEFT(B157,6)))*(casos!$B:$B=C157), 0)), "")</f>
        <v>322</v>
      </c>
      <c r="M157" cm="1">
        <f t="array" ref="M157">IFERROR(INDEX(srag!$D:$D, MATCH(1, (VALUE(LEFT(srag!$A:$A,6))=VALUE(LEFT(B157,6)))*(srag!$C:$C=C157), 0)), "")</f>
        <v>40</v>
      </c>
      <c r="N157" cm="1">
        <f t="array" ref="N157">IFERROR(INDEX(fesp!$E:$E, MATCH(1, (VALUE(LEFT(fesp!$A:$A,6))=VALUE(LEFT(B157,6)))*(fesp!$C:$C=C157), 0)), "")</f>
        <v>46</v>
      </c>
      <c r="O157" cm="1">
        <f t="array" ref="O157">IFERROR(INDEX(fesp!$F:$F, MATCH(1, (VALUE(LEFT(fesp!$A:$A,6))=VALUE(LEFT(B157,6)))*(fesp!$C:$C=C157), 0)), "")</f>
        <v>1574</v>
      </c>
      <c r="P157" cm="1">
        <f t="array" ref="P157">IFERROR(INDEX(fesp!$G:$G, MATCH(1, (VALUE(LEFT(fesp!$A:$A,6))=VALUE(LEFT(B157,6)))*(fesp!$C:$C=C157), 0)), "")</f>
        <v>1371450</v>
      </c>
      <c r="Q157" cm="1">
        <f t="array" ref="Q157">IFERROR(INDEX(fesp!$H:$H, MATCH(1, (VALUE(LEFT(fesp!$A:$A,6))=VALUE(LEFT(B157,6)))*(fesp!$C:$C=C157), 0)), "")</f>
        <v>22</v>
      </c>
      <c r="R157" cm="1">
        <f t="array" ref="R157">IFERROR(INDEX(fesp!$I:$I, MATCH(1, (VALUE(LEFT(fesp!$A:$A,6))=VALUE(LEFT(B157,6)))*(fesp!$C:$C=C157), 0)), "")</f>
        <v>5205</v>
      </c>
      <c r="S157" cm="1">
        <f t="array" ref="S157">IFERROR(INDEX(fesp!$J:$J, MATCH(1, (VALUE(LEFT(fesp!$A:$A,6))=VALUE(LEFT(B157,6)))*(fesp!$C:$C=C157), 0)), "")</f>
        <v>7976</v>
      </c>
    </row>
    <row r="158" spans="1:19">
      <c r="A158" s="1" t="s">
        <v>125</v>
      </c>
      <c r="B158" s="3" t="s">
        <v>124</v>
      </c>
      <c r="C158" s="3">
        <v>2017</v>
      </c>
      <c r="D158" cm="1">
        <f t="array" ref="D158">IFERROR(INDEX(fesp!$D:$D, MATCH(1, (VALUE(LEFT(fesp!$A:$A,6))=VALUE(LEFT(B158,6)))*(fesp!$C:$C=C158), 0)), "")</f>
        <v>0</v>
      </c>
      <c r="E158" cm="1">
        <f t="array" aca="1" ref="E158" ca="1">IFERROR(INDEX(ft_medicos_clinicos!$C:$C, MATCH(1, (VALUE(LEFT(ft_medicos_clinicos!$A:$A,6))=VALUE(LEFT(B158,6)))*(ft_medicos_clinicos!$B:$B=C158), 0)), "")</f>
        <v>144</v>
      </c>
      <c r="F158" cm="1">
        <f t="array" aca="1" ref="F158" ca="1">IFERROR(INDEX(ft_enfermeiros!$C:$C, MATCH(1, (VALUE(LEFT(ft_enfermeiros!$A:$A,6))=VALUE(LEFT(B158,6)))*(ft_enfermeiros!$B:$B=C158), 0)), "")</f>
        <v>388</v>
      </c>
      <c r="G158" t="str" cm="1">
        <f t="array" aca="1" ref="G158" ca="1">IFERROR(INDEX(ft_equipes_acs!$C:$C, MATCH(1, (VALUE(LEFT(ft_equipes_acs!$A:$A,6))=VALUE(LEFT(B158,6)))*(ft_equipes_acs!$B:$B=C158), 0)), "")</f>
        <v>-</v>
      </c>
      <c r="H158" cm="1">
        <f t="array" aca="1" ref="H158" ca="1">IFERROR(INDEX(ci_leitos_internacao!$C:$C, MATCH(1, (VALUE(LEFT(ci_leitos_internacao!$A:$A,6))=VALUE(LEFT(B158,6)))*(ci_leitos_internacao!$B:$B=C158), 0)), "")</f>
        <v>536</v>
      </c>
      <c r="I158" cm="1">
        <f t="array" aca="1" ref="I158" ca="1">IFERROR(INDEX(ci_hospitais_internacao!$C:$C, MATCH(1, (VALUE(LEFT(ci_hospitais_internacao!$A:$A,6))=VALUE(LEFT(B158,6)))*(ci_hospitais_internacao!$B:$B=C158), 0)), "")</f>
        <v>5</v>
      </c>
      <c r="J158" cm="1">
        <f t="array" aca="1" ref="J158" ca="1">IFERROR(INDEX(ci_pa_clinico!$C:$C, MATCH(1, (VALUE(LEFT(ci_pa_clinico!$A:$A,6))=VALUE(LEFT(B158,6)))*(ci_pa_clinico!$B:$B=C158), 0)), "")</f>
        <v>2</v>
      </c>
      <c r="K158" cm="1">
        <f t="array" aca="1" ref="K158" ca="1">IFERROR(INDEX(aps_equipes_esf!$C:$C, MATCH(1, (VALUE(LEFT(aps_equipes_esf!$A:$A,6))=VALUE(LEFT(B158,6)))*(aps_equipes_esf!$B:$B=C158), 0)), "")</f>
        <v>45</v>
      </c>
      <c r="L158" cm="1">
        <f t="array" aca="1" ref="L158" ca="1">IFERROR(INDEX(casos!$C:$C, MATCH(1, (VALUE(LEFT(casos!$A:$A,6))=VALUE(LEFT(B158,6)))*(casos!$B:$B=C158), 0)), "")</f>
        <v>24</v>
      </c>
      <c r="M158" cm="1">
        <f t="array" ref="M158">IFERROR(INDEX(srag!$D:$D, MATCH(1, (VALUE(LEFT(srag!$A:$A,6))=VALUE(LEFT(B158,6)))*(srag!$C:$C=C158), 0)), "")</f>
        <v>14</v>
      </c>
      <c r="N158" cm="1">
        <f t="array" ref="N158">IFERROR(INDEX(fesp!$E:$E, MATCH(1, (VALUE(LEFT(fesp!$A:$A,6))=VALUE(LEFT(B158,6)))*(fesp!$C:$C=C158), 0)), "")</f>
        <v>43</v>
      </c>
      <c r="O158" cm="1">
        <f t="array" ref="O158">IFERROR(INDEX(fesp!$F:$F, MATCH(1, (VALUE(LEFT(fesp!$A:$A,6))=VALUE(LEFT(B158,6)))*(fesp!$C:$C=C158), 0)), "")</f>
        <v>349</v>
      </c>
      <c r="P158" cm="1">
        <f t="array" ref="P158">IFERROR(INDEX(fesp!$G:$G, MATCH(1, (VALUE(LEFT(fesp!$A:$A,6))=VALUE(LEFT(B158,6)))*(fesp!$C:$C=C158), 0)), "")</f>
        <v>1392811</v>
      </c>
      <c r="Q158" cm="1">
        <f t="array" ref="Q158">IFERROR(INDEX(fesp!$H:$H, MATCH(1, (VALUE(LEFT(fesp!$A:$A,6))=VALUE(LEFT(B158,6)))*(fesp!$C:$C=C158), 0)), "")</f>
        <v>9</v>
      </c>
      <c r="R158" cm="1">
        <f t="array" ref="R158">IFERROR(INDEX(fesp!$I:$I, MATCH(1, (VALUE(LEFT(fesp!$A:$A,6))=VALUE(LEFT(B158,6)))*(fesp!$C:$C=C158), 0)), "")</f>
        <v>10267</v>
      </c>
      <c r="S158" cm="1">
        <f t="array" ref="S158">IFERROR(INDEX(fesp!$J:$J, MATCH(1, (VALUE(LEFT(fesp!$A:$A,6))=VALUE(LEFT(B158,6)))*(fesp!$C:$C=C158), 0)), "")</f>
        <v>9617</v>
      </c>
    </row>
    <row r="159" spans="1:19">
      <c r="A159" s="1" t="s">
        <v>125</v>
      </c>
      <c r="B159" s="3" t="s">
        <v>124</v>
      </c>
      <c r="C159" s="3">
        <v>2018</v>
      </c>
      <c r="D159" cm="1">
        <f t="array" ref="D159">IFERROR(INDEX(fesp!$D:$D, MATCH(1, (VALUE(LEFT(fesp!$A:$A,6))=VALUE(LEFT(B159,6)))*(fesp!$C:$C=C159), 0)), "")</f>
        <v>0</v>
      </c>
      <c r="E159" cm="1">
        <f t="array" aca="1" ref="E159" ca="1">IFERROR(INDEX(ft_medicos_clinicos!$C:$C, MATCH(1, (VALUE(LEFT(ft_medicos_clinicos!$A:$A,6))=VALUE(LEFT(B159,6)))*(ft_medicos_clinicos!$B:$B=C159), 0)), "")</f>
        <v>152</v>
      </c>
      <c r="F159" cm="1">
        <f t="array" aca="1" ref="F159" ca="1">IFERROR(INDEX(ft_enfermeiros!$C:$C, MATCH(1, (VALUE(LEFT(ft_enfermeiros!$A:$A,6))=VALUE(LEFT(B159,6)))*(ft_enfermeiros!$B:$B=C159), 0)), "")</f>
        <v>405</v>
      </c>
      <c r="G159" t="str" cm="1">
        <f t="array" aca="1" ref="G159" ca="1">IFERROR(INDEX(ft_equipes_acs!$C:$C, MATCH(1, (VALUE(LEFT(ft_equipes_acs!$A:$A,6))=VALUE(LEFT(B159,6)))*(ft_equipes_acs!$B:$B=C159), 0)), "")</f>
        <v>-</v>
      </c>
      <c r="H159" cm="1">
        <f t="array" aca="1" ref="H159" ca="1">IFERROR(INDEX(ci_leitos_internacao!$C:$C, MATCH(1, (VALUE(LEFT(ci_leitos_internacao!$A:$A,6))=VALUE(LEFT(B159,6)))*(ci_leitos_internacao!$B:$B=C159), 0)), "")</f>
        <v>589</v>
      </c>
      <c r="I159" cm="1">
        <f t="array" aca="1" ref="I159" ca="1">IFERROR(INDEX(ci_hospitais_internacao!$C:$C, MATCH(1, (VALUE(LEFT(ci_hospitais_internacao!$A:$A,6))=VALUE(LEFT(B159,6)))*(ci_hospitais_internacao!$B:$B=C159), 0)), "")</f>
        <v>6</v>
      </c>
      <c r="J159" cm="1">
        <f t="array" aca="1" ref="J159" ca="1">IFERROR(INDEX(ci_pa_clinico!$C:$C, MATCH(1, (VALUE(LEFT(ci_pa_clinico!$A:$A,6))=VALUE(LEFT(B159,6)))*(ci_pa_clinico!$B:$B=C159), 0)), "")</f>
        <v>2</v>
      </c>
      <c r="K159" cm="1">
        <f t="array" aca="1" ref="K159" ca="1">IFERROR(INDEX(aps_equipes_esf!$C:$C, MATCH(1, (VALUE(LEFT(aps_equipes_esf!$A:$A,6))=VALUE(LEFT(B159,6)))*(aps_equipes_esf!$B:$B=C159), 0)), "")</f>
        <v>43</v>
      </c>
      <c r="L159" cm="1">
        <f t="array" aca="1" ref="L159" ca="1">IFERROR(INDEX(casos!$C:$C, MATCH(1, (VALUE(LEFT(casos!$A:$A,6))=VALUE(LEFT(B159,6)))*(casos!$B:$B=C159), 0)), "")</f>
        <v>124</v>
      </c>
      <c r="M159" cm="1">
        <f t="array" ref="M159">IFERROR(INDEX(srag!$D:$D, MATCH(1, (VALUE(LEFT(srag!$A:$A,6))=VALUE(LEFT(B159,6)))*(srag!$C:$C=C159), 0)), "")</f>
        <v>42</v>
      </c>
      <c r="N159" cm="1">
        <f t="array" ref="N159">IFERROR(INDEX(fesp!$E:$E, MATCH(1, (VALUE(LEFT(fesp!$A:$A,6))=VALUE(LEFT(B159,6)))*(fesp!$C:$C=C159), 0)), "")</f>
        <v>46</v>
      </c>
      <c r="O159" cm="1">
        <f t="array" ref="O159">IFERROR(INDEX(fesp!$F:$F, MATCH(1, (VALUE(LEFT(fesp!$A:$A,6))=VALUE(LEFT(B159,6)))*(fesp!$C:$C=C159), 0)), "")</f>
        <v>1143</v>
      </c>
      <c r="P159" cm="1">
        <f t="array" ref="P159">IFERROR(INDEX(fesp!$G:$G, MATCH(1, (VALUE(LEFT(fesp!$A:$A,6))=VALUE(LEFT(B159,6)))*(fesp!$C:$C=C159), 0)), "")</f>
        <v>1507787</v>
      </c>
      <c r="Q159" cm="1">
        <f t="array" ref="Q159">IFERROR(INDEX(fesp!$H:$H, MATCH(1, (VALUE(LEFT(fesp!$A:$A,6))=VALUE(LEFT(B159,6)))*(fesp!$C:$C=C159), 0)), "")</f>
        <v>10</v>
      </c>
      <c r="R159" cm="1">
        <f t="array" ref="R159">IFERROR(INDEX(fesp!$I:$I, MATCH(1, (VALUE(LEFT(fesp!$A:$A,6))=VALUE(LEFT(B159,6)))*(fesp!$C:$C=C159), 0)), "")</f>
        <v>5399</v>
      </c>
      <c r="S159" cm="1">
        <f t="array" ref="S159">IFERROR(INDEX(fesp!$J:$J, MATCH(1, (VALUE(LEFT(fesp!$A:$A,6))=VALUE(LEFT(B159,6)))*(fesp!$C:$C=C159), 0)), "")</f>
        <v>139</v>
      </c>
    </row>
    <row r="160" spans="1:19">
      <c r="A160" s="1" t="s">
        <v>125</v>
      </c>
      <c r="B160" s="3" t="s">
        <v>124</v>
      </c>
      <c r="C160" s="3">
        <v>2019</v>
      </c>
      <c r="D160" cm="1">
        <f t="array" ref="D160">IFERROR(INDEX(fesp!$D:$D, MATCH(1, (VALUE(LEFT(fesp!$A:$A,6))=VALUE(LEFT(B160,6)))*(fesp!$C:$C=C160), 0)), "")</f>
        <v>0</v>
      </c>
      <c r="E160" cm="1">
        <f t="array" aca="1" ref="E160" ca="1">IFERROR(INDEX(ft_medicos_clinicos!$C:$C, MATCH(1, (VALUE(LEFT(ft_medicos_clinicos!$A:$A,6))=VALUE(LEFT(B160,6)))*(ft_medicos_clinicos!$B:$B=C160), 0)), "")</f>
        <v>167</v>
      </c>
      <c r="F160" cm="1">
        <f t="array" aca="1" ref="F160" ca="1">IFERROR(INDEX(ft_enfermeiros!$C:$C, MATCH(1, (VALUE(LEFT(ft_enfermeiros!$A:$A,6))=VALUE(LEFT(B160,6)))*(ft_enfermeiros!$B:$B=C160), 0)), "")</f>
        <v>433</v>
      </c>
      <c r="G160" t="str" cm="1">
        <f t="array" aca="1" ref="G160" ca="1">IFERROR(INDEX(ft_equipes_acs!$C:$C, MATCH(1, (VALUE(LEFT(ft_equipes_acs!$A:$A,6))=VALUE(LEFT(B160,6)))*(ft_equipes_acs!$B:$B=C160), 0)), "")</f>
        <v>-</v>
      </c>
      <c r="H160" cm="1">
        <f t="array" aca="1" ref="H160" ca="1">IFERROR(INDEX(ci_leitos_internacao!$C:$C, MATCH(1, (VALUE(LEFT(ci_leitos_internacao!$A:$A,6))=VALUE(LEFT(B160,6)))*(ci_leitos_internacao!$B:$B=C160), 0)), "")</f>
        <v>710</v>
      </c>
      <c r="I160" cm="1">
        <f t="array" aca="1" ref="I160" ca="1">IFERROR(INDEX(ci_hospitais_internacao!$C:$C, MATCH(1, (VALUE(LEFT(ci_hospitais_internacao!$A:$A,6))=VALUE(LEFT(B160,6)))*(ci_hospitais_internacao!$B:$B=C160), 0)), "")</f>
        <v>7</v>
      </c>
      <c r="J160" cm="1">
        <f t="array" aca="1" ref="J160" ca="1">IFERROR(INDEX(ci_pa_clinico!$C:$C, MATCH(1, (VALUE(LEFT(ci_pa_clinico!$A:$A,6))=VALUE(LEFT(B160,6)))*(ci_pa_clinico!$B:$B=C160), 0)), "")</f>
        <v>3</v>
      </c>
      <c r="K160" cm="1">
        <f t="array" aca="1" ref="K160" ca="1">IFERROR(INDEX(aps_equipes_esf!$C:$C, MATCH(1, (VALUE(LEFT(aps_equipes_esf!$A:$A,6))=VALUE(LEFT(B160,6)))*(aps_equipes_esf!$B:$B=C160), 0)), "")</f>
        <v>42</v>
      </c>
      <c r="L160" cm="1">
        <f t="array" aca="1" ref="L160" ca="1">IFERROR(INDEX(casos!$C:$C, MATCH(1, (VALUE(LEFT(casos!$A:$A,6))=VALUE(LEFT(B160,6)))*(casos!$B:$B=C160), 0)), "")</f>
        <v>1482</v>
      </c>
      <c r="M160" cm="1">
        <f t="array" ref="M160">IFERROR(INDEX(srag!$D:$D, MATCH(1, (VALUE(LEFT(srag!$A:$A,6))=VALUE(LEFT(B160,6)))*(srag!$C:$C=C160), 0)), "")</f>
        <v>51</v>
      </c>
      <c r="N160" cm="1">
        <f t="array" ref="N160">IFERROR(INDEX(fesp!$E:$E, MATCH(1, (VALUE(LEFT(fesp!$A:$A,6))=VALUE(LEFT(B160,6)))*(fesp!$C:$C=C160), 0)), "")</f>
        <v>50</v>
      </c>
      <c r="O160" cm="1">
        <f t="array" ref="O160">IFERROR(INDEX(fesp!$F:$F, MATCH(1, (VALUE(LEFT(fesp!$A:$A,6))=VALUE(LEFT(B160,6)))*(fesp!$C:$C=C160), 0)), "")</f>
        <v>1139</v>
      </c>
      <c r="P160" cm="1">
        <f t="array" ref="P160">IFERROR(INDEX(fesp!$G:$G, MATCH(1, (VALUE(LEFT(fesp!$A:$A,6))=VALUE(LEFT(B160,6)))*(fesp!$C:$C=C160), 0)), "")</f>
        <v>1648657</v>
      </c>
      <c r="Q160" cm="1">
        <f t="array" ref="Q160">IFERROR(INDEX(fesp!$H:$H, MATCH(1, (VALUE(LEFT(fesp!$A:$A,6))=VALUE(LEFT(B160,6)))*(fesp!$C:$C=C160), 0)), "")</f>
        <v>13</v>
      </c>
      <c r="R160" cm="1">
        <f t="array" ref="R160">IFERROR(INDEX(fesp!$I:$I, MATCH(1, (VALUE(LEFT(fesp!$A:$A,6))=VALUE(LEFT(B160,6)))*(fesp!$C:$C=C160), 0)), "")</f>
        <v>4011</v>
      </c>
      <c r="S160" cm="1">
        <f t="array" ref="S160">IFERROR(INDEX(fesp!$J:$J, MATCH(1, (VALUE(LEFT(fesp!$A:$A,6))=VALUE(LEFT(B160,6)))*(fesp!$C:$C=C160), 0)), "")</f>
        <v>1389</v>
      </c>
    </row>
    <row r="161" spans="1:19">
      <c r="A161" s="1" t="s">
        <v>125</v>
      </c>
      <c r="B161" s="3" t="s">
        <v>124</v>
      </c>
      <c r="C161" s="3">
        <v>2020</v>
      </c>
      <c r="D161" cm="1">
        <f t="array" ref="D161">IFERROR(INDEX(fesp!$D:$D, MATCH(1, (VALUE(LEFT(fesp!$A:$A,6))=VALUE(LEFT(B161,6)))*(fesp!$C:$C=C161), 0)), "")</f>
        <v>0</v>
      </c>
      <c r="E161" cm="1">
        <f t="array" aca="1" ref="E161" ca="1">IFERROR(INDEX(ft_medicos_clinicos!$C:$C, MATCH(1, (VALUE(LEFT(ft_medicos_clinicos!$A:$A,6))=VALUE(LEFT(B161,6)))*(ft_medicos_clinicos!$B:$B=C161), 0)), "")</f>
        <v>209</v>
      </c>
      <c r="F161" cm="1">
        <f t="array" aca="1" ref="F161" ca="1">IFERROR(INDEX(ft_enfermeiros!$C:$C, MATCH(1, (VALUE(LEFT(ft_enfermeiros!$A:$A,6))=VALUE(LEFT(B161,6)))*(ft_enfermeiros!$B:$B=C161), 0)), "")</f>
        <v>516</v>
      </c>
      <c r="G161" t="str" cm="1">
        <f t="array" aca="1" ref="G161" ca="1">IFERROR(INDEX(ft_equipes_acs!$C:$C, MATCH(1, (VALUE(LEFT(ft_equipes_acs!$A:$A,6))=VALUE(LEFT(B161,6)))*(ft_equipes_acs!$B:$B=C161), 0)), "")</f>
        <v>-</v>
      </c>
      <c r="H161" cm="1">
        <f t="array" aca="1" ref="H161" ca="1">IFERROR(INDEX(ci_leitos_internacao!$C:$C, MATCH(1, (VALUE(LEFT(ci_leitos_internacao!$A:$A,6))=VALUE(LEFT(B161,6)))*(ci_leitos_internacao!$B:$B=C161), 0)), "")</f>
        <v>905</v>
      </c>
      <c r="I161" cm="1">
        <f t="array" aca="1" ref="I161" ca="1">IFERROR(INDEX(ci_hospitais_internacao!$C:$C, MATCH(1, (VALUE(LEFT(ci_hospitais_internacao!$A:$A,6))=VALUE(LEFT(B161,6)))*(ci_hospitais_internacao!$B:$B=C161), 0)), "")</f>
        <v>10</v>
      </c>
      <c r="J161" cm="1">
        <f t="array" aca="1" ref="J161" ca="1">IFERROR(INDEX(ci_pa_clinico!$C:$C, MATCH(1, (VALUE(LEFT(ci_pa_clinico!$A:$A,6))=VALUE(LEFT(B161,6)))*(ci_pa_clinico!$B:$B=C161), 0)), "")</f>
        <v>3</v>
      </c>
      <c r="K161" t="str" cm="1">
        <f t="array" aca="1" ref="K161" ca="1">IFERROR(INDEX(aps_equipes_esf!$C:$C, MATCH(1, (VALUE(LEFT(aps_equipes_esf!$A:$A,6))=VALUE(LEFT(B161,6)))*(aps_equipes_esf!$B:$B=C161), 0)), "")</f>
        <v>-</v>
      </c>
      <c r="L161" cm="1">
        <f t="array" aca="1" ref="L161" ca="1">IFERROR(INDEX(casos!$C:$C, MATCH(1, (VALUE(LEFT(casos!$A:$A,6))=VALUE(LEFT(B161,6)))*(casos!$B:$B=C161), 0)), "")</f>
        <v>2692</v>
      </c>
      <c r="M161" cm="1">
        <f t="array" ref="M161">IFERROR(INDEX(srag!$D:$D, MATCH(1, (VALUE(LEFT(srag!$A:$A,6))=VALUE(LEFT(B161,6)))*(srag!$C:$C=C161), 0)), "")</f>
        <v>1176</v>
      </c>
      <c r="N161" cm="1">
        <f t="array" ref="N161">IFERROR(INDEX(fesp!$E:$E, MATCH(1, (VALUE(LEFT(fesp!$A:$A,6))=VALUE(LEFT(B161,6)))*(fesp!$C:$C=C161), 0)), "")</f>
        <v>50</v>
      </c>
      <c r="O161" cm="1">
        <f t="array" ref="O161">IFERROR(INDEX(fesp!$F:$F, MATCH(1, (VALUE(LEFT(fesp!$A:$A,6))=VALUE(LEFT(B161,6)))*(fesp!$C:$C=C161), 0)), "")</f>
        <v>1119</v>
      </c>
      <c r="P161" cm="1">
        <f t="array" ref="P161">IFERROR(INDEX(fesp!$G:$G, MATCH(1, (VALUE(LEFT(fesp!$A:$A,6))=VALUE(LEFT(B161,6)))*(fesp!$C:$C=C161), 0)), "")</f>
        <v>1150979</v>
      </c>
      <c r="Q161" cm="1">
        <f t="array" ref="Q161">IFERROR(INDEX(fesp!$H:$H, MATCH(1, (VALUE(LEFT(fesp!$A:$A,6))=VALUE(LEFT(B161,6)))*(fesp!$C:$C=C161), 0)), "")</f>
        <v>9</v>
      </c>
      <c r="R161" cm="1">
        <f t="array" ref="R161">IFERROR(INDEX(fesp!$I:$I, MATCH(1, (VALUE(LEFT(fesp!$A:$A,6))=VALUE(LEFT(B161,6)))*(fesp!$C:$C=C161), 0)), "")</f>
        <v>2702</v>
      </c>
      <c r="S161" cm="1">
        <f t="array" ref="S161">IFERROR(INDEX(fesp!$J:$J, MATCH(1, (VALUE(LEFT(fesp!$A:$A,6))=VALUE(LEFT(B161,6)))*(fesp!$C:$C=C161), 0)), "")</f>
        <v>285</v>
      </c>
    </row>
    <row r="162" spans="1:19">
      <c r="A162" s="1" t="s">
        <v>125</v>
      </c>
      <c r="B162" s="3" t="s">
        <v>124</v>
      </c>
      <c r="C162" s="3">
        <v>2021</v>
      </c>
      <c r="D162" cm="1">
        <f t="array" ref="D162">IFERROR(INDEX(fesp!$D:$D, MATCH(1, (VALUE(LEFT(fesp!$A:$A,6))=VALUE(LEFT(B162,6)))*(fesp!$C:$C=C162), 0)), "")</f>
        <v>0</v>
      </c>
      <c r="E162" cm="1">
        <f t="array" aca="1" ref="E162" ca="1">IFERROR(INDEX(ft_medicos_clinicos!$C:$C, MATCH(1, (VALUE(LEFT(ft_medicos_clinicos!$A:$A,6))=VALUE(LEFT(B162,6)))*(ft_medicos_clinicos!$B:$B=C162), 0)), "")</f>
        <v>243</v>
      </c>
      <c r="F162" cm="1">
        <f t="array" aca="1" ref="F162" ca="1">IFERROR(INDEX(ft_enfermeiros!$C:$C, MATCH(1, (VALUE(LEFT(ft_enfermeiros!$A:$A,6))=VALUE(LEFT(B162,6)))*(ft_enfermeiros!$B:$B=C162), 0)), "")</f>
        <v>615</v>
      </c>
      <c r="G162" t="str" cm="1">
        <f t="array" aca="1" ref="G162" ca="1">IFERROR(INDEX(ft_equipes_acs!$C:$C, MATCH(1, (VALUE(LEFT(ft_equipes_acs!$A:$A,6))=VALUE(LEFT(B162,6)))*(ft_equipes_acs!$B:$B=C162), 0)), "")</f>
        <v>-</v>
      </c>
      <c r="H162" cm="1">
        <f t="array" aca="1" ref="H162" ca="1">IFERROR(INDEX(ci_leitos_internacao!$C:$C, MATCH(1, (VALUE(LEFT(ci_leitos_internacao!$A:$A,6))=VALUE(LEFT(B162,6)))*(ci_leitos_internacao!$B:$B=C162), 0)), "")</f>
        <v>900</v>
      </c>
      <c r="I162" cm="1">
        <f t="array" aca="1" ref="I162" ca="1">IFERROR(INDEX(ci_hospitais_internacao!$C:$C, MATCH(1, (VALUE(LEFT(ci_hospitais_internacao!$A:$A,6))=VALUE(LEFT(B162,6)))*(ci_hospitais_internacao!$B:$B=C162), 0)), "")</f>
        <v>10</v>
      </c>
      <c r="J162" cm="1">
        <f t="array" aca="1" ref="J162" ca="1">IFERROR(INDEX(ci_pa_clinico!$C:$C, MATCH(1, (VALUE(LEFT(ci_pa_clinico!$A:$A,6))=VALUE(LEFT(B162,6)))*(ci_pa_clinico!$B:$B=C162), 0)), "")</f>
        <v>3</v>
      </c>
      <c r="K162" t="str" cm="1">
        <f t="array" aca="1" ref="K162" ca="1">IFERROR(INDEX(aps_equipes_esf!$C:$C, MATCH(1, (VALUE(LEFT(aps_equipes_esf!$A:$A,6))=VALUE(LEFT(B162,6)))*(aps_equipes_esf!$B:$B=C162), 0)), "")</f>
        <v>-</v>
      </c>
      <c r="L162" cm="1">
        <f t="array" aca="1" ref="L162" ca="1">IFERROR(INDEX(casos!$C:$C, MATCH(1, (VALUE(LEFT(casos!$A:$A,6))=VALUE(LEFT(B162,6)))*(casos!$B:$B=C162), 0)), "")</f>
        <v>223</v>
      </c>
      <c r="M162" cm="1">
        <f t="array" ref="M162">IFERROR(INDEX(srag!$D:$D, MATCH(1, (VALUE(LEFT(srag!$A:$A,6))=VALUE(LEFT(B162,6)))*(srag!$C:$C=C162), 0)), "")</f>
        <v>2098</v>
      </c>
      <c r="N162" cm="1">
        <f t="array" ref="N162">IFERROR(INDEX(fesp!$E:$E, MATCH(1, (VALUE(LEFT(fesp!$A:$A,6))=VALUE(LEFT(B162,6)))*(fesp!$C:$C=C162), 0)), "")</f>
        <v>57</v>
      </c>
      <c r="O162" cm="1">
        <f t="array" ref="O162">IFERROR(INDEX(fesp!$F:$F, MATCH(1, (VALUE(LEFT(fesp!$A:$A,6))=VALUE(LEFT(B162,6)))*(fesp!$C:$C=C162), 0)), "")</f>
        <v>2419</v>
      </c>
      <c r="P162" cm="1">
        <f t="array" ref="P162">IFERROR(INDEX(fesp!$G:$G, MATCH(1, (VALUE(LEFT(fesp!$A:$A,6))=VALUE(LEFT(B162,6)))*(fesp!$C:$C=C162), 0)), "")</f>
        <v>1498603</v>
      </c>
      <c r="Q162" cm="1">
        <f t="array" ref="Q162">IFERROR(INDEX(fesp!$H:$H, MATCH(1, (VALUE(LEFT(fesp!$A:$A,6))=VALUE(LEFT(B162,6)))*(fesp!$C:$C=C162), 0)), "")</f>
        <v>9</v>
      </c>
      <c r="R162" cm="1">
        <f t="array" ref="R162">IFERROR(INDEX(fesp!$I:$I, MATCH(1, (VALUE(LEFT(fesp!$A:$A,6))=VALUE(LEFT(B162,6)))*(fesp!$C:$C=C162), 0)), "")</f>
        <v>5153</v>
      </c>
      <c r="S162" cm="1">
        <f t="array" ref="S162">IFERROR(INDEX(fesp!$J:$J, MATCH(1, (VALUE(LEFT(fesp!$A:$A,6))=VALUE(LEFT(B162,6)))*(fesp!$C:$C=C162), 0)), "")</f>
        <v>6</v>
      </c>
    </row>
    <row r="163" spans="1:19">
      <c r="A163" s="1" t="s">
        <v>125</v>
      </c>
      <c r="B163" s="3" t="s">
        <v>124</v>
      </c>
      <c r="C163" s="3">
        <v>2022</v>
      </c>
      <c r="D163" cm="1">
        <f t="array" ref="D163">IFERROR(INDEX(fesp!$D:$D, MATCH(1, (VALUE(LEFT(fesp!$A:$A,6))=VALUE(LEFT(B163,6)))*(fesp!$C:$C=C163), 0)), "")</f>
        <v>0</v>
      </c>
      <c r="E163" cm="1">
        <f t="array" aca="1" ref="E163" ca="1">IFERROR(INDEX(ft_medicos_clinicos!$C:$C, MATCH(1, (VALUE(LEFT(ft_medicos_clinicos!$A:$A,6))=VALUE(LEFT(B163,6)))*(ft_medicos_clinicos!$B:$B=C163), 0)), "")</f>
        <v>223</v>
      </c>
      <c r="F163" cm="1">
        <f t="array" aca="1" ref="F163" ca="1">IFERROR(INDEX(ft_enfermeiros!$C:$C, MATCH(1, (VALUE(LEFT(ft_enfermeiros!$A:$A,6))=VALUE(LEFT(B163,6)))*(ft_enfermeiros!$B:$B=C163), 0)), "")</f>
        <v>587</v>
      </c>
      <c r="G163" t="str" cm="1">
        <f t="array" aca="1" ref="G163" ca="1">IFERROR(INDEX(ft_equipes_acs!$C:$C, MATCH(1, (VALUE(LEFT(ft_equipes_acs!$A:$A,6))=VALUE(LEFT(B163,6)))*(ft_equipes_acs!$B:$B=C163), 0)), "")</f>
        <v>-</v>
      </c>
      <c r="H163" cm="1">
        <f t="array" aca="1" ref="H163" ca="1">IFERROR(INDEX(ci_leitos_internacao!$C:$C, MATCH(1, (VALUE(LEFT(ci_leitos_internacao!$A:$A,6))=VALUE(LEFT(B163,6)))*(ci_leitos_internacao!$B:$B=C163), 0)), "")</f>
        <v>774</v>
      </c>
      <c r="I163" cm="1">
        <f t="array" aca="1" ref="I163" ca="1">IFERROR(INDEX(ci_hospitais_internacao!$C:$C, MATCH(1, (VALUE(LEFT(ci_hospitais_internacao!$A:$A,6))=VALUE(LEFT(B163,6)))*(ci_hospitais_internacao!$B:$B=C163), 0)), "")</f>
        <v>8</v>
      </c>
      <c r="J163" cm="1">
        <f t="array" aca="1" ref="J163" ca="1">IFERROR(INDEX(ci_pa_clinico!$C:$C, MATCH(1, (VALUE(LEFT(ci_pa_clinico!$A:$A,6))=VALUE(LEFT(B163,6)))*(ci_pa_clinico!$B:$B=C163), 0)), "")</f>
        <v>3</v>
      </c>
      <c r="K163" t="str" cm="1">
        <f t="array" aca="1" ref="K163" ca="1">IFERROR(INDEX(aps_equipes_esf!$C:$C, MATCH(1, (VALUE(LEFT(aps_equipes_esf!$A:$A,6))=VALUE(LEFT(B163,6)))*(aps_equipes_esf!$B:$B=C163), 0)), "")</f>
        <v>-</v>
      </c>
      <c r="L163" cm="1">
        <f t="array" aca="1" ref="L163" ca="1">IFERROR(INDEX(casos!$C:$C, MATCH(1, (VALUE(LEFT(casos!$A:$A,6))=VALUE(LEFT(B163,6)))*(casos!$B:$B=C163), 0)), "")</f>
        <v>490</v>
      </c>
      <c r="M163" cm="1">
        <f t="array" ref="M163">IFERROR(INDEX(srag!$D:$D, MATCH(1, (VALUE(LEFT(srag!$A:$A,6))=VALUE(LEFT(B163,6)))*(srag!$C:$C=C163), 0)), "")</f>
        <v>575</v>
      </c>
      <c r="N163" cm="1">
        <f t="array" ref="N163">IFERROR(INDEX(fesp!$E:$E, MATCH(1, (VALUE(LEFT(fesp!$A:$A,6))=VALUE(LEFT(B163,6)))*(fesp!$C:$C=C163), 0)), "")</f>
        <v>57</v>
      </c>
      <c r="O163" cm="1">
        <f t="array" ref="O163">IFERROR(INDEX(fesp!$F:$F, MATCH(1, (VALUE(LEFT(fesp!$A:$A,6))=VALUE(LEFT(B163,6)))*(fesp!$C:$C=C163), 0)), "")</f>
        <v>2601</v>
      </c>
      <c r="P163" cm="1">
        <f t="array" ref="P163">IFERROR(INDEX(fesp!$G:$G, MATCH(1, (VALUE(LEFT(fesp!$A:$A,6))=VALUE(LEFT(B163,6)))*(fesp!$C:$C=C163), 0)), "")</f>
        <v>1758978</v>
      </c>
      <c r="Q163" cm="1">
        <f t="array" ref="Q163">IFERROR(INDEX(fesp!$H:$H, MATCH(1, (VALUE(LEFT(fesp!$A:$A,6))=VALUE(LEFT(B163,6)))*(fesp!$C:$C=C163), 0)), "")</f>
        <v>12</v>
      </c>
      <c r="R163" cm="1">
        <f t="array" ref="R163">IFERROR(INDEX(fesp!$I:$I, MATCH(1, (VALUE(LEFT(fesp!$A:$A,6))=VALUE(LEFT(B163,6)))*(fesp!$C:$C=C163), 0)), "")</f>
        <v>5240</v>
      </c>
      <c r="S163" cm="1">
        <f t="array" ref="S163">IFERROR(INDEX(fesp!$J:$J, MATCH(1, (VALUE(LEFT(fesp!$A:$A,6))=VALUE(LEFT(B163,6)))*(fesp!$C:$C=C163), 0)), "")</f>
        <v>29</v>
      </c>
    </row>
    <row r="164" spans="1:19">
      <c r="A164" s="1" t="s">
        <v>125</v>
      </c>
      <c r="B164" s="3" t="s">
        <v>124</v>
      </c>
      <c r="C164" s="3">
        <v>2023</v>
      </c>
      <c r="D164" cm="1">
        <f t="array" ref="D164">IFERROR(INDEX(fesp!$D:$D, MATCH(1, (VALUE(LEFT(fesp!$A:$A,6))=VALUE(LEFT(B164,6)))*(fesp!$C:$C=C164), 0)), "")</f>
        <v>0</v>
      </c>
      <c r="E164" cm="1">
        <f t="array" aca="1" ref="E164" ca="1">IFERROR(INDEX(ft_medicos_clinicos!$C:$C, MATCH(1, (VALUE(LEFT(ft_medicos_clinicos!$A:$A,6))=VALUE(LEFT(B164,6)))*(ft_medicos_clinicos!$B:$B=C164), 0)), "")</f>
        <v>217</v>
      </c>
      <c r="F164" cm="1">
        <f t="array" aca="1" ref="F164" ca="1">IFERROR(INDEX(ft_enfermeiros!$C:$C, MATCH(1, (VALUE(LEFT(ft_enfermeiros!$A:$A,6))=VALUE(LEFT(B164,6)))*(ft_enfermeiros!$B:$B=C164), 0)), "")</f>
        <v>524</v>
      </c>
      <c r="G164" t="str" cm="1">
        <f t="array" aca="1" ref="G164" ca="1">IFERROR(INDEX(ft_equipes_acs!$C:$C, MATCH(1, (VALUE(LEFT(ft_equipes_acs!$A:$A,6))=VALUE(LEFT(B164,6)))*(ft_equipes_acs!$B:$B=C164), 0)), "")</f>
        <v>-</v>
      </c>
      <c r="H164" cm="1">
        <f t="array" aca="1" ref="H164" ca="1">IFERROR(INDEX(ci_leitos_internacao!$C:$C, MATCH(1, (VALUE(LEFT(ci_leitos_internacao!$A:$A,6))=VALUE(LEFT(B164,6)))*(ci_leitos_internacao!$B:$B=C164), 0)), "")</f>
        <v>779</v>
      </c>
      <c r="I164" cm="1">
        <f t="array" aca="1" ref="I164" ca="1">IFERROR(INDEX(ci_hospitais_internacao!$C:$C, MATCH(1, (VALUE(LEFT(ci_hospitais_internacao!$A:$A,6))=VALUE(LEFT(B164,6)))*(ci_hospitais_internacao!$B:$B=C164), 0)), "")</f>
        <v>8</v>
      </c>
      <c r="J164" cm="1">
        <f t="array" aca="1" ref="J164" ca="1">IFERROR(INDEX(ci_pa_clinico!$C:$C, MATCH(1, (VALUE(LEFT(ci_pa_clinico!$A:$A,6))=VALUE(LEFT(B164,6)))*(ci_pa_clinico!$B:$B=C164), 0)), "")</f>
        <v>2</v>
      </c>
      <c r="K164" t="str" cm="1">
        <f t="array" aca="1" ref="K164" ca="1">IFERROR(INDEX(aps_equipes_esf!$C:$C, MATCH(1, (VALUE(LEFT(aps_equipes_esf!$A:$A,6))=VALUE(LEFT(B164,6)))*(aps_equipes_esf!$B:$B=C164), 0)), "")</f>
        <v>-</v>
      </c>
      <c r="L164" cm="1">
        <f t="array" aca="1" ref="L164" ca="1">IFERROR(INDEX(casos!$C:$C, MATCH(1, (VALUE(LEFT(casos!$A:$A,6))=VALUE(LEFT(B164,6)))*(casos!$B:$B=C164), 0)), "")</f>
        <v>67</v>
      </c>
      <c r="M164" cm="1">
        <f t="array" ref="M164">IFERROR(INDEX(srag!$D:$D, MATCH(1, (VALUE(LEFT(srag!$A:$A,6))=VALUE(LEFT(B164,6)))*(srag!$C:$C=C164), 0)), "")</f>
        <v>163</v>
      </c>
      <c r="N164" cm="1">
        <f t="array" ref="N164">IFERROR(INDEX(fesp!$E:$E, MATCH(1, (VALUE(LEFT(fesp!$A:$A,6))=VALUE(LEFT(B164,6)))*(fesp!$C:$C=C164), 0)), "")</f>
        <v>42</v>
      </c>
      <c r="O164" cm="1">
        <f t="array" ref="O164">IFERROR(INDEX(fesp!$F:$F, MATCH(1, (VALUE(LEFT(fesp!$A:$A,6))=VALUE(LEFT(B164,6)))*(fesp!$C:$C=C164), 0)), "")</f>
        <v>2525</v>
      </c>
      <c r="P164" cm="1">
        <f t="array" ref="P164">IFERROR(INDEX(fesp!$G:$G, MATCH(1, (VALUE(LEFT(fesp!$A:$A,6))=VALUE(LEFT(B164,6)))*(fesp!$C:$C=C164), 0)), "")</f>
        <v>1675613</v>
      </c>
      <c r="Q164" cm="1">
        <f t="array" ref="Q164">IFERROR(INDEX(fesp!$H:$H, MATCH(1, (VALUE(LEFT(fesp!$A:$A,6))=VALUE(LEFT(B164,6)))*(fesp!$C:$C=C164), 0)), "")</f>
        <v>16</v>
      </c>
      <c r="R164" cm="1">
        <f t="array" ref="R164">IFERROR(INDEX(fesp!$I:$I, MATCH(1, (VALUE(LEFT(fesp!$A:$A,6))=VALUE(LEFT(B164,6)))*(fesp!$C:$C=C164), 0)), "")</f>
        <v>1150</v>
      </c>
      <c r="S164" cm="1">
        <f t="array" ref="S164">IFERROR(INDEX(fesp!$J:$J, MATCH(1, (VALUE(LEFT(fesp!$A:$A,6))=VALUE(LEFT(B164,6)))*(fesp!$C:$C=C164), 0)), "")</f>
        <v>31</v>
      </c>
    </row>
    <row r="165" spans="1:19">
      <c r="A165" s="1" t="s">
        <v>125</v>
      </c>
      <c r="B165" s="3" t="s">
        <v>124</v>
      </c>
      <c r="C165" s="3">
        <v>2024</v>
      </c>
      <c r="D165" cm="1">
        <f t="array" ref="D165">IFERROR(INDEX(fesp!$D:$D, MATCH(1, (VALUE(LEFT(fesp!$A:$A,6))=VALUE(LEFT(B165,6)))*(fesp!$C:$C=C165), 0)), "")</f>
        <v>0</v>
      </c>
      <c r="E165" cm="1">
        <f t="array" aca="1" ref="E165" ca="1">IFERROR(INDEX(ft_medicos_clinicos!$C:$C, MATCH(1, (VALUE(LEFT(ft_medicos_clinicos!$A:$A,6))=VALUE(LEFT(B165,6)))*(ft_medicos_clinicos!$B:$B=C165), 0)), "")</f>
        <v>243</v>
      </c>
      <c r="F165" cm="1">
        <f t="array" aca="1" ref="F165" ca="1">IFERROR(INDEX(ft_enfermeiros!$C:$C, MATCH(1, (VALUE(LEFT(ft_enfermeiros!$A:$A,6))=VALUE(LEFT(B165,6)))*(ft_enfermeiros!$B:$B=C165), 0)), "")</f>
        <v>597</v>
      </c>
      <c r="G165" t="str" cm="1">
        <f t="array" aca="1" ref="G165" ca="1">IFERROR(INDEX(ft_equipes_acs!$C:$C, MATCH(1, (VALUE(LEFT(ft_equipes_acs!$A:$A,6))=VALUE(LEFT(B165,6)))*(ft_equipes_acs!$B:$B=C165), 0)), "")</f>
        <v>-</v>
      </c>
      <c r="H165" cm="1">
        <f t="array" aca="1" ref="H165" ca="1">IFERROR(INDEX(ci_leitos_internacao!$C:$C, MATCH(1, (VALUE(LEFT(ci_leitos_internacao!$A:$A,6))=VALUE(LEFT(B165,6)))*(ci_leitos_internacao!$B:$B=C165), 0)), "")</f>
        <v>801</v>
      </c>
      <c r="I165" cm="1">
        <f t="array" aca="1" ref="I165" ca="1">IFERROR(INDEX(ci_hospitais_internacao!$C:$C, MATCH(1, (VALUE(LEFT(ci_hospitais_internacao!$A:$A,6))=VALUE(LEFT(B165,6)))*(ci_hospitais_internacao!$B:$B=C165), 0)), "")</f>
        <v>9</v>
      </c>
      <c r="J165" cm="1">
        <f t="array" aca="1" ref="J165" ca="1">IFERROR(INDEX(ci_pa_clinico!$C:$C, MATCH(1, (VALUE(LEFT(ci_pa_clinico!$A:$A,6))=VALUE(LEFT(B165,6)))*(ci_pa_clinico!$B:$B=C165), 0)), "")</f>
        <v>2</v>
      </c>
      <c r="K165" t="str" cm="1">
        <f t="array" aca="1" ref="K165" ca="1">IFERROR(INDEX(aps_equipes_esf!$C:$C, MATCH(1, (VALUE(LEFT(aps_equipes_esf!$A:$A,6))=VALUE(LEFT(B165,6)))*(aps_equipes_esf!$B:$B=C165), 0)), "")</f>
        <v>-</v>
      </c>
      <c r="L165" cm="1">
        <f t="array" aca="1" ref="L165" ca="1">IFERROR(INDEX(casos!$C:$C, MATCH(1, (VALUE(LEFT(casos!$A:$A,6))=VALUE(LEFT(B165,6)))*(casos!$B:$B=C165), 0)), "")</f>
        <v>211</v>
      </c>
      <c r="M165" cm="1">
        <f t="array" ref="M165">IFERROR(INDEX(srag!$D:$D, MATCH(1, (VALUE(LEFT(srag!$A:$A,6))=VALUE(LEFT(B165,6)))*(srag!$C:$C=C165), 0)), "")</f>
        <v>584</v>
      </c>
      <c r="N165" cm="1">
        <f t="array" ref="N165">IFERROR(INDEX(fesp!$E:$E, MATCH(1, (VALUE(LEFT(fesp!$A:$A,6))=VALUE(LEFT(B165,6)))*(fesp!$C:$C=C165), 0)), "")</f>
        <v>59</v>
      </c>
      <c r="O165" cm="1">
        <f t="array" ref="O165">IFERROR(INDEX(fesp!$F:$F, MATCH(1, (VALUE(LEFT(fesp!$A:$A,6))=VALUE(LEFT(B165,6)))*(fesp!$C:$C=C165), 0)), "")</f>
        <v>1931</v>
      </c>
      <c r="P165" cm="1">
        <f t="array" ref="P165">IFERROR(INDEX(fesp!$G:$G, MATCH(1, (VALUE(LEFT(fesp!$A:$A,6))=VALUE(LEFT(B165,6)))*(fesp!$C:$C=C165), 0)), "")</f>
        <v>1927962</v>
      </c>
      <c r="Q165" cm="1">
        <f t="array" ref="Q165">IFERROR(INDEX(fesp!$H:$H, MATCH(1, (VALUE(LEFT(fesp!$A:$A,6))=VALUE(LEFT(B165,6)))*(fesp!$C:$C=C165), 0)), "")</f>
        <v>16</v>
      </c>
      <c r="R165" cm="1">
        <f t="array" ref="R165">IFERROR(INDEX(fesp!$I:$I, MATCH(1, (VALUE(LEFT(fesp!$A:$A,6))=VALUE(LEFT(B165,6)))*(fesp!$C:$C=C165), 0)), "")</f>
        <v>2552</v>
      </c>
      <c r="S165" cm="1">
        <f t="array" ref="S165">IFERROR(INDEX(fesp!$J:$J, MATCH(1, (VALUE(LEFT(fesp!$A:$A,6))=VALUE(LEFT(B165,6)))*(fesp!$C:$C=C165), 0)), "")</f>
        <v>19602</v>
      </c>
    </row>
    <row r="166" spans="1:19">
      <c r="A166" s="1" t="s">
        <v>125</v>
      </c>
      <c r="B166" s="3" t="s">
        <v>124</v>
      </c>
      <c r="C166" s="3">
        <v>2025</v>
      </c>
      <c r="D166" cm="1">
        <f t="array" ref="D166">IFERROR(INDEX(fesp!$D:$D, MATCH(1, (VALUE(LEFT(fesp!$A:$A,6))=VALUE(LEFT(B166,6)))*(fesp!$C:$C=C166), 0)), "")</f>
        <v>0</v>
      </c>
      <c r="E166" cm="1">
        <f t="array" aca="1" ref="E166" ca="1">IFERROR(INDEX(ft_medicos_clinicos!$C:$C, MATCH(1, (VALUE(LEFT(ft_medicos_clinicos!$A:$A,6))=VALUE(LEFT(B166,6)))*(ft_medicos_clinicos!$B:$B=C166), 0)), "")</f>
        <v>293</v>
      </c>
      <c r="F166" cm="1">
        <f t="array" aca="1" ref="F166" ca="1">IFERROR(INDEX(ft_enfermeiros!$C:$C, MATCH(1, (VALUE(LEFT(ft_enfermeiros!$A:$A,6))=VALUE(LEFT(B166,6)))*(ft_enfermeiros!$B:$B=C166), 0)), "")</f>
        <v>683</v>
      </c>
      <c r="G166" t="str" cm="1">
        <f t="array" aca="1" ref="G166" ca="1">IFERROR(INDEX(ft_equipes_acs!$C:$C, MATCH(1, (VALUE(LEFT(ft_equipes_acs!$A:$A,6))=VALUE(LEFT(B166,6)))*(ft_equipes_acs!$B:$B=C166), 0)), "")</f>
        <v>-</v>
      </c>
      <c r="H166" cm="1">
        <f t="array" aca="1" ref="H166" ca="1">IFERROR(INDEX(ci_leitos_internacao!$C:$C, MATCH(1, (VALUE(LEFT(ci_leitos_internacao!$A:$A,6))=VALUE(LEFT(B166,6)))*(ci_leitos_internacao!$B:$B=C166), 0)), "")</f>
        <v>770</v>
      </c>
      <c r="I166" cm="1">
        <f t="array" aca="1" ref="I166" ca="1">IFERROR(INDEX(ci_hospitais_internacao!$C:$C, MATCH(1, (VALUE(LEFT(ci_hospitais_internacao!$A:$A,6))=VALUE(LEFT(B166,6)))*(ci_hospitais_internacao!$B:$B=C166), 0)), "")</f>
        <v>9</v>
      </c>
      <c r="J166" cm="1">
        <f t="array" aca="1" ref="J166" ca="1">IFERROR(INDEX(ci_pa_clinico!$C:$C, MATCH(1, (VALUE(LEFT(ci_pa_clinico!$A:$A,6))=VALUE(LEFT(B166,6)))*(ci_pa_clinico!$B:$B=C166), 0)), "")</f>
        <v>2</v>
      </c>
      <c r="K166" t="str" cm="1">
        <f t="array" aca="1" ref="K166" ca="1">IFERROR(INDEX(aps_equipes_esf!$C:$C, MATCH(1, (VALUE(LEFT(aps_equipes_esf!$A:$A,6))=VALUE(LEFT(B166,6)))*(aps_equipes_esf!$B:$B=C166), 0)), "")</f>
        <v>-</v>
      </c>
      <c r="L166" cm="1">
        <f t="array" aca="1" ref="L166" ca="1">IFERROR(INDEX(casos!$C:$C, MATCH(1, (VALUE(LEFT(casos!$A:$A,6))=VALUE(LEFT(B166,6)))*(casos!$B:$B=C166), 0)), "")</f>
        <v>125</v>
      </c>
      <c r="M166" cm="1">
        <f t="array" ref="M166">IFERROR(INDEX(srag!$D:$D, MATCH(1, (VALUE(LEFT(srag!$A:$A,6))=VALUE(LEFT(B166,6)))*(srag!$C:$C=C166), 0)), "")</f>
        <v>212</v>
      </c>
      <c r="N166" cm="1">
        <f t="array" ref="N166">IFERROR(INDEX(fesp!$E:$E, MATCH(1, (VALUE(LEFT(fesp!$A:$A,6))=VALUE(LEFT(B166,6)))*(fesp!$C:$C=C166), 0)), "")</f>
        <v>30</v>
      </c>
      <c r="O166" cm="1">
        <f t="array" ref="O166">IFERROR(INDEX(fesp!$F:$F, MATCH(1, (VALUE(LEFT(fesp!$A:$A,6))=VALUE(LEFT(B166,6)))*(fesp!$C:$C=C166), 0)), "")</f>
        <v>2186</v>
      </c>
      <c r="P166" cm="1">
        <f t="array" ref="P166">IFERROR(INDEX(fesp!$G:$G, MATCH(1, (VALUE(LEFT(fesp!$A:$A,6))=VALUE(LEFT(B166,6)))*(fesp!$C:$C=C166), 0)), "")</f>
        <v>1259161</v>
      </c>
      <c r="Q166" cm="1">
        <f t="array" ref="Q166">IFERROR(INDEX(fesp!$H:$H, MATCH(1, (VALUE(LEFT(fesp!$A:$A,6))=VALUE(LEFT(B166,6)))*(fesp!$C:$C=C166), 0)), "")</f>
        <v>14</v>
      </c>
      <c r="R166" cm="1">
        <f t="array" ref="R166">IFERROR(INDEX(fesp!$I:$I, MATCH(1, (VALUE(LEFT(fesp!$A:$A,6))=VALUE(LEFT(B166,6)))*(fesp!$C:$C=C166), 0)), "")</f>
        <v>918</v>
      </c>
      <c r="S166" cm="1">
        <f t="array" ref="S166">IFERROR(INDEX(fesp!$J:$J, MATCH(1, (VALUE(LEFT(fesp!$A:$A,6))=VALUE(LEFT(B166,6)))*(fesp!$C:$C=C166), 0)), "")</f>
        <v>1</v>
      </c>
    </row>
    <row r="167" spans="1:19">
      <c r="A167" s="1" t="s">
        <v>17</v>
      </c>
      <c r="B167" s="3">
        <v>2611606</v>
      </c>
      <c r="C167" s="3">
        <v>2015</v>
      </c>
      <c r="D167" cm="1">
        <f t="array" ref="D167">IFERROR(INDEX(fesp!$D:$D, MATCH(1, (VALUE(LEFT(fesp!$A:$A,6))=VALUE(LEFT(B167,6)))*(fesp!$C:$C=C167), 0)), "")</f>
        <v>1617183</v>
      </c>
      <c r="E167" cm="1">
        <f t="array" aca="1" ref="E167" ca="1">IFERROR(INDEX(ft_medicos_clinicos!$C:$C, MATCH(1, (VALUE(LEFT(ft_medicos_clinicos!$A:$A,6))=VALUE(LEFT(B167,6)))*(ft_medicos_clinicos!$B:$B=C167), 0)), "")</f>
        <v>1041</v>
      </c>
      <c r="F167" cm="1">
        <f t="array" aca="1" ref="F167" ca="1">IFERROR(INDEX(ft_enfermeiros!$C:$C, MATCH(1, (VALUE(LEFT(ft_enfermeiros!$A:$A,6))=VALUE(LEFT(B167,6)))*(ft_enfermeiros!$B:$B=C167), 0)), "")</f>
        <v>2777</v>
      </c>
      <c r="G167" cm="1">
        <f t="array" aca="1" ref="G167" ca="1">IFERROR(INDEX(ft_equipes_acs!$C:$C, MATCH(1, (VALUE(LEFT(ft_equipes_acs!$A:$A,6))=VALUE(LEFT(B167,6)))*(ft_equipes_acs!$B:$B=C167), 0)), "")</f>
        <v>78</v>
      </c>
      <c r="H167" cm="1">
        <f t="array" aca="1" ref="H167" ca="1">IFERROR(INDEX(ci_leitos_internacao!$C:$C, MATCH(1, (VALUE(LEFT(ci_leitos_internacao!$A:$A,6))=VALUE(LEFT(B167,6)))*(ci_leitos_internacao!$B:$B=C167), 0)), "")</f>
        <v>8501</v>
      </c>
      <c r="I167" cm="1">
        <f t="array" aca="1" ref="I167" ca="1">IFERROR(INDEX(ci_hospitais_internacao!$C:$C, MATCH(1, (VALUE(LEFT(ci_hospitais_internacao!$A:$A,6))=VALUE(LEFT(B167,6)))*(ci_hospitais_internacao!$B:$B=C167), 0)), "")</f>
        <v>26</v>
      </c>
      <c r="J167" t="str" cm="1">
        <f t="array" aca="1" ref="J167" ca="1">IFERROR(INDEX(ci_pa_clinico!$C:$C, MATCH(1, (VALUE(LEFT(ci_pa_clinico!$A:$A,6))=VALUE(LEFT(B167,6)))*(ci_pa_clinico!$B:$B=C167), 0)), "")</f>
        <v/>
      </c>
      <c r="K167" cm="1">
        <f t="array" aca="1" ref="K167" ca="1">IFERROR(INDEX(aps_equipes_esf!$C:$C, MATCH(1, (VALUE(LEFT(aps_equipes_esf!$A:$A,6))=VALUE(LEFT(B167,6)))*(aps_equipes_esf!$B:$B=C167), 0)), "")</f>
        <v>101</v>
      </c>
      <c r="L167" cm="1">
        <f t="array" aca="1" ref="L167" ca="1">IFERROR(INDEX(casos!$C:$C, MATCH(1, (VALUE(LEFT(casos!$A:$A,6))=VALUE(LEFT(B167,6)))*(casos!$B:$B=C167), 0)), "")</f>
        <v>32078</v>
      </c>
      <c r="M167" cm="1">
        <f t="array" ref="M167">IFERROR(INDEX(srag!$D:$D, MATCH(1, (VALUE(LEFT(srag!$A:$A,6))=VALUE(LEFT(B167,6)))*(srag!$C:$C=C167), 0)), "")</f>
        <v>306</v>
      </c>
      <c r="N167" cm="1">
        <f t="array" ref="N167">IFERROR(INDEX(fesp!$E:$E, MATCH(1, (VALUE(LEFT(fesp!$A:$A,6))=VALUE(LEFT(B167,6)))*(fesp!$C:$C=C167), 0)), "")</f>
        <v>932</v>
      </c>
      <c r="O167" cm="1">
        <f t="array" ref="O167">IFERROR(INDEX(fesp!$F:$F, MATCH(1, (VALUE(LEFT(fesp!$A:$A,6))=VALUE(LEFT(B167,6)))*(fesp!$C:$C=C167), 0)), "")</f>
        <v>23601</v>
      </c>
      <c r="P167" cm="1">
        <f t="array" ref="P167">IFERROR(INDEX(fesp!$G:$G, MATCH(1, (VALUE(LEFT(fesp!$A:$A,6))=VALUE(LEFT(B167,6)))*(fesp!$C:$C=C167), 0)), "")</f>
        <v>16150135</v>
      </c>
      <c r="Q167" cm="1">
        <f t="array" ref="Q167">IFERROR(INDEX(fesp!$H:$H, MATCH(1, (VALUE(LEFT(fesp!$A:$A,6))=VALUE(LEFT(B167,6)))*(fesp!$C:$C=C167), 0)), "")</f>
        <v>1083</v>
      </c>
      <c r="R167" cm="1">
        <f t="array" ref="R167">IFERROR(INDEX(fesp!$I:$I, MATCH(1, (VALUE(LEFT(fesp!$A:$A,6))=VALUE(LEFT(B167,6)))*(fesp!$C:$C=C167), 0)), "")</f>
        <v>156238</v>
      </c>
      <c r="S167" cm="1">
        <f t="array" ref="S167">IFERROR(INDEX(fesp!$J:$J, MATCH(1, (VALUE(LEFT(fesp!$A:$A,6))=VALUE(LEFT(B167,6)))*(fesp!$C:$C=C167), 0)), "")</f>
        <v>3134706</v>
      </c>
    </row>
    <row r="168" spans="1:19">
      <c r="A168" s="1" t="s">
        <v>17</v>
      </c>
      <c r="B168" s="3">
        <v>2611606</v>
      </c>
      <c r="C168" s="3">
        <v>2016</v>
      </c>
      <c r="D168" cm="1">
        <f t="array" ref="D168">IFERROR(INDEX(fesp!$D:$D, MATCH(1, (VALUE(LEFT(fesp!$A:$A,6))=VALUE(LEFT(B168,6)))*(fesp!$C:$C=C168), 0)), "")</f>
        <v>0</v>
      </c>
      <c r="E168" cm="1">
        <f t="array" aca="1" ref="E168" ca="1">IFERROR(INDEX(ft_medicos_clinicos!$C:$C, MATCH(1, (VALUE(LEFT(ft_medicos_clinicos!$A:$A,6))=VALUE(LEFT(B168,6)))*(ft_medicos_clinicos!$B:$B=C168), 0)), "")</f>
        <v>1128</v>
      </c>
      <c r="F168" cm="1">
        <f t="array" aca="1" ref="F168" ca="1">IFERROR(INDEX(ft_enfermeiros!$C:$C, MATCH(1, (VALUE(LEFT(ft_enfermeiros!$A:$A,6))=VALUE(LEFT(B168,6)))*(ft_enfermeiros!$B:$B=C168), 0)), "")</f>
        <v>3174</v>
      </c>
      <c r="G168" cm="1">
        <f t="array" aca="1" ref="G168" ca="1">IFERROR(INDEX(ft_equipes_acs!$C:$C, MATCH(1, (VALUE(LEFT(ft_equipes_acs!$A:$A,6))=VALUE(LEFT(B168,6)))*(ft_equipes_acs!$B:$B=C168), 0)), "")</f>
        <v>67</v>
      </c>
      <c r="H168" cm="1">
        <f t="array" aca="1" ref="H168" ca="1">IFERROR(INDEX(ci_leitos_internacao!$C:$C, MATCH(1, (VALUE(LEFT(ci_leitos_internacao!$A:$A,6))=VALUE(LEFT(B168,6)))*(ci_leitos_internacao!$B:$B=C168), 0)), "")</f>
        <v>8858</v>
      </c>
      <c r="I168" cm="1">
        <f t="array" aca="1" ref="I168" ca="1">IFERROR(INDEX(ci_hospitais_internacao!$C:$C, MATCH(1, (VALUE(LEFT(ci_hospitais_internacao!$A:$A,6))=VALUE(LEFT(B168,6)))*(ci_hospitais_internacao!$B:$B=C168), 0)), "")</f>
        <v>26</v>
      </c>
      <c r="J168" t="str" cm="1">
        <f t="array" aca="1" ref="J168" ca="1">IFERROR(INDEX(ci_pa_clinico!$C:$C, MATCH(1, (VALUE(LEFT(ci_pa_clinico!$A:$A,6))=VALUE(LEFT(B168,6)))*(ci_pa_clinico!$B:$B=C168), 0)), "")</f>
        <v/>
      </c>
      <c r="K168" cm="1">
        <f t="array" aca="1" ref="K168" ca="1">IFERROR(INDEX(aps_equipes_esf!$C:$C, MATCH(1, (VALUE(LEFT(aps_equipes_esf!$A:$A,6))=VALUE(LEFT(B168,6)))*(aps_equipes_esf!$B:$B=C168), 0)), "")</f>
        <v>114</v>
      </c>
      <c r="L168" cm="1">
        <f t="array" aca="1" ref="L168" ca="1">IFERROR(INDEX(casos!$C:$C, MATCH(1, (VALUE(LEFT(casos!$A:$A,6))=VALUE(LEFT(B168,6)))*(casos!$B:$B=C168), 0)), "")</f>
        <v>18773</v>
      </c>
      <c r="M168" cm="1">
        <f t="array" ref="M168">IFERROR(INDEX(srag!$D:$D, MATCH(1, (VALUE(LEFT(srag!$A:$A,6))=VALUE(LEFT(B168,6)))*(srag!$C:$C=C168), 0)), "")</f>
        <v>563</v>
      </c>
      <c r="N168" cm="1">
        <f t="array" ref="N168">IFERROR(INDEX(fesp!$E:$E, MATCH(1, (VALUE(LEFT(fesp!$A:$A,6))=VALUE(LEFT(B168,6)))*(fesp!$C:$C=C168), 0)), "")</f>
        <v>979</v>
      </c>
      <c r="O168" cm="1">
        <f t="array" ref="O168">IFERROR(INDEX(fesp!$F:$F, MATCH(1, (VALUE(LEFT(fesp!$A:$A,6))=VALUE(LEFT(B168,6)))*(fesp!$C:$C=C168), 0)), "")</f>
        <v>22857</v>
      </c>
      <c r="P168" cm="1">
        <f t="array" ref="P168">IFERROR(INDEX(fesp!$G:$G, MATCH(1, (VALUE(LEFT(fesp!$A:$A,6))=VALUE(LEFT(B168,6)))*(fesp!$C:$C=C168), 0)), "")</f>
        <v>16556924</v>
      </c>
      <c r="Q168" cm="1">
        <f t="array" ref="Q168">IFERROR(INDEX(fesp!$H:$H, MATCH(1, (VALUE(LEFT(fesp!$A:$A,6))=VALUE(LEFT(B168,6)))*(fesp!$C:$C=C168), 0)), "")</f>
        <v>839</v>
      </c>
      <c r="R168" cm="1">
        <f t="array" ref="R168">IFERROR(INDEX(fesp!$I:$I, MATCH(1, (VALUE(LEFT(fesp!$A:$A,6))=VALUE(LEFT(B168,6)))*(fesp!$C:$C=C168), 0)), "")</f>
        <v>158461</v>
      </c>
      <c r="S168" cm="1">
        <f t="array" ref="S168">IFERROR(INDEX(fesp!$J:$J, MATCH(1, (VALUE(LEFT(fesp!$A:$A,6))=VALUE(LEFT(B168,6)))*(fesp!$C:$C=C168), 0)), "")</f>
        <v>3255823</v>
      </c>
    </row>
    <row r="169" spans="1:19">
      <c r="A169" s="1" t="s">
        <v>17</v>
      </c>
      <c r="B169" s="3" t="s">
        <v>16</v>
      </c>
      <c r="C169" s="3">
        <v>2017</v>
      </c>
      <c r="D169" cm="1">
        <f t="array" ref="D169">IFERROR(INDEX(fesp!$D:$D, MATCH(1, (VALUE(LEFT(fesp!$A:$A,6))=VALUE(LEFT(B169,6)))*(fesp!$C:$C=C169), 0)), "")</f>
        <v>0</v>
      </c>
      <c r="E169" cm="1">
        <f t="array" aca="1" ref="E169" ca="1">IFERROR(INDEX(ft_medicos_clinicos!$C:$C, MATCH(1, (VALUE(LEFT(ft_medicos_clinicos!$A:$A,6))=VALUE(LEFT(B169,6)))*(ft_medicos_clinicos!$B:$B=C169), 0)), "")</f>
        <v>1172</v>
      </c>
      <c r="F169" cm="1">
        <f t="array" aca="1" ref="F169" ca="1">IFERROR(INDEX(ft_enfermeiros!$C:$C, MATCH(1, (VALUE(LEFT(ft_enfermeiros!$A:$A,6))=VALUE(LEFT(B169,6)))*(ft_enfermeiros!$B:$B=C169), 0)), "")</f>
        <v>3295</v>
      </c>
      <c r="G169" cm="1">
        <f t="array" aca="1" ref="G169" ca="1">IFERROR(INDEX(ft_equipes_acs!$C:$C, MATCH(1, (VALUE(LEFT(ft_equipes_acs!$A:$A,6))=VALUE(LEFT(B169,6)))*(ft_equipes_acs!$B:$B=C169), 0)), "")</f>
        <v>67</v>
      </c>
      <c r="H169" cm="1">
        <f t="array" aca="1" ref="H169" ca="1">IFERROR(INDEX(ci_leitos_internacao!$C:$C, MATCH(1, (VALUE(LEFT(ci_leitos_internacao!$A:$A,6))=VALUE(LEFT(B169,6)))*(ci_leitos_internacao!$B:$B=C169), 0)), "")</f>
        <v>8883</v>
      </c>
      <c r="I169" cm="1">
        <f t="array" aca="1" ref="I169" ca="1">IFERROR(INDEX(ci_hospitais_internacao!$C:$C, MATCH(1, (VALUE(LEFT(ci_hospitais_internacao!$A:$A,6))=VALUE(LEFT(B169,6)))*(ci_hospitais_internacao!$B:$B=C169), 0)), "")</f>
        <v>26</v>
      </c>
      <c r="J169" t="str" cm="1">
        <f t="array" aca="1" ref="J169" ca="1">IFERROR(INDEX(ci_pa_clinico!$C:$C, MATCH(1, (VALUE(LEFT(ci_pa_clinico!$A:$A,6))=VALUE(LEFT(B169,6)))*(ci_pa_clinico!$B:$B=C169), 0)), "")</f>
        <v/>
      </c>
      <c r="K169" cm="1">
        <f t="array" aca="1" ref="K169" ca="1">IFERROR(INDEX(aps_equipes_esf!$C:$C, MATCH(1, (VALUE(LEFT(aps_equipes_esf!$A:$A,6))=VALUE(LEFT(B169,6)))*(aps_equipes_esf!$B:$B=C169), 0)), "")</f>
        <v>111</v>
      </c>
      <c r="L169" cm="1">
        <f t="array" aca="1" ref="L169" ca="1">IFERROR(INDEX(casos!$C:$C, MATCH(1, (VALUE(LEFT(casos!$A:$A,6))=VALUE(LEFT(B169,6)))*(casos!$B:$B=C169), 0)), "")</f>
        <v>1749</v>
      </c>
      <c r="M169" cm="1">
        <f t="array" ref="M169">IFERROR(INDEX(srag!$D:$D, MATCH(1, (VALUE(LEFT(srag!$A:$A,6))=VALUE(LEFT(B169,6)))*(srag!$C:$C=C169), 0)), "")</f>
        <v>628</v>
      </c>
      <c r="N169" cm="1">
        <f t="array" ref="N169">IFERROR(INDEX(fesp!$E:$E, MATCH(1, (VALUE(LEFT(fesp!$A:$A,6))=VALUE(LEFT(B169,6)))*(fesp!$C:$C=C169), 0)), "")</f>
        <v>972</v>
      </c>
      <c r="O169" cm="1">
        <f t="array" ref="O169">IFERROR(INDEX(fesp!$F:$F, MATCH(1, (VALUE(LEFT(fesp!$A:$A,6))=VALUE(LEFT(B169,6)))*(fesp!$C:$C=C169), 0)), "")</f>
        <v>21809</v>
      </c>
      <c r="P169" cm="1">
        <f t="array" ref="P169">IFERROR(INDEX(fesp!$G:$G, MATCH(1, (VALUE(LEFT(fesp!$A:$A,6))=VALUE(LEFT(B169,6)))*(fesp!$C:$C=C169), 0)), "")</f>
        <v>17066652</v>
      </c>
      <c r="Q169" cm="1">
        <f t="array" ref="Q169">IFERROR(INDEX(fesp!$H:$H, MATCH(1, (VALUE(LEFT(fesp!$A:$A,6))=VALUE(LEFT(B169,6)))*(fesp!$C:$C=C169), 0)), "")</f>
        <v>969</v>
      </c>
      <c r="R169" cm="1">
        <f t="array" ref="R169">IFERROR(INDEX(fesp!$I:$I, MATCH(1, (VALUE(LEFT(fesp!$A:$A,6))=VALUE(LEFT(B169,6)))*(fesp!$C:$C=C169), 0)), "")</f>
        <v>101802</v>
      </c>
      <c r="S169" cm="1">
        <f t="array" ref="S169">IFERROR(INDEX(fesp!$J:$J, MATCH(1, (VALUE(LEFT(fesp!$A:$A,6))=VALUE(LEFT(B169,6)))*(fesp!$C:$C=C169), 0)), "")</f>
        <v>1910571</v>
      </c>
    </row>
    <row r="170" spans="1:19">
      <c r="A170" s="1" t="s">
        <v>17</v>
      </c>
      <c r="B170" s="3" t="s">
        <v>16</v>
      </c>
      <c r="C170" s="3">
        <v>2018</v>
      </c>
      <c r="D170" cm="1">
        <f t="array" ref="D170">IFERROR(INDEX(fesp!$D:$D, MATCH(1, (VALUE(LEFT(fesp!$A:$A,6))=VALUE(LEFT(B170,6)))*(fesp!$C:$C=C170), 0)), "")</f>
        <v>0</v>
      </c>
      <c r="E170" cm="1">
        <f t="array" aca="1" ref="E170" ca="1">IFERROR(INDEX(ft_medicos_clinicos!$C:$C, MATCH(1, (VALUE(LEFT(ft_medicos_clinicos!$A:$A,6))=VALUE(LEFT(B170,6)))*(ft_medicos_clinicos!$B:$B=C170), 0)), "")</f>
        <v>1234</v>
      </c>
      <c r="F170" cm="1">
        <f t="array" aca="1" ref="F170" ca="1">IFERROR(INDEX(ft_enfermeiros!$C:$C, MATCH(1, (VALUE(LEFT(ft_enfermeiros!$A:$A,6))=VALUE(LEFT(B170,6)))*(ft_enfermeiros!$B:$B=C170), 0)), "")</f>
        <v>3594</v>
      </c>
      <c r="G170" cm="1">
        <f t="array" aca="1" ref="G170" ca="1">IFERROR(INDEX(ft_equipes_acs!$C:$C, MATCH(1, (VALUE(LEFT(ft_equipes_acs!$A:$A,6))=VALUE(LEFT(B170,6)))*(ft_equipes_acs!$B:$B=C170), 0)), "")</f>
        <v>68</v>
      </c>
      <c r="H170" cm="1">
        <f t="array" aca="1" ref="H170" ca="1">IFERROR(INDEX(ci_leitos_internacao!$C:$C, MATCH(1, (VALUE(LEFT(ci_leitos_internacao!$A:$A,6))=VALUE(LEFT(B170,6)))*(ci_leitos_internacao!$B:$B=C170), 0)), "")</f>
        <v>8781</v>
      </c>
      <c r="I170" cm="1">
        <f t="array" aca="1" ref="I170" ca="1">IFERROR(INDEX(ci_hospitais_internacao!$C:$C, MATCH(1, (VALUE(LEFT(ci_hospitais_internacao!$A:$A,6))=VALUE(LEFT(B170,6)))*(ci_hospitais_internacao!$B:$B=C170), 0)), "")</f>
        <v>25</v>
      </c>
      <c r="J170" t="str" cm="1">
        <f t="array" aca="1" ref="J170" ca="1">IFERROR(INDEX(ci_pa_clinico!$C:$C, MATCH(1, (VALUE(LEFT(ci_pa_clinico!$A:$A,6))=VALUE(LEFT(B170,6)))*(ci_pa_clinico!$B:$B=C170), 0)), "")</f>
        <v/>
      </c>
      <c r="K170" cm="1">
        <f t="array" aca="1" ref="K170" ca="1">IFERROR(INDEX(aps_equipes_esf!$C:$C, MATCH(1, (VALUE(LEFT(aps_equipes_esf!$A:$A,6))=VALUE(LEFT(B170,6)))*(aps_equipes_esf!$B:$B=C170), 0)), "")</f>
        <v>109</v>
      </c>
      <c r="L170" cm="1">
        <f t="array" aca="1" ref="L170" ca="1">IFERROR(INDEX(casos!$C:$C, MATCH(1, (VALUE(LEFT(casos!$A:$A,6))=VALUE(LEFT(B170,6)))*(casos!$B:$B=C170), 0)), "")</f>
        <v>2276</v>
      </c>
      <c r="M170" cm="1">
        <f t="array" ref="M170">IFERROR(INDEX(srag!$D:$D, MATCH(1, (VALUE(LEFT(srag!$A:$A,6))=VALUE(LEFT(B170,6)))*(srag!$C:$C=C170), 0)), "")</f>
        <v>854</v>
      </c>
      <c r="N170" cm="1">
        <f t="array" ref="N170">IFERROR(INDEX(fesp!$E:$E, MATCH(1, (VALUE(LEFT(fesp!$A:$A,6))=VALUE(LEFT(B170,6)))*(fesp!$C:$C=C170), 0)), "")</f>
        <v>832</v>
      </c>
      <c r="O170" cm="1">
        <f t="array" ref="O170">IFERROR(INDEX(fesp!$F:$F, MATCH(1, (VALUE(LEFT(fesp!$A:$A,6))=VALUE(LEFT(B170,6)))*(fesp!$C:$C=C170), 0)), "")</f>
        <v>22339</v>
      </c>
      <c r="P170" cm="1">
        <f t="array" ref="P170">IFERROR(INDEX(fesp!$G:$G, MATCH(1, (VALUE(LEFT(fesp!$A:$A,6))=VALUE(LEFT(B170,6)))*(fesp!$C:$C=C170), 0)), "")</f>
        <v>17639266</v>
      </c>
      <c r="Q170" cm="1">
        <f t="array" ref="Q170">IFERROR(INDEX(fesp!$H:$H, MATCH(1, (VALUE(LEFT(fesp!$A:$A,6))=VALUE(LEFT(B170,6)))*(fesp!$C:$C=C170), 0)), "")</f>
        <v>1069</v>
      </c>
      <c r="R170" cm="1">
        <f t="array" ref="R170">IFERROR(INDEX(fesp!$I:$I, MATCH(1, (VALUE(LEFT(fesp!$A:$A,6))=VALUE(LEFT(B170,6)))*(fesp!$C:$C=C170), 0)), "")</f>
        <v>12446</v>
      </c>
      <c r="S170" cm="1">
        <f t="array" ref="S170">IFERROR(INDEX(fesp!$J:$J, MATCH(1, (VALUE(LEFT(fesp!$A:$A,6))=VALUE(LEFT(B170,6)))*(fesp!$C:$C=C170), 0)), "")</f>
        <v>94474</v>
      </c>
    </row>
    <row r="171" spans="1:19">
      <c r="A171" s="1" t="s">
        <v>17</v>
      </c>
      <c r="B171" s="3" t="s">
        <v>16</v>
      </c>
      <c r="C171" s="3">
        <v>2019</v>
      </c>
      <c r="D171" cm="1">
        <f t="array" ref="D171">IFERROR(INDEX(fesp!$D:$D, MATCH(1, (VALUE(LEFT(fesp!$A:$A,6))=VALUE(LEFT(B171,6)))*(fesp!$C:$C=C171), 0)), "")</f>
        <v>0</v>
      </c>
      <c r="E171" cm="1">
        <f t="array" aca="1" ref="E171" ca="1">IFERROR(INDEX(ft_medicos_clinicos!$C:$C, MATCH(1, (VALUE(LEFT(ft_medicos_clinicos!$A:$A,6))=VALUE(LEFT(B171,6)))*(ft_medicos_clinicos!$B:$B=C171), 0)), "")</f>
        <v>1229</v>
      </c>
      <c r="F171" cm="1">
        <f t="array" aca="1" ref="F171" ca="1">IFERROR(INDEX(ft_enfermeiros!$C:$C, MATCH(1, (VALUE(LEFT(ft_enfermeiros!$A:$A,6))=VALUE(LEFT(B171,6)))*(ft_enfermeiros!$B:$B=C171), 0)), "")</f>
        <v>3906</v>
      </c>
      <c r="G171" cm="1">
        <f t="array" aca="1" ref="G171" ca="1">IFERROR(INDEX(ft_equipes_acs!$C:$C, MATCH(1, (VALUE(LEFT(ft_equipes_acs!$A:$A,6))=VALUE(LEFT(B171,6)))*(ft_equipes_acs!$B:$B=C171), 0)), "")</f>
        <v>71</v>
      </c>
      <c r="H171" cm="1">
        <f t="array" aca="1" ref="H171" ca="1">IFERROR(INDEX(ci_leitos_internacao!$C:$C, MATCH(1, (VALUE(LEFT(ci_leitos_internacao!$A:$A,6))=VALUE(LEFT(B171,6)))*(ci_leitos_internacao!$B:$B=C171), 0)), "")</f>
        <v>8852</v>
      </c>
      <c r="I171" cm="1">
        <f t="array" aca="1" ref="I171" ca="1">IFERROR(INDEX(ci_hospitais_internacao!$C:$C, MATCH(1, (VALUE(LEFT(ci_hospitais_internacao!$A:$A,6))=VALUE(LEFT(B171,6)))*(ci_hospitais_internacao!$B:$B=C171), 0)), "")</f>
        <v>25</v>
      </c>
      <c r="J171" t="str" cm="1">
        <f t="array" aca="1" ref="J171" ca="1">IFERROR(INDEX(ci_pa_clinico!$C:$C, MATCH(1, (VALUE(LEFT(ci_pa_clinico!$A:$A,6))=VALUE(LEFT(B171,6)))*(ci_pa_clinico!$B:$B=C171), 0)), "")</f>
        <v/>
      </c>
      <c r="K171" cm="1">
        <f t="array" aca="1" ref="K171" ca="1">IFERROR(INDEX(aps_equipes_esf!$C:$C, MATCH(1, (VALUE(LEFT(aps_equipes_esf!$A:$A,6))=VALUE(LEFT(B171,6)))*(aps_equipes_esf!$B:$B=C171), 0)), "")</f>
        <v>107</v>
      </c>
      <c r="L171" cm="1">
        <f t="array" aca="1" ref="L171" ca="1">IFERROR(INDEX(casos!$C:$C, MATCH(1, (VALUE(LEFT(casos!$A:$A,6))=VALUE(LEFT(B171,6)))*(casos!$B:$B=C171), 0)), "")</f>
        <v>7236</v>
      </c>
      <c r="M171" cm="1">
        <f t="array" ref="M171">IFERROR(INDEX(srag!$D:$D, MATCH(1, (VALUE(LEFT(srag!$A:$A,6))=VALUE(LEFT(B171,6)))*(srag!$C:$C=C171), 0)), "")</f>
        <v>969</v>
      </c>
      <c r="N171" cm="1">
        <f t="array" ref="N171">IFERROR(INDEX(fesp!$E:$E, MATCH(1, (VALUE(LEFT(fesp!$A:$A,6))=VALUE(LEFT(B171,6)))*(fesp!$C:$C=C171), 0)), "")</f>
        <v>1141</v>
      </c>
      <c r="O171" cm="1">
        <f t="array" ref="O171">IFERROR(INDEX(fesp!$F:$F, MATCH(1, (VALUE(LEFT(fesp!$A:$A,6))=VALUE(LEFT(B171,6)))*(fesp!$C:$C=C171), 0)), "")</f>
        <v>24201</v>
      </c>
      <c r="P171" cm="1">
        <f t="array" ref="P171">IFERROR(INDEX(fesp!$G:$G, MATCH(1, (VALUE(LEFT(fesp!$A:$A,6))=VALUE(LEFT(B171,6)))*(fesp!$C:$C=C171), 0)), "")</f>
        <v>18773009</v>
      </c>
      <c r="Q171" cm="1">
        <f t="array" ref="Q171">IFERROR(INDEX(fesp!$H:$H, MATCH(1, (VALUE(LEFT(fesp!$A:$A,6))=VALUE(LEFT(B171,6)))*(fesp!$C:$C=C171), 0)), "")</f>
        <v>1336</v>
      </c>
      <c r="R171" cm="1">
        <f t="array" ref="R171">IFERROR(INDEX(fesp!$I:$I, MATCH(1, (VALUE(LEFT(fesp!$A:$A,6))=VALUE(LEFT(B171,6)))*(fesp!$C:$C=C171), 0)), "")</f>
        <v>11154</v>
      </c>
      <c r="S171" cm="1">
        <f t="array" ref="S171">IFERROR(INDEX(fesp!$J:$J, MATCH(1, (VALUE(LEFT(fesp!$A:$A,6))=VALUE(LEFT(B171,6)))*(fesp!$C:$C=C171), 0)), "")</f>
        <v>85532</v>
      </c>
    </row>
    <row r="172" spans="1:19">
      <c r="A172" s="1" t="s">
        <v>17</v>
      </c>
      <c r="B172" s="3" t="s">
        <v>16</v>
      </c>
      <c r="C172" s="3">
        <v>2020</v>
      </c>
      <c r="D172" cm="1">
        <f t="array" ref="D172">IFERROR(INDEX(fesp!$D:$D, MATCH(1, (VALUE(LEFT(fesp!$A:$A,6))=VALUE(LEFT(B172,6)))*(fesp!$C:$C=C172), 0)), "")</f>
        <v>0</v>
      </c>
      <c r="E172" cm="1">
        <f t="array" aca="1" ref="E172" ca="1">IFERROR(INDEX(ft_medicos_clinicos!$C:$C, MATCH(1, (VALUE(LEFT(ft_medicos_clinicos!$A:$A,6))=VALUE(LEFT(B172,6)))*(ft_medicos_clinicos!$B:$B=C172), 0)), "")</f>
        <v>1400</v>
      </c>
      <c r="F172" cm="1">
        <f t="array" aca="1" ref="F172" ca="1">IFERROR(INDEX(ft_enfermeiros!$C:$C, MATCH(1, (VALUE(LEFT(ft_enfermeiros!$A:$A,6))=VALUE(LEFT(B172,6)))*(ft_enfermeiros!$B:$B=C172), 0)), "")</f>
        <v>4520</v>
      </c>
      <c r="G172" cm="1">
        <f t="array" aca="1" ref="G172" ca="1">IFERROR(INDEX(ft_equipes_acs!$C:$C, MATCH(1, (VALUE(LEFT(ft_equipes_acs!$A:$A,6))=VALUE(LEFT(B172,6)))*(ft_equipes_acs!$B:$B=C172), 0)), "")</f>
        <v>7</v>
      </c>
      <c r="H172" cm="1">
        <f t="array" aca="1" ref="H172" ca="1">IFERROR(INDEX(ci_leitos_internacao!$C:$C, MATCH(1, (VALUE(LEFT(ci_leitos_internacao!$A:$A,6))=VALUE(LEFT(B172,6)))*(ci_leitos_internacao!$B:$B=C172), 0)), "")</f>
        <v>8705</v>
      </c>
      <c r="I172" cm="1">
        <f t="array" aca="1" ref="I172" ca="1">IFERROR(INDEX(ci_hospitais_internacao!$C:$C, MATCH(1, (VALUE(LEFT(ci_hospitais_internacao!$A:$A,6))=VALUE(LEFT(B172,6)))*(ci_hospitais_internacao!$B:$B=C172), 0)), "")</f>
        <v>33</v>
      </c>
      <c r="J172" t="str" cm="1">
        <f t="array" aca="1" ref="J172" ca="1">IFERROR(INDEX(ci_pa_clinico!$C:$C, MATCH(1, (VALUE(LEFT(ci_pa_clinico!$A:$A,6))=VALUE(LEFT(B172,6)))*(ci_pa_clinico!$B:$B=C172), 0)), "")</f>
        <v/>
      </c>
      <c r="K172" t="str" cm="1">
        <f t="array" aca="1" ref="K172" ca="1">IFERROR(INDEX(aps_equipes_esf!$C:$C, MATCH(1, (VALUE(LEFT(aps_equipes_esf!$A:$A,6))=VALUE(LEFT(B172,6)))*(aps_equipes_esf!$B:$B=C172), 0)), "")</f>
        <v>-</v>
      </c>
      <c r="L172" cm="1">
        <f t="array" aca="1" ref="L172" ca="1">IFERROR(INDEX(casos!$C:$C, MATCH(1, (VALUE(LEFT(casos!$A:$A,6))=VALUE(LEFT(B172,6)))*(casos!$B:$B=C172), 0)), "")</f>
        <v>2600</v>
      </c>
      <c r="M172" cm="1">
        <f t="array" ref="M172">IFERROR(INDEX(srag!$D:$D, MATCH(1, (VALUE(LEFT(srag!$A:$A,6))=VALUE(LEFT(B172,6)))*(srag!$C:$C=C172), 0)), "")</f>
        <v>18946</v>
      </c>
      <c r="N172" cm="1">
        <f t="array" ref="N172">IFERROR(INDEX(fesp!$E:$E, MATCH(1, (VALUE(LEFT(fesp!$A:$A,6))=VALUE(LEFT(B172,6)))*(fesp!$C:$C=C172), 0)), "")</f>
        <v>1057</v>
      </c>
      <c r="O172" cm="1">
        <f t="array" ref="O172">IFERROR(INDEX(fesp!$F:$F, MATCH(1, (VALUE(LEFT(fesp!$A:$A,6))=VALUE(LEFT(B172,6)))*(fesp!$C:$C=C172), 0)), "")</f>
        <v>16344</v>
      </c>
      <c r="P172" cm="1">
        <f t="array" ref="P172">IFERROR(INDEX(fesp!$G:$G, MATCH(1, (VALUE(LEFT(fesp!$A:$A,6))=VALUE(LEFT(B172,6)))*(fesp!$C:$C=C172), 0)), "")</f>
        <v>15252531</v>
      </c>
      <c r="Q172" cm="1">
        <f t="array" ref="Q172">IFERROR(INDEX(fesp!$H:$H, MATCH(1, (VALUE(LEFT(fesp!$A:$A,6))=VALUE(LEFT(B172,6)))*(fesp!$C:$C=C172), 0)), "")</f>
        <v>747</v>
      </c>
      <c r="R172" cm="1">
        <f t="array" ref="R172">IFERROR(INDEX(fesp!$I:$I, MATCH(1, (VALUE(LEFT(fesp!$A:$A,6))=VALUE(LEFT(B172,6)))*(fesp!$C:$C=C172), 0)), "")</f>
        <v>7801</v>
      </c>
      <c r="S172" cm="1">
        <f t="array" ref="S172">IFERROR(INDEX(fesp!$J:$J, MATCH(1, (VALUE(LEFT(fesp!$A:$A,6))=VALUE(LEFT(B172,6)))*(fesp!$C:$C=C172), 0)), "")</f>
        <v>32478</v>
      </c>
    </row>
    <row r="173" spans="1:19">
      <c r="A173" s="1" t="s">
        <v>17</v>
      </c>
      <c r="B173" s="3" t="s">
        <v>16</v>
      </c>
      <c r="C173" s="3">
        <v>2021</v>
      </c>
      <c r="D173" cm="1">
        <f t="array" ref="D173">IFERROR(INDEX(fesp!$D:$D, MATCH(1, (VALUE(LEFT(fesp!$A:$A,6))=VALUE(LEFT(B173,6)))*(fesp!$C:$C=C173), 0)), "")</f>
        <v>0</v>
      </c>
      <c r="E173" cm="1">
        <f t="array" aca="1" ref="E173" ca="1">IFERROR(INDEX(ft_medicos_clinicos!$C:$C, MATCH(1, (VALUE(LEFT(ft_medicos_clinicos!$A:$A,6))=VALUE(LEFT(B173,6)))*(ft_medicos_clinicos!$B:$B=C173), 0)), "")</f>
        <v>1599</v>
      </c>
      <c r="F173" cm="1">
        <f t="array" aca="1" ref="F173" ca="1">IFERROR(INDEX(ft_enfermeiros!$C:$C, MATCH(1, (VALUE(LEFT(ft_enfermeiros!$A:$A,6))=VALUE(LEFT(B173,6)))*(ft_enfermeiros!$B:$B=C173), 0)), "")</f>
        <v>5041</v>
      </c>
      <c r="G173" cm="1">
        <f t="array" aca="1" ref="G173" ca="1">IFERROR(INDEX(ft_equipes_acs!$C:$C, MATCH(1, (VALUE(LEFT(ft_equipes_acs!$A:$A,6))=VALUE(LEFT(B173,6)))*(ft_equipes_acs!$B:$B=C173), 0)), "")</f>
        <v>7</v>
      </c>
      <c r="H173" cm="1">
        <f t="array" aca="1" ref="H173" ca="1">IFERROR(INDEX(ci_leitos_internacao!$C:$C, MATCH(1, (VALUE(LEFT(ci_leitos_internacao!$A:$A,6))=VALUE(LEFT(B173,6)))*(ci_leitos_internacao!$B:$B=C173), 0)), "")</f>
        <v>8951</v>
      </c>
      <c r="I173" cm="1">
        <f t="array" aca="1" ref="I173" ca="1">IFERROR(INDEX(ci_hospitais_internacao!$C:$C, MATCH(1, (VALUE(LEFT(ci_hospitais_internacao!$A:$A,6))=VALUE(LEFT(B173,6)))*(ci_hospitais_internacao!$B:$B=C173), 0)), "")</f>
        <v>33</v>
      </c>
      <c r="J173" t="str" cm="1">
        <f t="array" aca="1" ref="J173" ca="1">IFERROR(INDEX(ci_pa_clinico!$C:$C, MATCH(1, (VALUE(LEFT(ci_pa_clinico!$A:$A,6))=VALUE(LEFT(B173,6)))*(ci_pa_clinico!$B:$B=C173), 0)), "")</f>
        <v/>
      </c>
      <c r="K173" t="str" cm="1">
        <f t="array" aca="1" ref="K173" ca="1">IFERROR(INDEX(aps_equipes_esf!$C:$C, MATCH(1, (VALUE(LEFT(aps_equipes_esf!$A:$A,6))=VALUE(LEFT(B173,6)))*(aps_equipes_esf!$B:$B=C173), 0)), "")</f>
        <v>-</v>
      </c>
      <c r="L173" cm="1">
        <f t="array" aca="1" ref="L173" ca="1">IFERROR(INDEX(casos!$C:$C, MATCH(1, (VALUE(LEFT(casos!$A:$A,6))=VALUE(LEFT(B173,6)))*(casos!$B:$B=C173), 0)), "")</f>
        <v>9924</v>
      </c>
      <c r="M173" cm="1">
        <f t="array" ref="M173">IFERROR(INDEX(srag!$D:$D, MATCH(1, (VALUE(LEFT(srag!$A:$A,6))=VALUE(LEFT(B173,6)))*(srag!$C:$C=C173), 0)), "")</f>
        <v>18238</v>
      </c>
      <c r="N173" cm="1">
        <f t="array" ref="N173">IFERROR(INDEX(fesp!$E:$E, MATCH(1, (VALUE(LEFT(fesp!$A:$A,6))=VALUE(LEFT(B173,6)))*(fesp!$C:$C=C173), 0)), "")</f>
        <v>1403</v>
      </c>
      <c r="O173" cm="1">
        <f t="array" ref="O173">IFERROR(INDEX(fesp!$F:$F, MATCH(1, (VALUE(LEFT(fesp!$A:$A,6))=VALUE(LEFT(B173,6)))*(fesp!$C:$C=C173), 0)), "")</f>
        <v>37229</v>
      </c>
      <c r="P173" cm="1">
        <f t="array" ref="P173">IFERROR(INDEX(fesp!$G:$G, MATCH(1, (VALUE(LEFT(fesp!$A:$A,6))=VALUE(LEFT(B173,6)))*(fesp!$C:$C=C173), 0)), "")</f>
        <v>17414404</v>
      </c>
      <c r="Q173" cm="1">
        <f t="array" ref="Q173">IFERROR(INDEX(fesp!$H:$H, MATCH(1, (VALUE(LEFT(fesp!$A:$A,6))=VALUE(LEFT(B173,6)))*(fesp!$C:$C=C173), 0)), "")</f>
        <v>996</v>
      </c>
      <c r="R173" cm="1">
        <f t="array" ref="R173">IFERROR(INDEX(fesp!$I:$I, MATCH(1, (VALUE(LEFT(fesp!$A:$A,6))=VALUE(LEFT(B173,6)))*(fesp!$C:$C=C173), 0)), "")</f>
        <v>7746</v>
      </c>
      <c r="S173" cm="1">
        <f t="array" ref="S173">IFERROR(INDEX(fesp!$J:$J, MATCH(1, (VALUE(LEFT(fesp!$A:$A,6))=VALUE(LEFT(B173,6)))*(fesp!$C:$C=C173), 0)), "")</f>
        <v>51429</v>
      </c>
    </row>
    <row r="174" spans="1:19">
      <c r="A174" s="1" t="s">
        <v>17</v>
      </c>
      <c r="B174" s="3" t="s">
        <v>16</v>
      </c>
      <c r="C174" s="3">
        <v>2022</v>
      </c>
      <c r="D174" cm="1">
        <f t="array" ref="D174">IFERROR(INDEX(fesp!$D:$D, MATCH(1, (VALUE(LEFT(fesp!$A:$A,6))=VALUE(LEFT(B174,6)))*(fesp!$C:$C=C174), 0)), "")</f>
        <v>1488920</v>
      </c>
      <c r="E174" cm="1">
        <f t="array" aca="1" ref="E174" ca="1">IFERROR(INDEX(ft_medicos_clinicos!$C:$C, MATCH(1, (VALUE(LEFT(ft_medicos_clinicos!$A:$A,6))=VALUE(LEFT(B174,6)))*(ft_medicos_clinicos!$B:$B=C174), 0)), "")</f>
        <v>1703</v>
      </c>
      <c r="F174" cm="1">
        <f t="array" aca="1" ref="F174" ca="1">IFERROR(INDEX(ft_enfermeiros!$C:$C, MATCH(1, (VALUE(LEFT(ft_enfermeiros!$A:$A,6))=VALUE(LEFT(B174,6)))*(ft_enfermeiros!$B:$B=C174), 0)), "")</f>
        <v>5057</v>
      </c>
      <c r="G174" cm="1">
        <f t="array" aca="1" ref="G174" ca="1">IFERROR(INDEX(ft_equipes_acs!$C:$C, MATCH(1, (VALUE(LEFT(ft_equipes_acs!$A:$A,6))=VALUE(LEFT(B174,6)))*(ft_equipes_acs!$B:$B=C174), 0)), "")</f>
        <v>7</v>
      </c>
      <c r="H174" cm="1">
        <f t="array" aca="1" ref="H174" ca="1">IFERROR(INDEX(ci_leitos_internacao!$C:$C, MATCH(1, (VALUE(LEFT(ci_leitos_internacao!$A:$A,6))=VALUE(LEFT(B174,6)))*(ci_leitos_internacao!$B:$B=C174), 0)), "")</f>
        <v>9462</v>
      </c>
      <c r="I174" cm="1">
        <f t="array" aca="1" ref="I174" ca="1">IFERROR(INDEX(ci_hospitais_internacao!$C:$C, MATCH(1, (VALUE(LEFT(ci_hospitais_internacao!$A:$A,6))=VALUE(LEFT(B174,6)))*(ci_hospitais_internacao!$B:$B=C174), 0)), "")</f>
        <v>33</v>
      </c>
      <c r="J174" t="str" cm="1">
        <f t="array" aca="1" ref="J174" ca="1">IFERROR(INDEX(ci_pa_clinico!$C:$C, MATCH(1, (VALUE(LEFT(ci_pa_clinico!$A:$A,6))=VALUE(LEFT(B174,6)))*(ci_pa_clinico!$B:$B=C174), 0)), "")</f>
        <v/>
      </c>
      <c r="K174" t="str" cm="1">
        <f t="array" aca="1" ref="K174" ca="1">IFERROR(INDEX(aps_equipes_esf!$C:$C, MATCH(1, (VALUE(LEFT(aps_equipes_esf!$A:$A,6))=VALUE(LEFT(B174,6)))*(aps_equipes_esf!$B:$B=C174), 0)), "")</f>
        <v>-</v>
      </c>
      <c r="L174" cm="1">
        <f t="array" aca="1" ref="L174" ca="1">IFERROR(INDEX(casos!$C:$C, MATCH(1, (VALUE(LEFT(casos!$A:$A,6))=VALUE(LEFT(B174,6)))*(casos!$B:$B=C174), 0)), "")</f>
        <v>2239</v>
      </c>
      <c r="M174" cm="1">
        <f t="array" ref="M174">IFERROR(INDEX(srag!$D:$D, MATCH(1, (VALUE(LEFT(srag!$A:$A,6))=VALUE(LEFT(B174,6)))*(srag!$C:$C=C174), 0)), "")</f>
        <v>8053</v>
      </c>
      <c r="N174" cm="1">
        <f t="array" ref="N174">IFERROR(INDEX(fesp!$E:$E, MATCH(1, (VALUE(LEFT(fesp!$A:$A,6))=VALUE(LEFT(B174,6)))*(fesp!$C:$C=C174), 0)), "")</f>
        <v>1259</v>
      </c>
      <c r="O174" cm="1">
        <f t="array" ref="O174">IFERROR(INDEX(fesp!$F:$F, MATCH(1, (VALUE(LEFT(fesp!$A:$A,6))=VALUE(LEFT(B174,6)))*(fesp!$C:$C=C174), 0)), "")</f>
        <v>52875</v>
      </c>
      <c r="P174" cm="1">
        <f t="array" ref="P174">IFERROR(INDEX(fesp!$G:$G, MATCH(1, (VALUE(LEFT(fesp!$A:$A,6))=VALUE(LEFT(B174,6)))*(fesp!$C:$C=C174), 0)), "")</f>
        <v>19160985</v>
      </c>
      <c r="Q174" cm="1">
        <f t="array" ref="Q174">IFERROR(INDEX(fesp!$H:$H, MATCH(1, (VALUE(LEFT(fesp!$A:$A,6))=VALUE(LEFT(B174,6)))*(fesp!$C:$C=C174), 0)), "")</f>
        <v>926</v>
      </c>
      <c r="R174" cm="1">
        <f t="array" ref="R174">IFERROR(INDEX(fesp!$I:$I, MATCH(1, (VALUE(LEFT(fesp!$A:$A,6))=VALUE(LEFT(B174,6)))*(fesp!$C:$C=C174), 0)), "")</f>
        <v>8651</v>
      </c>
      <c r="S174" cm="1">
        <f t="array" ref="S174">IFERROR(INDEX(fesp!$J:$J, MATCH(1, (VALUE(LEFT(fesp!$A:$A,6))=VALUE(LEFT(B174,6)))*(fesp!$C:$C=C174), 0)), "")</f>
        <v>49973</v>
      </c>
    </row>
    <row r="175" spans="1:19">
      <c r="A175" s="1" t="s">
        <v>17</v>
      </c>
      <c r="B175" s="3" t="s">
        <v>16</v>
      </c>
      <c r="C175" s="3">
        <v>2023</v>
      </c>
      <c r="D175" cm="1">
        <f t="array" ref="D175">IFERROR(INDEX(fesp!$D:$D, MATCH(1, (VALUE(LEFT(fesp!$A:$A,6))=VALUE(LEFT(B175,6)))*(fesp!$C:$C=C175), 0)), "")</f>
        <v>0</v>
      </c>
      <c r="E175" cm="1">
        <f t="array" aca="1" ref="E175" ca="1">IFERROR(INDEX(ft_medicos_clinicos!$C:$C, MATCH(1, (VALUE(LEFT(ft_medicos_clinicos!$A:$A,6))=VALUE(LEFT(B175,6)))*(ft_medicos_clinicos!$B:$B=C175), 0)), "")</f>
        <v>1637</v>
      </c>
      <c r="F175" cm="1">
        <f t="array" aca="1" ref="F175" ca="1">IFERROR(INDEX(ft_enfermeiros!$C:$C, MATCH(1, (VALUE(LEFT(ft_enfermeiros!$A:$A,6))=VALUE(LEFT(B175,6)))*(ft_enfermeiros!$B:$B=C175), 0)), "")</f>
        <v>5503</v>
      </c>
      <c r="G175" t="str" cm="1">
        <f t="array" aca="1" ref="G175" ca="1">IFERROR(INDEX(ft_equipes_acs!$C:$C, MATCH(1, (VALUE(LEFT(ft_equipes_acs!$A:$A,6))=VALUE(LEFT(B175,6)))*(ft_equipes_acs!$B:$B=C175), 0)), "")</f>
        <v>-</v>
      </c>
      <c r="H175" cm="1">
        <f t="array" aca="1" ref="H175" ca="1">IFERROR(INDEX(ci_leitos_internacao!$C:$C, MATCH(1, (VALUE(LEFT(ci_leitos_internacao!$A:$A,6))=VALUE(LEFT(B175,6)))*(ci_leitos_internacao!$B:$B=C175), 0)), "")</f>
        <v>9442</v>
      </c>
      <c r="I175" cm="1">
        <f t="array" aca="1" ref="I175" ca="1">IFERROR(INDEX(ci_hospitais_internacao!$C:$C, MATCH(1, (VALUE(LEFT(ci_hospitais_internacao!$A:$A,6))=VALUE(LEFT(B175,6)))*(ci_hospitais_internacao!$B:$B=C175), 0)), "")</f>
        <v>29</v>
      </c>
      <c r="J175" t="str" cm="1">
        <f t="array" aca="1" ref="J175" ca="1">IFERROR(INDEX(ci_pa_clinico!$C:$C, MATCH(1, (VALUE(LEFT(ci_pa_clinico!$A:$A,6))=VALUE(LEFT(B175,6)))*(ci_pa_clinico!$B:$B=C175), 0)), "")</f>
        <v/>
      </c>
      <c r="K175" t="str" cm="1">
        <f t="array" aca="1" ref="K175" ca="1">IFERROR(INDEX(aps_equipes_esf!$C:$C, MATCH(1, (VALUE(LEFT(aps_equipes_esf!$A:$A,6))=VALUE(LEFT(B175,6)))*(aps_equipes_esf!$B:$B=C175), 0)), "")</f>
        <v>-</v>
      </c>
      <c r="L175" cm="1">
        <f t="array" aca="1" ref="L175" ca="1">IFERROR(INDEX(casos!$C:$C, MATCH(1, (VALUE(LEFT(casos!$A:$A,6))=VALUE(LEFT(B175,6)))*(casos!$B:$B=C175), 0)), "")</f>
        <v>2435</v>
      </c>
      <c r="M175" cm="1">
        <f t="array" ref="M175">IFERROR(INDEX(srag!$D:$D, MATCH(1, (VALUE(LEFT(srag!$A:$A,6))=VALUE(LEFT(B175,6)))*(srag!$C:$C=C175), 0)), "")</f>
        <v>2962</v>
      </c>
      <c r="N175" cm="1">
        <f t="array" ref="N175">IFERROR(INDEX(fesp!$E:$E, MATCH(1, (VALUE(LEFT(fesp!$A:$A,6))=VALUE(LEFT(B175,6)))*(fesp!$C:$C=C175), 0)), "")</f>
        <v>1043</v>
      </c>
      <c r="O175" cm="1">
        <f t="array" ref="O175">IFERROR(INDEX(fesp!$F:$F, MATCH(1, (VALUE(LEFT(fesp!$A:$A,6))=VALUE(LEFT(B175,6)))*(fesp!$C:$C=C175), 0)), "")</f>
        <v>60883</v>
      </c>
      <c r="P175" cm="1">
        <f t="array" ref="P175">IFERROR(INDEX(fesp!$G:$G, MATCH(1, (VALUE(LEFT(fesp!$A:$A,6))=VALUE(LEFT(B175,6)))*(fesp!$C:$C=C175), 0)), "")</f>
        <v>20398030</v>
      </c>
      <c r="Q175" cm="1">
        <f t="array" ref="Q175">IFERROR(INDEX(fesp!$H:$H, MATCH(1, (VALUE(LEFT(fesp!$A:$A,6))=VALUE(LEFT(B175,6)))*(fesp!$C:$C=C175), 0)), "")</f>
        <v>625</v>
      </c>
      <c r="R175" cm="1">
        <f t="array" ref="R175">IFERROR(INDEX(fesp!$I:$I, MATCH(1, (VALUE(LEFT(fesp!$A:$A,6))=VALUE(LEFT(B175,6)))*(fesp!$C:$C=C175), 0)), "")</f>
        <v>6830</v>
      </c>
      <c r="S175" cm="1">
        <f t="array" ref="S175">IFERROR(INDEX(fesp!$J:$J, MATCH(1, (VALUE(LEFT(fesp!$A:$A,6))=VALUE(LEFT(B175,6)))*(fesp!$C:$C=C175), 0)), "")</f>
        <v>30488</v>
      </c>
    </row>
    <row r="176" spans="1:19">
      <c r="A176" s="1" t="s">
        <v>17</v>
      </c>
      <c r="B176" s="3" t="s">
        <v>16</v>
      </c>
      <c r="C176" s="3">
        <v>2024</v>
      </c>
      <c r="D176" cm="1">
        <f t="array" ref="D176">IFERROR(INDEX(fesp!$D:$D, MATCH(1, (VALUE(LEFT(fesp!$A:$A,6))=VALUE(LEFT(B176,6)))*(fesp!$C:$C=C176), 0)), "")</f>
        <v>0</v>
      </c>
      <c r="E176" cm="1">
        <f t="array" aca="1" ref="E176" ca="1">IFERROR(INDEX(ft_medicos_clinicos!$C:$C, MATCH(1, (VALUE(LEFT(ft_medicos_clinicos!$A:$A,6))=VALUE(LEFT(B176,6)))*(ft_medicos_clinicos!$B:$B=C176), 0)), "")</f>
        <v>1737</v>
      </c>
      <c r="F176" cm="1">
        <f t="array" aca="1" ref="F176" ca="1">IFERROR(INDEX(ft_enfermeiros!$C:$C, MATCH(1, (VALUE(LEFT(ft_enfermeiros!$A:$A,6))=VALUE(LEFT(B176,6)))*(ft_enfermeiros!$B:$B=C176), 0)), "")</f>
        <v>5722</v>
      </c>
      <c r="G176" t="str" cm="1">
        <f t="array" aca="1" ref="G176" ca="1">IFERROR(INDEX(ft_equipes_acs!$C:$C, MATCH(1, (VALUE(LEFT(ft_equipes_acs!$A:$A,6))=VALUE(LEFT(B176,6)))*(ft_equipes_acs!$B:$B=C176), 0)), "")</f>
        <v>-</v>
      </c>
      <c r="H176" cm="1">
        <f t="array" aca="1" ref="H176" ca="1">IFERROR(INDEX(ci_leitos_internacao!$C:$C, MATCH(1, (VALUE(LEFT(ci_leitos_internacao!$A:$A,6))=VALUE(LEFT(B176,6)))*(ci_leitos_internacao!$B:$B=C176), 0)), "")</f>
        <v>9499</v>
      </c>
      <c r="I176" cm="1">
        <f t="array" aca="1" ref="I176" ca="1">IFERROR(INDEX(ci_hospitais_internacao!$C:$C, MATCH(1, (VALUE(LEFT(ci_hospitais_internacao!$A:$A,6))=VALUE(LEFT(B176,6)))*(ci_hospitais_internacao!$B:$B=C176), 0)), "")</f>
        <v>30</v>
      </c>
      <c r="J176" t="str" cm="1">
        <f t="array" aca="1" ref="J176" ca="1">IFERROR(INDEX(ci_pa_clinico!$C:$C, MATCH(1, (VALUE(LEFT(ci_pa_clinico!$A:$A,6))=VALUE(LEFT(B176,6)))*(ci_pa_clinico!$B:$B=C176), 0)), "")</f>
        <v/>
      </c>
      <c r="K176" t="str" cm="1">
        <f t="array" aca="1" ref="K176" ca="1">IFERROR(INDEX(aps_equipes_esf!$C:$C, MATCH(1, (VALUE(LEFT(aps_equipes_esf!$A:$A,6))=VALUE(LEFT(B176,6)))*(aps_equipes_esf!$B:$B=C176), 0)), "")</f>
        <v>-</v>
      </c>
      <c r="L176" cm="1">
        <f t="array" aca="1" ref="L176" ca="1">IFERROR(INDEX(casos!$C:$C, MATCH(1, (VALUE(LEFT(casos!$A:$A,6))=VALUE(LEFT(B176,6)))*(casos!$B:$B=C176), 0)), "")</f>
        <v>4546</v>
      </c>
      <c r="M176" cm="1">
        <f t="array" ref="M176">IFERROR(INDEX(srag!$D:$D, MATCH(1, (VALUE(LEFT(srag!$A:$A,6))=VALUE(LEFT(B176,6)))*(srag!$C:$C=C176), 0)), "")</f>
        <v>1663</v>
      </c>
      <c r="N176" cm="1">
        <f t="array" ref="N176">IFERROR(INDEX(fesp!$E:$E, MATCH(1, (VALUE(LEFT(fesp!$A:$A,6))=VALUE(LEFT(B176,6)))*(fesp!$C:$C=C176), 0)), "")</f>
        <v>907</v>
      </c>
      <c r="O176" cm="1">
        <f t="array" ref="O176">IFERROR(INDEX(fesp!$F:$F, MATCH(1, (VALUE(LEFT(fesp!$A:$A,6))=VALUE(LEFT(B176,6)))*(fesp!$C:$C=C176), 0)), "")</f>
        <v>62202</v>
      </c>
      <c r="P176" cm="1">
        <f t="array" ref="P176">IFERROR(INDEX(fesp!$G:$G, MATCH(1, (VALUE(LEFT(fesp!$A:$A,6))=VALUE(LEFT(B176,6)))*(fesp!$C:$C=C176), 0)), "")</f>
        <v>22385212</v>
      </c>
      <c r="Q176" cm="1">
        <f t="array" ref="Q176">IFERROR(INDEX(fesp!$H:$H, MATCH(1, (VALUE(LEFT(fesp!$A:$A,6))=VALUE(LEFT(B176,6)))*(fesp!$C:$C=C176), 0)), "")</f>
        <v>528</v>
      </c>
      <c r="R176" cm="1">
        <f t="array" ref="R176">IFERROR(INDEX(fesp!$I:$I, MATCH(1, (VALUE(LEFT(fesp!$A:$A,6))=VALUE(LEFT(B176,6)))*(fesp!$C:$C=C176), 0)), "")</f>
        <v>6077</v>
      </c>
      <c r="S176" cm="1">
        <f t="array" ref="S176">IFERROR(INDEX(fesp!$J:$J, MATCH(1, (VALUE(LEFT(fesp!$A:$A,6))=VALUE(LEFT(B176,6)))*(fesp!$C:$C=C176), 0)), "")</f>
        <v>3601</v>
      </c>
    </row>
    <row r="177" spans="1:19">
      <c r="A177" s="1" t="s">
        <v>17</v>
      </c>
      <c r="B177" s="3">
        <v>2611606</v>
      </c>
      <c r="C177" s="3">
        <v>2025</v>
      </c>
      <c r="D177" cm="1">
        <f t="array" ref="D177">IFERROR(INDEX(fesp!$D:$D, MATCH(1, (VALUE(LEFT(fesp!$A:$A,6))=VALUE(LEFT(B177,6)))*(fesp!$C:$C=C177), 0)), "")</f>
        <v>0</v>
      </c>
      <c r="E177" cm="1">
        <f t="array" aca="1" ref="E177" ca="1">IFERROR(INDEX(ft_medicos_clinicos!$C:$C, MATCH(1, (VALUE(LEFT(ft_medicos_clinicos!$A:$A,6))=VALUE(LEFT(B177,6)))*(ft_medicos_clinicos!$B:$B=C177), 0)), "")</f>
        <v>1852</v>
      </c>
      <c r="F177" cm="1">
        <f t="array" aca="1" ref="F177" ca="1">IFERROR(INDEX(ft_enfermeiros!$C:$C, MATCH(1, (VALUE(LEFT(ft_enfermeiros!$A:$A,6))=VALUE(LEFT(B177,6)))*(ft_enfermeiros!$B:$B=C177), 0)), "")</f>
        <v>6041</v>
      </c>
      <c r="G177" t="str" cm="1">
        <f t="array" aca="1" ref="G177" ca="1">IFERROR(INDEX(ft_equipes_acs!$C:$C, MATCH(1, (VALUE(LEFT(ft_equipes_acs!$A:$A,6))=VALUE(LEFT(B177,6)))*(ft_equipes_acs!$B:$B=C177), 0)), "")</f>
        <v>-</v>
      </c>
      <c r="H177" cm="1">
        <f t="array" aca="1" ref="H177" ca="1">IFERROR(INDEX(ci_leitos_internacao!$C:$C, MATCH(1, (VALUE(LEFT(ci_leitos_internacao!$A:$A,6))=VALUE(LEFT(B177,6)))*(ci_leitos_internacao!$B:$B=C177), 0)), "")</f>
        <v>9549</v>
      </c>
      <c r="I177" cm="1">
        <f t="array" aca="1" ref="I177" ca="1">IFERROR(INDEX(ci_hospitais_internacao!$C:$C, MATCH(1, (VALUE(LEFT(ci_hospitais_internacao!$A:$A,6))=VALUE(LEFT(B177,6)))*(ci_hospitais_internacao!$B:$B=C177), 0)), "")</f>
        <v>29</v>
      </c>
      <c r="J177" t="str" cm="1">
        <f t="array" aca="1" ref="J177" ca="1">IFERROR(INDEX(ci_pa_clinico!$C:$C, MATCH(1, (VALUE(LEFT(ci_pa_clinico!$A:$A,6))=VALUE(LEFT(B177,6)))*(ci_pa_clinico!$B:$B=C177), 0)), "")</f>
        <v/>
      </c>
      <c r="K177" t="str" cm="1">
        <f t="array" aca="1" ref="K177" ca="1">IFERROR(INDEX(aps_equipes_esf!$C:$C, MATCH(1, (VALUE(LEFT(aps_equipes_esf!$A:$A,6))=VALUE(LEFT(B177,6)))*(aps_equipes_esf!$B:$B=C177), 0)), "")</f>
        <v>-</v>
      </c>
      <c r="L177" cm="1">
        <f t="array" aca="1" ref="L177" ca="1">IFERROR(INDEX(casos!$C:$C, MATCH(1, (VALUE(LEFT(casos!$A:$A,6))=VALUE(LEFT(B177,6)))*(casos!$B:$B=C177), 0)), "")</f>
        <v>8350</v>
      </c>
      <c r="M177" cm="1">
        <f t="array" ref="M177">IFERROR(INDEX(srag!$D:$D, MATCH(1, (VALUE(LEFT(srag!$A:$A,6))=VALUE(LEFT(B177,6)))*(srag!$C:$C=C177), 0)), "")</f>
        <v>1704</v>
      </c>
      <c r="N177" cm="1">
        <f t="array" ref="N177">IFERROR(INDEX(fesp!$E:$E, MATCH(1, (VALUE(LEFT(fesp!$A:$A,6))=VALUE(LEFT(B177,6)))*(fesp!$C:$C=C177), 0)), "")</f>
        <v>773</v>
      </c>
      <c r="O177" cm="1">
        <f t="array" ref="O177">IFERROR(INDEX(fesp!$F:$F, MATCH(1, (VALUE(LEFT(fesp!$A:$A,6))=VALUE(LEFT(B177,6)))*(fesp!$C:$C=C177), 0)), "")</f>
        <v>54764</v>
      </c>
      <c r="P177" cm="1">
        <f t="array" ref="P177">IFERROR(INDEX(fesp!$G:$G, MATCH(1, (VALUE(LEFT(fesp!$A:$A,6))=VALUE(LEFT(B177,6)))*(fesp!$C:$C=C177), 0)), "")</f>
        <v>17933786</v>
      </c>
      <c r="Q177" cm="1">
        <f t="array" ref="Q177">IFERROR(INDEX(fesp!$H:$H, MATCH(1, (VALUE(LEFT(fesp!$A:$A,6))=VALUE(LEFT(B177,6)))*(fesp!$C:$C=C177), 0)), "")</f>
        <v>420</v>
      </c>
      <c r="R177" cm="1">
        <f t="array" ref="R177">IFERROR(INDEX(fesp!$I:$I, MATCH(1, (VALUE(LEFT(fesp!$A:$A,6))=VALUE(LEFT(B177,6)))*(fesp!$C:$C=C177), 0)), "")</f>
        <v>8091</v>
      </c>
      <c r="S177" cm="1">
        <f t="array" ref="S177">IFERROR(INDEX(fesp!$J:$J, MATCH(1, (VALUE(LEFT(fesp!$A:$A,6))=VALUE(LEFT(B177,6)))*(fesp!$C:$C=C177), 0)), "")</f>
        <v>2677</v>
      </c>
    </row>
    <row r="178" spans="1:19">
      <c r="A178" s="1" t="s">
        <v>31</v>
      </c>
      <c r="B178" s="3">
        <v>2704302</v>
      </c>
      <c r="C178" s="3">
        <v>2015</v>
      </c>
      <c r="D178" cm="1">
        <f t="array" ref="D178">IFERROR(INDEX(fesp!$D:$D, MATCH(1, (VALUE(LEFT(fesp!$A:$A,6))=VALUE(LEFT(B178,6)))*(fesp!$C:$C=C178), 0)), "")</f>
        <v>1013773</v>
      </c>
      <c r="E178" cm="1">
        <f t="array" aca="1" ref="E178" ca="1">IFERROR(INDEX(ft_medicos_clinicos!$C:$C, MATCH(1, (VALUE(LEFT(ft_medicos_clinicos!$A:$A,6))=VALUE(LEFT(B178,6)))*(ft_medicos_clinicos!$B:$B=C178), 0)), "")</f>
        <v>408</v>
      </c>
      <c r="F178" cm="1">
        <f t="array" aca="1" ref="F178" ca="1">IFERROR(INDEX(ft_enfermeiros!$C:$C, MATCH(1, (VALUE(LEFT(ft_enfermeiros!$A:$A,6))=VALUE(LEFT(B178,6)))*(ft_enfermeiros!$B:$B=C178), 0)), "")</f>
        <v>880</v>
      </c>
      <c r="G178" t="str" cm="1">
        <f t="array" aca="1" ref="G178" ca="1">IFERROR(INDEX(ft_equipes_acs!$C:$C, MATCH(1, (VALUE(LEFT(ft_equipes_acs!$A:$A,6))=VALUE(LEFT(B178,6)))*(ft_equipes_acs!$B:$B=C178), 0)), "")</f>
        <v/>
      </c>
      <c r="H178" cm="1">
        <f t="array" aca="1" ref="H178" ca="1">IFERROR(INDEX(ci_leitos_internacao!$C:$C, MATCH(1, (VALUE(LEFT(ci_leitos_internacao!$A:$A,6))=VALUE(LEFT(B178,6)))*(ci_leitos_internacao!$B:$B=C178), 0)), "")</f>
        <v>3392</v>
      </c>
      <c r="I178" cm="1">
        <f t="array" aca="1" ref="I178" ca="1">IFERROR(INDEX(ci_hospitais_internacao!$C:$C, MATCH(1, (VALUE(LEFT(ci_hospitais_internacao!$A:$A,6))=VALUE(LEFT(B178,6)))*(ci_hospitais_internacao!$B:$B=C178), 0)), "")</f>
        <v>11</v>
      </c>
      <c r="J178" t="str" cm="1">
        <f t="array" aca="1" ref="J178" ca="1">IFERROR(INDEX(ci_pa_clinico!$C:$C, MATCH(1, (VALUE(LEFT(ci_pa_clinico!$A:$A,6))=VALUE(LEFT(B178,6)))*(ci_pa_clinico!$B:$B=C178), 0)), "")</f>
        <v/>
      </c>
      <c r="K178" cm="1">
        <f t="array" aca="1" ref="K178" ca="1">IFERROR(INDEX(aps_equipes_esf!$C:$C, MATCH(1, (VALUE(LEFT(aps_equipes_esf!$A:$A,6))=VALUE(LEFT(B178,6)))*(aps_equipes_esf!$B:$B=C178), 0)), "")</f>
        <v>22</v>
      </c>
      <c r="L178" cm="1">
        <f t="array" aca="1" ref="L178" ca="1">IFERROR(INDEX(casos!$C:$C, MATCH(1, (VALUE(LEFT(casos!$A:$A,6))=VALUE(LEFT(B178,6)))*(casos!$B:$B=C178), 0)), "")</f>
        <v>4013</v>
      </c>
      <c r="M178" cm="1">
        <f t="array" ref="M178">IFERROR(INDEX(srag!$D:$D, MATCH(1, (VALUE(LEFT(srag!$A:$A,6))=VALUE(LEFT(B178,6)))*(srag!$C:$C=C178), 0)), "")</f>
        <v>1</v>
      </c>
      <c r="N178" cm="1">
        <f t="array" ref="N178">IFERROR(INDEX(fesp!$E:$E, MATCH(1, (VALUE(LEFT(fesp!$A:$A,6))=VALUE(LEFT(B178,6)))*(fesp!$C:$C=C178), 0)), "")</f>
        <v>441</v>
      </c>
      <c r="O178" cm="1">
        <f t="array" ref="O178">IFERROR(INDEX(fesp!$F:$F, MATCH(1, (VALUE(LEFT(fesp!$A:$A,6))=VALUE(LEFT(B178,6)))*(fesp!$C:$C=C178), 0)), "")</f>
        <v>22373</v>
      </c>
      <c r="P178" cm="1">
        <f t="array" ref="P178">IFERROR(INDEX(fesp!$G:$G, MATCH(1, (VALUE(LEFT(fesp!$A:$A,6))=VALUE(LEFT(B178,6)))*(fesp!$C:$C=C178), 0)), "")</f>
        <v>3038181</v>
      </c>
      <c r="Q178" cm="1">
        <f t="array" ref="Q178">IFERROR(INDEX(fesp!$H:$H, MATCH(1, (VALUE(LEFT(fesp!$A:$A,6))=VALUE(LEFT(B178,6)))*(fesp!$C:$C=C178), 0)), "")</f>
        <v>198</v>
      </c>
      <c r="R178" cm="1">
        <f t="array" ref="R178">IFERROR(INDEX(fesp!$I:$I, MATCH(1, (VALUE(LEFT(fesp!$A:$A,6))=VALUE(LEFT(B178,6)))*(fesp!$C:$C=C178), 0)), "")</f>
        <v>142149</v>
      </c>
      <c r="S178" cm="1">
        <f t="array" ref="S178">IFERROR(INDEX(fesp!$J:$J, MATCH(1, (VALUE(LEFT(fesp!$A:$A,6))=VALUE(LEFT(B178,6)))*(fesp!$C:$C=C178), 0)), "")</f>
        <v>350430</v>
      </c>
    </row>
    <row r="179" spans="1:19">
      <c r="A179" s="1" t="s">
        <v>31</v>
      </c>
      <c r="B179" s="3" t="s">
        <v>30</v>
      </c>
      <c r="C179" s="3">
        <v>2016</v>
      </c>
      <c r="D179" cm="1">
        <f t="array" ref="D179">IFERROR(INDEX(fesp!$D:$D, MATCH(1, (VALUE(LEFT(fesp!$A:$A,6))=VALUE(LEFT(B179,6)))*(fesp!$C:$C=C179), 0)), "")</f>
        <v>0</v>
      </c>
      <c r="E179" cm="1">
        <f t="array" aca="1" ref="E179" ca="1">IFERROR(INDEX(ft_medicos_clinicos!$C:$C, MATCH(1, (VALUE(LEFT(ft_medicos_clinicos!$A:$A,6))=VALUE(LEFT(B179,6)))*(ft_medicos_clinicos!$B:$B=C179), 0)), "")</f>
        <v>451</v>
      </c>
      <c r="F179" cm="1">
        <f t="array" aca="1" ref="F179" ca="1">IFERROR(INDEX(ft_enfermeiros!$C:$C, MATCH(1, (VALUE(LEFT(ft_enfermeiros!$A:$A,6))=VALUE(LEFT(B179,6)))*(ft_enfermeiros!$B:$B=C179), 0)), "")</f>
        <v>944</v>
      </c>
      <c r="G179" t="str" cm="1">
        <f t="array" aca="1" ref="G179" ca="1">IFERROR(INDEX(ft_equipes_acs!$C:$C, MATCH(1, (VALUE(LEFT(ft_equipes_acs!$A:$A,6))=VALUE(LEFT(B179,6)))*(ft_equipes_acs!$B:$B=C179), 0)), "")</f>
        <v/>
      </c>
      <c r="H179" cm="1">
        <f t="array" aca="1" ref="H179" ca="1">IFERROR(INDEX(ci_leitos_internacao!$C:$C, MATCH(1, (VALUE(LEFT(ci_leitos_internacao!$A:$A,6))=VALUE(LEFT(B179,6)))*(ci_leitos_internacao!$B:$B=C179), 0)), "")</f>
        <v>3405</v>
      </c>
      <c r="I179" cm="1">
        <f t="array" aca="1" ref="I179" ca="1">IFERROR(INDEX(ci_hospitais_internacao!$C:$C, MATCH(1, (VALUE(LEFT(ci_hospitais_internacao!$A:$A,6))=VALUE(LEFT(B179,6)))*(ci_hospitais_internacao!$B:$B=C179), 0)), "")</f>
        <v>13</v>
      </c>
      <c r="J179" t="str" cm="1">
        <f t="array" aca="1" ref="J179" ca="1">IFERROR(INDEX(ci_pa_clinico!$C:$C, MATCH(1, (VALUE(LEFT(ci_pa_clinico!$A:$A,6))=VALUE(LEFT(B179,6)))*(ci_pa_clinico!$B:$B=C179), 0)), "")</f>
        <v/>
      </c>
      <c r="K179" cm="1">
        <f t="array" aca="1" ref="K179" ca="1">IFERROR(INDEX(aps_equipes_esf!$C:$C, MATCH(1, (VALUE(LEFT(aps_equipes_esf!$A:$A,6))=VALUE(LEFT(B179,6)))*(aps_equipes_esf!$B:$B=C179), 0)), "")</f>
        <v>24</v>
      </c>
      <c r="L179" cm="1">
        <f t="array" aca="1" ref="L179" ca="1">IFERROR(INDEX(casos!$C:$C, MATCH(1, (VALUE(LEFT(casos!$A:$A,6))=VALUE(LEFT(B179,6)))*(casos!$B:$B=C179), 0)), "")</f>
        <v>5802</v>
      </c>
      <c r="M179" cm="1">
        <f t="array" ref="M179">IFERROR(INDEX(srag!$D:$D, MATCH(1, (VALUE(LEFT(srag!$A:$A,6))=VALUE(LEFT(B179,6)))*(srag!$C:$C=C179), 0)), "")</f>
        <v>94</v>
      </c>
      <c r="N179" cm="1">
        <f t="array" ref="N179">IFERROR(INDEX(fesp!$E:$E, MATCH(1, (VALUE(LEFT(fesp!$A:$A,6))=VALUE(LEFT(B179,6)))*(fesp!$C:$C=C179), 0)), "")</f>
        <v>479</v>
      </c>
      <c r="O179" cm="1">
        <f t="array" ref="O179">IFERROR(INDEX(fesp!$F:$F, MATCH(1, (VALUE(LEFT(fesp!$A:$A,6))=VALUE(LEFT(B179,6)))*(fesp!$C:$C=C179), 0)), "")</f>
        <v>19095</v>
      </c>
      <c r="P179" cm="1">
        <f t="array" ref="P179">IFERROR(INDEX(fesp!$G:$G, MATCH(1, (VALUE(LEFT(fesp!$A:$A,6))=VALUE(LEFT(B179,6)))*(fesp!$C:$C=C179), 0)), "")</f>
        <v>3563962</v>
      </c>
      <c r="Q179" cm="1">
        <f t="array" ref="Q179">IFERROR(INDEX(fesp!$H:$H, MATCH(1, (VALUE(LEFT(fesp!$A:$A,6))=VALUE(LEFT(B179,6)))*(fesp!$C:$C=C179), 0)), "")</f>
        <v>214</v>
      </c>
      <c r="R179" cm="1">
        <f t="array" ref="R179">IFERROR(INDEX(fesp!$I:$I, MATCH(1, (VALUE(LEFT(fesp!$A:$A,6))=VALUE(LEFT(B179,6)))*(fesp!$C:$C=C179), 0)), "")</f>
        <v>12665</v>
      </c>
      <c r="S179" cm="1">
        <f t="array" ref="S179">IFERROR(INDEX(fesp!$J:$J, MATCH(1, (VALUE(LEFT(fesp!$A:$A,6))=VALUE(LEFT(B179,6)))*(fesp!$C:$C=C179), 0)), "")</f>
        <v>398064</v>
      </c>
    </row>
    <row r="180" spans="1:19">
      <c r="A180" s="1" t="s">
        <v>31</v>
      </c>
      <c r="B180" s="3" t="s">
        <v>30</v>
      </c>
      <c r="C180" s="3">
        <v>2017</v>
      </c>
      <c r="D180" cm="1">
        <f t="array" ref="D180">IFERROR(INDEX(fesp!$D:$D, MATCH(1, (VALUE(LEFT(fesp!$A:$A,6))=VALUE(LEFT(B180,6)))*(fesp!$C:$C=C180), 0)), "")</f>
        <v>0</v>
      </c>
      <c r="E180" cm="1">
        <f t="array" aca="1" ref="E180" ca="1">IFERROR(INDEX(ft_medicos_clinicos!$C:$C, MATCH(1, (VALUE(LEFT(ft_medicos_clinicos!$A:$A,6))=VALUE(LEFT(B180,6)))*(ft_medicos_clinicos!$B:$B=C180), 0)), "")</f>
        <v>529</v>
      </c>
      <c r="F180" cm="1">
        <f t="array" aca="1" ref="F180" ca="1">IFERROR(INDEX(ft_enfermeiros!$C:$C, MATCH(1, (VALUE(LEFT(ft_enfermeiros!$A:$A,6))=VALUE(LEFT(B180,6)))*(ft_enfermeiros!$B:$B=C180), 0)), "")</f>
        <v>1024</v>
      </c>
      <c r="G180" t="str" cm="1">
        <f t="array" aca="1" ref="G180" ca="1">IFERROR(INDEX(ft_equipes_acs!$C:$C, MATCH(1, (VALUE(LEFT(ft_equipes_acs!$A:$A,6))=VALUE(LEFT(B180,6)))*(ft_equipes_acs!$B:$B=C180), 0)), "")</f>
        <v/>
      </c>
      <c r="H180" cm="1">
        <f t="array" aca="1" ref="H180" ca="1">IFERROR(INDEX(ci_leitos_internacao!$C:$C, MATCH(1, (VALUE(LEFT(ci_leitos_internacao!$A:$A,6))=VALUE(LEFT(B180,6)))*(ci_leitos_internacao!$B:$B=C180), 0)), "")</f>
        <v>3390</v>
      </c>
      <c r="I180" cm="1">
        <f t="array" aca="1" ref="I180" ca="1">IFERROR(INDEX(ci_hospitais_internacao!$C:$C, MATCH(1, (VALUE(LEFT(ci_hospitais_internacao!$A:$A,6))=VALUE(LEFT(B180,6)))*(ci_hospitais_internacao!$B:$B=C180), 0)), "")</f>
        <v>12</v>
      </c>
      <c r="J180" t="str" cm="1">
        <f t="array" aca="1" ref="J180" ca="1">IFERROR(INDEX(ci_pa_clinico!$C:$C, MATCH(1, (VALUE(LEFT(ci_pa_clinico!$A:$A,6))=VALUE(LEFT(B180,6)))*(ci_pa_clinico!$B:$B=C180), 0)), "")</f>
        <v/>
      </c>
      <c r="K180" cm="1">
        <f t="array" aca="1" ref="K180" ca="1">IFERROR(INDEX(aps_equipes_esf!$C:$C, MATCH(1, (VALUE(LEFT(aps_equipes_esf!$A:$A,6))=VALUE(LEFT(B180,6)))*(aps_equipes_esf!$B:$B=C180), 0)), "")</f>
        <v>45</v>
      </c>
      <c r="L180" cm="1">
        <f t="array" aca="1" ref="L180" ca="1">IFERROR(INDEX(casos!$C:$C, MATCH(1, (VALUE(LEFT(casos!$A:$A,6))=VALUE(LEFT(B180,6)))*(casos!$B:$B=C180), 0)), "")</f>
        <v>725</v>
      </c>
      <c r="M180" cm="1">
        <f t="array" ref="M180">IFERROR(INDEX(srag!$D:$D, MATCH(1, (VALUE(LEFT(srag!$A:$A,6))=VALUE(LEFT(B180,6)))*(srag!$C:$C=C180), 0)), "")</f>
        <v>26</v>
      </c>
      <c r="N180" cm="1">
        <f t="array" ref="N180">IFERROR(INDEX(fesp!$E:$E, MATCH(1, (VALUE(LEFT(fesp!$A:$A,6))=VALUE(LEFT(B180,6)))*(fesp!$C:$C=C180), 0)), "")</f>
        <v>393</v>
      </c>
      <c r="O180" cm="1">
        <f t="array" ref="O180">IFERROR(INDEX(fesp!$F:$F, MATCH(1, (VALUE(LEFT(fesp!$A:$A,6))=VALUE(LEFT(B180,6)))*(fesp!$C:$C=C180), 0)), "")</f>
        <v>12299</v>
      </c>
      <c r="P180" cm="1">
        <f t="array" ref="P180">IFERROR(INDEX(fesp!$G:$G, MATCH(1, (VALUE(LEFT(fesp!$A:$A,6))=VALUE(LEFT(B180,6)))*(fesp!$C:$C=C180), 0)), "")</f>
        <v>4208984</v>
      </c>
      <c r="Q180" cm="1">
        <f t="array" ref="Q180">IFERROR(INDEX(fesp!$H:$H, MATCH(1, (VALUE(LEFT(fesp!$A:$A,6))=VALUE(LEFT(B180,6)))*(fesp!$C:$C=C180), 0)), "")</f>
        <v>308</v>
      </c>
      <c r="R180" cm="1">
        <f t="array" ref="R180">IFERROR(INDEX(fesp!$I:$I, MATCH(1, (VALUE(LEFT(fesp!$A:$A,6))=VALUE(LEFT(B180,6)))*(fesp!$C:$C=C180), 0)), "")</f>
        <v>17358</v>
      </c>
      <c r="S180" cm="1">
        <f t="array" ref="S180">IFERROR(INDEX(fesp!$J:$J, MATCH(1, (VALUE(LEFT(fesp!$A:$A,6))=VALUE(LEFT(B180,6)))*(fesp!$C:$C=C180), 0)), "")</f>
        <v>115540</v>
      </c>
    </row>
    <row r="181" spans="1:19">
      <c r="A181" s="1" t="s">
        <v>31</v>
      </c>
      <c r="B181" s="3">
        <v>2704302</v>
      </c>
      <c r="C181" s="3">
        <v>2018</v>
      </c>
      <c r="D181" cm="1">
        <f t="array" ref="D181">IFERROR(INDEX(fesp!$D:$D, MATCH(1, (VALUE(LEFT(fesp!$A:$A,6))=VALUE(LEFT(B181,6)))*(fesp!$C:$C=C181), 0)), "")</f>
        <v>0</v>
      </c>
      <c r="E181" cm="1">
        <f t="array" aca="1" ref="E181" ca="1">IFERROR(INDEX(ft_medicos_clinicos!$C:$C, MATCH(1, (VALUE(LEFT(ft_medicos_clinicos!$A:$A,6))=VALUE(LEFT(B181,6)))*(ft_medicos_clinicos!$B:$B=C181), 0)), "")</f>
        <v>584</v>
      </c>
      <c r="F181" cm="1">
        <f t="array" aca="1" ref="F181" ca="1">IFERROR(INDEX(ft_enfermeiros!$C:$C, MATCH(1, (VALUE(LEFT(ft_enfermeiros!$A:$A,6))=VALUE(LEFT(B181,6)))*(ft_enfermeiros!$B:$B=C181), 0)), "")</f>
        <v>1206</v>
      </c>
      <c r="G181" t="str" cm="1">
        <f t="array" aca="1" ref="G181" ca="1">IFERROR(INDEX(ft_equipes_acs!$C:$C, MATCH(1, (VALUE(LEFT(ft_equipes_acs!$A:$A,6))=VALUE(LEFT(B181,6)))*(ft_equipes_acs!$B:$B=C181), 0)), "")</f>
        <v/>
      </c>
      <c r="H181" cm="1">
        <f t="array" aca="1" ref="H181" ca="1">IFERROR(INDEX(ci_leitos_internacao!$C:$C, MATCH(1, (VALUE(LEFT(ci_leitos_internacao!$A:$A,6))=VALUE(LEFT(B181,6)))*(ci_leitos_internacao!$B:$B=C181), 0)), "")</f>
        <v>2578</v>
      </c>
      <c r="I181" cm="1">
        <f t="array" aca="1" ref="I181" ca="1">IFERROR(INDEX(ci_hospitais_internacao!$C:$C, MATCH(1, (VALUE(LEFT(ci_hospitais_internacao!$A:$A,6))=VALUE(LEFT(B181,6)))*(ci_hospitais_internacao!$B:$B=C181), 0)), "")</f>
        <v>11</v>
      </c>
      <c r="J181" t="str" cm="1">
        <f t="array" aca="1" ref="J181" ca="1">IFERROR(INDEX(ci_pa_clinico!$C:$C, MATCH(1, (VALUE(LEFT(ci_pa_clinico!$A:$A,6))=VALUE(LEFT(B181,6)))*(ci_pa_clinico!$B:$B=C181), 0)), "")</f>
        <v/>
      </c>
      <c r="K181" cm="1">
        <f t="array" aca="1" ref="K181" ca="1">IFERROR(INDEX(aps_equipes_esf!$C:$C, MATCH(1, (VALUE(LEFT(aps_equipes_esf!$A:$A,6))=VALUE(LEFT(B181,6)))*(aps_equipes_esf!$B:$B=C181), 0)), "")</f>
        <v>43</v>
      </c>
      <c r="L181" cm="1">
        <f t="array" aca="1" ref="L181" ca="1">IFERROR(INDEX(casos!$C:$C, MATCH(1, (VALUE(LEFT(casos!$A:$A,6))=VALUE(LEFT(B181,6)))*(casos!$B:$B=C181), 0)), "")</f>
        <v>431</v>
      </c>
      <c r="M181" cm="1">
        <f t="array" ref="M181">IFERROR(INDEX(srag!$D:$D, MATCH(1, (VALUE(LEFT(srag!$A:$A,6))=VALUE(LEFT(B181,6)))*(srag!$C:$C=C181), 0)), "")</f>
        <v>180</v>
      </c>
      <c r="N181" cm="1">
        <f t="array" ref="N181">IFERROR(INDEX(fesp!$E:$E, MATCH(1, (VALUE(LEFT(fesp!$A:$A,6))=VALUE(LEFT(B181,6)))*(fesp!$C:$C=C181), 0)), "")</f>
        <v>416</v>
      </c>
      <c r="O181" cm="1">
        <f t="array" ref="O181">IFERROR(INDEX(fesp!$F:$F, MATCH(1, (VALUE(LEFT(fesp!$A:$A,6))=VALUE(LEFT(B181,6)))*(fesp!$C:$C=C181), 0)), "")</f>
        <v>11432</v>
      </c>
      <c r="P181" cm="1">
        <f t="array" ref="P181">IFERROR(INDEX(fesp!$G:$G, MATCH(1, (VALUE(LEFT(fesp!$A:$A,6))=VALUE(LEFT(B181,6)))*(fesp!$C:$C=C181), 0)), "")</f>
        <v>5265667</v>
      </c>
      <c r="Q181" cm="1">
        <f t="array" ref="Q181">IFERROR(INDEX(fesp!$H:$H, MATCH(1, (VALUE(LEFT(fesp!$A:$A,6))=VALUE(LEFT(B181,6)))*(fesp!$C:$C=C181), 0)), "")</f>
        <v>335</v>
      </c>
      <c r="R181" cm="1">
        <f t="array" ref="R181">IFERROR(INDEX(fesp!$I:$I, MATCH(1, (VALUE(LEFT(fesp!$A:$A,6))=VALUE(LEFT(B181,6)))*(fesp!$C:$C=C181), 0)), "")</f>
        <v>1</v>
      </c>
      <c r="S181" cm="1">
        <f t="array" ref="S181">IFERROR(INDEX(fesp!$J:$J, MATCH(1, (VALUE(LEFT(fesp!$A:$A,6))=VALUE(LEFT(B181,6)))*(fesp!$C:$C=C181), 0)), "")</f>
        <v>10255</v>
      </c>
    </row>
    <row r="182" spans="1:19">
      <c r="A182" s="1" t="s">
        <v>31</v>
      </c>
      <c r="B182" s="3" t="s">
        <v>30</v>
      </c>
      <c r="C182" s="3">
        <v>2019</v>
      </c>
      <c r="D182" cm="1">
        <f t="array" ref="D182">IFERROR(INDEX(fesp!$D:$D, MATCH(1, (VALUE(LEFT(fesp!$A:$A,6))=VALUE(LEFT(B182,6)))*(fesp!$C:$C=C182), 0)), "")</f>
        <v>0</v>
      </c>
      <c r="E182" cm="1">
        <f t="array" aca="1" ref="E182" ca="1">IFERROR(INDEX(ft_medicos_clinicos!$C:$C, MATCH(1, (VALUE(LEFT(ft_medicos_clinicos!$A:$A,6))=VALUE(LEFT(B182,6)))*(ft_medicos_clinicos!$B:$B=C182), 0)), "")</f>
        <v>693</v>
      </c>
      <c r="F182" cm="1">
        <f t="array" aca="1" ref="F182" ca="1">IFERROR(INDEX(ft_enfermeiros!$C:$C, MATCH(1, (VALUE(LEFT(ft_enfermeiros!$A:$A,6))=VALUE(LEFT(B182,6)))*(ft_enfermeiros!$B:$B=C182), 0)), "")</f>
        <v>1340</v>
      </c>
      <c r="G182" t="str" cm="1">
        <f t="array" aca="1" ref="G182" ca="1">IFERROR(INDEX(ft_equipes_acs!$C:$C, MATCH(1, (VALUE(LEFT(ft_equipes_acs!$A:$A,6))=VALUE(LEFT(B182,6)))*(ft_equipes_acs!$B:$B=C182), 0)), "")</f>
        <v/>
      </c>
      <c r="H182" cm="1">
        <f t="array" aca="1" ref="H182" ca="1">IFERROR(INDEX(ci_leitos_internacao!$C:$C, MATCH(1, (VALUE(LEFT(ci_leitos_internacao!$A:$A,6))=VALUE(LEFT(B182,6)))*(ci_leitos_internacao!$B:$B=C182), 0)), "")</f>
        <v>2861</v>
      </c>
      <c r="I182" cm="1">
        <f t="array" aca="1" ref="I182" ca="1">IFERROR(INDEX(ci_hospitais_internacao!$C:$C, MATCH(1, (VALUE(LEFT(ci_hospitais_internacao!$A:$A,6))=VALUE(LEFT(B182,6)))*(ci_hospitais_internacao!$B:$B=C182), 0)), "")</f>
        <v>12</v>
      </c>
      <c r="J182" t="str" cm="1">
        <f t="array" aca="1" ref="J182" ca="1">IFERROR(INDEX(ci_pa_clinico!$C:$C, MATCH(1, (VALUE(LEFT(ci_pa_clinico!$A:$A,6))=VALUE(LEFT(B182,6)))*(ci_pa_clinico!$B:$B=C182), 0)), "")</f>
        <v/>
      </c>
      <c r="K182" cm="1">
        <f t="array" aca="1" ref="K182" ca="1">IFERROR(INDEX(aps_equipes_esf!$C:$C, MATCH(1, (VALUE(LEFT(aps_equipes_esf!$A:$A,6))=VALUE(LEFT(B182,6)))*(aps_equipes_esf!$B:$B=C182), 0)), "")</f>
        <v>45</v>
      </c>
      <c r="L182" cm="1">
        <f t="array" aca="1" ref="L182" ca="1">IFERROR(INDEX(casos!$C:$C, MATCH(1, (VALUE(LEFT(casos!$A:$A,6))=VALUE(LEFT(B182,6)))*(casos!$B:$B=C182), 0)), "")</f>
        <v>5027</v>
      </c>
      <c r="M182" cm="1">
        <f t="array" ref="M182">IFERROR(INDEX(srag!$D:$D, MATCH(1, (VALUE(LEFT(srag!$A:$A,6))=VALUE(LEFT(B182,6)))*(srag!$C:$C=C182), 0)), "")</f>
        <v>138</v>
      </c>
      <c r="N182" cm="1">
        <f t="array" ref="N182">IFERROR(INDEX(fesp!$E:$E, MATCH(1, (VALUE(LEFT(fesp!$A:$A,6))=VALUE(LEFT(B182,6)))*(fesp!$C:$C=C182), 0)), "")</f>
        <v>513</v>
      </c>
      <c r="O182" cm="1">
        <f t="array" ref="O182">IFERROR(INDEX(fesp!$F:$F, MATCH(1, (VALUE(LEFT(fesp!$A:$A,6))=VALUE(LEFT(B182,6)))*(fesp!$C:$C=C182), 0)), "")</f>
        <v>9361</v>
      </c>
      <c r="P182" cm="1">
        <f t="array" ref="P182">IFERROR(INDEX(fesp!$G:$G, MATCH(1, (VALUE(LEFT(fesp!$A:$A,6))=VALUE(LEFT(B182,6)))*(fesp!$C:$C=C182), 0)), "")</f>
        <v>5665103</v>
      </c>
      <c r="Q182" cm="1">
        <f t="array" ref="Q182">IFERROR(INDEX(fesp!$H:$H, MATCH(1, (VALUE(LEFT(fesp!$A:$A,6))=VALUE(LEFT(B182,6)))*(fesp!$C:$C=C182), 0)), "")</f>
        <v>434</v>
      </c>
      <c r="R182" cm="1">
        <f t="array" ref="R182">IFERROR(INDEX(fesp!$I:$I, MATCH(1, (VALUE(LEFT(fesp!$A:$A,6))=VALUE(LEFT(B182,6)))*(fesp!$C:$C=C182), 0)), "")</f>
        <v>113</v>
      </c>
      <c r="S182" cm="1">
        <f t="array" ref="S182">IFERROR(INDEX(fesp!$J:$J, MATCH(1, (VALUE(LEFT(fesp!$A:$A,6))=VALUE(LEFT(B182,6)))*(fesp!$C:$C=C182), 0)), "")</f>
        <v>11630</v>
      </c>
    </row>
    <row r="183" spans="1:19">
      <c r="A183" s="1" t="s">
        <v>31</v>
      </c>
      <c r="B183" s="3" t="s">
        <v>30</v>
      </c>
      <c r="C183" s="3">
        <v>2020</v>
      </c>
      <c r="D183" cm="1">
        <f t="array" ref="D183">IFERROR(INDEX(fesp!$D:$D, MATCH(1, (VALUE(LEFT(fesp!$A:$A,6))=VALUE(LEFT(B183,6)))*(fesp!$C:$C=C183), 0)), "")</f>
        <v>0</v>
      </c>
      <c r="E183" cm="1">
        <f t="array" aca="1" ref="E183" ca="1">IFERROR(INDEX(ft_medicos_clinicos!$C:$C, MATCH(1, (VALUE(LEFT(ft_medicos_clinicos!$A:$A,6))=VALUE(LEFT(B183,6)))*(ft_medicos_clinicos!$B:$B=C183), 0)), "")</f>
        <v>860</v>
      </c>
      <c r="F183" cm="1">
        <f t="array" aca="1" ref="F183" ca="1">IFERROR(INDEX(ft_enfermeiros!$C:$C, MATCH(1, (VALUE(LEFT(ft_enfermeiros!$A:$A,6))=VALUE(LEFT(B183,6)))*(ft_enfermeiros!$B:$B=C183), 0)), "")</f>
        <v>1593</v>
      </c>
      <c r="G183" t="str" cm="1">
        <f t="array" aca="1" ref="G183" ca="1">IFERROR(INDEX(ft_equipes_acs!$C:$C, MATCH(1, (VALUE(LEFT(ft_equipes_acs!$A:$A,6))=VALUE(LEFT(B183,6)))*(ft_equipes_acs!$B:$B=C183), 0)), "")</f>
        <v/>
      </c>
      <c r="H183" cm="1">
        <f t="array" aca="1" ref="H183" ca="1">IFERROR(INDEX(ci_leitos_internacao!$C:$C, MATCH(1, (VALUE(LEFT(ci_leitos_internacao!$A:$A,6))=VALUE(LEFT(B183,6)))*(ci_leitos_internacao!$B:$B=C183), 0)), "")</f>
        <v>3332</v>
      </c>
      <c r="I183" cm="1">
        <f t="array" aca="1" ref="I183" ca="1">IFERROR(INDEX(ci_hospitais_internacao!$C:$C, MATCH(1, (VALUE(LEFT(ci_hospitais_internacao!$A:$A,6))=VALUE(LEFT(B183,6)))*(ci_hospitais_internacao!$B:$B=C183), 0)), "")</f>
        <v>15</v>
      </c>
      <c r="J183" t="str" cm="1">
        <f t="array" aca="1" ref="J183" ca="1">IFERROR(INDEX(ci_pa_clinico!$C:$C, MATCH(1, (VALUE(LEFT(ci_pa_clinico!$A:$A,6))=VALUE(LEFT(B183,6)))*(ci_pa_clinico!$B:$B=C183), 0)), "")</f>
        <v/>
      </c>
      <c r="K183" cm="1">
        <f t="array" aca="1" ref="K183" ca="1">IFERROR(INDEX(aps_equipes_esf!$C:$C, MATCH(1, (VALUE(LEFT(aps_equipes_esf!$A:$A,6))=VALUE(LEFT(B183,6)))*(aps_equipes_esf!$B:$B=C183), 0)), "")</f>
        <v>2</v>
      </c>
      <c r="L183" cm="1">
        <f t="array" aca="1" ref="L183" ca="1">IFERROR(INDEX(casos!$C:$C, MATCH(1, (VALUE(LEFT(casos!$A:$A,6))=VALUE(LEFT(B183,6)))*(casos!$B:$B=C183), 0)), "")</f>
        <v>990</v>
      </c>
      <c r="M183" cm="1">
        <f t="array" ref="M183">IFERROR(INDEX(srag!$D:$D, MATCH(1, (VALUE(LEFT(srag!$A:$A,6))=VALUE(LEFT(B183,6)))*(srag!$C:$C=C183), 0)), "")</f>
        <v>5148</v>
      </c>
      <c r="N183" cm="1">
        <f t="array" ref="N183">IFERROR(INDEX(fesp!$E:$E, MATCH(1, (VALUE(LEFT(fesp!$A:$A,6))=VALUE(LEFT(B183,6)))*(fesp!$C:$C=C183), 0)), "")</f>
        <v>457</v>
      </c>
      <c r="O183" cm="1">
        <f t="array" ref="O183">IFERROR(INDEX(fesp!$F:$F, MATCH(1, (VALUE(LEFT(fesp!$A:$A,6))=VALUE(LEFT(B183,6)))*(fesp!$C:$C=C183), 0)), "")</f>
        <v>6224</v>
      </c>
      <c r="P183" cm="1">
        <f t="array" ref="P183">IFERROR(INDEX(fesp!$G:$G, MATCH(1, (VALUE(LEFT(fesp!$A:$A,6))=VALUE(LEFT(B183,6)))*(fesp!$C:$C=C183), 0)), "")</f>
        <v>4862064</v>
      </c>
      <c r="Q183" cm="1">
        <f t="array" ref="Q183">IFERROR(INDEX(fesp!$H:$H, MATCH(1, (VALUE(LEFT(fesp!$A:$A,6))=VALUE(LEFT(B183,6)))*(fesp!$C:$C=C183), 0)), "")</f>
        <v>235</v>
      </c>
      <c r="R183" cm="1">
        <f t="array" ref="R183">IFERROR(INDEX(fesp!$I:$I, MATCH(1, (VALUE(LEFT(fesp!$A:$A,6))=VALUE(LEFT(B183,6)))*(fesp!$C:$C=C183), 0)), "")</f>
        <v>346</v>
      </c>
      <c r="S183" cm="1">
        <f t="array" ref="S183">IFERROR(INDEX(fesp!$J:$J, MATCH(1, (VALUE(LEFT(fesp!$A:$A,6))=VALUE(LEFT(B183,6)))*(fesp!$C:$C=C183), 0)), "")</f>
        <v>2348</v>
      </c>
    </row>
    <row r="184" spans="1:19">
      <c r="A184" s="1" t="s">
        <v>31</v>
      </c>
      <c r="B184" s="3" t="s">
        <v>30</v>
      </c>
      <c r="C184" s="3">
        <v>2021</v>
      </c>
      <c r="D184" cm="1">
        <f t="array" ref="D184">IFERROR(INDEX(fesp!$D:$D, MATCH(1, (VALUE(LEFT(fesp!$A:$A,6))=VALUE(LEFT(B184,6)))*(fesp!$C:$C=C184), 0)), "")</f>
        <v>0</v>
      </c>
      <c r="E184" cm="1">
        <f t="array" aca="1" ref="E184" ca="1">IFERROR(INDEX(ft_medicos_clinicos!$C:$C, MATCH(1, (VALUE(LEFT(ft_medicos_clinicos!$A:$A,6))=VALUE(LEFT(B184,6)))*(ft_medicos_clinicos!$B:$B=C184), 0)), "")</f>
        <v>919</v>
      </c>
      <c r="F184" cm="1">
        <f t="array" aca="1" ref="F184" ca="1">IFERROR(INDEX(ft_enfermeiros!$C:$C, MATCH(1, (VALUE(LEFT(ft_enfermeiros!$A:$A,6))=VALUE(LEFT(B184,6)))*(ft_enfermeiros!$B:$B=C184), 0)), "")</f>
        <v>1789</v>
      </c>
      <c r="G184" t="str" cm="1">
        <f t="array" aca="1" ref="G184" ca="1">IFERROR(INDEX(ft_equipes_acs!$C:$C, MATCH(1, (VALUE(LEFT(ft_equipes_acs!$A:$A,6))=VALUE(LEFT(B184,6)))*(ft_equipes_acs!$B:$B=C184), 0)), "")</f>
        <v/>
      </c>
      <c r="H184" cm="1">
        <f t="array" aca="1" ref="H184" ca="1">IFERROR(INDEX(ci_leitos_internacao!$C:$C, MATCH(1, (VALUE(LEFT(ci_leitos_internacao!$A:$A,6))=VALUE(LEFT(B184,6)))*(ci_leitos_internacao!$B:$B=C184), 0)), "")</f>
        <v>3008</v>
      </c>
      <c r="I184" cm="1">
        <f t="array" aca="1" ref="I184" ca="1">IFERROR(INDEX(ci_hospitais_internacao!$C:$C, MATCH(1, (VALUE(LEFT(ci_hospitais_internacao!$A:$A,6))=VALUE(LEFT(B184,6)))*(ci_hospitais_internacao!$B:$B=C184), 0)), "")</f>
        <v>14</v>
      </c>
      <c r="J184" t="str" cm="1">
        <f t="array" aca="1" ref="J184" ca="1">IFERROR(INDEX(ci_pa_clinico!$C:$C, MATCH(1, (VALUE(LEFT(ci_pa_clinico!$A:$A,6))=VALUE(LEFT(B184,6)))*(ci_pa_clinico!$B:$B=C184), 0)), "")</f>
        <v/>
      </c>
      <c r="K184" cm="1">
        <f t="array" aca="1" ref="K184" ca="1">IFERROR(INDEX(aps_equipes_esf!$C:$C, MATCH(1, (VALUE(LEFT(aps_equipes_esf!$A:$A,6))=VALUE(LEFT(B184,6)))*(aps_equipes_esf!$B:$B=C184), 0)), "")</f>
        <v>2</v>
      </c>
      <c r="L184" cm="1">
        <f t="array" aca="1" ref="L184" ca="1">IFERROR(INDEX(casos!$C:$C, MATCH(1, (VALUE(LEFT(casos!$A:$A,6))=VALUE(LEFT(B184,6)))*(casos!$B:$B=C184), 0)), "")</f>
        <v>4135</v>
      </c>
      <c r="M184" cm="1">
        <f t="array" ref="M184">IFERROR(INDEX(srag!$D:$D, MATCH(1, (VALUE(LEFT(srag!$A:$A,6))=VALUE(LEFT(B184,6)))*(srag!$C:$C=C184), 0)), "")</f>
        <v>8426</v>
      </c>
      <c r="N184" cm="1">
        <f t="array" ref="N184">IFERROR(INDEX(fesp!$E:$E, MATCH(1, (VALUE(LEFT(fesp!$A:$A,6))=VALUE(LEFT(B184,6)))*(fesp!$C:$C=C184), 0)), "")</f>
        <v>485</v>
      </c>
      <c r="O184" cm="1">
        <f t="array" ref="O184">IFERROR(INDEX(fesp!$F:$F, MATCH(1, (VALUE(LEFT(fesp!$A:$A,6))=VALUE(LEFT(B184,6)))*(fesp!$C:$C=C184), 0)), "")</f>
        <v>9645</v>
      </c>
      <c r="P184" cm="1">
        <f t="array" ref="P184">IFERROR(INDEX(fesp!$G:$G, MATCH(1, (VALUE(LEFT(fesp!$A:$A,6))=VALUE(LEFT(B184,6)))*(fesp!$C:$C=C184), 0)), "")</f>
        <v>6063977</v>
      </c>
      <c r="Q184" cm="1">
        <f t="array" ref="Q184">IFERROR(INDEX(fesp!$H:$H, MATCH(1, (VALUE(LEFT(fesp!$A:$A,6))=VALUE(LEFT(B184,6)))*(fesp!$C:$C=C184), 0)), "")</f>
        <v>245</v>
      </c>
      <c r="R184" cm="1">
        <f t="array" ref="R184">IFERROR(INDEX(fesp!$I:$I, MATCH(1, (VALUE(LEFT(fesp!$A:$A,6))=VALUE(LEFT(B184,6)))*(fesp!$C:$C=C184), 0)), "")</f>
        <v>164</v>
      </c>
      <c r="S184" cm="1">
        <f t="array" ref="S184">IFERROR(INDEX(fesp!$J:$J, MATCH(1, (VALUE(LEFT(fesp!$A:$A,6))=VALUE(LEFT(B184,6)))*(fesp!$C:$C=C184), 0)), "")</f>
        <v>517</v>
      </c>
    </row>
    <row r="185" spans="1:19">
      <c r="A185" s="1" t="s">
        <v>31</v>
      </c>
      <c r="B185" s="3" t="s">
        <v>30</v>
      </c>
      <c r="C185" s="3">
        <v>2022</v>
      </c>
      <c r="D185" cm="1">
        <f t="array" ref="D185">IFERROR(INDEX(fesp!$D:$D, MATCH(1, (VALUE(LEFT(fesp!$A:$A,6))=VALUE(LEFT(B185,6)))*(fesp!$C:$C=C185), 0)), "")</f>
        <v>957916</v>
      </c>
      <c r="E185" cm="1">
        <f t="array" aca="1" ref="E185" ca="1">IFERROR(INDEX(ft_medicos_clinicos!$C:$C, MATCH(1, (VALUE(LEFT(ft_medicos_clinicos!$A:$A,6))=VALUE(LEFT(B185,6)))*(ft_medicos_clinicos!$B:$B=C185), 0)), "")</f>
        <v>947</v>
      </c>
      <c r="F185" cm="1">
        <f t="array" aca="1" ref="F185" ca="1">IFERROR(INDEX(ft_enfermeiros!$C:$C, MATCH(1, (VALUE(LEFT(ft_enfermeiros!$A:$A,6))=VALUE(LEFT(B185,6)))*(ft_enfermeiros!$B:$B=C185), 0)), "")</f>
        <v>2055</v>
      </c>
      <c r="G185" t="str" cm="1">
        <f t="array" aca="1" ref="G185" ca="1">IFERROR(INDEX(ft_equipes_acs!$C:$C, MATCH(1, (VALUE(LEFT(ft_equipes_acs!$A:$A,6))=VALUE(LEFT(B185,6)))*(ft_equipes_acs!$B:$B=C185), 0)), "")</f>
        <v/>
      </c>
      <c r="H185" cm="1">
        <f t="array" aca="1" ref="H185" ca="1">IFERROR(INDEX(ci_leitos_internacao!$C:$C, MATCH(1, (VALUE(LEFT(ci_leitos_internacao!$A:$A,6))=VALUE(LEFT(B185,6)))*(ci_leitos_internacao!$B:$B=C185), 0)), "")</f>
        <v>3203</v>
      </c>
      <c r="I185" cm="1">
        <f t="array" aca="1" ref="I185" ca="1">IFERROR(INDEX(ci_hospitais_internacao!$C:$C, MATCH(1, (VALUE(LEFT(ci_hospitais_internacao!$A:$A,6))=VALUE(LEFT(B185,6)))*(ci_hospitais_internacao!$B:$B=C185), 0)), "")</f>
        <v>15</v>
      </c>
      <c r="J185" t="str" cm="1">
        <f t="array" aca="1" ref="J185" ca="1">IFERROR(INDEX(ci_pa_clinico!$C:$C, MATCH(1, (VALUE(LEFT(ci_pa_clinico!$A:$A,6))=VALUE(LEFT(B185,6)))*(ci_pa_clinico!$B:$B=C185), 0)), "")</f>
        <v/>
      </c>
      <c r="K185" cm="1">
        <f t="array" aca="1" ref="K185" ca="1">IFERROR(INDEX(aps_equipes_esf!$C:$C, MATCH(1, (VALUE(LEFT(aps_equipes_esf!$A:$A,6))=VALUE(LEFT(B185,6)))*(aps_equipes_esf!$B:$B=C185), 0)), "")</f>
        <v>2</v>
      </c>
      <c r="L185" cm="1">
        <f t="array" aca="1" ref="L185" ca="1">IFERROR(INDEX(casos!$C:$C, MATCH(1, (VALUE(LEFT(casos!$A:$A,6))=VALUE(LEFT(B185,6)))*(casos!$B:$B=C185), 0)), "")</f>
        <v>15634</v>
      </c>
      <c r="M185" cm="1">
        <f t="array" ref="M185">IFERROR(INDEX(srag!$D:$D, MATCH(1, (VALUE(LEFT(srag!$A:$A,6))=VALUE(LEFT(B185,6)))*(srag!$C:$C=C185), 0)), "")</f>
        <v>2300</v>
      </c>
      <c r="N185" cm="1">
        <f t="array" ref="N185">IFERROR(INDEX(fesp!$E:$E, MATCH(1, (VALUE(LEFT(fesp!$A:$A,6))=VALUE(LEFT(B185,6)))*(fesp!$C:$C=C185), 0)), "")</f>
        <v>377</v>
      </c>
      <c r="O185" cm="1">
        <f t="array" ref="O185">IFERROR(INDEX(fesp!$F:$F, MATCH(1, (VALUE(LEFT(fesp!$A:$A,6))=VALUE(LEFT(B185,6)))*(fesp!$C:$C=C185), 0)), "")</f>
        <v>12078</v>
      </c>
      <c r="P185" cm="1">
        <f t="array" ref="P185">IFERROR(INDEX(fesp!$G:$G, MATCH(1, (VALUE(LEFT(fesp!$A:$A,6))=VALUE(LEFT(B185,6)))*(fesp!$C:$C=C185), 0)), "")</f>
        <v>6663640</v>
      </c>
      <c r="Q185" cm="1">
        <f t="array" ref="Q185">IFERROR(INDEX(fesp!$H:$H, MATCH(1, (VALUE(LEFT(fesp!$A:$A,6))=VALUE(LEFT(B185,6)))*(fesp!$C:$C=C185), 0)), "")</f>
        <v>241</v>
      </c>
      <c r="R185" cm="1">
        <f t="array" ref="R185">IFERROR(INDEX(fesp!$I:$I, MATCH(1, (VALUE(LEFT(fesp!$A:$A,6))=VALUE(LEFT(B185,6)))*(fesp!$C:$C=C185), 0)), "")</f>
        <v>0</v>
      </c>
      <c r="S185" cm="1">
        <f t="array" ref="S185">IFERROR(INDEX(fesp!$J:$J, MATCH(1, (VALUE(LEFT(fesp!$A:$A,6))=VALUE(LEFT(B185,6)))*(fesp!$C:$C=C185), 0)), "")</f>
        <v>11</v>
      </c>
    </row>
    <row r="186" spans="1:19">
      <c r="A186" s="1" t="s">
        <v>31</v>
      </c>
      <c r="B186" s="3" t="s">
        <v>30</v>
      </c>
      <c r="C186" s="3">
        <v>2023</v>
      </c>
      <c r="D186" cm="1">
        <f t="array" ref="D186">IFERROR(INDEX(fesp!$D:$D, MATCH(1, (VALUE(LEFT(fesp!$A:$A,6))=VALUE(LEFT(B186,6)))*(fesp!$C:$C=C186), 0)), "")</f>
        <v>0</v>
      </c>
      <c r="E186" cm="1">
        <f t="array" aca="1" ref="E186" ca="1">IFERROR(INDEX(ft_medicos_clinicos!$C:$C, MATCH(1, (VALUE(LEFT(ft_medicos_clinicos!$A:$A,6))=VALUE(LEFT(B186,6)))*(ft_medicos_clinicos!$B:$B=C186), 0)), "")</f>
        <v>988</v>
      </c>
      <c r="F186" cm="1">
        <f t="array" aca="1" ref="F186" ca="1">IFERROR(INDEX(ft_enfermeiros!$C:$C, MATCH(1, (VALUE(LEFT(ft_enfermeiros!$A:$A,6))=VALUE(LEFT(B186,6)))*(ft_enfermeiros!$B:$B=C186), 0)), "")</f>
        <v>2380</v>
      </c>
      <c r="G186" t="str" cm="1">
        <f t="array" aca="1" ref="G186" ca="1">IFERROR(INDEX(ft_equipes_acs!$C:$C, MATCH(1, (VALUE(LEFT(ft_equipes_acs!$A:$A,6))=VALUE(LEFT(B186,6)))*(ft_equipes_acs!$B:$B=C186), 0)), "")</f>
        <v/>
      </c>
      <c r="H186" cm="1">
        <f t="array" aca="1" ref="H186" ca="1">IFERROR(INDEX(ci_leitos_internacao!$C:$C, MATCH(1, (VALUE(LEFT(ci_leitos_internacao!$A:$A,6))=VALUE(LEFT(B186,6)))*(ci_leitos_internacao!$B:$B=C186), 0)), "")</f>
        <v>3036</v>
      </c>
      <c r="I186" cm="1">
        <f t="array" aca="1" ref="I186" ca="1">IFERROR(INDEX(ci_hospitais_internacao!$C:$C, MATCH(1, (VALUE(LEFT(ci_hospitais_internacao!$A:$A,6))=VALUE(LEFT(B186,6)))*(ci_hospitais_internacao!$B:$B=C186), 0)), "")</f>
        <v>14</v>
      </c>
      <c r="J186" t="str" cm="1">
        <f t="array" aca="1" ref="J186" ca="1">IFERROR(INDEX(ci_pa_clinico!$C:$C, MATCH(1, (VALUE(LEFT(ci_pa_clinico!$A:$A,6))=VALUE(LEFT(B186,6)))*(ci_pa_clinico!$B:$B=C186), 0)), "")</f>
        <v/>
      </c>
      <c r="K186" cm="1">
        <f t="array" aca="1" ref="K186" ca="1">IFERROR(INDEX(aps_equipes_esf!$C:$C, MATCH(1, (VALUE(LEFT(aps_equipes_esf!$A:$A,6))=VALUE(LEFT(B186,6)))*(aps_equipes_esf!$B:$B=C186), 0)), "")</f>
        <v>2</v>
      </c>
      <c r="L186" cm="1">
        <f t="array" aca="1" ref="L186" ca="1">IFERROR(INDEX(casos!$C:$C, MATCH(1, (VALUE(LEFT(casos!$A:$A,6))=VALUE(LEFT(B186,6)))*(casos!$B:$B=C186), 0)), "")</f>
        <v>2463</v>
      </c>
      <c r="M186" cm="1">
        <f t="array" ref="M186">IFERROR(INDEX(srag!$D:$D, MATCH(1, (VALUE(LEFT(srag!$A:$A,6))=VALUE(LEFT(B186,6)))*(srag!$C:$C=C186), 0)), "")</f>
        <v>878</v>
      </c>
      <c r="N186" cm="1">
        <f t="array" ref="N186">IFERROR(INDEX(fesp!$E:$E, MATCH(1, (VALUE(LEFT(fesp!$A:$A,6))=VALUE(LEFT(B186,6)))*(fesp!$C:$C=C186), 0)), "")</f>
        <v>350</v>
      </c>
      <c r="O186" cm="1">
        <f t="array" ref="O186">IFERROR(INDEX(fesp!$F:$F, MATCH(1, (VALUE(LEFT(fesp!$A:$A,6))=VALUE(LEFT(B186,6)))*(fesp!$C:$C=C186), 0)), "")</f>
        <v>15367</v>
      </c>
      <c r="P186" cm="1">
        <f t="array" ref="P186">IFERROR(INDEX(fesp!$G:$G, MATCH(1, (VALUE(LEFT(fesp!$A:$A,6))=VALUE(LEFT(B186,6)))*(fesp!$C:$C=C186), 0)), "")</f>
        <v>7483735</v>
      </c>
      <c r="Q186" cm="1">
        <f t="array" ref="Q186">IFERROR(INDEX(fesp!$H:$H, MATCH(1, (VALUE(LEFT(fesp!$A:$A,6))=VALUE(LEFT(B186,6)))*(fesp!$C:$C=C186), 0)), "")</f>
        <v>170</v>
      </c>
      <c r="R186" cm="1">
        <f t="array" ref="R186">IFERROR(INDEX(fesp!$I:$I, MATCH(1, (VALUE(LEFT(fesp!$A:$A,6))=VALUE(LEFT(B186,6)))*(fesp!$C:$C=C186), 0)), "")</f>
        <v>4</v>
      </c>
      <c r="S186" cm="1">
        <f t="array" ref="S186">IFERROR(INDEX(fesp!$J:$J, MATCH(1, (VALUE(LEFT(fesp!$A:$A,6))=VALUE(LEFT(B186,6)))*(fesp!$C:$C=C186), 0)), "")</f>
        <v>8</v>
      </c>
    </row>
    <row r="187" spans="1:19">
      <c r="A187" s="1" t="s">
        <v>31</v>
      </c>
      <c r="B187" s="3" t="s">
        <v>30</v>
      </c>
      <c r="C187" s="3">
        <v>2024</v>
      </c>
      <c r="D187" cm="1">
        <f t="array" ref="D187">IFERROR(INDEX(fesp!$D:$D, MATCH(1, (VALUE(LEFT(fesp!$A:$A,6))=VALUE(LEFT(B187,6)))*(fesp!$C:$C=C187), 0)), "")</f>
        <v>0</v>
      </c>
      <c r="E187" cm="1">
        <f t="array" aca="1" ref="E187" ca="1">IFERROR(INDEX(ft_medicos_clinicos!$C:$C, MATCH(1, (VALUE(LEFT(ft_medicos_clinicos!$A:$A,6))=VALUE(LEFT(B187,6)))*(ft_medicos_clinicos!$B:$B=C187), 0)), "")</f>
        <v>1089</v>
      </c>
      <c r="F187" cm="1">
        <f t="array" aca="1" ref="F187" ca="1">IFERROR(INDEX(ft_enfermeiros!$C:$C, MATCH(1, (VALUE(LEFT(ft_enfermeiros!$A:$A,6))=VALUE(LEFT(B187,6)))*(ft_enfermeiros!$B:$B=C187), 0)), "")</f>
        <v>2544</v>
      </c>
      <c r="G187" t="str" cm="1">
        <f t="array" aca="1" ref="G187" ca="1">IFERROR(INDEX(ft_equipes_acs!$C:$C, MATCH(1, (VALUE(LEFT(ft_equipes_acs!$A:$A,6))=VALUE(LEFT(B187,6)))*(ft_equipes_acs!$B:$B=C187), 0)), "")</f>
        <v/>
      </c>
      <c r="H187" cm="1">
        <f t="array" aca="1" ref="H187" ca="1">IFERROR(INDEX(ci_leitos_internacao!$C:$C, MATCH(1, (VALUE(LEFT(ci_leitos_internacao!$A:$A,6))=VALUE(LEFT(B187,6)))*(ci_leitos_internacao!$B:$B=C187), 0)), "")</f>
        <v>3130</v>
      </c>
      <c r="I187" cm="1">
        <f t="array" aca="1" ref="I187" ca="1">IFERROR(INDEX(ci_hospitais_internacao!$C:$C, MATCH(1, (VALUE(LEFT(ci_hospitais_internacao!$A:$A,6))=VALUE(LEFT(B187,6)))*(ci_hospitais_internacao!$B:$B=C187), 0)), "")</f>
        <v>12</v>
      </c>
      <c r="J187" t="str" cm="1">
        <f t="array" aca="1" ref="J187" ca="1">IFERROR(INDEX(ci_pa_clinico!$C:$C, MATCH(1, (VALUE(LEFT(ci_pa_clinico!$A:$A,6))=VALUE(LEFT(B187,6)))*(ci_pa_clinico!$B:$B=C187), 0)), "")</f>
        <v/>
      </c>
      <c r="K187" cm="1">
        <f t="array" aca="1" ref="K187" ca="1">IFERROR(INDEX(aps_equipes_esf!$C:$C, MATCH(1, (VALUE(LEFT(aps_equipes_esf!$A:$A,6))=VALUE(LEFT(B187,6)))*(aps_equipes_esf!$B:$B=C187), 0)), "")</f>
        <v>2</v>
      </c>
      <c r="L187" cm="1">
        <f t="array" aca="1" ref="L187" ca="1">IFERROR(INDEX(casos!$C:$C, MATCH(1, (VALUE(LEFT(casos!$A:$A,6))=VALUE(LEFT(B187,6)))*(casos!$B:$B=C187), 0)), "")</f>
        <v>8112</v>
      </c>
      <c r="M187" cm="1">
        <f t="array" ref="M187">IFERROR(INDEX(srag!$D:$D, MATCH(1, (VALUE(LEFT(srag!$A:$A,6))=VALUE(LEFT(B187,6)))*(srag!$C:$C=C187), 0)), "")</f>
        <v>669</v>
      </c>
      <c r="N187" cm="1">
        <f t="array" ref="N187">IFERROR(INDEX(fesp!$E:$E, MATCH(1, (VALUE(LEFT(fesp!$A:$A,6))=VALUE(LEFT(B187,6)))*(fesp!$C:$C=C187), 0)), "")</f>
        <v>444</v>
      </c>
      <c r="O187" cm="1">
        <f t="array" ref="O187">IFERROR(INDEX(fesp!$F:$F, MATCH(1, (VALUE(LEFT(fesp!$A:$A,6))=VALUE(LEFT(B187,6)))*(fesp!$C:$C=C187), 0)), "")</f>
        <v>20066</v>
      </c>
      <c r="P187" cm="1">
        <f t="array" ref="P187">IFERROR(INDEX(fesp!$G:$G, MATCH(1, (VALUE(LEFT(fesp!$A:$A,6))=VALUE(LEFT(B187,6)))*(fesp!$C:$C=C187), 0)), "")</f>
        <v>8143419</v>
      </c>
      <c r="Q187" cm="1">
        <f t="array" ref="Q187">IFERROR(INDEX(fesp!$H:$H, MATCH(1, (VALUE(LEFT(fesp!$A:$A,6))=VALUE(LEFT(B187,6)))*(fesp!$C:$C=C187), 0)), "")</f>
        <v>126</v>
      </c>
      <c r="R187" cm="1">
        <f t="array" ref="R187">IFERROR(INDEX(fesp!$I:$I, MATCH(1, (VALUE(LEFT(fesp!$A:$A,6))=VALUE(LEFT(B187,6)))*(fesp!$C:$C=C187), 0)), "")</f>
        <v>0</v>
      </c>
      <c r="S187" cm="1">
        <f t="array" ref="S187">IFERROR(INDEX(fesp!$J:$J, MATCH(1, (VALUE(LEFT(fesp!$A:$A,6))=VALUE(LEFT(B187,6)))*(fesp!$C:$C=C187), 0)), "")</f>
        <v>8</v>
      </c>
    </row>
    <row r="188" spans="1:19">
      <c r="A188" s="1" t="s">
        <v>31</v>
      </c>
      <c r="B188" s="3" t="s">
        <v>30</v>
      </c>
      <c r="C188" s="3">
        <v>2025</v>
      </c>
      <c r="D188" cm="1">
        <f t="array" ref="D188">IFERROR(INDEX(fesp!$D:$D, MATCH(1, (VALUE(LEFT(fesp!$A:$A,6))=VALUE(LEFT(B188,6)))*(fesp!$C:$C=C188), 0)), "")</f>
        <v>0</v>
      </c>
      <c r="E188" cm="1">
        <f t="array" aca="1" ref="E188" ca="1">IFERROR(INDEX(ft_medicos_clinicos!$C:$C, MATCH(1, (VALUE(LEFT(ft_medicos_clinicos!$A:$A,6))=VALUE(LEFT(B188,6)))*(ft_medicos_clinicos!$B:$B=C188), 0)), "")</f>
        <v>1158</v>
      </c>
      <c r="F188" cm="1">
        <f t="array" aca="1" ref="F188" ca="1">IFERROR(INDEX(ft_enfermeiros!$C:$C, MATCH(1, (VALUE(LEFT(ft_enfermeiros!$A:$A,6))=VALUE(LEFT(B188,6)))*(ft_enfermeiros!$B:$B=C188), 0)), "")</f>
        <v>2525</v>
      </c>
      <c r="G188" t="str" cm="1">
        <f t="array" aca="1" ref="G188" ca="1">IFERROR(INDEX(ft_equipes_acs!$C:$C, MATCH(1, (VALUE(LEFT(ft_equipes_acs!$A:$A,6))=VALUE(LEFT(B188,6)))*(ft_equipes_acs!$B:$B=C188), 0)), "")</f>
        <v/>
      </c>
      <c r="H188" cm="1">
        <f t="array" aca="1" ref="H188" ca="1">IFERROR(INDEX(ci_leitos_internacao!$C:$C, MATCH(1, (VALUE(LEFT(ci_leitos_internacao!$A:$A,6))=VALUE(LEFT(B188,6)))*(ci_leitos_internacao!$B:$B=C188), 0)), "")</f>
        <v>3184</v>
      </c>
      <c r="I188" cm="1">
        <f t="array" aca="1" ref="I188" ca="1">IFERROR(INDEX(ci_hospitais_internacao!$C:$C, MATCH(1, (VALUE(LEFT(ci_hospitais_internacao!$A:$A,6))=VALUE(LEFT(B188,6)))*(ci_hospitais_internacao!$B:$B=C188), 0)), "")</f>
        <v>12</v>
      </c>
      <c r="J188" t="str" cm="1">
        <f t="array" aca="1" ref="J188" ca="1">IFERROR(INDEX(ci_pa_clinico!$C:$C, MATCH(1, (VALUE(LEFT(ci_pa_clinico!$A:$A,6))=VALUE(LEFT(B188,6)))*(ci_pa_clinico!$B:$B=C188), 0)), "")</f>
        <v/>
      </c>
      <c r="K188" cm="1">
        <f t="array" aca="1" ref="K188" ca="1">IFERROR(INDEX(aps_equipes_esf!$C:$C, MATCH(1, (VALUE(LEFT(aps_equipes_esf!$A:$A,6))=VALUE(LEFT(B188,6)))*(aps_equipes_esf!$B:$B=C188), 0)), "")</f>
        <v>2</v>
      </c>
      <c r="L188" cm="1">
        <f t="array" aca="1" ref="L188" ca="1">IFERROR(INDEX(casos!$C:$C, MATCH(1, (VALUE(LEFT(casos!$A:$A,6))=VALUE(LEFT(B188,6)))*(casos!$B:$B=C188), 0)), "")</f>
        <v>3062</v>
      </c>
      <c r="M188" cm="1">
        <f t="array" ref="M188">IFERROR(INDEX(srag!$D:$D, MATCH(1, (VALUE(LEFT(srag!$A:$A,6))=VALUE(LEFT(B188,6)))*(srag!$C:$C=C188), 0)), "")</f>
        <v>742</v>
      </c>
      <c r="N188" cm="1">
        <f t="array" ref="N188">IFERROR(INDEX(fesp!$E:$E, MATCH(1, (VALUE(LEFT(fesp!$A:$A,6))=VALUE(LEFT(B188,6)))*(fesp!$C:$C=C188), 0)), "")</f>
        <v>461</v>
      </c>
      <c r="O188" cm="1">
        <f t="array" ref="O188">IFERROR(INDEX(fesp!$F:$F, MATCH(1, (VALUE(LEFT(fesp!$A:$A,6))=VALUE(LEFT(B188,6)))*(fesp!$C:$C=C188), 0)), "")</f>
        <v>17723</v>
      </c>
      <c r="P188" cm="1">
        <f t="array" ref="P188">IFERROR(INDEX(fesp!$G:$G, MATCH(1, (VALUE(LEFT(fesp!$A:$A,6))=VALUE(LEFT(B188,6)))*(fesp!$C:$C=C188), 0)), "")</f>
        <v>6974472</v>
      </c>
      <c r="Q188" cm="1">
        <f t="array" ref="Q188">IFERROR(INDEX(fesp!$H:$H, MATCH(1, (VALUE(LEFT(fesp!$A:$A,6))=VALUE(LEFT(B188,6)))*(fesp!$C:$C=C188), 0)), "")</f>
        <v>91</v>
      </c>
      <c r="R188" cm="1">
        <f t="array" ref="R188">IFERROR(INDEX(fesp!$I:$I, MATCH(1, (VALUE(LEFT(fesp!$A:$A,6))=VALUE(LEFT(B188,6)))*(fesp!$C:$C=C188), 0)), "")</f>
        <v>0</v>
      </c>
      <c r="S188" cm="1">
        <f t="array" ref="S188">IFERROR(INDEX(fesp!$J:$J, MATCH(1, (VALUE(LEFT(fesp!$A:$A,6))=VALUE(LEFT(B188,6)))*(fesp!$C:$C=C188), 0)), "")</f>
        <v>918</v>
      </c>
    </row>
    <row r="189" spans="1:19">
      <c r="A189" s="1" t="s">
        <v>71</v>
      </c>
      <c r="B189" s="3">
        <v>2800308</v>
      </c>
      <c r="C189" s="3">
        <v>2015</v>
      </c>
      <c r="D189" cm="1">
        <f t="array" ref="D189">IFERROR(INDEX(fesp!$D:$D, MATCH(1, (VALUE(LEFT(fesp!$A:$A,6))=VALUE(LEFT(B189,6)))*(fesp!$C:$C=C189), 0)), "")</f>
        <v>632744</v>
      </c>
      <c r="E189" cm="1">
        <f t="array" aca="1" ref="E189" ca="1">IFERROR(INDEX(ft_medicos_clinicos!$C:$C, MATCH(1, (VALUE(LEFT(ft_medicos_clinicos!$A:$A,6))=VALUE(LEFT(B189,6)))*(ft_medicos_clinicos!$B:$B=C189), 0)), "")</f>
        <v>551</v>
      </c>
      <c r="F189" cm="1">
        <f t="array" aca="1" ref="F189" ca="1">IFERROR(INDEX(ft_enfermeiros!$C:$C, MATCH(1, (VALUE(LEFT(ft_enfermeiros!$A:$A,6))=VALUE(LEFT(B189,6)))*(ft_enfermeiros!$B:$B=C189), 0)), "")</f>
        <v>736</v>
      </c>
      <c r="G189" t="str" cm="1">
        <f t="array" aca="1" ref="G189" ca="1">IFERROR(INDEX(ft_equipes_acs!$C:$C, MATCH(1, (VALUE(LEFT(ft_equipes_acs!$A:$A,6))=VALUE(LEFT(B189,6)))*(ft_equipes_acs!$B:$B=C189), 0)), "")</f>
        <v>-</v>
      </c>
      <c r="H189" cm="1">
        <f t="array" aca="1" ref="H189" ca="1">IFERROR(INDEX(ci_leitos_internacao!$C:$C, MATCH(1, (VALUE(LEFT(ci_leitos_internacao!$A:$A,6))=VALUE(LEFT(B189,6)))*(ci_leitos_internacao!$B:$B=C189), 0)), "")</f>
        <v>2072</v>
      </c>
      <c r="I189" cm="1">
        <f t="array" aca="1" ref="I189" ca="1">IFERROR(INDEX(ci_hospitais_internacao!$C:$C, MATCH(1, (VALUE(LEFT(ci_hospitais_internacao!$A:$A,6))=VALUE(LEFT(B189,6)))*(ci_hospitais_internacao!$B:$B=C189), 0)), "")</f>
        <v>6</v>
      </c>
      <c r="J189" cm="1">
        <f t="array" aca="1" ref="J189" ca="1">IFERROR(INDEX(ci_pa_clinico!$C:$C, MATCH(1, (VALUE(LEFT(ci_pa_clinico!$A:$A,6))=VALUE(LEFT(B189,6)))*(ci_pa_clinico!$B:$B=C189), 0)), "")</f>
        <v>4</v>
      </c>
      <c r="K189" cm="1">
        <f t="array" aca="1" ref="K189" ca="1">IFERROR(INDEX(aps_equipes_esf!$C:$C, MATCH(1, (VALUE(LEFT(aps_equipes_esf!$A:$A,6))=VALUE(LEFT(B189,6)))*(aps_equipes_esf!$B:$B=C189), 0)), "")</f>
        <v>20</v>
      </c>
      <c r="L189" cm="1">
        <f t="array" aca="1" ref="L189" ca="1">IFERROR(INDEX(casos!$C:$C, MATCH(1, (VALUE(LEFT(casos!$A:$A,6))=VALUE(LEFT(B189,6)))*(casos!$B:$B=C189), 0)), "")</f>
        <v>3037</v>
      </c>
      <c r="M189" cm="1">
        <f t="array" ref="M189">IFERROR(INDEX(srag!$D:$D, MATCH(1, (VALUE(LEFT(srag!$A:$A,6))=VALUE(LEFT(B189,6)))*(srag!$C:$C=C189), 0)), "")</f>
        <v>0</v>
      </c>
      <c r="N189" cm="1">
        <f t="array" ref="N189">IFERROR(INDEX(fesp!$E:$E, MATCH(1, (VALUE(LEFT(fesp!$A:$A,6))=VALUE(LEFT(B189,6)))*(fesp!$C:$C=C189), 0)), "")</f>
        <v>181</v>
      </c>
      <c r="O189" cm="1">
        <f t="array" ref="O189">IFERROR(INDEX(fesp!$F:$F, MATCH(1, (VALUE(LEFT(fesp!$A:$A,6))=VALUE(LEFT(B189,6)))*(fesp!$C:$C=C189), 0)), "")</f>
        <v>2013</v>
      </c>
      <c r="P189" cm="1">
        <f t="array" ref="P189">IFERROR(INDEX(fesp!$G:$G, MATCH(1, (VALUE(LEFT(fesp!$A:$A,6))=VALUE(LEFT(B189,6)))*(fesp!$C:$C=C189), 0)), "")</f>
        <v>3225832</v>
      </c>
      <c r="Q189" cm="1">
        <f t="array" ref="Q189">IFERROR(INDEX(fesp!$H:$H, MATCH(1, (VALUE(LEFT(fesp!$A:$A,6))=VALUE(LEFT(B189,6)))*(fesp!$C:$C=C189), 0)), "")</f>
        <v>114</v>
      </c>
      <c r="R189" cm="1">
        <f t="array" ref="R189">IFERROR(INDEX(fesp!$I:$I, MATCH(1, (VALUE(LEFT(fesp!$A:$A,6))=VALUE(LEFT(B189,6)))*(fesp!$C:$C=C189), 0)), "")</f>
        <v>21263</v>
      </c>
      <c r="S189" cm="1">
        <f t="array" ref="S189">IFERROR(INDEX(fesp!$J:$J, MATCH(1, (VALUE(LEFT(fesp!$A:$A,6))=VALUE(LEFT(B189,6)))*(fesp!$C:$C=C189), 0)), "")</f>
        <v>241484</v>
      </c>
    </row>
    <row r="190" spans="1:19">
      <c r="A190" s="1" t="s">
        <v>71</v>
      </c>
      <c r="B190" s="3" t="s">
        <v>70</v>
      </c>
      <c r="C190" s="3">
        <v>2016</v>
      </c>
      <c r="D190" cm="1">
        <f t="array" ref="D190">IFERROR(INDEX(fesp!$D:$D, MATCH(1, (VALUE(LEFT(fesp!$A:$A,6))=VALUE(LEFT(B190,6)))*(fesp!$C:$C=C190), 0)), "")</f>
        <v>0</v>
      </c>
      <c r="E190" cm="1">
        <f t="array" aca="1" ref="E190" ca="1">IFERROR(INDEX(ft_medicos_clinicos!$C:$C, MATCH(1, (VALUE(LEFT(ft_medicos_clinicos!$A:$A,6))=VALUE(LEFT(B190,6)))*(ft_medicos_clinicos!$B:$B=C190), 0)), "")</f>
        <v>606</v>
      </c>
      <c r="F190" cm="1">
        <f t="array" aca="1" ref="F190" ca="1">IFERROR(INDEX(ft_enfermeiros!$C:$C, MATCH(1, (VALUE(LEFT(ft_enfermeiros!$A:$A,6))=VALUE(LEFT(B190,6)))*(ft_enfermeiros!$B:$B=C190), 0)), "")</f>
        <v>849</v>
      </c>
      <c r="G190" t="str" cm="1">
        <f t="array" aca="1" ref="G190" ca="1">IFERROR(INDEX(ft_equipes_acs!$C:$C, MATCH(1, (VALUE(LEFT(ft_equipes_acs!$A:$A,6))=VALUE(LEFT(B190,6)))*(ft_equipes_acs!$B:$B=C190), 0)), "")</f>
        <v>-</v>
      </c>
      <c r="H190" cm="1">
        <f t="array" aca="1" ref="H190" ca="1">IFERROR(INDEX(ci_leitos_internacao!$C:$C, MATCH(1, (VALUE(LEFT(ci_leitos_internacao!$A:$A,6))=VALUE(LEFT(B190,6)))*(ci_leitos_internacao!$B:$B=C190), 0)), "")</f>
        <v>2117</v>
      </c>
      <c r="I190" cm="1">
        <f t="array" aca="1" ref="I190" ca="1">IFERROR(INDEX(ci_hospitais_internacao!$C:$C, MATCH(1, (VALUE(LEFT(ci_hospitais_internacao!$A:$A,6))=VALUE(LEFT(B190,6)))*(ci_hospitais_internacao!$B:$B=C190), 0)), "")</f>
        <v>6</v>
      </c>
      <c r="J190" cm="1">
        <f t="array" aca="1" ref="J190" ca="1">IFERROR(INDEX(ci_pa_clinico!$C:$C, MATCH(1, (VALUE(LEFT(ci_pa_clinico!$A:$A,6))=VALUE(LEFT(B190,6)))*(ci_pa_clinico!$B:$B=C190), 0)), "")</f>
        <v>5</v>
      </c>
      <c r="K190" cm="1">
        <f t="array" aca="1" ref="K190" ca="1">IFERROR(INDEX(aps_equipes_esf!$C:$C, MATCH(1, (VALUE(LEFT(aps_equipes_esf!$A:$A,6))=VALUE(LEFT(B190,6)))*(aps_equipes_esf!$B:$B=C190), 0)), "")</f>
        <v>22</v>
      </c>
      <c r="L190" cm="1">
        <f t="array" aca="1" ref="L190" ca="1">IFERROR(INDEX(casos!$C:$C, MATCH(1, (VALUE(LEFT(casos!$A:$A,6))=VALUE(LEFT(B190,6)))*(casos!$B:$B=C190), 0)), "")</f>
        <v>1252</v>
      </c>
      <c r="M190" cm="1">
        <f t="array" ref="M190">IFERROR(INDEX(srag!$D:$D, MATCH(1, (VALUE(LEFT(srag!$A:$A,6))=VALUE(LEFT(B190,6)))*(srag!$C:$C=C190), 0)), "")</f>
        <v>83</v>
      </c>
      <c r="N190" cm="1">
        <f t="array" ref="N190">IFERROR(INDEX(fesp!$E:$E, MATCH(1, (VALUE(LEFT(fesp!$A:$A,6))=VALUE(LEFT(B190,6)))*(fesp!$C:$C=C190), 0)), "")</f>
        <v>214</v>
      </c>
      <c r="O190" cm="1">
        <f t="array" ref="O190">IFERROR(INDEX(fesp!$F:$F, MATCH(1, (VALUE(LEFT(fesp!$A:$A,6))=VALUE(LEFT(B190,6)))*(fesp!$C:$C=C190), 0)), "")</f>
        <v>1949</v>
      </c>
      <c r="P190" cm="1">
        <f t="array" ref="P190">IFERROR(INDEX(fesp!$G:$G, MATCH(1, (VALUE(LEFT(fesp!$A:$A,6))=VALUE(LEFT(B190,6)))*(fesp!$C:$C=C190), 0)), "")</f>
        <v>3096488</v>
      </c>
      <c r="Q190" cm="1">
        <f t="array" ref="Q190">IFERROR(INDEX(fesp!$H:$H, MATCH(1, (VALUE(LEFT(fesp!$A:$A,6))=VALUE(LEFT(B190,6)))*(fesp!$C:$C=C190), 0)), "")</f>
        <v>94</v>
      </c>
      <c r="R190" cm="1">
        <f t="array" ref="R190">IFERROR(INDEX(fesp!$I:$I, MATCH(1, (VALUE(LEFT(fesp!$A:$A,6))=VALUE(LEFT(B190,6)))*(fesp!$C:$C=C190), 0)), "")</f>
        <v>4456</v>
      </c>
      <c r="S190" cm="1">
        <f t="array" ref="S190">IFERROR(INDEX(fesp!$J:$J, MATCH(1, (VALUE(LEFT(fesp!$A:$A,6))=VALUE(LEFT(B190,6)))*(fesp!$C:$C=C190), 0)), "")</f>
        <v>70441</v>
      </c>
    </row>
    <row r="191" spans="1:19">
      <c r="A191" s="1" t="s">
        <v>71</v>
      </c>
      <c r="B191" s="3">
        <v>2800308</v>
      </c>
      <c r="C191" s="3">
        <v>2017</v>
      </c>
      <c r="D191" cm="1">
        <f t="array" ref="D191">IFERROR(INDEX(fesp!$D:$D, MATCH(1, (VALUE(LEFT(fesp!$A:$A,6))=VALUE(LEFT(B191,6)))*(fesp!$C:$C=C191), 0)), "")</f>
        <v>0</v>
      </c>
      <c r="E191" cm="1">
        <f t="array" aca="1" ref="E191" ca="1">IFERROR(INDEX(ft_medicos_clinicos!$C:$C, MATCH(1, (VALUE(LEFT(ft_medicos_clinicos!$A:$A,6))=VALUE(LEFT(B191,6)))*(ft_medicos_clinicos!$B:$B=C191), 0)), "")</f>
        <v>613</v>
      </c>
      <c r="F191" cm="1">
        <f t="array" aca="1" ref="F191" ca="1">IFERROR(INDEX(ft_enfermeiros!$C:$C, MATCH(1, (VALUE(LEFT(ft_enfermeiros!$A:$A,6))=VALUE(LEFT(B191,6)))*(ft_enfermeiros!$B:$B=C191), 0)), "")</f>
        <v>932</v>
      </c>
      <c r="G191" cm="1">
        <f t="array" aca="1" ref="G191" ca="1">IFERROR(INDEX(ft_equipes_acs!$C:$C, MATCH(1, (VALUE(LEFT(ft_equipes_acs!$A:$A,6))=VALUE(LEFT(B191,6)))*(ft_equipes_acs!$B:$B=C191), 0)), "")</f>
        <v>7</v>
      </c>
      <c r="H191" cm="1">
        <f t="array" aca="1" ref="H191" ca="1">IFERROR(INDEX(ci_leitos_internacao!$C:$C, MATCH(1, (VALUE(LEFT(ci_leitos_internacao!$A:$A,6))=VALUE(LEFT(B191,6)))*(ci_leitos_internacao!$B:$B=C191), 0)), "")</f>
        <v>2109</v>
      </c>
      <c r="I191" cm="1">
        <f t="array" aca="1" ref="I191" ca="1">IFERROR(INDEX(ci_hospitais_internacao!$C:$C, MATCH(1, (VALUE(LEFT(ci_hospitais_internacao!$A:$A,6))=VALUE(LEFT(B191,6)))*(ci_hospitais_internacao!$B:$B=C191), 0)), "")</f>
        <v>6</v>
      </c>
      <c r="J191" cm="1">
        <f t="array" aca="1" ref="J191" ca="1">IFERROR(INDEX(ci_pa_clinico!$C:$C, MATCH(1, (VALUE(LEFT(ci_pa_clinico!$A:$A,6))=VALUE(LEFT(B191,6)))*(ci_pa_clinico!$B:$B=C191), 0)), "")</f>
        <v>5</v>
      </c>
      <c r="K191" cm="1">
        <f t="array" aca="1" ref="K191" ca="1">IFERROR(INDEX(aps_equipes_esf!$C:$C, MATCH(1, (VALUE(LEFT(aps_equipes_esf!$A:$A,6))=VALUE(LEFT(B191,6)))*(aps_equipes_esf!$B:$B=C191), 0)), "")</f>
        <v>24</v>
      </c>
      <c r="L191" cm="1">
        <f t="array" aca="1" ref="L191" ca="1">IFERROR(INDEX(casos!$C:$C, MATCH(1, (VALUE(LEFT(casos!$A:$A,6))=VALUE(LEFT(B191,6)))*(casos!$B:$B=C191), 0)), "")</f>
        <v>283</v>
      </c>
      <c r="M191" cm="1">
        <f t="array" ref="M191">IFERROR(INDEX(srag!$D:$D, MATCH(1, (VALUE(LEFT(srag!$A:$A,6))=VALUE(LEFT(B191,6)))*(srag!$C:$C=C191), 0)), "")</f>
        <v>25</v>
      </c>
      <c r="N191" cm="1">
        <f t="array" ref="N191">IFERROR(INDEX(fesp!$E:$E, MATCH(1, (VALUE(LEFT(fesp!$A:$A,6))=VALUE(LEFT(B191,6)))*(fesp!$C:$C=C191), 0)), "")</f>
        <v>219</v>
      </c>
      <c r="O191" cm="1">
        <f t="array" ref="O191">IFERROR(INDEX(fesp!$F:$F, MATCH(1, (VALUE(LEFT(fesp!$A:$A,6))=VALUE(LEFT(B191,6)))*(fesp!$C:$C=C191), 0)), "")</f>
        <v>2158</v>
      </c>
      <c r="P191" cm="1">
        <f t="array" ref="P191">IFERROR(INDEX(fesp!$G:$G, MATCH(1, (VALUE(LEFT(fesp!$A:$A,6))=VALUE(LEFT(B191,6)))*(fesp!$C:$C=C191), 0)), "")</f>
        <v>4040029</v>
      </c>
      <c r="Q191" cm="1">
        <f t="array" ref="Q191">IFERROR(INDEX(fesp!$H:$H, MATCH(1, (VALUE(LEFT(fesp!$A:$A,6))=VALUE(LEFT(B191,6)))*(fesp!$C:$C=C191), 0)), "")</f>
        <v>58</v>
      </c>
      <c r="R191" cm="1">
        <f t="array" ref="R191">IFERROR(INDEX(fesp!$I:$I, MATCH(1, (VALUE(LEFT(fesp!$A:$A,6))=VALUE(LEFT(B191,6)))*(fesp!$C:$C=C191), 0)), "")</f>
        <v>9419</v>
      </c>
      <c r="S191" cm="1">
        <f t="array" ref="S191">IFERROR(INDEX(fesp!$J:$J, MATCH(1, (VALUE(LEFT(fesp!$A:$A,6))=VALUE(LEFT(B191,6)))*(fesp!$C:$C=C191), 0)), "")</f>
        <v>50391</v>
      </c>
    </row>
    <row r="192" spans="1:19">
      <c r="A192" s="1" t="s">
        <v>71</v>
      </c>
      <c r="B192" s="3" t="s">
        <v>70</v>
      </c>
      <c r="C192" s="3">
        <v>2018</v>
      </c>
      <c r="D192" cm="1">
        <f t="array" ref="D192">IFERROR(INDEX(fesp!$D:$D, MATCH(1, (VALUE(LEFT(fesp!$A:$A,6))=VALUE(LEFT(B192,6)))*(fesp!$C:$C=C192), 0)), "")</f>
        <v>0</v>
      </c>
      <c r="E192" cm="1">
        <f t="array" aca="1" ref="E192" ca="1">IFERROR(INDEX(ft_medicos_clinicos!$C:$C, MATCH(1, (VALUE(LEFT(ft_medicos_clinicos!$A:$A,6))=VALUE(LEFT(B192,6)))*(ft_medicos_clinicos!$B:$B=C192), 0)), "")</f>
        <v>606</v>
      </c>
      <c r="F192" cm="1">
        <f t="array" aca="1" ref="F192" ca="1">IFERROR(INDEX(ft_enfermeiros!$C:$C, MATCH(1, (VALUE(LEFT(ft_enfermeiros!$A:$A,6))=VALUE(LEFT(B192,6)))*(ft_enfermeiros!$B:$B=C192), 0)), "")</f>
        <v>971</v>
      </c>
      <c r="G192" cm="1">
        <f t="array" aca="1" ref="G192" ca="1">IFERROR(INDEX(ft_equipes_acs!$C:$C, MATCH(1, (VALUE(LEFT(ft_equipes_acs!$A:$A,6))=VALUE(LEFT(B192,6)))*(ft_equipes_acs!$B:$B=C192), 0)), "")</f>
        <v>10</v>
      </c>
      <c r="H192" cm="1">
        <f t="array" aca="1" ref="H192" ca="1">IFERROR(INDEX(ci_leitos_internacao!$C:$C, MATCH(1, (VALUE(LEFT(ci_leitos_internacao!$A:$A,6))=VALUE(LEFT(B192,6)))*(ci_leitos_internacao!$B:$B=C192), 0)), "")</f>
        <v>2173</v>
      </c>
      <c r="I192" cm="1">
        <f t="array" aca="1" ref="I192" ca="1">IFERROR(INDEX(ci_hospitais_internacao!$C:$C, MATCH(1, (VALUE(LEFT(ci_hospitais_internacao!$A:$A,6))=VALUE(LEFT(B192,6)))*(ci_hospitais_internacao!$B:$B=C192), 0)), "")</f>
        <v>7</v>
      </c>
      <c r="J192" cm="1">
        <f t="array" aca="1" ref="J192" ca="1">IFERROR(INDEX(ci_pa_clinico!$C:$C, MATCH(1, (VALUE(LEFT(ci_pa_clinico!$A:$A,6))=VALUE(LEFT(B192,6)))*(ci_pa_clinico!$B:$B=C192), 0)), "")</f>
        <v>5</v>
      </c>
      <c r="K192" cm="1">
        <f t="array" aca="1" ref="K192" ca="1">IFERROR(INDEX(aps_equipes_esf!$C:$C, MATCH(1, (VALUE(LEFT(aps_equipes_esf!$A:$A,6))=VALUE(LEFT(B192,6)))*(aps_equipes_esf!$B:$B=C192), 0)), "")</f>
        <v>15</v>
      </c>
      <c r="L192" cm="1">
        <f t="array" aca="1" ref="L192" ca="1">IFERROR(INDEX(casos!$C:$C, MATCH(1, (VALUE(LEFT(casos!$A:$A,6))=VALUE(LEFT(B192,6)))*(casos!$B:$B=C192), 0)), "")</f>
        <v>167</v>
      </c>
      <c r="M192" cm="1">
        <f t="array" ref="M192">IFERROR(INDEX(srag!$D:$D, MATCH(1, (VALUE(LEFT(srag!$A:$A,6))=VALUE(LEFT(B192,6)))*(srag!$C:$C=C192), 0)), "")</f>
        <v>215</v>
      </c>
      <c r="N192" cm="1">
        <f t="array" ref="N192">IFERROR(INDEX(fesp!$E:$E, MATCH(1, (VALUE(LEFT(fesp!$A:$A,6))=VALUE(LEFT(B192,6)))*(fesp!$C:$C=C192), 0)), "")</f>
        <v>115</v>
      </c>
      <c r="O192" cm="1">
        <f t="array" ref="O192">IFERROR(INDEX(fesp!$F:$F, MATCH(1, (VALUE(LEFT(fesp!$A:$A,6))=VALUE(LEFT(B192,6)))*(fesp!$C:$C=C192), 0)), "")</f>
        <v>2282</v>
      </c>
      <c r="P192" cm="1">
        <f t="array" ref="P192">IFERROR(INDEX(fesp!$G:$G, MATCH(1, (VALUE(LEFT(fesp!$A:$A,6))=VALUE(LEFT(B192,6)))*(fesp!$C:$C=C192), 0)), "")</f>
        <v>3852769</v>
      </c>
      <c r="Q192" cm="1">
        <f t="array" ref="Q192">IFERROR(INDEX(fesp!$H:$H, MATCH(1, (VALUE(LEFT(fesp!$A:$A,6))=VALUE(LEFT(B192,6)))*(fesp!$C:$C=C192), 0)), "")</f>
        <v>62</v>
      </c>
      <c r="R192" cm="1">
        <f t="array" ref="R192">IFERROR(INDEX(fesp!$I:$I, MATCH(1, (VALUE(LEFT(fesp!$A:$A,6))=VALUE(LEFT(B192,6)))*(fesp!$C:$C=C192), 0)), "")</f>
        <v>2406</v>
      </c>
      <c r="S192" cm="1">
        <f t="array" ref="S192">IFERROR(INDEX(fesp!$J:$J, MATCH(1, (VALUE(LEFT(fesp!$A:$A,6))=VALUE(LEFT(B192,6)))*(fesp!$C:$C=C192), 0)), "")</f>
        <v>7415</v>
      </c>
    </row>
    <row r="193" spans="1:19">
      <c r="A193" s="1" t="s">
        <v>71</v>
      </c>
      <c r="B193" s="3" t="s">
        <v>70</v>
      </c>
      <c r="C193" s="3">
        <v>2019</v>
      </c>
      <c r="D193" cm="1">
        <f t="array" ref="D193">IFERROR(INDEX(fesp!$D:$D, MATCH(1, (VALUE(LEFT(fesp!$A:$A,6))=VALUE(LEFT(B193,6)))*(fesp!$C:$C=C193), 0)), "")</f>
        <v>0</v>
      </c>
      <c r="E193" cm="1">
        <f t="array" aca="1" ref="E193" ca="1">IFERROR(INDEX(ft_medicos_clinicos!$C:$C, MATCH(1, (VALUE(LEFT(ft_medicos_clinicos!$A:$A,6))=VALUE(LEFT(B193,6)))*(ft_medicos_clinicos!$B:$B=C193), 0)), "")</f>
        <v>663</v>
      </c>
      <c r="F193" cm="1">
        <f t="array" aca="1" ref="F193" ca="1">IFERROR(INDEX(ft_enfermeiros!$C:$C, MATCH(1, (VALUE(LEFT(ft_enfermeiros!$A:$A,6))=VALUE(LEFT(B193,6)))*(ft_enfermeiros!$B:$B=C193), 0)), "")</f>
        <v>1060</v>
      </c>
      <c r="G193" cm="1">
        <f t="array" aca="1" ref="G193" ca="1">IFERROR(INDEX(ft_equipes_acs!$C:$C, MATCH(1, (VALUE(LEFT(ft_equipes_acs!$A:$A,6))=VALUE(LEFT(B193,6)))*(ft_equipes_acs!$B:$B=C193), 0)), "")</f>
        <v>7</v>
      </c>
      <c r="H193" cm="1">
        <f t="array" aca="1" ref="H193" ca="1">IFERROR(INDEX(ci_leitos_internacao!$C:$C, MATCH(1, (VALUE(LEFT(ci_leitos_internacao!$A:$A,6))=VALUE(LEFT(B193,6)))*(ci_leitos_internacao!$B:$B=C193), 0)), "")</f>
        <v>2115</v>
      </c>
      <c r="I193" cm="1">
        <f t="array" aca="1" ref="I193" ca="1">IFERROR(INDEX(ci_hospitais_internacao!$C:$C, MATCH(1, (VALUE(LEFT(ci_hospitais_internacao!$A:$A,6))=VALUE(LEFT(B193,6)))*(ci_hospitais_internacao!$B:$B=C193), 0)), "")</f>
        <v>7</v>
      </c>
      <c r="J193" cm="1">
        <f t="array" aca="1" ref="J193" ca="1">IFERROR(INDEX(ci_pa_clinico!$C:$C, MATCH(1, (VALUE(LEFT(ci_pa_clinico!$A:$A,6))=VALUE(LEFT(B193,6)))*(ci_pa_clinico!$B:$B=C193), 0)), "")</f>
        <v>5</v>
      </c>
      <c r="K193" cm="1">
        <f t="array" aca="1" ref="K193" ca="1">IFERROR(INDEX(aps_equipes_esf!$C:$C, MATCH(1, (VALUE(LEFT(aps_equipes_esf!$A:$A,6))=VALUE(LEFT(B193,6)))*(aps_equipes_esf!$B:$B=C193), 0)), "")</f>
        <v>27</v>
      </c>
      <c r="L193" cm="1">
        <f t="array" aca="1" ref="L193" ca="1">IFERROR(INDEX(casos!$C:$C, MATCH(1, (VALUE(LEFT(casos!$A:$A,6))=VALUE(LEFT(B193,6)))*(casos!$B:$B=C193), 0)), "")</f>
        <v>2744</v>
      </c>
      <c r="M193" cm="1">
        <f t="array" ref="M193">IFERROR(INDEX(srag!$D:$D, MATCH(1, (VALUE(LEFT(srag!$A:$A,6))=VALUE(LEFT(B193,6)))*(srag!$C:$C=C193), 0)), "")</f>
        <v>144</v>
      </c>
      <c r="N193" cm="1">
        <f t="array" ref="N193">IFERROR(INDEX(fesp!$E:$E, MATCH(1, (VALUE(LEFT(fesp!$A:$A,6))=VALUE(LEFT(B193,6)))*(fesp!$C:$C=C193), 0)), "")</f>
        <v>171</v>
      </c>
      <c r="O193" cm="1">
        <f t="array" ref="O193">IFERROR(INDEX(fesp!$F:$F, MATCH(1, (VALUE(LEFT(fesp!$A:$A,6))=VALUE(LEFT(B193,6)))*(fesp!$C:$C=C193), 0)), "")</f>
        <v>2018</v>
      </c>
      <c r="P193" cm="1">
        <f t="array" ref="P193">IFERROR(INDEX(fesp!$G:$G, MATCH(1, (VALUE(LEFT(fesp!$A:$A,6))=VALUE(LEFT(B193,6)))*(fesp!$C:$C=C193), 0)), "")</f>
        <v>3961997</v>
      </c>
      <c r="Q193" cm="1">
        <f t="array" ref="Q193">IFERROR(INDEX(fesp!$H:$H, MATCH(1, (VALUE(LEFT(fesp!$A:$A,6))=VALUE(LEFT(B193,6)))*(fesp!$C:$C=C193), 0)), "")</f>
        <v>97</v>
      </c>
      <c r="R193" cm="1">
        <f t="array" ref="R193">IFERROR(INDEX(fesp!$I:$I, MATCH(1, (VALUE(LEFT(fesp!$A:$A,6))=VALUE(LEFT(B193,6)))*(fesp!$C:$C=C193), 0)), "")</f>
        <v>3357</v>
      </c>
      <c r="S193" cm="1">
        <f t="array" ref="S193">IFERROR(INDEX(fesp!$J:$J, MATCH(1, (VALUE(LEFT(fesp!$A:$A,6))=VALUE(LEFT(B193,6)))*(fesp!$C:$C=C193), 0)), "")</f>
        <v>4219</v>
      </c>
    </row>
    <row r="194" spans="1:19">
      <c r="A194" s="1" t="s">
        <v>71</v>
      </c>
      <c r="B194" s="3" t="s">
        <v>70</v>
      </c>
      <c r="C194" s="3">
        <v>2020</v>
      </c>
      <c r="D194" cm="1">
        <f t="array" ref="D194">IFERROR(INDEX(fesp!$D:$D, MATCH(1, (VALUE(LEFT(fesp!$A:$A,6))=VALUE(LEFT(B194,6)))*(fesp!$C:$C=C194), 0)), "")</f>
        <v>0</v>
      </c>
      <c r="E194" cm="1">
        <f t="array" aca="1" ref="E194" ca="1">IFERROR(INDEX(ft_medicos_clinicos!$C:$C, MATCH(1, (VALUE(LEFT(ft_medicos_clinicos!$A:$A,6))=VALUE(LEFT(B194,6)))*(ft_medicos_clinicos!$B:$B=C194), 0)), "")</f>
        <v>712</v>
      </c>
      <c r="F194" cm="1">
        <f t="array" aca="1" ref="F194" ca="1">IFERROR(INDEX(ft_enfermeiros!$C:$C, MATCH(1, (VALUE(LEFT(ft_enfermeiros!$A:$A,6))=VALUE(LEFT(B194,6)))*(ft_enfermeiros!$B:$B=C194), 0)), "")</f>
        <v>1237</v>
      </c>
      <c r="G194" t="str" cm="1">
        <f t="array" aca="1" ref="G194" ca="1">IFERROR(INDEX(ft_equipes_acs!$C:$C, MATCH(1, (VALUE(LEFT(ft_equipes_acs!$A:$A,6))=VALUE(LEFT(B194,6)))*(ft_equipes_acs!$B:$B=C194), 0)), "")</f>
        <v>-</v>
      </c>
      <c r="H194" cm="1">
        <f t="array" aca="1" ref="H194" ca="1">IFERROR(INDEX(ci_leitos_internacao!$C:$C, MATCH(1, (VALUE(LEFT(ci_leitos_internacao!$A:$A,6))=VALUE(LEFT(B194,6)))*(ci_leitos_internacao!$B:$B=C194), 0)), "")</f>
        <v>2189</v>
      </c>
      <c r="I194" cm="1">
        <f t="array" aca="1" ref="I194" ca="1">IFERROR(INDEX(ci_hospitais_internacao!$C:$C, MATCH(1, (VALUE(LEFT(ci_hospitais_internacao!$A:$A,6))=VALUE(LEFT(B194,6)))*(ci_hospitais_internacao!$B:$B=C194), 0)), "")</f>
        <v>8</v>
      </c>
      <c r="J194" cm="1">
        <f t="array" aca="1" ref="J194" ca="1">IFERROR(INDEX(ci_pa_clinico!$C:$C, MATCH(1, (VALUE(LEFT(ci_pa_clinico!$A:$A,6))=VALUE(LEFT(B194,6)))*(ci_pa_clinico!$B:$B=C194), 0)), "")</f>
        <v>6</v>
      </c>
      <c r="K194" t="str" cm="1">
        <f t="array" aca="1" ref="K194" ca="1">IFERROR(INDEX(aps_equipes_esf!$C:$C, MATCH(1, (VALUE(LEFT(aps_equipes_esf!$A:$A,6))=VALUE(LEFT(B194,6)))*(aps_equipes_esf!$B:$B=C194), 0)), "")</f>
        <v>-</v>
      </c>
      <c r="L194" cm="1">
        <f t="array" aca="1" ref="L194" ca="1">IFERROR(INDEX(casos!$C:$C, MATCH(1, (VALUE(LEFT(casos!$A:$A,6))=VALUE(LEFT(B194,6)))*(casos!$B:$B=C194), 0)), "")</f>
        <v>1074</v>
      </c>
      <c r="M194" cm="1">
        <f t="array" ref="M194">IFERROR(INDEX(srag!$D:$D, MATCH(1, (VALUE(LEFT(srag!$A:$A,6))=VALUE(LEFT(B194,6)))*(srag!$C:$C=C194), 0)), "")</f>
        <v>4020</v>
      </c>
      <c r="N194" cm="1">
        <f t="array" ref="N194">IFERROR(INDEX(fesp!$E:$E, MATCH(1, (VALUE(LEFT(fesp!$A:$A,6))=VALUE(LEFT(B194,6)))*(fesp!$C:$C=C194), 0)), "")</f>
        <v>123</v>
      </c>
      <c r="O194" cm="1">
        <f t="array" ref="O194">IFERROR(INDEX(fesp!$F:$F, MATCH(1, (VALUE(LEFT(fesp!$A:$A,6))=VALUE(LEFT(B194,6)))*(fesp!$C:$C=C194), 0)), "")</f>
        <v>1903</v>
      </c>
      <c r="P194" cm="1">
        <f t="array" ref="P194">IFERROR(INDEX(fesp!$G:$G, MATCH(1, (VALUE(LEFT(fesp!$A:$A,6))=VALUE(LEFT(B194,6)))*(fesp!$C:$C=C194), 0)), "")</f>
        <v>2823073</v>
      </c>
      <c r="Q194" cm="1">
        <f t="array" ref="Q194">IFERROR(INDEX(fesp!$H:$H, MATCH(1, (VALUE(LEFT(fesp!$A:$A,6))=VALUE(LEFT(B194,6)))*(fesp!$C:$C=C194), 0)), "")</f>
        <v>35</v>
      </c>
      <c r="R194" cm="1">
        <f t="array" ref="R194">IFERROR(INDEX(fesp!$I:$I, MATCH(1, (VALUE(LEFT(fesp!$A:$A,6))=VALUE(LEFT(B194,6)))*(fesp!$C:$C=C194), 0)), "")</f>
        <v>2545</v>
      </c>
      <c r="S194" cm="1">
        <f t="array" ref="S194">IFERROR(INDEX(fesp!$J:$J, MATCH(1, (VALUE(LEFT(fesp!$A:$A,6))=VALUE(LEFT(B194,6)))*(fesp!$C:$C=C194), 0)), "")</f>
        <v>3125</v>
      </c>
    </row>
    <row r="195" spans="1:19">
      <c r="A195" s="1" t="s">
        <v>71</v>
      </c>
      <c r="B195" s="3" t="s">
        <v>70</v>
      </c>
      <c r="C195" s="3">
        <v>2021</v>
      </c>
      <c r="D195" cm="1">
        <f t="array" ref="D195">IFERROR(INDEX(fesp!$D:$D, MATCH(1, (VALUE(LEFT(fesp!$A:$A,6))=VALUE(LEFT(B195,6)))*(fesp!$C:$C=C195), 0)), "")</f>
        <v>0</v>
      </c>
      <c r="E195" cm="1">
        <f t="array" aca="1" ref="E195" ca="1">IFERROR(INDEX(ft_medicos_clinicos!$C:$C, MATCH(1, (VALUE(LEFT(ft_medicos_clinicos!$A:$A,6))=VALUE(LEFT(B195,6)))*(ft_medicos_clinicos!$B:$B=C195), 0)), "")</f>
        <v>826</v>
      </c>
      <c r="F195" cm="1">
        <f t="array" aca="1" ref="F195" ca="1">IFERROR(INDEX(ft_enfermeiros!$C:$C, MATCH(1, (VALUE(LEFT(ft_enfermeiros!$A:$A,6))=VALUE(LEFT(B195,6)))*(ft_enfermeiros!$B:$B=C195), 0)), "")</f>
        <v>1546</v>
      </c>
      <c r="G195" t="str" cm="1">
        <f t="array" aca="1" ref="G195" ca="1">IFERROR(INDEX(ft_equipes_acs!$C:$C, MATCH(1, (VALUE(LEFT(ft_equipes_acs!$A:$A,6))=VALUE(LEFT(B195,6)))*(ft_equipes_acs!$B:$B=C195), 0)), "")</f>
        <v>-</v>
      </c>
      <c r="H195" cm="1">
        <f t="array" aca="1" ref="H195" ca="1">IFERROR(INDEX(ci_leitos_internacao!$C:$C, MATCH(1, (VALUE(LEFT(ci_leitos_internacao!$A:$A,6))=VALUE(LEFT(B195,6)))*(ci_leitos_internacao!$B:$B=C195), 0)), "")</f>
        <v>2198</v>
      </c>
      <c r="I195" cm="1">
        <f t="array" aca="1" ref="I195" ca="1">IFERROR(INDEX(ci_hospitais_internacao!$C:$C, MATCH(1, (VALUE(LEFT(ci_hospitais_internacao!$A:$A,6))=VALUE(LEFT(B195,6)))*(ci_hospitais_internacao!$B:$B=C195), 0)), "")</f>
        <v>9</v>
      </c>
      <c r="J195" cm="1">
        <f t="array" aca="1" ref="J195" ca="1">IFERROR(INDEX(ci_pa_clinico!$C:$C, MATCH(1, (VALUE(LEFT(ci_pa_clinico!$A:$A,6))=VALUE(LEFT(B195,6)))*(ci_pa_clinico!$B:$B=C195), 0)), "")</f>
        <v>4</v>
      </c>
      <c r="K195" t="str" cm="1">
        <f t="array" aca="1" ref="K195" ca="1">IFERROR(INDEX(aps_equipes_esf!$C:$C, MATCH(1, (VALUE(LEFT(aps_equipes_esf!$A:$A,6))=VALUE(LEFT(B195,6)))*(aps_equipes_esf!$B:$B=C195), 0)), "")</f>
        <v>-</v>
      </c>
      <c r="L195" cm="1">
        <f t="array" aca="1" ref="L195" ca="1">IFERROR(INDEX(casos!$C:$C, MATCH(1, (VALUE(LEFT(casos!$A:$A,6))=VALUE(LEFT(B195,6)))*(casos!$B:$B=C195), 0)), "")</f>
        <v>224</v>
      </c>
      <c r="M195" cm="1">
        <f t="array" ref="M195">IFERROR(INDEX(srag!$D:$D, MATCH(1, (VALUE(LEFT(srag!$A:$A,6))=VALUE(LEFT(B195,6)))*(srag!$C:$C=C195), 0)), "")</f>
        <v>7887</v>
      </c>
      <c r="N195" cm="1">
        <f t="array" ref="N195">IFERROR(INDEX(fesp!$E:$E, MATCH(1, (VALUE(LEFT(fesp!$A:$A,6))=VALUE(LEFT(B195,6)))*(fesp!$C:$C=C195), 0)), "")</f>
        <v>154</v>
      </c>
      <c r="O195" cm="1">
        <f t="array" ref="O195">IFERROR(INDEX(fesp!$F:$F, MATCH(1, (VALUE(LEFT(fesp!$A:$A,6))=VALUE(LEFT(B195,6)))*(fesp!$C:$C=C195), 0)), "")</f>
        <v>2848</v>
      </c>
      <c r="P195" cm="1">
        <f t="array" ref="P195">IFERROR(INDEX(fesp!$G:$G, MATCH(1, (VALUE(LEFT(fesp!$A:$A,6))=VALUE(LEFT(B195,6)))*(fesp!$C:$C=C195), 0)), "")</f>
        <v>5254633</v>
      </c>
      <c r="Q195" cm="1">
        <f t="array" ref="Q195">IFERROR(INDEX(fesp!$H:$H, MATCH(1, (VALUE(LEFT(fesp!$A:$A,6))=VALUE(LEFT(B195,6)))*(fesp!$C:$C=C195), 0)), "")</f>
        <v>81</v>
      </c>
      <c r="R195" cm="1">
        <f t="array" ref="R195">IFERROR(INDEX(fesp!$I:$I, MATCH(1, (VALUE(LEFT(fesp!$A:$A,6))=VALUE(LEFT(B195,6)))*(fesp!$C:$C=C195), 0)), "")</f>
        <v>2912</v>
      </c>
      <c r="S195" cm="1">
        <f t="array" ref="S195">IFERROR(INDEX(fesp!$J:$J, MATCH(1, (VALUE(LEFT(fesp!$A:$A,6))=VALUE(LEFT(B195,6)))*(fesp!$C:$C=C195), 0)), "")</f>
        <v>2901</v>
      </c>
    </row>
    <row r="196" spans="1:19">
      <c r="A196" s="1" t="s">
        <v>71</v>
      </c>
      <c r="B196" s="3" t="s">
        <v>70</v>
      </c>
      <c r="C196" s="3">
        <v>2022</v>
      </c>
      <c r="D196" cm="1">
        <f t="array" ref="D196">IFERROR(INDEX(fesp!$D:$D, MATCH(1, (VALUE(LEFT(fesp!$A:$A,6))=VALUE(LEFT(B196,6)))*(fesp!$C:$C=C196), 0)), "")</f>
        <v>602757</v>
      </c>
      <c r="E196" cm="1">
        <f t="array" aca="1" ref="E196" ca="1">IFERROR(INDEX(ft_medicos_clinicos!$C:$C, MATCH(1, (VALUE(LEFT(ft_medicos_clinicos!$A:$A,6))=VALUE(LEFT(B196,6)))*(ft_medicos_clinicos!$B:$B=C196), 0)), "")</f>
        <v>974</v>
      </c>
      <c r="F196" cm="1">
        <f t="array" aca="1" ref="F196" ca="1">IFERROR(INDEX(ft_enfermeiros!$C:$C, MATCH(1, (VALUE(LEFT(ft_enfermeiros!$A:$A,6))=VALUE(LEFT(B196,6)))*(ft_enfermeiros!$B:$B=C196), 0)), "")</f>
        <v>1692</v>
      </c>
      <c r="G196" t="str" cm="1">
        <f t="array" aca="1" ref="G196" ca="1">IFERROR(INDEX(ft_equipes_acs!$C:$C, MATCH(1, (VALUE(LEFT(ft_equipes_acs!$A:$A,6))=VALUE(LEFT(B196,6)))*(ft_equipes_acs!$B:$B=C196), 0)), "")</f>
        <v>-</v>
      </c>
      <c r="H196" cm="1">
        <f t="array" aca="1" ref="H196" ca="1">IFERROR(INDEX(ci_leitos_internacao!$C:$C, MATCH(1, (VALUE(LEFT(ci_leitos_internacao!$A:$A,6))=VALUE(LEFT(B196,6)))*(ci_leitos_internacao!$B:$B=C196), 0)), "")</f>
        <v>2144</v>
      </c>
      <c r="I196" cm="1">
        <f t="array" aca="1" ref="I196" ca="1">IFERROR(INDEX(ci_hospitais_internacao!$C:$C, MATCH(1, (VALUE(LEFT(ci_hospitais_internacao!$A:$A,6))=VALUE(LEFT(B196,6)))*(ci_hospitais_internacao!$B:$B=C196), 0)), "")</f>
        <v>7</v>
      </c>
      <c r="J196" cm="1">
        <f t="array" aca="1" ref="J196" ca="1">IFERROR(INDEX(ci_pa_clinico!$C:$C, MATCH(1, (VALUE(LEFT(ci_pa_clinico!$A:$A,6))=VALUE(LEFT(B196,6)))*(ci_pa_clinico!$B:$B=C196), 0)), "")</f>
        <v>4</v>
      </c>
      <c r="K196" t="str" cm="1">
        <f t="array" aca="1" ref="K196" ca="1">IFERROR(INDEX(aps_equipes_esf!$C:$C, MATCH(1, (VALUE(LEFT(aps_equipes_esf!$A:$A,6))=VALUE(LEFT(B196,6)))*(aps_equipes_esf!$B:$B=C196), 0)), "")</f>
        <v>-</v>
      </c>
      <c r="L196" cm="1">
        <f t="array" aca="1" ref="L196" ca="1">IFERROR(INDEX(casos!$C:$C, MATCH(1, (VALUE(LEFT(casos!$A:$A,6))=VALUE(LEFT(B196,6)))*(casos!$B:$B=C196), 0)), "")</f>
        <v>3646</v>
      </c>
      <c r="M196" cm="1">
        <f t="array" ref="M196">IFERROR(INDEX(srag!$D:$D, MATCH(1, (VALUE(LEFT(srag!$A:$A,6))=VALUE(LEFT(B196,6)))*(srag!$C:$C=C196), 0)), "")</f>
        <v>2441</v>
      </c>
      <c r="N196" cm="1">
        <f t="array" ref="N196">IFERROR(INDEX(fesp!$E:$E, MATCH(1, (VALUE(LEFT(fesp!$A:$A,6))=VALUE(LEFT(B196,6)))*(fesp!$C:$C=C196), 0)), "")</f>
        <v>160</v>
      </c>
      <c r="O196" cm="1">
        <f t="array" ref="O196">IFERROR(INDEX(fesp!$F:$F, MATCH(1, (VALUE(LEFT(fesp!$A:$A,6))=VALUE(LEFT(B196,6)))*(fesp!$C:$C=C196), 0)), "")</f>
        <v>8294</v>
      </c>
      <c r="P196" cm="1">
        <f t="array" ref="P196">IFERROR(INDEX(fesp!$G:$G, MATCH(1, (VALUE(LEFT(fesp!$A:$A,6))=VALUE(LEFT(B196,6)))*(fesp!$C:$C=C196), 0)), "")</f>
        <v>4849448</v>
      </c>
      <c r="Q196" cm="1">
        <f t="array" ref="Q196">IFERROR(INDEX(fesp!$H:$H, MATCH(1, (VALUE(LEFT(fesp!$A:$A,6))=VALUE(LEFT(B196,6)))*(fesp!$C:$C=C196), 0)), "")</f>
        <v>81</v>
      </c>
      <c r="R196" cm="1">
        <f t="array" ref="R196">IFERROR(INDEX(fesp!$I:$I, MATCH(1, (VALUE(LEFT(fesp!$A:$A,6))=VALUE(LEFT(B196,6)))*(fesp!$C:$C=C196), 0)), "")</f>
        <v>5183</v>
      </c>
      <c r="S196" cm="1">
        <f t="array" ref="S196">IFERROR(INDEX(fesp!$J:$J, MATCH(1, (VALUE(LEFT(fesp!$A:$A,6))=VALUE(LEFT(B196,6)))*(fesp!$C:$C=C196), 0)), "")</f>
        <v>2026</v>
      </c>
    </row>
    <row r="197" spans="1:19">
      <c r="A197" s="1" t="s">
        <v>71</v>
      </c>
      <c r="B197" s="3" t="s">
        <v>70</v>
      </c>
      <c r="C197" s="3">
        <v>2023</v>
      </c>
      <c r="D197" cm="1">
        <f t="array" ref="D197">IFERROR(INDEX(fesp!$D:$D, MATCH(1, (VALUE(LEFT(fesp!$A:$A,6))=VALUE(LEFT(B197,6)))*(fesp!$C:$C=C197), 0)), "")</f>
        <v>0</v>
      </c>
      <c r="E197" cm="1">
        <f t="array" aca="1" ref="E197" ca="1">IFERROR(INDEX(ft_medicos_clinicos!$C:$C, MATCH(1, (VALUE(LEFT(ft_medicos_clinicos!$A:$A,6))=VALUE(LEFT(B197,6)))*(ft_medicos_clinicos!$B:$B=C197), 0)), "")</f>
        <v>1102</v>
      </c>
      <c r="F197" cm="1">
        <f t="array" aca="1" ref="F197" ca="1">IFERROR(INDEX(ft_enfermeiros!$C:$C, MATCH(1, (VALUE(LEFT(ft_enfermeiros!$A:$A,6))=VALUE(LEFT(B197,6)))*(ft_enfermeiros!$B:$B=C197), 0)), "")</f>
        <v>1964</v>
      </c>
      <c r="G197" t="str" cm="1">
        <f t="array" aca="1" ref="G197" ca="1">IFERROR(INDEX(ft_equipes_acs!$C:$C, MATCH(1, (VALUE(LEFT(ft_equipes_acs!$A:$A,6))=VALUE(LEFT(B197,6)))*(ft_equipes_acs!$B:$B=C197), 0)), "")</f>
        <v>-</v>
      </c>
      <c r="H197" cm="1">
        <f t="array" aca="1" ref="H197" ca="1">IFERROR(INDEX(ci_leitos_internacao!$C:$C, MATCH(1, (VALUE(LEFT(ci_leitos_internacao!$A:$A,6))=VALUE(LEFT(B197,6)))*(ci_leitos_internacao!$B:$B=C197), 0)), "")</f>
        <v>2177</v>
      </c>
      <c r="I197" cm="1">
        <f t="array" aca="1" ref="I197" ca="1">IFERROR(INDEX(ci_hospitais_internacao!$C:$C, MATCH(1, (VALUE(LEFT(ci_hospitais_internacao!$A:$A,6))=VALUE(LEFT(B197,6)))*(ci_hospitais_internacao!$B:$B=C197), 0)), "")</f>
        <v>9</v>
      </c>
      <c r="J197" cm="1">
        <f t="array" aca="1" ref="J197" ca="1">IFERROR(INDEX(ci_pa_clinico!$C:$C, MATCH(1, (VALUE(LEFT(ci_pa_clinico!$A:$A,6))=VALUE(LEFT(B197,6)))*(ci_pa_clinico!$B:$B=C197), 0)), "")</f>
        <v>5</v>
      </c>
      <c r="K197" t="str" cm="1">
        <f t="array" aca="1" ref="K197" ca="1">IFERROR(INDEX(aps_equipes_esf!$C:$C, MATCH(1, (VALUE(LEFT(aps_equipes_esf!$A:$A,6))=VALUE(LEFT(B197,6)))*(aps_equipes_esf!$B:$B=C197), 0)), "")</f>
        <v>-</v>
      </c>
      <c r="L197" cm="1">
        <f t="array" aca="1" ref="L197" ca="1">IFERROR(INDEX(casos!$C:$C, MATCH(1, (VALUE(LEFT(casos!$A:$A,6))=VALUE(LEFT(B197,6)))*(casos!$B:$B=C197), 0)), "")</f>
        <v>1474</v>
      </c>
      <c r="M197" cm="1">
        <f t="array" ref="M197">IFERROR(INDEX(srag!$D:$D, MATCH(1, (VALUE(LEFT(srag!$A:$A,6))=VALUE(LEFT(B197,6)))*(srag!$C:$C=C197), 0)), "")</f>
        <v>1371</v>
      </c>
      <c r="N197" cm="1">
        <f t="array" ref="N197">IFERROR(INDEX(fesp!$E:$E, MATCH(1, (VALUE(LEFT(fesp!$A:$A,6))=VALUE(LEFT(B197,6)))*(fesp!$C:$C=C197), 0)), "")</f>
        <v>162</v>
      </c>
      <c r="O197" cm="1">
        <f t="array" ref="O197">IFERROR(INDEX(fesp!$F:$F, MATCH(1, (VALUE(LEFT(fesp!$A:$A,6))=VALUE(LEFT(B197,6)))*(fesp!$C:$C=C197), 0)), "")</f>
        <v>12929</v>
      </c>
      <c r="P197" cm="1">
        <f t="array" ref="P197">IFERROR(INDEX(fesp!$G:$G, MATCH(1, (VALUE(LEFT(fesp!$A:$A,6))=VALUE(LEFT(B197,6)))*(fesp!$C:$C=C197), 0)), "")</f>
        <v>6445795</v>
      </c>
      <c r="Q197" cm="1">
        <f t="array" ref="Q197">IFERROR(INDEX(fesp!$H:$H, MATCH(1, (VALUE(LEFT(fesp!$A:$A,6))=VALUE(LEFT(B197,6)))*(fesp!$C:$C=C197), 0)), "")</f>
        <v>140</v>
      </c>
      <c r="R197" cm="1">
        <f t="array" ref="R197">IFERROR(INDEX(fesp!$I:$I, MATCH(1, (VALUE(LEFT(fesp!$A:$A,6))=VALUE(LEFT(B197,6)))*(fesp!$C:$C=C197), 0)), "")</f>
        <v>6524</v>
      </c>
      <c r="S197" cm="1">
        <f t="array" ref="S197">IFERROR(INDEX(fesp!$J:$J, MATCH(1, (VALUE(LEFT(fesp!$A:$A,6))=VALUE(LEFT(B197,6)))*(fesp!$C:$C=C197), 0)), "")</f>
        <v>2678</v>
      </c>
    </row>
    <row r="198" spans="1:19">
      <c r="A198" s="1" t="s">
        <v>71</v>
      </c>
      <c r="B198" s="3" t="s">
        <v>70</v>
      </c>
      <c r="C198" s="3">
        <v>2024</v>
      </c>
      <c r="D198" cm="1">
        <f t="array" ref="D198">IFERROR(INDEX(fesp!$D:$D, MATCH(1, (VALUE(LEFT(fesp!$A:$A,6))=VALUE(LEFT(B198,6)))*(fesp!$C:$C=C198), 0)), "")</f>
        <v>0</v>
      </c>
      <c r="E198" cm="1">
        <f t="array" aca="1" ref="E198" ca="1">IFERROR(INDEX(ft_medicos_clinicos!$C:$C, MATCH(1, (VALUE(LEFT(ft_medicos_clinicos!$A:$A,6))=VALUE(LEFT(B198,6)))*(ft_medicos_clinicos!$B:$B=C198), 0)), "")</f>
        <v>1277</v>
      </c>
      <c r="F198" cm="1">
        <f t="array" aca="1" ref="F198" ca="1">IFERROR(INDEX(ft_enfermeiros!$C:$C, MATCH(1, (VALUE(LEFT(ft_enfermeiros!$A:$A,6))=VALUE(LEFT(B198,6)))*(ft_enfermeiros!$B:$B=C198), 0)), "")</f>
        <v>2055</v>
      </c>
      <c r="G198" t="str" cm="1">
        <f t="array" aca="1" ref="G198" ca="1">IFERROR(INDEX(ft_equipes_acs!$C:$C, MATCH(1, (VALUE(LEFT(ft_equipes_acs!$A:$A,6))=VALUE(LEFT(B198,6)))*(ft_equipes_acs!$B:$B=C198), 0)), "")</f>
        <v>-</v>
      </c>
      <c r="H198" cm="1">
        <f t="array" aca="1" ref="H198" ca="1">IFERROR(INDEX(ci_leitos_internacao!$C:$C, MATCH(1, (VALUE(LEFT(ci_leitos_internacao!$A:$A,6))=VALUE(LEFT(B198,6)))*(ci_leitos_internacao!$B:$B=C198), 0)), "")</f>
        <v>2203</v>
      </c>
      <c r="I198" cm="1">
        <f t="array" aca="1" ref="I198" ca="1">IFERROR(INDEX(ci_hospitais_internacao!$C:$C, MATCH(1, (VALUE(LEFT(ci_hospitais_internacao!$A:$A,6))=VALUE(LEFT(B198,6)))*(ci_hospitais_internacao!$B:$B=C198), 0)), "")</f>
        <v>9</v>
      </c>
      <c r="J198" cm="1">
        <f t="array" aca="1" ref="J198" ca="1">IFERROR(INDEX(ci_pa_clinico!$C:$C, MATCH(1, (VALUE(LEFT(ci_pa_clinico!$A:$A,6))=VALUE(LEFT(B198,6)))*(ci_pa_clinico!$B:$B=C198), 0)), "")</f>
        <v>5</v>
      </c>
      <c r="K198" t="str" cm="1">
        <f t="array" aca="1" ref="K198" ca="1">IFERROR(INDEX(aps_equipes_esf!$C:$C, MATCH(1, (VALUE(LEFT(aps_equipes_esf!$A:$A,6))=VALUE(LEFT(B198,6)))*(aps_equipes_esf!$B:$B=C198), 0)), "")</f>
        <v>-</v>
      </c>
      <c r="L198" cm="1">
        <f t="array" aca="1" ref="L198" ca="1">IFERROR(INDEX(casos!$C:$C, MATCH(1, (VALUE(LEFT(casos!$A:$A,6))=VALUE(LEFT(B198,6)))*(casos!$B:$B=C198), 0)), "")</f>
        <v>868</v>
      </c>
      <c r="M198" cm="1">
        <f t="array" ref="M198">IFERROR(INDEX(srag!$D:$D, MATCH(1, (VALUE(LEFT(srag!$A:$A,6))=VALUE(LEFT(B198,6)))*(srag!$C:$C=C198), 0)), "")</f>
        <v>1939</v>
      </c>
      <c r="N198" cm="1">
        <f t="array" ref="N198">IFERROR(INDEX(fesp!$E:$E, MATCH(1, (VALUE(LEFT(fesp!$A:$A,6))=VALUE(LEFT(B198,6)))*(fesp!$C:$C=C198), 0)), "")</f>
        <v>248</v>
      </c>
      <c r="O198" cm="1">
        <f t="array" ref="O198">IFERROR(INDEX(fesp!$F:$F, MATCH(1, (VALUE(LEFT(fesp!$A:$A,6))=VALUE(LEFT(B198,6)))*(fesp!$C:$C=C198), 0)), "")</f>
        <v>12713</v>
      </c>
      <c r="P198" cm="1">
        <f t="array" ref="P198">IFERROR(INDEX(fesp!$G:$G, MATCH(1, (VALUE(LEFT(fesp!$A:$A,6))=VALUE(LEFT(B198,6)))*(fesp!$C:$C=C198), 0)), "")</f>
        <v>5841654</v>
      </c>
      <c r="Q198" cm="1">
        <f t="array" ref="Q198">IFERROR(INDEX(fesp!$H:$H, MATCH(1, (VALUE(LEFT(fesp!$A:$A,6))=VALUE(LEFT(B198,6)))*(fesp!$C:$C=C198), 0)), "")</f>
        <v>190</v>
      </c>
      <c r="R198" cm="1">
        <f t="array" ref="R198">IFERROR(INDEX(fesp!$I:$I, MATCH(1, (VALUE(LEFT(fesp!$A:$A,6))=VALUE(LEFT(B198,6)))*(fesp!$C:$C=C198), 0)), "")</f>
        <v>6911</v>
      </c>
      <c r="S198" cm="1">
        <f t="array" ref="S198">IFERROR(INDEX(fesp!$J:$J, MATCH(1, (VALUE(LEFT(fesp!$A:$A,6))=VALUE(LEFT(B198,6)))*(fesp!$C:$C=C198), 0)), "")</f>
        <v>2837</v>
      </c>
    </row>
    <row r="199" spans="1:19">
      <c r="A199" s="1" t="s">
        <v>71</v>
      </c>
      <c r="B199" s="3">
        <v>2800308</v>
      </c>
      <c r="C199" s="3">
        <v>2025</v>
      </c>
      <c r="D199" cm="1">
        <f t="array" ref="D199">IFERROR(INDEX(fesp!$D:$D, MATCH(1, (VALUE(LEFT(fesp!$A:$A,6))=VALUE(LEFT(B199,6)))*(fesp!$C:$C=C199), 0)), "")</f>
        <v>0</v>
      </c>
      <c r="E199" cm="1">
        <f t="array" aca="1" ref="E199" ca="1">IFERROR(INDEX(ft_medicos_clinicos!$C:$C, MATCH(1, (VALUE(LEFT(ft_medicos_clinicos!$A:$A,6))=VALUE(LEFT(B199,6)))*(ft_medicos_clinicos!$B:$B=C199), 0)), "")</f>
        <v>1278</v>
      </c>
      <c r="F199" cm="1">
        <f t="array" aca="1" ref="F199" ca="1">IFERROR(INDEX(ft_enfermeiros!$C:$C, MATCH(1, (VALUE(LEFT(ft_enfermeiros!$A:$A,6))=VALUE(LEFT(B199,6)))*(ft_enfermeiros!$B:$B=C199), 0)), "")</f>
        <v>2342</v>
      </c>
      <c r="G199" t="str" cm="1">
        <f t="array" aca="1" ref="G199" ca="1">IFERROR(INDEX(ft_equipes_acs!$C:$C, MATCH(1, (VALUE(LEFT(ft_equipes_acs!$A:$A,6))=VALUE(LEFT(B199,6)))*(ft_equipes_acs!$B:$B=C199), 0)), "")</f>
        <v>-</v>
      </c>
      <c r="H199" cm="1">
        <f t="array" aca="1" ref="H199" ca="1">IFERROR(INDEX(ci_leitos_internacao!$C:$C, MATCH(1, (VALUE(LEFT(ci_leitos_internacao!$A:$A,6))=VALUE(LEFT(B199,6)))*(ci_leitos_internacao!$B:$B=C199), 0)), "")</f>
        <v>2458</v>
      </c>
      <c r="I199" cm="1">
        <f t="array" aca="1" ref="I199" ca="1">IFERROR(INDEX(ci_hospitais_internacao!$C:$C, MATCH(1, (VALUE(LEFT(ci_hospitais_internacao!$A:$A,6))=VALUE(LEFT(B199,6)))*(ci_hospitais_internacao!$B:$B=C199), 0)), "")</f>
        <v>12</v>
      </c>
      <c r="J199" cm="1">
        <f t="array" aca="1" ref="J199" ca="1">IFERROR(INDEX(ci_pa_clinico!$C:$C, MATCH(1, (VALUE(LEFT(ci_pa_clinico!$A:$A,6))=VALUE(LEFT(B199,6)))*(ci_pa_clinico!$B:$B=C199), 0)), "")</f>
        <v>6</v>
      </c>
      <c r="K199" t="str" cm="1">
        <f t="array" aca="1" ref="K199" ca="1">IFERROR(INDEX(aps_equipes_esf!$C:$C, MATCH(1, (VALUE(LEFT(aps_equipes_esf!$A:$A,6))=VALUE(LEFT(B199,6)))*(aps_equipes_esf!$B:$B=C199), 0)), "")</f>
        <v>-</v>
      </c>
      <c r="L199" cm="1">
        <f t="array" aca="1" ref="L199" ca="1">IFERROR(INDEX(casos!$C:$C, MATCH(1, (VALUE(LEFT(casos!$A:$A,6))=VALUE(LEFT(B199,6)))*(casos!$B:$B=C199), 0)), "")</f>
        <v>678</v>
      </c>
      <c r="M199" cm="1">
        <f t="array" ref="M199">IFERROR(INDEX(srag!$D:$D, MATCH(1, (VALUE(LEFT(srag!$A:$A,6))=VALUE(LEFT(B199,6)))*(srag!$C:$C=C199), 0)), "")</f>
        <v>1810</v>
      </c>
      <c r="N199" cm="1">
        <f t="array" ref="N199">IFERROR(INDEX(fesp!$E:$E, MATCH(1, (VALUE(LEFT(fesp!$A:$A,6))=VALUE(LEFT(B199,6)))*(fesp!$C:$C=C199), 0)), "")</f>
        <v>180</v>
      </c>
      <c r="O199" cm="1">
        <f t="array" ref="O199">IFERROR(INDEX(fesp!$F:$F, MATCH(1, (VALUE(LEFT(fesp!$A:$A,6))=VALUE(LEFT(B199,6)))*(fesp!$C:$C=C199), 0)), "")</f>
        <v>4488</v>
      </c>
      <c r="P199" cm="1">
        <f t="array" ref="P199">IFERROR(INDEX(fesp!$G:$G, MATCH(1, (VALUE(LEFT(fesp!$A:$A,6))=VALUE(LEFT(B199,6)))*(fesp!$C:$C=C199), 0)), "")</f>
        <v>5253336</v>
      </c>
      <c r="Q199" cm="1">
        <f t="array" ref="Q199">IFERROR(INDEX(fesp!$H:$H, MATCH(1, (VALUE(LEFT(fesp!$A:$A,6))=VALUE(LEFT(B199,6)))*(fesp!$C:$C=C199), 0)), "")</f>
        <v>55</v>
      </c>
      <c r="R199" cm="1">
        <f t="array" ref="R199">IFERROR(INDEX(fesp!$I:$I, MATCH(1, (VALUE(LEFT(fesp!$A:$A,6))=VALUE(LEFT(B199,6)))*(fesp!$C:$C=C199), 0)), "")</f>
        <v>7132</v>
      </c>
      <c r="S199" cm="1">
        <f t="array" ref="S199">IFERROR(INDEX(fesp!$J:$J, MATCH(1, (VALUE(LEFT(fesp!$A:$A,6))=VALUE(LEFT(B199,6)))*(fesp!$C:$C=C199), 0)), "")</f>
        <v>2738</v>
      </c>
    </row>
    <row r="200" spans="1:19">
      <c r="A200" s="1" t="s">
        <v>67</v>
      </c>
      <c r="B200" s="3">
        <v>2910800</v>
      </c>
      <c r="C200" s="3">
        <v>2015</v>
      </c>
      <c r="D200" cm="1">
        <f t="array" ref="D200">IFERROR(INDEX(fesp!$D:$D, MATCH(1, (VALUE(LEFT(fesp!$A:$A,6))=VALUE(LEFT(B200,6)))*(fesp!$C:$C=C200), 0)), "")</f>
        <v>617528</v>
      </c>
      <c r="E200" cm="1">
        <f t="array" aca="1" ref="E200" ca="1">IFERROR(INDEX(ft_medicos_clinicos!$C:$C, MATCH(1, (VALUE(LEFT(ft_medicos_clinicos!$A:$A,6))=VALUE(LEFT(B200,6)))*(ft_medicos_clinicos!$B:$B=C200), 0)), "")</f>
        <v>210</v>
      </c>
      <c r="F200" cm="1">
        <f t="array" aca="1" ref="F200" ca="1">IFERROR(INDEX(ft_enfermeiros!$C:$C, MATCH(1, (VALUE(LEFT(ft_enfermeiros!$A:$A,6))=VALUE(LEFT(B200,6)))*(ft_enfermeiros!$B:$B=C200), 0)), "")</f>
        <v>588</v>
      </c>
      <c r="G200" cm="1">
        <f t="array" aca="1" ref="G200" ca="1">IFERROR(INDEX(ft_equipes_acs!$C:$C, MATCH(1, (VALUE(LEFT(ft_equipes_acs!$A:$A,6))=VALUE(LEFT(B200,6)))*(ft_equipes_acs!$B:$B=C200), 0)), "")</f>
        <v>29</v>
      </c>
      <c r="H200" cm="1">
        <f t="array" aca="1" ref="H200" ca="1">IFERROR(INDEX(ci_leitos_internacao!$C:$C, MATCH(1, (VALUE(LEFT(ci_leitos_internacao!$A:$A,6))=VALUE(LEFT(B200,6)))*(ci_leitos_internacao!$B:$B=C200), 0)), "")</f>
        <v>1404</v>
      </c>
      <c r="I200" cm="1">
        <f t="array" aca="1" ref="I200" ca="1">IFERROR(INDEX(ci_hospitais_internacao!$C:$C, MATCH(1, (VALUE(LEFT(ci_hospitais_internacao!$A:$A,6))=VALUE(LEFT(B200,6)))*(ci_hospitais_internacao!$B:$B=C200), 0)), "")</f>
        <v>4</v>
      </c>
      <c r="J200" t="str" cm="1">
        <f t="array" aca="1" ref="J200" ca="1">IFERROR(INDEX(ci_pa_clinico!$C:$C, MATCH(1, (VALUE(LEFT(ci_pa_clinico!$A:$A,6))=VALUE(LEFT(B200,6)))*(ci_pa_clinico!$B:$B=C200), 0)), "")</f>
        <v/>
      </c>
      <c r="K200" cm="1">
        <f t="array" aca="1" ref="K200" ca="1">IFERROR(INDEX(aps_equipes_esf!$C:$C, MATCH(1, (VALUE(LEFT(aps_equipes_esf!$A:$A,6))=VALUE(LEFT(B200,6)))*(aps_equipes_esf!$B:$B=C200), 0)), "")</f>
        <v>56</v>
      </c>
      <c r="L200" cm="1">
        <f t="array" aca="1" ref="L200" ca="1">IFERROR(INDEX(casos!$C:$C, MATCH(1, (VALUE(LEFT(casos!$A:$A,6))=VALUE(LEFT(B200,6)))*(casos!$B:$B=C200), 0)), "")</f>
        <v>1938</v>
      </c>
      <c r="M200" cm="1">
        <f t="array" ref="M200">IFERROR(INDEX(srag!$D:$D, MATCH(1, (VALUE(LEFT(srag!$A:$A,6))=VALUE(LEFT(B200,6)))*(srag!$C:$C=C200), 0)), "")</f>
        <v>14</v>
      </c>
      <c r="N200" cm="1">
        <f t="array" ref="N200">IFERROR(INDEX(fesp!$E:$E, MATCH(1, (VALUE(LEFT(fesp!$A:$A,6))=VALUE(LEFT(B200,6)))*(fesp!$C:$C=C200), 0)), "")</f>
        <v>130</v>
      </c>
      <c r="O200" cm="1">
        <f t="array" ref="O200">IFERROR(INDEX(fesp!$F:$F, MATCH(1, (VALUE(LEFT(fesp!$A:$A,6))=VALUE(LEFT(B200,6)))*(fesp!$C:$C=C200), 0)), "")</f>
        <v>5205</v>
      </c>
      <c r="P200" cm="1">
        <f t="array" ref="P200">IFERROR(INDEX(fesp!$G:$G, MATCH(1, (VALUE(LEFT(fesp!$A:$A,6))=VALUE(LEFT(B200,6)))*(fesp!$C:$C=C200), 0)), "")</f>
        <v>2881442</v>
      </c>
      <c r="Q200" cm="1">
        <f t="array" ref="Q200">IFERROR(INDEX(fesp!$H:$H, MATCH(1, (VALUE(LEFT(fesp!$A:$A,6))=VALUE(LEFT(B200,6)))*(fesp!$C:$C=C200), 0)), "")</f>
        <v>96</v>
      </c>
      <c r="R200" cm="1">
        <f t="array" ref="R200">IFERROR(INDEX(fesp!$I:$I, MATCH(1, (VALUE(LEFT(fesp!$A:$A,6))=VALUE(LEFT(B200,6)))*(fesp!$C:$C=C200), 0)), "")</f>
        <v>1869</v>
      </c>
      <c r="S200" cm="1">
        <f t="array" ref="S200">IFERROR(INDEX(fesp!$J:$J, MATCH(1, (VALUE(LEFT(fesp!$A:$A,6))=VALUE(LEFT(B200,6)))*(fesp!$C:$C=C200), 0)), "")</f>
        <v>53940</v>
      </c>
    </row>
    <row r="201" spans="1:19">
      <c r="A201" s="1" t="s">
        <v>67</v>
      </c>
      <c r="B201" s="3">
        <v>2910800</v>
      </c>
      <c r="C201" s="3">
        <v>2016</v>
      </c>
      <c r="D201" cm="1">
        <f t="array" ref="D201">IFERROR(INDEX(fesp!$D:$D, MATCH(1, (VALUE(LEFT(fesp!$A:$A,6))=VALUE(LEFT(B201,6)))*(fesp!$C:$C=C201), 0)), "")</f>
        <v>0</v>
      </c>
      <c r="E201" cm="1">
        <f t="array" aca="1" ref="E201" ca="1">IFERROR(INDEX(ft_medicos_clinicos!$C:$C, MATCH(1, (VALUE(LEFT(ft_medicos_clinicos!$A:$A,6))=VALUE(LEFT(B201,6)))*(ft_medicos_clinicos!$B:$B=C201), 0)), "")</f>
        <v>209</v>
      </c>
      <c r="F201" cm="1">
        <f t="array" aca="1" ref="F201" ca="1">IFERROR(INDEX(ft_enfermeiros!$C:$C, MATCH(1, (VALUE(LEFT(ft_enfermeiros!$A:$A,6))=VALUE(LEFT(B201,6)))*(ft_enfermeiros!$B:$B=C201), 0)), "")</f>
        <v>632</v>
      </c>
      <c r="G201" cm="1">
        <f t="array" aca="1" ref="G201" ca="1">IFERROR(INDEX(ft_equipes_acs!$C:$C, MATCH(1, (VALUE(LEFT(ft_equipes_acs!$A:$A,6))=VALUE(LEFT(B201,6)))*(ft_equipes_acs!$B:$B=C201), 0)), "")</f>
        <v>29</v>
      </c>
      <c r="H201" cm="1">
        <f t="array" aca="1" ref="H201" ca="1">IFERROR(INDEX(ci_leitos_internacao!$C:$C, MATCH(1, (VALUE(LEFT(ci_leitos_internacao!$A:$A,6))=VALUE(LEFT(B201,6)))*(ci_leitos_internacao!$B:$B=C201), 0)), "")</f>
        <v>1366</v>
      </c>
      <c r="I201" cm="1">
        <f t="array" aca="1" ref="I201" ca="1">IFERROR(INDEX(ci_hospitais_internacao!$C:$C, MATCH(1, (VALUE(LEFT(ci_hospitais_internacao!$A:$A,6))=VALUE(LEFT(B201,6)))*(ci_hospitais_internacao!$B:$B=C201), 0)), "")</f>
        <v>5</v>
      </c>
      <c r="J201" t="str" cm="1">
        <f t="array" aca="1" ref="J201" ca="1">IFERROR(INDEX(ci_pa_clinico!$C:$C, MATCH(1, (VALUE(LEFT(ci_pa_clinico!$A:$A,6))=VALUE(LEFT(B201,6)))*(ci_pa_clinico!$B:$B=C201), 0)), "")</f>
        <v/>
      </c>
      <c r="K201" cm="1">
        <f t="array" aca="1" ref="K201" ca="1">IFERROR(INDEX(aps_equipes_esf!$C:$C, MATCH(1, (VALUE(LEFT(aps_equipes_esf!$A:$A,6))=VALUE(LEFT(B201,6)))*(aps_equipes_esf!$B:$B=C201), 0)), "")</f>
        <v>68</v>
      </c>
      <c r="L201" cm="1">
        <f t="array" aca="1" ref="L201" ca="1">IFERROR(INDEX(casos!$C:$C, MATCH(1, (VALUE(LEFT(casos!$A:$A,6))=VALUE(LEFT(B201,6)))*(casos!$B:$B=C201), 0)), "")</f>
        <v>315</v>
      </c>
      <c r="M201" cm="1">
        <f t="array" ref="M201">IFERROR(INDEX(srag!$D:$D, MATCH(1, (VALUE(LEFT(srag!$A:$A,6))=VALUE(LEFT(B201,6)))*(srag!$C:$C=C201), 0)), "")</f>
        <v>27</v>
      </c>
      <c r="N201" cm="1">
        <f t="array" ref="N201">IFERROR(INDEX(fesp!$E:$E, MATCH(1, (VALUE(LEFT(fesp!$A:$A,6))=VALUE(LEFT(B201,6)))*(fesp!$C:$C=C201), 0)), "")</f>
        <v>121</v>
      </c>
      <c r="O201" cm="1">
        <f t="array" ref="O201">IFERROR(INDEX(fesp!$F:$F, MATCH(1, (VALUE(LEFT(fesp!$A:$A,6))=VALUE(LEFT(B201,6)))*(fesp!$C:$C=C201), 0)), "")</f>
        <v>6005</v>
      </c>
      <c r="P201" cm="1">
        <f t="array" ref="P201">IFERROR(INDEX(fesp!$G:$G, MATCH(1, (VALUE(LEFT(fesp!$A:$A,6))=VALUE(LEFT(B201,6)))*(fesp!$C:$C=C201), 0)), "")</f>
        <v>2828168</v>
      </c>
      <c r="Q201" cm="1">
        <f t="array" ref="Q201">IFERROR(INDEX(fesp!$H:$H, MATCH(1, (VALUE(LEFT(fesp!$A:$A,6))=VALUE(LEFT(B201,6)))*(fesp!$C:$C=C201), 0)), "")</f>
        <v>104</v>
      </c>
      <c r="R201" cm="1">
        <f t="array" ref="R201">IFERROR(INDEX(fesp!$I:$I, MATCH(1, (VALUE(LEFT(fesp!$A:$A,6))=VALUE(LEFT(B201,6)))*(fesp!$C:$C=C201), 0)), "")</f>
        <v>6630</v>
      </c>
      <c r="S201" cm="1">
        <f t="array" ref="S201">IFERROR(INDEX(fesp!$J:$J, MATCH(1, (VALUE(LEFT(fesp!$A:$A,6))=VALUE(LEFT(B201,6)))*(fesp!$C:$C=C201), 0)), "")</f>
        <v>110239</v>
      </c>
    </row>
    <row r="202" spans="1:19">
      <c r="A202" s="1" t="s">
        <v>67</v>
      </c>
      <c r="B202" s="3" t="s">
        <v>66</v>
      </c>
      <c r="C202" s="3">
        <v>2017</v>
      </c>
      <c r="D202" cm="1">
        <f t="array" ref="D202">IFERROR(INDEX(fesp!$D:$D, MATCH(1, (VALUE(LEFT(fesp!$A:$A,6))=VALUE(LEFT(B202,6)))*(fesp!$C:$C=C202), 0)), "")</f>
        <v>0</v>
      </c>
      <c r="E202" cm="1">
        <f t="array" aca="1" ref="E202" ca="1">IFERROR(INDEX(ft_medicos_clinicos!$C:$C, MATCH(1, (VALUE(LEFT(ft_medicos_clinicos!$A:$A,6))=VALUE(LEFT(B202,6)))*(ft_medicos_clinicos!$B:$B=C202), 0)), "")</f>
        <v>216</v>
      </c>
      <c r="F202" cm="1">
        <f t="array" aca="1" ref="F202" ca="1">IFERROR(INDEX(ft_enfermeiros!$C:$C, MATCH(1, (VALUE(LEFT(ft_enfermeiros!$A:$A,6))=VALUE(LEFT(B202,6)))*(ft_enfermeiros!$B:$B=C202), 0)), "")</f>
        <v>634</v>
      </c>
      <c r="G202" cm="1">
        <f t="array" aca="1" ref="G202" ca="1">IFERROR(INDEX(ft_equipes_acs!$C:$C, MATCH(1, (VALUE(LEFT(ft_equipes_acs!$A:$A,6))=VALUE(LEFT(B202,6)))*(ft_equipes_acs!$B:$B=C202), 0)), "")</f>
        <v>29</v>
      </c>
      <c r="H202" cm="1">
        <f t="array" aca="1" ref="H202" ca="1">IFERROR(INDEX(ci_leitos_internacao!$C:$C, MATCH(1, (VALUE(LEFT(ci_leitos_internacao!$A:$A,6))=VALUE(LEFT(B202,6)))*(ci_leitos_internacao!$B:$B=C202), 0)), "")</f>
        <v>1346</v>
      </c>
      <c r="I202" cm="1">
        <f t="array" aca="1" ref="I202" ca="1">IFERROR(INDEX(ci_hospitais_internacao!$C:$C, MATCH(1, (VALUE(LEFT(ci_hospitais_internacao!$A:$A,6))=VALUE(LEFT(B202,6)))*(ci_hospitais_internacao!$B:$B=C202), 0)), "")</f>
        <v>4</v>
      </c>
      <c r="J202" t="str" cm="1">
        <f t="array" aca="1" ref="J202" ca="1">IFERROR(INDEX(ci_pa_clinico!$C:$C, MATCH(1, (VALUE(LEFT(ci_pa_clinico!$A:$A,6))=VALUE(LEFT(B202,6)))*(ci_pa_clinico!$B:$B=C202), 0)), "")</f>
        <v/>
      </c>
      <c r="K202" cm="1">
        <f t="array" aca="1" ref="K202" ca="1">IFERROR(INDEX(aps_equipes_esf!$C:$C, MATCH(1, (VALUE(LEFT(aps_equipes_esf!$A:$A,6))=VALUE(LEFT(B202,6)))*(aps_equipes_esf!$B:$B=C202), 0)), "")</f>
        <v>63</v>
      </c>
      <c r="L202" cm="1">
        <f t="array" aca="1" ref="L202" ca="1">IFERROR(INDEX(casos!$C:$C, MATCH(1, (VALUE(LEFT(casos!$A:$A,6))=VALUE(LEFT(B202,6)))*(casos!$B:$B=C202), 0)), "")</f>
        <v>169</v>
      </c>
      <c r="M202" cm="1">
        <f t="array" ref="M202">IFERROR(INDEX(srag!$D:$D, MATCH(1, (VALUE(LEFT(srag!$A:$A,6))=VALUE(LEFT(B202,6)))*(srag!$C:$C=C202), 0)), "")</f>
        <v>10</v>
      </c>
      <c r="N202" cm="1">
        <f t="array" ref="N202">IFERROR(INDEX(fesp!$E:$E, MATCH(1, (VALUE(LEFT(fesp!$A:$A,6))=VALUE(LEFT(B202,6)))*(fesp!$C:$C=C202), 0)), "")</f>
        <v>101</v>
      </c>
      <c r="O202" cm="1">
        <f t="array" ref="O202">IFERROR(INDEX(fesp!$F:$F, MATCH(1, (VALUE(LEFT(fesp!$A:$A,6))=VALUE(LEFT(B202,6)))*(fesp!$C:$C=C202), 0)), "")</f>
        <v>5310</v>
      </c>
      <c r="P202" cm="1">
        <f t="array" ref="P202">IFERROR(INDEX(fesp!$G:$G, MATCH(1, (VALUE(LEFT(fesp!$A:$A,6))=VALUE(LEFT(B202,6)))*(fesp!$C:$C=C202), 0)), "")</f>
        <v>3007187</v>
      </c>
      <c r="Q202" cm="1">
        <f t="array" ref="Q202">IFERROR(INDEX(fesp!$H:$H, MATCH(1, (VALUE(LEFT(fesp!$A:$A,6))=VALUE(LEFT(B202,6)))*(fesp!$C:$C=C202), 0)), "")</f>
        <v>55</v>
      </c>
      <c r="R202" cm="1">
        <f t="array" ref="R202">IFERROR(INDEX(fesp!$I:$I, MATCH(1, (VALUE(LEFT(fesp!$A:$A,6))=VALUE(LEFT(B202,6)))*(fesp!$C:$C=C202), 0)), "")</f>
        <v>13023</v>
      </c>
      <c r="S202" cm="1">
        <f t="array" ref="S202">IFERROR(INDEX(fesp!$J:$J, MATCH(1, (VALUE(LEFT(fesp!$A:$A,6))=VALUE(LEFT(B202,6)))*(fesp!$C:$C=C202), 0)), "")</f>
        <v>78796</v>
      </c>
    </row>
    <row r="203" spans="1:19">
      <c r="A203" s="1" t="s">
        <v>67</v>
      </c>
      <c r="B203" s="3">
        <v>2910800</v>
      </c>
      <c r="C203" s="3">
        <v>2018</v>
      </c>
      <c r="D203" cm="1">
        <f t="array" ref="D203">IFERROR(INDEX(fesp!$D:$D, MATCH(1, (VALUE(LEFT(fesp!$A:$A,6))=VALUE(LEFT(B203,6)))*(fesp!$C:$C=C203), 0)), "")</f>
        <v>0</v>
      </c>
      <c r="E203" cm="1">
        <f t="array" aca="1" ref="E203" ca="1">IFERROR(INDEX(ft_medicos_clinicos!$C:$C, MATCH(1, (VALUE(LEFT(ft_medicos_clinicos!$A:$A,6))=VALUE(LEFT(B203,6)))*(ft_medicos_clinicos!$B:$B=C203), 0)), "")</f>
        <v>248</v>
      </c>
      <c r="F203" cm="1">
        <f t="array" aca="1" ref="F203" ca="1">IFERROR(INDEX(ft_enfermeiros!$C:$C, MATCH(1, (VALUE(LEFT(ft_enfermeiros!$A:$A,6))=VALUE(LEFT(B203,6)))*(ft_enfermeiros!$B:$B=C203), 0)), "")</f>
        <v>753</v>
      </c>
      <c r="G203" cm="1">
        <f t="array" aca="1" ref="G203" ca="1">IFERROR(INDEX(ft_equipes_acs!$C:$C, MATCH(1, (VALUE(LEFT(ft_equipes_acs!$A:$A,6))=VALUE(LEFT(B203,6)))*(ft_equipes_acs!$B:$B=C203), 0)), "")</f>
        <v>25</v>
      </c>
      <c r="H203" cm="1">
        <f t="array" aca="1" ref="H203" ca="1">IFERROR(INDEX(ci_leitos_internacao!$C:$C, MATCH(1, (VALUE(LEFT(ci_leitos_internacao!$A:$A,6))=VALUE(LEFT(B203,6)))*(ci_leitos_internacao!$B:$B=C203), 0)), "")</f>
        <v>1343</v>
      </c>
      <c r="I203" cm="1">
        <f t="array" aca="1" ref="I203" ca="1">IFERROR(INDEX(ci_hospitais_internacao!$C:$C, MATCH(1, (VALUE(LEFT(ci_hospitais_internacao!$A:$A,6))=VALUE(LEFT(B203,6)))*(ci_hospitais_internacao!$B:$B=C203), 0)), "")</f>
        <v>4</v>
      </c>
      <c r="J203" t="str" cm="1">
        <f t="array" aca="1" ref="J203" ca="1">IFERROR(INDEX(ci_pa_clinico!$C:$C, MATCH(1, (VALUE(LEFT(ci_pa_clinico!$A:$A,6))=VALUE(LEFT(B203,6)))*(ci_pa_clinico!$B:$B=C203), 0)), "")</f>
        <v/>
      </c>
      <c r="K203" cm="1">
        <f t="array" aca="1" ref="K203" ca="1">IFERROR(INDEX(aps_equipes_esf!$C:$C, MATCH(1, (VALUE(LEFT(aps_equipes_esf!$A:$A,6))=VALUE(LEFT(B203,6)))*(aps_equipes_esf!$B:$B=C203), 0)), "")</f>
        <v>61</v>
      </c>
      <c r="L203" cm="1">
        <f t="array" aca="1" ref="L203" ca="1">IFERROR(INDEX(casos!$C:$C, MATCH(1, (VALUE(LEFT(casos!$A:$A,6))=VALUE(LEFT(B203,6)))*(casos!$B:$B=C203), 0)), "")</f>
        <v>650</v>
      </c>
      <c r="M203" cm="1">
        <f t="array" ref="M203">IFERROR(INDEX(srag!$D:$D, MATCH(1, (VALUE(LEFT(srag!$A:$A,6))=VALUE(LEFT(B203,6)))*(srag!$C:$C=C203), 0)), "")</f>
        <v>109</v>
      </c>
      <c r="N203" cm="1">
        <f t="array" ref="N203">IFERROR(INDEX(fesp!$E:$E, MATCH(1, (VALUE(LEFT(fesp!$A:$A,6))=VALUE(LEFT(B203,6)))*(fesp!$C:$C=C203), 0)), "")</f>
        <v>93</v>
      </c>
      <c r="O203" cm="1">
        <f t="array" ref="O203">IFERROR(INDEX(fesp!$F:$F, MATCH(1, (VALUE(LEFT(fesp!$A:$A,6))=VALUE(LEFT(B203,6)))*(fesp!$C:$C=C203), 0)), "")</f>
        <v>8865</v>
      </c>
      <c r="P203" cm="1">
        <f t="array" ref="P203">IFERROR(INDEX(fesp!$G:$G, MATCH(1, (VALUE(LEFT(fesp!$A:$A,6))=VALUE(LEFT(B203,6)))*(fesp!$C:$C=C203), 0)), "")</f>
        <v>3289450</v>
      </c>
      <c r="Q203" cm="1">
        <f t="array" ref="Q203">IFERROR(INDEX(fesp!$H:$H, MATCH(1, (VALUE(LEFT(fesp!$A:$A,6))=VALUE(LEFT(B203,6)))*(fesp!$C:$C=C203), 0)), "")</f>
        <v>48</v>
      </c>
      <c r="R203" cm="1">
        <f t="array" ref="R203">IFERROR(INDEX(fesp!$I:$I, MATCH(1, (VALUE(LEFT(fesp!$A:$A,6))=VALUE(LEFT(B203,6)))*(fesp!$C:$C=C203), 0)), "")</f>
        <v>649</v>
      </c>
      <c r="S203" cm="1">
        <f t="array" ref="S203">IFERROR(INDEX(fesp!$J:$J, MATCH(1, (VALUE(LEFT(fesp!$A:$A,6))=VALUE(LEFT(B203,6)))*(fesp!$C:$C=C203), 0)), "")</f>
        <v>15456</v>
      </c>
    </row>
    <row r="204" spans="1:19">
      <c r="A204" s="1" t="s">
        <v>67</v>
      </c>
      <c r="B204" s="3" t="s">
        <v>66</v>
      </c>
      <c r="C204" s="3">
        <v>2019</v>
      </c>
      <c r="D204" cm="1">
        <f t="array" ref="D204">IFERROR(INDEX(fesp!$D:$D, MATCH(1, (VALUE(LEFT(fesp!$A:$A,6))=VALUE(LEFT(B204,6)))*(fesp!$C:$C=C204), 0)), "")</f>
        <v>0</v>
      </c>
      <c r="E204" cm="1">
        <f t="array" aca="1" ref="E204" ca="1">IFERROR(INDEX(ft_medicos_clinicos!$C:$C, MATCH(1, (VALUE(LEFT(ft_medicos_clinicos!$A:$A,6))=VALUE(LEFT(B204,6)))*(ft_medicos_clinicos!$B:$B=C204), 0)), "")</f>
        <v>267</v>
      </c>
      <c r="F204" cm="1">
        <f t="array" aca="1" ref="F204" ca="1">IFERROR(INDEX(ft_enfermeiros!$C:$C, MATCH(1, (VALUE(LEFT(ft_enfermeiros!$A:$A,6))=VALUE(LEFT(B204,6)))*(ft_enfermeiros!$B:$B=C204), 0)), "")</f>
        <v>807</v>
      </c>
      <c r="G204" cm="1">
        <f t="array" aca="1" ref="G204" ca="1">IFERROR(INDEX(ft_equipes_acs!$C:$C, MATCH(1, (VALUE(LEFT(ft_equipes_acs!$A:$A,6))=VALUE(LEFT(B204,6)))*(ft_equipes_acs!$B:$B=C204), 0)), "")</f>
        <v>23</v>
      </c>
      <c r="H204" cm="1">
        <f t="array" aca="1" ref="H204" ca="1">IFERROR(INDEX(ci_leitos_internacao!$C:$C, MATCH(1, (VALUE(LEFT(ci_leitos_internacao!$A:$A,6))=VALUE(LEFT(B204,6)))*(ci_leitos_internacao!$B:$B=C204), 0)), "")</f>
        <v>1309</v>
      </c>
      <c r="I204" cm="1">
        <f t="array" aca="1" ref="I204" ca="1">IFERROR(INDEX(ci_hospitais_internacao!$C:$C, MATCH(1, (VALUE(LEFT(ci_hospitais_internacao!$A:$A,6))=VALUE(LEFT(B204,6)))*(ci_hospitais_internacao!$B:$B=C204), 0)), "")</f>
        <v>4</v>
      </c>
      <c r="J204" t="str" cm="1">
        <f t="array" aca="1" ref="J204" ca="1">IFERROR(INDEX(ci_pa_clinico!$C:$C, MATCH(1, (VALUE(LEFT(ci_pa_clinico!$A:$A,6))=VALUE(LEFT(B204,6)))*(ci_pa_clinico!$B:$B=C204), 0)), "")</f>
        <v/>
      </c>
      <c r="K204" cm="1">
        <f t="array" aca="1" ref="K204" ca="1">IFERROR(INDEX(aps_equipes_esf!$C:$C, MATCH(1, (VALUE(LEFT(aps_equipes_esf!$A:$A,6))=VALUE(LEFT(B204,6)))*(aps_equipes_esf!$B:$B=C204), 0)), "")</f>
        <v>74</v>
      </c>
      <c r="L204" cm="1">
        <f t="array" aca="1" ref="L204" ca="1">IFERROR(INDEX(casos!$C:$C, MATCH(1, (VALUE(LEFT(casos!$A:$A,6))=VALUE(LEFT(B204,6)))*(casos!$B:$B=C204), 0)), "")</f>
        <v>12551</v>
      </c>
      <c r="M204" cm="1">
        <f t="array" ref="M204">IFERROR(INDEX(srag!$D:$D, MATCH(1, (VALUE(LEFT(srag!$A:$A,6))=VALUE(LEFT(B204,6)))*(srag!$C:$C=C204), 0)), "")</f>
        <v>75</v>
      </c>
      <c r="N204" cm="1">
        <f t="array" ref="N204">IFERROR(INDEX(fesp!$E:$E, MATCH(1, (VALUE(LEFT(fesp!$A:$A,6))=VALUE(LEFT(B204,6)))*(fesp!$C:$C=C204), 0)), "")</f>
        <v>112</v>
      </c>
      <c r="O204" cm="1">
        <f t="array" ref="O204">IFERROR(INDEX(fesp!$F:$F, MATCH(1, (VALUE(LEFT(fesp!$A:$A,6))=VALUE(LEFT(B204,6)))*(fesp!$C:$C=C204), 0)), "")</f>
        <v>7313</v>
      </c>
      <c r="P204" cm="1">
        <f t="array" ref="P204">IFERROR(INDEX(fesp!$G:$G, MATCH(1, (VALUE(LEFT(fesp!$A:$A,6))=VALUE(LEFT(B204,6)))*(fesp!$C:$C=C204), 0)), "")</f>
        <v>4619306</v>
      </c>
      <c r="Q204" cm="1">
        <f t="array" ref="Q204">IFERROR(INDEX(fesp!$H:$H, MATCH(1, (VALUE(LEFT(fesp!$A:$A,6))=VALUE(LEFT(B204,6)))*(fesp!$C:$C=C204), 0)), "")</f>
        <v>47</v>
      </c>
      <c r="R204" cm="1">
        <f t="array" ref="R204">IFERROR(INDEX(fesp!$I:$I, MATCH(1, (VALUE(LEFT(fesp!$A:$A,6))=VALUE(LEFT(B204,6)))*(fesp!$C:$C=C204), 0)), "")</f>
        <v>1204</v>
      </c>
      <c r="S204" cm="1">
        <f t="array" ref="S204">IFERROR(INDEX(fesp!$J:$J, MATCH(1, (VALUE(LEFT(fesp!$A:$A,6))=VALUE(LEFT(B204,6)))*(fesp!$C:$C=C204), 0)), "")</f>
        <v>12428</v>
      </c>
    </row>
    <row r="205" spans="1:19">
      <c r="A205" s="1" t="s">
        <v>67</v>
      </c>
      <c r="B205" s="3" t="s">
        <v>66</v>
      </c>
      <c r="C205" s="3">
        <v>2020</v>
      </c>
      <c r="D205" cm="1">
        <f t="array" ref="D205">IFERROR(INDEX(fesp!$D:$D, MATCH(1, (VALUE(LEFT(fesp!$A:$A,6))=VALUE(LEFT(B205,6)))*(fesp!$C:$C=C205), 0)), "")</f>
        <v>0</v>
      </c>
      <c r="E205" cm="1">
        <f t="array" aca="1" ref="E205" ca="1">IFERROR(INDEX(ft_medicos_clinicos!$C:$C, MATCH(1, (VALUE(LEFT(ft_medicos_clinicos!$A:$A,6))=VALUE(LEFT(B205,6)))*(ft_medicos_clinicos!$B:$B=C205), 0)), "")</f>
        <v>309</v>
      </c>
      <c r="F205" cm="1">
        <f t="array" aca="1" ref="F205" ca="1">IFERROR(INDEX(ft_enfermeiros!$C:$C, MATCH(1, (VALUE(LEFT(ft_enfermeiros!$A:$A,6))=VALUE(LEFT(B205,6)))*(ft_enfermeiros!$B:$B=C205), 0)), "")</f>
        <v>901</v>
      </c>
      <c r="G205" t="str" cm="1">
        <f t="array" aca="1" ref="G205" ca="1">IFERROR(INDEX(ft_equipes_acs!$C:$C, MATCH(1, (VALUE(LEFT(ft_equipes_acs!$A:$A,6))=VALUE(LEFT(B205,6)))*(ft_equipes_acs!$B:$B=C205), 0)), "")</f>
        <v>-</v>
      </c>
      <c r="H205" cm="1">
        <f t="array" aca="1" ref="H205" ca="1">IFERROR(INDEX(ci_leitos_internacao!$C:$C, MATCH(1, (VALUE(LEFT(ci_leitos_internacao!$A:$A,6))=VALUE(LEFT(B205,6)))*(ci_leitos_internacao!$B:$B=C205), 0)), "")</f>
        <v>1407</v>
      </c>
      <c r="I205" cm="1">
        <f t="array" aca="1" ref="I205" ca="1">IFERROR(INDEX(ci_hospitais_internacao!$C:$C, MATCH(1, (VALUE(LEFT(ci_hospitais_internacao!$A:$A,6))=VALUE(LEFT(B205,6)))*(ci_hospitais_internacao!$B:$B=C205), 0)), "")</f>
        <v>5</v>
      </c>
      <c r="J205" t="str" cm="1">
        <f t="array" aca="1" ref="J205" ca="1">IFERROR(INDEX(ci_pa_clinico!$C:$C, MATCH(1, (VALUE(LEFT(ci_pa_clinico!$A:$A,6))=VALUE(LEFT(B205,6)))*(ci_pa_clinico!$B:$B=C205), 0)), "")</f>
        <v/>
      </c>
      <c r="K205" t="str" cm="1">
        <f t="array" aca="1" ref="K205" ca="1">IFERROR(INDEX(aps_equipes_esf!$C:$C, MATCH(1, (VALUE(LEFT(aps_equipes_esf!$A:$A,6))=VALUE(LEFT(B205,6)))*(aps_equipes_esf!$B:$B=C205), 0)), "")</f>
        <v>-</v>
      </c>
      <c r="L205" cm="1">
        <f t="array" aca="1" ref="L205" ca="1">IFERROR(INDEX(casos!$C:$C, MATCH(1, (VALUE(LEFT(casos!$A:$A,6))=VALUE(LEFT(B205,6)))*(casos!$B:$B=C205), 0)), "")</f>
        <v>3375</v>
      </c>
      <c r="M205" cm="1">
        <f t="array" ref="M205">IFERROR(INDEX(srag!$D:$D, MATCH(1, (VALUE(LEFT(srag!$A:$A,6))=VALUE(LEFT(B205,6)))*(srag!$C:$C=C205), 0)), "")</f>
        <v>969</v>
      </c>
      <c r="N205" cm="1">
        <f t="array" ref="N205">IFERROR(INDEX(fesp!$E:$E, MATCH(1, (VALUE(LEFT(fesp!$A:$A,6))=VALUE(LEFT(B205,6)))*(fesp!$C:$C=C205), 0)), "")</f>
        <v>93</v>
      </c>
      <c r="O205" cm="1">
        <f t="array" ref="O205">IFERROR(INDEX(fesp!$F:$F, MATCH(1, (VALUE(LEFT(fesp!$A:$A,6))=VALUE(LEFT(B205,6)))*(fesp!$C:$C=C205), 0)), "")</f>
        <v>6313</v>
      </c>
      <c r="P205" cm="1">
        <f t="array" ref="P205">IFERROR(INDEX(fesp!$G:$G, MATCH(1, (VALUE(LEFT(fesp!$A:$A,6))=VALUE(LEFT(B205,6)))*(fesp!$C:$C=C205), 0)), "")</f>
        <v>3639863</v>
      </c>
      <c r="Q205" cm="1">
        <f t="array" ref="Q205">IFERROR(INDEX(fesp!$H:$H, MATCH(1, (VALUE(LEFT(fesp!$A:$A,6))=VALUE(LEFT(B205,6)))*(fesp!$C:$C=C205), 0)), "")</f>
        <v>32</v>
      </c>
      <c r="R205" cm="1">
        <f t="array" ref="R205">IFERROR(INDEX(fesp!$I:$I, MATCH(1, (VALUE(LEFT(fesp!$A:$A,6))=VALUE(LEFT(B205,6)))*(fesp!$C:$C=C205), 0)), "")</f>
        <v>1133</v>
      </c>
      <c r="S205" cm="1">
        <f t="array" ref="S205">IFERROR(INDEX(fesp!$J:$J, MATCH(1, (VALUE(LEFT(fesp!$A:$A,6))=VALUE(LEFT(B205,6)))*(fesp!$C:$C=C205), 0)), "")</f>
        <v>11883</v>
      </c>
    </row>
    <row r="206" spans="1:19">
      <c r="A206" s="1" t="s">
        <v>67</v>
      </c>
      <c r="B206" s="3" t="s">
        <v>66</v>
      </c>
      <c r="C206" s="3">
        <v>2021</v>
      </c>
      <c r="D206" cm="1">
        <f t="array" ref="D206">IFERROR(INDEX(fesp!$D:$D, MATCH(1, (VALUE(LEFT(fesp!$A:$A,6))=VALUE(LEFT(B206,6)))*(fesp!$C:$C=C206), 0)), "")</f>
        <v>0</v>
      </c>
      <c r="E206" cm="1">
        <f t="array" aca="1" ref="E206" ca="1">IFERROR(INDEX(ft_medicos_clinicos!$C:$C, MATCH(1, (VALUE(LEFT(ft_medicos_clinicos!$A:$A,6))=VALUE(LEFT(B206,6)))*(ft_medicos_clinicos!$B:$B=C206), 0)), "")</f>
        <v>379</v>
      </c>
      <c r="F206" cm="1">
        <f t="array" aca="1" ref="F206" ca="1">IFERROR(INDEX(ft_enfermeiros!$C:$C, MATCH(1, (VALUE(LEFT(ft_enfermeiros!$A:$A,6))=VALUE(LEFT(B206,6)))*(ft_enfermeiros!$B:$B=C206), 0)), "")</f>
        <v>1084</v>
      </c>
      <c r="G206" t="str" cm="1">
        <f t="array" aca="1" ref="G206" ca="1">IFERROR(INDEX(ft_equipes_acs!$C:$C, MATCH(1, (VALUE(LEFT(ft_equipes_acs!$A:$A,6))=VALUE(LEFT(B206,6)))*(ft_equipes_acs!$B:$B=C206), 0)), "")</f>
        <v>-</v>
      </c>
      <c r="H206" cm="1">
        <f t="array" aca="1" ref="H206" ca="1">IFERROR(INDEX(ci_leitos_internacao!$C:$C, MATCH(1, (VALUE(LEFT(ci_leitos_internacao!$A:$A,6))=VALUE(LEFT(B206,6)))*(ci_leitos_internacao!$B:$B=C206), 0)), "")</f>
        <v>1359</v>
      </c>
      <c r="I206" cm="1">
        <f t="array" aca="1" ref="I206" ca="1">IFERROR(INDEX(ci_hospitais_internacao!$C:$C, MATCH(1, (VALUE(LEFT(ci_hospitais_internacao!$A:$A,6))=VALUE(LEFT(B206,6)))*(ci_hospitais_internacao!$B:$B=C206), 0)), "")</f>
        <v>4</v>
      </c>
      <c r="J206" t="str" cm="1">
        <f t="array" aca="1" ref="J206" ca="1">IFERROR(INDEX(ci_pa_clinico!$C:$C, MATCH(1, (VALUE(LEFT(ci_pa_clinico!$A:$A,6))=VALUE(LEFT(B206,6)))*(ci_pa_clinico!$B:$B=C206), 0)), "")</f>
        <v/>
      </c>
      <c r="K206" t="str" cm="1">
        <f t="array" aca="1" ref="K206" ca="1">IFERROR(INDEX(aps_equipes_esf!$C:$C, MATCH(1, (VALUE(LEFT(aps_equipes_esf!$A:$A,6))=VALUE(LEFT(B206,6)))*(aps_equipes_esf!$B:$B=C206), 0)), "")</f>
        <v>-</v>
      </c>
      <c r="L206" cm="1">
        <f t="array" aca="1" ref="L206" ca="1">IFERROR(INDEX(casos!$C:$C, MATCH(1, (VALUE(LEFT(casos!$A:$A,6))=VALUE(LEFT(B206,6)))*(casos!$B:$B=C206), 0)), "")</f>
        <v>180</v>
      </c>
      <c r="M206" cm="1">
        <f t="array" ref="M206">IFERROR(INDEX(srag!$D:$D, MATCH(1, (VALUE(LEFT(srag!$A:$A,6))=VALUE(LEFT(B206,6)))*(srag!$C:$C=C206), 0)), "")</f>
        <v>1569</v>
      </c>
      <c r="N206" cm="1">
        <f t="array" ref="N206">IFERROR(INDEX(fesp!$E:$E, MATCH(1, (VALUE(LEFT(fesp!$A:$A,6))=VALUE(LEFT(B206,6)))*(fesp!$C:$C=C206), 0)), "")</f>
        <v>111</v>
      </c>
      <c r="O206" cm="1">
        <f t="array" ref="O206">IFERROR(INDEX(fesp!$F:$F, MATCH(1, (VALUE(LEFT(fesp!$A:$A,6))=VALUE(LEFT(B206,6)))*(fesp!$C:$C=C206), 0)), "")</f>
        <v>7174</v>
      </c>
      <c r="P206" cm="1">
        <f t="array" ref="P206">IFERROR(INDEX(fesp!$G:$G, MATCH(1, (VALUE(LEFT(fesp!$A:$A,6))=VALUE(LEFT(B206,6)))*(fesp!$C:$C=C206), 0)), "")</f>
        <v>4322226</v>
      </c>
      <c r="Q206" cm="1">
        <f t="array" ref="Q206">IFERROR(INDEX(fesp!$H:$H, MATCH(1, (VALUE(LEFT(fesp!$A:$A,6))=VALUE(LEFT(B206,6)))*(fesp!$C:$C=C206), 0)), "")</f>
        <v>22</v>
      </c>
      <c r="R206" cm="1">
        <f t="array" ref="R206">IFERROR(INDEX(fesp!$I:$I, MATCH(1, (VALUE(LEFT(fesp!$A:$A,6))=VALUE(LEFT(B206,6)))*(fesp!$C:$C=C206), 0)), "")</f>
        <v>1182</v>
      </c>
      <c r="S206" cm="1">
        <f t="array" ref="S206">IFERROR(INDEX(fesp!$J:$J, MATCH(1, (VALUE(LEFT(fesp!$A:$A,6))=VALUE(LEFT(B206,6)))*(fesp!$C:$C=C206), 0)), "")</f>
        <v>5786</v>
      </c>
    </row>
    <row r="207" spans="1:19">
      <c r="A207" s="1" t="s">
        <v>67</v>
      </c>
      <c r="B207" s="3" t="s">
        <v>66</v>
      </c>
      <c r="C207" s="3">
        <v>2022</v>
      </c>
      <c r="D207" cm="1">
        <f t="array" ref="D207">IFERROR(INDEX(fesp!$D:$D, MATCH(1, (VALUE(LEFT(fesp!$A:$A,6))=VALUE(LEFT(B207,6)))*(fesp!$C:$C=C207), 0)), "")</f>
        <v>616272</v>
      </c>
      <c r="E207" cm="1">
        <f t="array" aca="1" ref="E207" ca="1">IFERROR(INDEX(ft_medicos_clinicos!$C:$C, MATCH(1, (VALUE(LEFT(ft_medicos_clinicos!$A:$A,6))=VALUE(LEFT(B207,6)))*(ft_medicos_clinicos!$B:$B=C207), 0)), "")</f>
        <v>516</v>
      </c>
      <c r="F207" cm="1">
        <f t="array" aca="1" ref="F207" ca="1">IFERROR(INDEX(ft_enfermeiros!$C:$C, MATCH(1, (VALUE(LEFT(ft_enfermeiros!$A:$A,6))=VALUE(LEFT(B207,6)))*(ft_enfermeiros!$B:$B=C207), 0)), "")</f>
        <v>1167</v>
      </c>
      <c r="G207" t="str" cm="1">
        <f t="array" aca="1" ref="G207" ca="1">IFERROR(INDEX(ft_equipes_acs!$C:$C, MATCH(1, (VALUE(LEFT(ft_equipes_acs!$A:$A,6))=VALUE(LEFT(B207,6)))*(ft_equipes_acs!$B:$B=C207), 0)), "")</f>
        <v>-</v>
      </c>
      <c r="H207" cm="1">
        <f t="array" aca="1" ref="H207" ca="1">IFERROR(INDEX(ci_leitos_internacao!$C:$C, MATCH(1, (VALUE(LEFT(ci_leitos_internacao!$A:$A,6))=VALUE(LEFT(B207,6)))*(ci_leitos_internacao!$B:$B=C207), 0)), "")</f>
        <v>1301</v>
      </c>
      <c r="I207" cm="1">
        <f t="array" aca="1" ref="I207" ca="1">IFERROR(INDEX(ci_hospitais_internacao!$C:$C, MATCH(1, (VALUE(LEFT(ci_hospitais_internacao!$A:$A,6))=VALUE(LEFT(B207,6)))*(ci_hospitais_internacao!$B:$B=C207), 0)), "")</f>
        <v>4</v>
      </c>
      <c r="J207" t="str" cm="1">
        <f t="array" aca="1" ref="J207" ca="1">IFERROR(INDEX(ci_pa_clinico!$C:$C, MATCH(1, (VALUE(LEFT(ci_pa_clinico!$A:$A,6))=VALUE(LEFT(B207,6)))*(ci_pa_clinico!$B:$B=C207), 0)), "")</f>
        <v/>
      </c>
      <c r="K207" t="str" cm="1">
        <f t="array" aca="1" ref="K207" ca="1">IFERROR(INDEX(aps_equipes_esf!$C:$C, MATCH(1, (VALUE(LEFT(aps_equipes_esf!$A:$A,6))=VALUE(LEFT(B207,6)))*(aps_equipes_esf!$B:$B=C207), 0)), "")</f>
        <v>-</v>
      </c>
      <c r="L207" cm="1">
        <f t="array" aca="1" ref="L207" ca="1">IFERROR(INDEX(casos!$C:$C, MATCH(1, (VALUE(LEFT(casos!$A:$A,6))=VALUE(LEFT(B207,6)))*(casos!$B:$B=C207), 0)), "")</f>
        <v>438</v>
      </c>
      <c r="M207" cm="1">
        <f t="array" ref="M207">IFERROR(INDEX(srag!$D:$D, MATCH(1, (VALUE(LEFT(srag!$A:$A,6))=VALUE(LEFT(B207,6)))*(srag!$C:$C=C207), 0)), "")</f>
        <v>647</v>
      </c>
      <c r="N207" cm="1">
        <f t="array" ref="N207">IFERROR(INDEX(fesp!$E:$E, MATCH(1, (VALUE(LEFT(fesp!$A:$A,6))=VALUE(LEFT(B207,6)))*(fesp!$C:$C=C207), 0)), "")</f>
        <v>124</v>
      </c>
      <c r="O207" cm="1">
        <f t="array" ref="O207">IFERROR(INDEX(fesp!$F:$F, MATCH(1, (VALUE(LEFT(fesp!$A:$A,6))=VALUE(LEFT(B207,6)))*(fesp!$C:$C=C207), 0)), "")</f>
        <v>9667</v>
      </c>
      <c r="P207" cm="1">
        <f t="array" ref="P207">IFERROR(INDEX(fesp!$G:$G, MATCH(1, (VALUE(LEFT(fesp!$A:$A,6))=VALUE(LEFT(B207,6)))*(fesp!$C:$C=C207), 0)), "")</f>
        <v>4056742</v>
      </c>
      <c r="Q207" cm="1">
        <f t="array" ref="Q207">IFERROR(INDEX(fesp!$H:$H, MATCH(1, (VALUE(LEFT(fesp!$A:$A,6))=VALUE(LEFT(B207,6)))*(fesp!$C:$C=C207), 0)), "")</f>
        <v>26</v>
      </c>
      <c r="R207" cm="1">
        <f t="array" ref="R207">IFERROR(INDEX(fesp!$I:$I, MATCH(1, (VALUE(LEFT(fesp!$A:$A,6))=VALUE(LEFT(B207,6)))*(fesp!$C:$C=C207), 0)), "")</f>
        <v>833</v>
      </c>
      <c r="S207" cm="1">
        <f t="array" ref="S207">IFERROR(INDEX(fesp!$J:$J, MATCH(1, (VALUE(LEFT(fesp!$A:$A,6))=VALUE(LEFT(B207,6)))*(fesp!$C:$C=C207), 0)), "")</f>
        <v>10066</v>
      </c>
    </row>
    <row r="208" spans="1:19">
      <c r="A208" s="1" t="s">
        <v>67</v>
      </c>
      <c r="B208" s="3" t="s">
        <v>66</v>
      </c>
      <c r="C208" s="3">
        <v>2023</v>
      </c>
      <c r="D208" cm="1">
        <f t="array" ref="D208">IFERROR(INDEX(fesp!$D:$D, MATCH(1, (VALUE(LEFT(fesp!$A:$A,6))=VALUE(LEFT(B208,6)))*(fesp!$C:$C=C208), 0)), "")</f>
        <v>0</v>
      </c>
      <c r="E208" cm="1">
        <f t="array" aca="1" ref="E208" ca="1">IFERROR(INDEX(ft_medicos_clinicos!$C:$C, MATCH(1, (VALUE(LEFT(ft_medicos_clinicos!$A:$A,6))=VALUE(LEFT(B208,6)))*(ft_medicos_clinicos!$B:$B=C208), 0)), "")</f>
        <v>611</v>
      </c>
      <c r="F208" cm="1">
        <f t="array" aca="1" ref="F208" ca="1">IFERROR(INDEX(ft_enfermeiros!$C:$C, MATCH(1, (VALUE(LEFT(ft_enfermeiros!$A:$A,6))=VALUE(LEFT(B208,6)))*(ft_enfermeiros!$B:$B=C208), 0)), "")</f>
        <v>1383</v>
      </c>
      <c r="G208" t="str" cm="1">
        <f t="array" aca="1" ref="G208" ca="1">IFERROR(INDEX(ft_equipes_acs!$C:$C, MATCH(1, (VALUE(LEFT(ft_equipes_acs!$A:$A,6))=VALUE(LEFT(B208,6)))*(ft_equipes_acs!$B:$B=C208), 0)), "")</f>
        <v>-</v>
      </c>
      <c r="H208" cm="1">
        <f t="array" aca="1" ref="H208" ca="1">IFERROR(INDEX(ci_leitos_internacao!$C:$C, MATCH(1, (VALUE(LEFT(ci_leitos_internacao!$A:$A,6))=VALUE(LEFT(B208,6)))*(ci_leitos_internacao!$B:$B=C208), 0)), "")</f>
        <v>1610</v>
      </c>
      <c r="I208" cm="1">
        <f t="array" aca="1" ref="I208" ca="1">IFERROR(INDEX(ci_hospitais_internacao!$C:$C, MATCH(1, (VALUE(LEFT(ci_hospitais_internacao!$A:$A,6))=VALUE(LEFT(B208,6)))*(ci_hospitais_internacao!$B:$B=C208), 0)), "")</f>
        <v>4</v>
      </c>
      <c r="J208" t="str" cm="1">
        <f t="array" aca="1" ref="J208" ca="1">IFERROR(INDEX(ci_pa_clinico!$C:$C, MATCH(1, (VALUE(LEFT(ci_pa_clinico!$A:$A,6))=VALUE(LEFT(B208,6)))*(ci_pa_clinico!$B:$B=C208), 0)), "")</f>
        <v/>
      </c>
      <c r="K208" t="str" cm="1">
        <f t="array" aca="1" ref="K208" ca="1">IFERROR(INDEX(aps_equipes_esf!$C:$C, MATCH(1, (VALUE(LEFT(aps_equipes_esf!$A:$A,6))=VALUE(LEFT(B208,6)))*(aps_equipes_esf!$B:$B=C208), 0)), "")</f>
        <v>-</v>
      </c>
      <c r="L208" cm="1">
        <f t="array" aca="1" ref="L208" ca="1">IFERROR(INDEX(casos!$C:$C, MATCH(1, (VALUE(LEFT(casos!$A:$A,6))=VALUE(LEFT(B208,6)))*(casos!$B:$B=C208), 0)), "")</f>
        <v>3133</v>
      </c>
      <c r="M208" cm="1">
        <f t="array" ref="M208">IFERROR(INDEX(srag!$D:$D, MATCH(1, (VALUE(LEFT(srag!$A:$A,6))=VALUE(LEFT(B208,6)))*(srag!$C:$C=C208), 0)), "")</f>
        <v>787</v>
      </c>
      <c r="N208" cm="1">
        <f t="array" ref="N208">IFERROR(INDEX(fesp!$E:$E, MATCH(1, (VALUE(LEFT(fesp!$A:$A,6))=VALUE(LEFT(B208,6)))*(fesp!$C:$C=C208), 0)), "")</f>
        <v>129</v>
      </c>
      <c r="O208" cm="1">
        <f t="array" ref="O208">IFERROR(INDEX(fesp!$F:$F, MATCH(1, (VALUE(LEFT(fesp!$A:$A,6))=VALUE(LEFT(B208,6)))*(fesp!$C:$C=C208), 0)), "")</f>
        <v>18085</v>
      </c>
      <c r="P208" cm="1">
        <f t="array" ref="P208">IFERROR(INDEX(fesp!$G:$G, MATCH(1, (VALUE(LEFT(fesp!$A:$A,6))=VALUE(LEFT(B208,6)))*(fesp!$C:$C=C208), 0)), "")</f>
        <v>5505625</v>
      </c>
      <c r="Q208" cm="1">
        <f t="array" ref="Q208">IFERROR(INDEX(fesp!$H:$H, MATCH(1, (VALUE(LEFT(fesp!$A:$A,6))=VALUE(LEFT(B208,6)))*(fesp!$C:$C=C208), 0)), "")</f>
        <v>34</v>
      </c>
      <c r="R208" cm="1">
        <f t="array" ref="R208">IFERROR(INDEX(fesp!$I:$I, MATCH(1, (VALUE(LEFT(fesp!$A:$A,6))=VALUE(LEFT(B208,6)))*(fesp!$C:$C=C208), 0)), "")</f>
        <v>111</v>
      </c>
      <c r="S208" cm="1">
        <f t="array" ref="S208">IFERROR(INDEX(fesp!$J:$J, MATCH(1, (VALUE(LEFT(fesp!$A:$A,6))=VALUE(LEFT(B208,6)))*(fesp!$C:$C=C208), 0)), "")</f>
        <v>5786</v>
      </c>
    </row>
    <row r="209" spans="1:19">
      <c r="A209" s="1" t="s">
        <v>67</v>
      </c>
      <c r="B209" s="3" t="s">
        <v>66</v>
      </c>
      <c r="C209" s="3">
        <v>2024</v>
      </c>
      <c r="D209" cm="1">
        <f t="array" ref="D209">IFERROR(INDEX(fesp!$D:$D, MATCH(1, (VALUE(LEFT(fesp!$A:$A,6))=VALUE(LEFT(B209,6)))*(fesp!$C:$C=C209), 0)), "")</f>
        <v>0</v>
      </c>
      <c r="E209" cm="1">
        <f t="array" aca="1" ref="E209" ca="1">IFERROR(INDEX(ft_medicos_clinicos!$C:$C, MATCH(1, (VALUE(LEFT(ft_medicos_clinicos!$A:$A,6))=VALUE(LEFT(B209,6)))*(ft_medicos_clinicos!$B:$B=C209), 0)), "")</f>
        <v>776</v>
      </c>
      <c r="F209" cm="1">
        <f t="array" aca="1" ref="F209" ca="1">IFERROR(INDEX(ft_enfermeiros!$C:$C, MATCH(1, (VALUE(LEFT(ft_enfermeiros!$A:$A,6))=VALUE(LEFT(B209,6)))*(ft_enfermeiros!$B:$B=C209), 0)), "")</f>
        <v>1484</v>
      </c>
      <c r="G209" t="str" cm="1">
        <f t="array" aca="1" ref="G209" ca="1">IFERROR(INDEX(ft_equipes_acs!$C:$C, MATCH(1, (VALUE(LEFT(ft_equipes_acs!$A:$A,6))=VALUE(LEFT(B209,6)))*(ft_equipes_acs!$B:$B=C209), 0)), "")</f>
        <v>-</v>
      </c>
      <c r="H209" cm="1">
        <f t="array" aca="1" ref="H209" ca="1">IFERROR(INDEX(ci_leitos_internacao!$C:$C, MATCH(1, (VALUE(LEFT(ci_leitos_internacao!$A:$A,6))=VALUE(LEFT(B209,6)))*(ci_leitos_internacao!$B:$B=C209), 0)), "")</f>
        <v>1747</v>
      </c>
      <c r="I209" cm="1">
        <f t="array" aca="1" ref="I209" ca="1">IFERROR(INDEX(ci_hospitais_internacao!$C:$C, MATCH(1, (VALUE(LEFT(ci_hospitais_internacao!$A:$A,6))=VALUE(LEFT(B209,6)))*(ci_hospitais_internacao!$B:$B=C209), 0)), "")</f>
        <v>4</v>
      </c>
      <c r="J209" t="str" cm="1">
        <f t="array" aca="1" ref="J209" ca="1">IFERROR(INDEX(ci_pa_clinico!$C:$C, MATCH(1, (VALUE(LEFT(ci_pa_clinico!$A:$A,6))=VALUE(LEFT(B209,6)))*(ci_pa_clinico!$B:$B=C209), 0)), "")</f>
        <v/>
      </c>
      <c r="K209" t="str" cm="1">
        <f t="array" aca="1" ref="K209" ca="1">IFERROR(INDEX(aps_equipes_esf!$C:$C, MATCH(1, (VALUE(LEFT(aps_equipes_esf!$A:$A,6))=VALUE(LEFT(B209,6)))*(aps_equipes_esf!$B:$B=C209), 0)), "")</f>
        <v>-</v>
      </c>
      <c r="L209" cm="1">
        <f t="array" aca="1" ref="L209" ca="1">IFERROR(INDEX(casos!$C:$C, MATCH(1, (VALUE(LEFT(casos!$A:$A,6))=VALUE(LEFT(B209,6)))*(casos!$B:$B=C209), 0)), "")</f>
        <v>8477</v>
      </c>
      <c r="M209" cm="1">
        <f t="array" ref="M209">IFERROR(INDEX(srag!$D:$D, MATCH(1, (VALUE(LEFT(srag!$A:$A,6))=VALUE(LEFT(B209,6)))*(srag!$C:$C=C209), 0)), "")</f>
        <v>1103</v>
      </c>
      <c r="N209" cm="1">
        <f t="array" ref="N209">IFERROR(INDEX(fesp!$E:$E, MATCH(1, (VALUE(LEFT(fesp!$A:$A,6))=VALUE(LEFT(B209,6)))*(fesp!$C:$C=C209), 0)), "")</f>
        <v>164</v>
      </c>
      <c r="O209" cm="1">
        <f t="array" ref="O209">IFERROR(INDEX(fesp!$F:$F, MATCH(1, (VALUE(LEFT(fesp!$A:$A,6))=VALUE(LEFT(B209,6)))*(fesp!$C:$C=C209), 0)), "")</f>
        <v>18632</v>
      </c>
      <c r="P209" cm="1">
        <f t="array" ref="P209">IFERROR(INDEX(fesp!$G:$G, MATCH(1, (VALUE(LEFT(fesp!$A:$A,6))=VALUE(LEFT(B209,6)))*(fesp!$C:$C=C209), 0)), "")</f>
        <v>7365716</v>
      </c>
      <c r="Q209" cm="1">
        <f t="array" ref="Q209">IFERROR(INDEX(fesp!$H:$H, MATCH(1, (VALUE(LEFT(fesp!$A:$A,6))=VALUE(LEFT(B209,6)))*(fesp!$C:$C=C209), 0)), "")</f>
        <v>39</v>
      </c>
      <c r="R209" cm="1">
        <f t="array" ref="R209">IFERROR(INDEX(fesp!$I:$I, MATCH(1, (VALUE(LEFT(fesp!$A:$A,6))=VALUE(LEFT(B209,6)))*(fesp!$C:$C=C209), 0)), "")</f>
        <v>630</v>
      </c>
      <c r="S209" cm="1">
        <f t="array" ref="S209">IFERROR(INDEX(fesp!$J:$J, MATCH(1, (VALUE(LEFT(fesp!$A:$A,6))=VALUE(LEFT(B209,6)))*(fesp!$C:$C=C209), 0)), "")</f>
        <v>28152</v>
      </c>
    </row>
    <row r="210" spans="1:19">
      <c r="A210" s="1" t="s">
        <v>67</v>
      </c>
      <c r="B210" s="3" t="s">
        <v>66</v>
      </c>
      <c r="C210" s="3">
        <v>2025</v>
      </c>
      <c r="D210" cm="1">
        <f t="array" ref="D210">IFERROR(INDEX(fesp!$D:$D, MATCH(1, (VALUE(LEFT(fesp!$A:$A,6))=VALUE(LEFT(B210,6)))*(fesp!$C:$C=C210), 0)), "")</f>
        <v>0</v>
      </c>
      <c r="E210" cm="1">
        <f t="array" aca="1" ref="E210" ca="1">IFERROR(INDEX(ft_medicos_clinicos!$C:$C, MATCH(1, (VALUE(LEFT(ft_medicos_clinicos!$A:$A,6))=VALUE(LEFT(B210,6)))*(ft_medicos_clinicos!$B:$B=C210), 0)), "")</f>
        <v>705</v>
      </c>
      <c r="F210" cm="1">
        <f t="array" aca="1" ref="F210" ca="1">IFERROR(INDEX(ft_enfermeiros!$C:$C, MATCH(1, (VALUE(LEFT(ft_enfermeiros!$A:$A,6))=VALUE(LEFT(B210,6)))*(ft_enfermeiros!$B:$B=C210), 0)), "")</f>
        <v>1533</v>
      </c>
      <c r="G210" t="str" cm="1">
        <f t="array" aca="1" ref="G210" ca="1">IFERROR(INDEX(ft_equipes_acs!$C:$C, MATCH(1, (VALUE(LEFT(ft_equipes_acs!$A:$A,6))=VALUE(LEFT(B210,6)))*(ft_equipes_acs!$B:$B=C210), 0)), "")</f>
        <v>-</v>
      </c>
      <c r="H210" cm="1">
        <f t="array" aca="1" ref="H210" ca="1">IFERROR(INDEX(ci_leitos_internacao!$C:$C, MATCH(1, (VALUE(LEFT(ci_leitos_internacao!$A:$A,6))=VALUE(LEFT(B210,6)))*(ci_leitos_internacao!$B:$B=C210), 0)), "")</f>
        <v>1784</v>
      </c>
      <c r="I210" cm="1">
        <f t="array" aca="1" ref="I210" ca="1">IFERROR(INDEX(ci_hospitais_internacao!$C:$C, MATCH(1, (VALUE(LEFT(ci_hospitais_internacao!$A:$A,6))=VALUE(LEFT(B210,6)))*(ci_hospitais_internacao!$B:$B=C210), 0)), "")</f>
        <v>6</v>
      </c>
      <c r="J210" t="str" cm="1">
        <f t="array" aca="1" ref="J210" ca="1">IFERROR(INDEX(ci_pa_clinico!$C:$C, MATCH(1, (VALUE(LEFT(ci_pa_clinico!$A:$A,6))=VALUE(LEFT(B210,6)))*(ci_pa_clinico!$B:$B=C210), 0)), "")</f>
        <v/>
      </c>
      <c r="K210" t="str" cm="1">
        <f t="array" aca="1" ref="K210" ca="1">IFERROR(INDEX(aps_equipes_esf!$C:$C, MATCH(1, (VALUE(LEFT(aps_equipes_esf!$A:$A,6))=VALUE(LEFT(B210,6)))*(aps_equipes_esf!$B:$B=C210), 0)), "")</f>
        <v>-</v>
      </c>
      <c r="L210" cm="1">
        <f t="array" aca="1" ref="L210" ca="1">IFERROR(INDEX(casos!$C:$C, MATCH(1, (VALUE(LEFT(casos!$A:$A,6))=VALUE(LEFT(B210,6)))*(casos!$B:$B=C210), 0)), "")</f>
        <v>544</v>
      </c>
      <c r="M210" cm="1">
        <f t="array" ref="M210">IFERROR(INDEX(srag!$D:$D, MATCH(1, (VALUE(LEFT(srag!$A:$A,6))=VALUE(LEFT(B210,6)))*(srag!$C:$C=C210), 0)), "")</f>
        <v>1119</v>
      </c>
      <c r="N210" cm="1">
        <f t="array" ref="N210">IFERROR(INDEX(fesp!$E:$E, MATCH(1, (VALUE(LEFT(fesp!$A:$A,6))=VALUE(LEFT(B210,6)))*(fesp!$C:$C=C210), 0)), "")</f>
        <v>113</v>
      </c>
      <c r="O210" cm="1">
        <f t="array" ref="O210">IFERROR(INDEX(fesp!$F:$F, MATCH(1, (VALUE(LEFT(fesp!$A:$A,6))=VALUE(LEFT(B210,6)))*(fesp!$C:$C=C210), 0)), "")</f>
        <v>10107</v>
      </c>
      <c r="P210" cm="1">
        <f t="array" ref="P210">IFERROR(INDEX(fesp!$G:$G, MATCH(1, (VALUE(LEFT(fesp!$A:$A,6))=VALUE(LEFT(B210,6)))*(fesp!$C:$C=C210), 0)), "")</f>
        <v>4184112</v>
      </c>
      <c r="Q210" cm="1">
        <f t="array" ref="Q210">IFERROR(INDEX(fesp!$H:$H, MATCH(1, (VALUE(LEFT(fesp!$A:$A,6))=VALUE(LEFT(B210,6)))*(fesp!$C:$C=C210), 0)), "")</f>
        <v>31</v>
      </c>
      <c r="R210" cm="1">
        <f t="array" ref="R210">IFERROR(INDEX(fesp!$I:$I, MATCH(1, (VALUE(LEFT(fesp!$A:$A,6))=VALUE(LEFT(B210,6)))*(fesp!$C:$C=C210), 0)), "")</f>
        <v>722</v>
      </c>
      <c r="S210" cm="1">
        <f t="array" ref="S210">IFERROR(INDEX(fesp!$J:$J, MATCH(1, (VALUE(LEFT(fesp!$A:$A,6))=VALUE(LEFT(B210,6)))*(fesp!$C:$C=C210), 0)), "")</f>
        <v>26793</v>
      </c>
    </row>
    <row r="211" spans="1:19">
      <c r="A211" s="1" t="s">
        <v>9</v>
      </c>
      <c r="B211" s="3">
        <v>2927408</v>
      </c>
      <c r="C211" s="3">
        <v>2015</v>
      </c>
      <c r="D211" cm="1">
        <f t="array" ref="D211">IFERROR(INDEX(fesp!$D:$D, MATCH(1, (VALUE(LEFT(fesp!$A:$A,6))=VALUE(LEFT(B211,6)))*(fesp!$C:$C=C211), 0)), "")</f>
        <v>2921087</v>
      </c>
      <c r="E211" cm="1">
        <f t="array" aca="1" ref="E211" ca="1">IFERROR(INDEX(ft_medicos_clinicos!$C:$C, MATCH(1, (VALUE(LEFT(ft_medicos_clinicos!$A:$A,6))=VALUE(LEFT(B211,6)))*(ft_medicos_clinicos!$B:$B=C211), 0)), "")</f>
        <v>1382</v>
      </c>
      <c r="F211" cm="1">
        <f t="array" aca="1" ref="F211" ca="1">IFERROR(INDEX(ft_enfermeiros!$C:$C, MATCH(1, (VALUE(LEFT(ft_enfermeiros!$A:$A,6))=VALUE(LEFT(B211,6)))*(ft_enfermeiros!$B:$B=C211), 0)), "")</f>
        <v>3928</v>
      </c>
      <c r="G211" cm="1">
        <f t="array" aca="1" ref="G211" ca="1">IFERROR(INDEX(ft_equipes_acs!$C:$C, MATCH(1, (VALUE(LEFT(ft_equipes_acs!$A:$A,6))=VALUE(LEFT(B211,6)))*(ft_equipes_acs!$B:$B=C211), 0)), "")</f>
        <v>41</v>
      </c>
      <c r="H211" cm="1">
        <f t="array" aca="1" ref="H211" ca="1">IFERROR(INDEX(ci_leitos_internacao!$C:$C, MATCH(1, (VALUE(LEFT(ci_leitos_internacao!$A:$A,6))=VALUE(LEFT(B211,6)))*(ci_leitos_internacao!$B:$B=C211), 0)), "")</f>
        <v>7800</v>
      </c>
      <c r="I211" cm="1">
        <f t="array" aca="1" ref="I211" ca="1">IFERROR(INDEX(ci_hospitais_internacao!$C:$C, MATCH(1, (VALUE(LEFT(ci_hospitais_internacao!$A:$A,6))=VALUE(LEFT(B211,6)))*(ci_hospitais_internacao!$B:$B=C211), 0)), "")</f>
        <v>21</v>
      </c>
      <c r="J211" t="str" cm="1">
        <f t="array" aca="1" ref="J211" ca="1">IFERROR(INDEX(ci_pa_clinico!$C:$C, MATCH(1, (VALUE(LEFT(ci_pa_clinico!$A:$A,6))=VALUE(LEFT(B211,6)))*(ci_pa_clinico!$B:$B=C211), 0)), "")</f>
        <v/>
      </c>
      <c r="K211" cm="1">
        <f t="array" aca="1" ref="K211" ca="1">IFERROR(INDEX(aps_equipes_esf!$C:$C, MATCH(1, (VALUE(LEFT(aps_equipes_esf!$A:$A,6))=VALUE(LEFT(B211,6)))*(aps_equipes_esf!$B:$B=C211), 0)), "")</f>
        <v>43</v>
      </c>
      <c r="L211" cm="1">
        <f t="array" aca="1" ref="L211" ca="1">IFERROR(INDEX(casos!$C:$C, MATCH(1, (VALUE(LEFT(casos!$A:$A,6))=VALUE(LEFT(B211,6)))*(casos!$B:$B=C211), 0)), "")</f>
        <v>5775</v>
      </c>
      <c r="M211" cm="1">
        <f t="array" ref="M211">IFERROR(INDEX(srag!$D:$D, MATCH(1, (VALUE(LEFT(srag!$A:$A,6))=VALUE(LEFT(B211,6)))*(srag!$C:$C=C211), 0)), "")</f>
        <v>194</v>
      </c>
      <c r="N211" cm="1">
        <f t="array" ref="N211">IFERROR(INDEX(fesp!$E:$E, MATCH(1, (VALUE(LEFT(fesp!$A:$A,6))=VALUE(LEFT(B211,6)))*(fesp!$C:$C=C211), 0)), "")</f>
        <v>919</v>
      </c>
      <c r="O211" cm="1">
        <f t="array" ref="O211">IFERROR(INDEX(fesp!$F:$F, MATCH(1, (VALUE(LEFT(fesp!$A:$A,6))=VALUE(LEFT(B211,6)))*(fesp!$C:$C=C211), 0)), "")</f>
        <v>21082</v>
      </c>
      <c r="P211" cm="1">
        <f t="array" ref="P211">IFERROR(INDEX(fesp!$G:$G, MATCH(1, (VALUE(LEFT(fesp!$A:$A,6))=VALUE(LEFT(B211,6)))*(fesp!$C:$C=C211), 0)), "")</f>
        <v>18235648</v>
      </c>
      <c r="Q211" cm="1">
        <f t="array" ref="Q211">IFERROR(INDEX(fesp!$H:$H, MATCH(1, (VALUE(LEFT(fesp!$A:$A,6))=VALUE(LEFT(B211,6)))*(fesp!$C:$C=C211), 0)), "")</f>
        <v>826</v>
      </c>
      <c r="R211" cm="1">
        <f t="array" ref="R211">IFERROR(INDEX(fesp!$I:$I, MATCH(1, (VALUE(LEFT(fesp!$A:$A,6))=VALUE(LEFT(B211,6)))*(fesp!$C:$C=C211), 0)), "")</f>
        <v>116887</v>
      </c>
      <c r="S211" cm="1">
        <f t="array" ref="S211">IFERROR(INDEX(fesp!$J:$J, MATCH(1, (VALUE(LEFT(fesp!$A:$A,6))=VALUE(LEFT(B211,6)))*(fesp!$C:$C=C211), 0)), "")</f>
        <v>695158</v>
      </c>
    </row>
    <row r="212" spans="1:19">
      <c r="A212" s="1" t="s">
        <v>9</v>
      </c>
      <c r="B212" s="3">
        <v>2927408</v>
      </c>
      <c r="C212" s="3">
        <v>2016</v>
      </c>
      <c r="D212" cm="1">
        <f t="array" ref="D212">IFERROR(INDEX(fesp!$D:$D, MATCH(1, (VALUE(LEFT(fesp!$A:$A,6))=VALUE(LEFT(B212,6)))*(fesp!$C:$C=C212), 0)), "")</f>
        <v>0</v>
      </c>
      <c r="E212" cm="1">
        <f t="array" aca="1" ref="E212" ca="1">IFERROR(INDEX(ft_medicos_clinicos!$C:$C, MATCH(1, (VALUE(LEFT(ft_medicos_clinicos!$A:$A,6))=VALUE(LEFT(B212,6)))*(ft_medicos_clinicos!$B:$B=C212), 0)), "")</f>
        <v>1540</v>
      </c>
      <c r="F212" cm="1">
        <f t="array" aca="1" ref="F212" ca="1">IFERROR(INDEX(ft_enfermeiros!$C:$C, MATCH(1, (VALUE(LEFT(ft_enfermeiros!$A:$A,6))=VALUE(LEFT(B212,6)))*(ft_enfermeiros!$B:$B=C212), 0)), "")</f>
        <v>4475</v>
      </c>
      <c r="G212" cm="1">
        <f t="array" aca="1" ref="G212" ca="1">IFERROR(INDEX(ft_equipes_acs!$C:$C, MATCH(1, (VALUE(LEFT(ft_equipes_acs!$A:$A,6))=VALUE(LEFT(B212,6)))*(ft_equipes_acs!$B:$B=C212), 0)), "")</f>
        <v>41</v>
      </c>
      <c r="H212" cm="1">
        <f t="array" aca="1" ref="H212" ca="1">IFERROR(INDEX(ci_leitos_internacao!$C:$C, MATCH(1, (VALUE(LEFT(ci_leitos_internacao!$A:$A,6))=VALUE(LEFT(B212,6)))*(ci_leitos_internacao!$B:$B=C212), 0)), "")</f>
        <v>7868</v>
      </c>
      <c r="I212" cm="1">
        <f t="array" aca="1" ref="I212" ca="1">IFERROR(INDEX(ci_hospitais_internacao!$C:$C, MATCH(1, (VALUE(LEFT(ci_hospitais_internacao!$A:$A,6))=VALUE(LEFT(B212,6)))*(ci_hospitais_internacao!$B:$B=C212), 0)), "")</f>
        <v>19</v>
      </c>
      <c r="J212" t="str" cm="1">
        <f t="array" aca="1" ref="J212" ca="1">IFERROR(INDEX(ci_pa_clinico!$C:$C, MATCH(1, (VALUE(LEFT(ci_pa_clinico!$A:$A,6))=VALUE(LEFT(B212,6)))*(ci_pa_clinico!$B:$B=C212), 0)), "")</f>
        <v/>
      </c>
      <c r="K212" cm="1">
        <f t="array" aca="1" ref="K212" ca="1">IFERROR(INDEX(aps_equipes_esf!$C:$C, MATCH(1, (VALUE(LEFT(aps_equipes_esf!$A:$A,6))=VALUE(LEFT(B212,6)))*(aps_equipes_esf!$B:$B=C212), 0)), "")</f>
        <v>76</v>
      </c>
      <c r="L212" cm="1">
        <f t="array" aca="1" ref="L212" ca="1">IFERROR(INDEX(casos!$C:$C, MATCH(1, (VALUE(LEFT(casos!$A:$A,6))=VALUE(LEFT(B212,6)))*(casos!$B:$B=C212), 0)), "")</f>
        <v>3401</v>
      </c>
      <c r="M212" cm="1">
        <f t="array" ref="M212">IFERROR(INDEX(srag!$D:$D, MATCH(1, (VALUE(LEFT(srag!$A:$A,6))=VALUE(LEFT(B212,6)))*(srag!$C:$C=C212), 0)), "")</f>
        <v>572</v>
      </c>
      <c r="N212" cm="1">
        <f t="array" ref="N212">IFERROR(INDEX(fesp!$E:$E, MATCH(1, (VALUE(LEFT(fesp!$A:$A,6))=VALUE(LEFT(B212,6)))*(fesp!$C:$C=C212), 0)), "")</f>
        <v>902</v>
      </c>
      <c r="O212" cm="1">
        <f t="array" ref="O212">IFERROR(INDEX(fesp!$F:$F, MATCH(1, (VALUE(LEFT(fesp!$A:$A,6))=VALUE(LEFT(B212,6)))*(fesp!$C:$C=C212), 0)), "")</f>
        <v>24160</v>
      </c>
      <c r="P212" cm="1">
        <f t="array" ref="P212">IFERROR(INDEX(fesp!$G:$G, MATCH(1, (VALUE(LEFT(fesp!$A:$A,6))=VALUE(LEFT(B212,6)))*(fesp!$C:$C=C212), 0)), "")</f>
        <v>17962630</v>
      </c>
      <c r="Q212" cm="1">
        <f t="array" ref="Q212">IFERROR(INDEX(fesp!$H:$H, MATCH(1, (VALUE(LEFT(fesp!$A:$A,6))=VALUE(LEFT(B212,6)))*(fesp!$C:$C=C212), 0)), "")</f>
        <v>576</v>
      </c>
      <c r="R212" cm="1">
        <f t="array" ref="R212">IFERROR(INDEX(fesp!$I:$I, MATCH(1, (VALUE(LEFT(fesp!$A:$A,6))=VALUE(LEFT(B212,6)))*(fesp!$C:$C=C212), 0)), "")</f>
        <v>112009</v>
      </c>
      <c r="S212" cm="1">
        <f t="array" ref="S212">IFERROR(INDEX(fesp!$J:$J, MATCH(1, (VALUE(LEFT(fesp!$A:$A,6))=VALUE(LEFT(B212,6)))*(fesp!$C:$C=C212), 0)), "")</f>
        <v>635072</v>
      </c>
    </row>
    <row r="213" spans="1:19">
      <c r="A213" s="1" t="s">
        <v>9</v>
      </c>
      <c r="B213" s="3" t="s">
        <v>8</v>
      </c>
      <c r="C213" s="3">
        <v>2017</v>
      </c>
      <c r="D213" cm="1">
        <f t="array" ref="D213">IFERROR(INDEX(fesp!$D:$D, MATCH(1, (VALUE(LEFT(fesp!$A:$A,6))=VALUE(LEFT(B213,6)))*(fesp!$C:$C=C213), 0)), "")</f>
        <v>0</v>
      </c>
      <c r="E213" cm="1">
        <f t="array" aca="1" ref="E213" ca="1">IFERROR(INDEX(ft_medicos_clinicos!$C:$C, MATCH(1, (VALUE(LEFT(ft_medicos_clinicos!$A:$A,6))=VALUE(LEFT(B213,6)))*(ft_medicos_clinicos!$B:$B=C213), 0)), "")</f>
        <v>1507</v>
      </c>
      <c r="F213" cm="1">
        <f t="array" aca="1" ref="F213" ca="1">IFERROR(INDEX(ft_enfermeiros!$C:$C, MATCH(1, (VALUE(LEFT(ft_enfermeiros!$A:$A,6))=VALUE(LEFT(B213,6)))*(ft_enfermeiros!$B:$B=C213), 0)), "")</f>
        <v>4828</v>
      </c>
      <c r="G213" cm="1">
        <f t="array" aca="1" ref="G213" ca="1">IFERROR(INDEX(ft_equipes_acs!$C:$C, MATCH(1, (VALUE(LEFT(ft_equipes_acs!$A:$A,6))=VALUE(LEFT(B213,6)))*(ft_equipes_acs!$B:$B=C213), 0)), "")</f>
        <v>42</v>
      </c>
      <c r="H213" cm="1">
        <f t="array" aca="1" ref="H213" ca="1">IFERROR(INDEX(ci_leitos_internacao!$C:$C, MATCH(1, (VALUE(LEFT(ci_leitos_internacao!$A:$A,6))=VALUE(LEFT(B213,6)))*(ci_leitos_internacao!$B:$B=C213), 0)), "")</f>
        <v>8129</v>
      </c>
      <c r="I213" cm="1">
        <f t="array" aca="1" ref="I213" ca="1">IFERROR(INDEX(ci_hospitais_internacao!$C:$C, MATCH(1, (VALUE(LEFT(ci_hospitais_internacao!$A:$A,6))=VALUE(LEFT(B213,6)))*(ci_hospitais_internacao!$B:$B=C213), 0)), "")</f>
        <v>20</v>
      </c>
      <c r="J213" t="str" cm="1">
        <f t="array" aca="1" ref="J213" ca="1">IFERROR(INDEX(ci_pa_clinico!$C:$C, MATCH(1, (VALUE(LEFT(ci_pa_clinico!$A:$A,6))=VALUE(LEFT(B213,6)))*(ci_pa_clinico!$B:$B=C213), 0)), "")</f>
        <v/>
      </c>
      <c r="K213" cm="1">
        <f t="array" aca="1" ref="K213" ca="1">IFERROR(INDEX(aps_equipes_esf!$C:$C, MATCH(1, (VALUE(LEFT(aps_equipes_esf!$A:$A,6))=VALUE(LEFT(B213,6)))*(aps_equipes_esf!$B:$B=C213), 0)), "")</f>
        <v>72</v>
      </c>
      <c r="L213" cm="1">
        <f t="array" aca="1" ref="L213" ca="1">IFERROR(INDEX(casos!$C:$C, MATCH(1, (VALUE(LEFT(casos!$A:$A,6))=VALUE(LEFT(B213,6)))*(casos!$B:$B=C213), 0)), "")</f>
        <v>2128</v>
      </c>
      <c r="M213" cm="1">
        <f t="array" ref="M213">IFERROR(INDEX(srag!$D:$D, MATCH(1, (VALUE(LEFT(srag!$A:$A,6))=VALUE(LEFT(B213,6)))*(srag!$C:$C=C213), 0)), "")</f>
        <v>264</v>
      </c>
      <c r="N213" cm="1">
        <f t="array" ref="N213">IFERROR(INDEX(fesp!$E:$E, MATCH(1, (VALUE(LEFT(fesp!$A:$A,6))=VALUE(LEFT(B213,6)))*(fesp!$C:$C=C213), 0)), "")</f>
        <v>961</v>
      </c>
      <c r="O213" cm="1">
        <f t="array" ref="O213">IFERROR(INDEX(fesp!$F:$F, MATCH(1, (VALUE(LEFT(fesp!$A:$A,6))=VALUE(LEFT(B213,6)))*(fesp!$C:$C=C213), 0)), "")</f>
        <v>22417</v>
      </c>
      <c r="P213" cm="1">
        <f t="array" ref="P213">IFERROR(INDEX(fesp!$G:$G, MATCH(1, (VALUE(LEFT(fesp!$A:$A,6))=VALUE(LEFT(B213,6)))*(fesp!$C:$C=C213), 0)), "")</f>
        <v>19801099</v>
      </c>
      <c r="Q213" cm="1">
        <f t="array" ref="Q213">IFERROR(INDEX(fesp!$H:$H, MATCH(1, (VALUE(LEFT(fesp!$A:$A,6))=VALUE(LEFT(B213,6)))*(fesp!$C:$C=C213), 0)), "")</f>
        <v>585</v>
      </c>
      <c r="R213" cm="1">
        <f t="array" ref="R213">IFERROR(INDEX(fesp!$I:$I, MATCH(1, (VALUE(LEFT(fesp!$A:$A,6))=VALUE(LEFT(B213,6)))*(fesp!$C:$C=C213), 0)), "")</f>
        <v>140884</v>
      </c>
      <c r="S213" cm="1">
        <f t="array" ref="S213">IFERROR(INDEX(fesp!$J:$J, MATCH(1, (VALUE(LEFT(fesp!$A:$A,6))=VALUE(LEFT(B213,6)))*(fesp!$C:$C=C213), 0)), "")</f>
        <v>667264</v>
      </c>
    </row>
    <row r="214" spans="1:19">
      <c r="A214" s="1" t="s">
        <v>9</v>
      </c>
      <c r="B214" s="3" t="s">
        <v>8</v>
      </c>
      <c r="C214" s="3">
        <v>2018</v>
      </c>
      <c r="D214" cm="1">
        <f t="array" ref="D214">IFERROR(INDEX(fesp!$D:$D, MATCH(1, (VALUE(LEFT(fesp!$A:$A,6))=VALUE(LEFT(B214,6)))*(fesp!$C:$C=C214), 0)), "")</f>
        <v>0</v>
      </c>
      <c r="E214" cm="1">
        <f t="array" aca="1" ref="E214" ca="1">IFERROR(INDEX(ft_medicos_clinicos!$C:$C, MATCH(1, (VALUE(LEFT(ft_medicos_clinicos!$A:$A,6))=VALUE(LEFT(B214,6)))*(ft_medicos_clinicos!$B:$B=C214), 0)), "")</f>
        <v>1671</v>
      </c>
      <c r="F214" cm="1">
        <f t="array" aca="1" ref="F214" ca="1">IFERROR(INDEX(ft_enfermeiros!$C:$C, MATCH(1, (VALUE(LEFT(ft_enfermeiros!$A:$A,6))=VALUE(LEFT(B214,6)))*(ft_enfermeiros!$B:$B=C214), 0)), "")</f>
        <v>5362</v>
      </c>
      <c r="G214" cm="1">
        <f t="array" aca="1" ref="G214" ca="1">IFERROR(INDEX(ft_equipes_acs!$C:$C, MATCH(1, (VALUE(LEFT(ft_equipes_acs!$A:$A,6))=VALUE(LEFT(B214,6)))*(ft_equipes_acs!$B:$B=C214), 0)), "")</f>
        <v>45</v>
      </c>
      <c r="H214" cm="1">
        <f t="array" aca="1" ref="H214" ca="1">IFERROR(INDEX(ci_leitos_internacao!$C:$C, MATCH(1, (VALUE(LEFT(ci_leitos_internacao!$A:$A,6))=VALUE(LEFT(B214,6)))*(ci_leitos_internacao!$B:$B=C214), 0)), "")</f>
        <v>8093</v>
      </c>
      <c r="I214" cm="1">
        <f t="array" aca="1" ref="I214" ca="1">IFERROR(INDEX(ci_hospitais_internacao!$C:$C, MATCH(1, (VALUE(LEFT(ci_hospitais_internacao!$A:$A,6))=VALUE(LEFT(B214,6)))*(ci_hospitais_internacao!$B:$B=C214), 0)), "")</f>
        <v>21</v>
      </c>
      <c r="J214" t="str" cm="1">
        <f t="array" aca="1" ref="J214" ca="1">IFERROR(INDEX(ci_pa_clinico!$C:$C, MATCH(1, (VALUE(LEFT(ci_pa_clinico!$A:$A,6))=VALUE(LEFT(B214,6)))*(ci_pa_clinico!$B:$B=C214), 0)), "")</f>
        <v/>
      </c>
      <c r="K214" cm="1">
        <f t="array" aca="1" ref="K214" ca="1">IFERROR(INDEX(aps_equipes_esf!$C:$C, MATCH(1, (VALUE(LEFT(aps_equipes_esf!$A:$A,6))=VALUE(LEFT(B214,6)))*(aps_equipes_esf!$B:$B=C214), 0)), "")</f>
        <v>57</v>
      </c>
      <c r="L214" cm="1">
        <f t="array" aca="1" ref="L214" ca="1">IFERROR(INDEX(casos!$C:$C, MATCH(1, (VALUE(LEFT(casos!$A:$A,6))=VALUE(LEFT(B214,6)))*(casos!$B:$B=C214), 0)), "")</f>
        <v>1287</v>
      </c>
      <c r="M214" cm="1">
        <f t="array" ref="M214">IFERROR(INDEX(srag!$D:$D, MATCH(1, (VALUE(LEFT(srag!$A:$A,6))=VALUE(LEFT(B214,6)))*(srag!$C:$C=C214), 0)), "")</f>
        <v>857</v>
      </c>
      <c r="N214" cm="1">
        <f t="array" ref="N214">IFERROR(INDEX(fesp!$E:$E, MATCH(1, (VALUE(LEFT(fesp!$A:$A,6))=VALUE(LEFT(B214,6)))*(fesp!$C:$C=C214), 0)), "")</f>
        <v>802</v>
      </c>
      <c r="O214" cm="1">
        <f t="array" ref="O214">IFERROR(INDEX(fesp!$F:$F, MATCH(1, (VALUE(LEFT(fesp!$A:$A,6))=VALUE(LEFT(B214,6)))*(fesp!$C:$C=C214), 0)), "")</f>
        <v>24558</v>
      </c>
      <c r="P214" cm="1">
        <f t="array" ref="P214">IFERROR(INDEX(fesp!$G:$G, MATCH(1, (VALUE(LEFT(fesp!$A:$A,6))=VALUE(LEFT(B214,6)))*(fesp!$C:$C=C214), 0)), "")</f>
        <v>19838525</v>
      </c>
      <c r="Q214" cm="1">
        <f t="array" ref="Q214">IFERROR(INDEX(fesp!$H:$H, MATCH(1, (VALUE(LEFT(fesp!$A:$A,6))=VALUE(LEFT(B214,6)))*(fesp!$C:$C=C214), 0)), "")</f>
        <v>547</v>
      </c>
      <c r="R214" cm="1">
        <f t="array" ref="R214">IFERROR(INDEX(fesp!$I:$I, MATCH(1, (VALUE(LEFT(fesp!$A:$A,6))=VALUE(LEFT(B214,6)))*(fesp!$C:$C=C214), 0)), "")</f>
        <v>114564</v>
      </c>
      <c r="S214" cm="1">
        <f t="array" ref="S214">IFERROR(INDEX(fesp!$J:$J, MATCH(1, (VALUE(LEFT(fesp!$A:$A,6))=VALUE(LEFT(B214,6)))*(fesp!$C:$C=C214), 0)), "")</f>
        <v>606288</v>
      </c>
    </row>
    <row r="215" spans="1:19">
      <c r="A215" s="1" t="s">
        <v>9</v>
      </c>
      <c r="B215" s="3" t="s">
        <v>8</v>
      </c>
      <c r="C215" s="3">
        <v>2019</v>
      </c>
      <c r="D215" cm="1">
        <f t="array" ref="D215">IFERROR(INDEX(fesp!$D:$D, MATCH(1, (VALUE(LEFT(fesp!$A:$A,6))=VALUE(LEFT(B215,6)))*(fesp!$C:$C=C215), 0)), "")</f>
        <v>0</v>
      </c>
      <c r="E215" cm="1">
        <f t="array" aca="1" ref="E215" ca="1">IFERROR(INDEX(ft_medicos_clinicos!$C:$C, MATCH(1, (VALUE(LEFT(ft_medicos_clinicos!$A:$A,6))=VALUE(LEFT(B215,6)))*(ft_medicos_clinicos!$B:$B=C215), 0)), "")</f>
        <v>1773</v>
      </c>
      <c r="F215" cm="1">
        <f t="array" aca="1" ref="F215" ca="1">IFERROR(INDEX(ft_enfermeiros!$C:$C, MATCH(1, (VALUE(LEFT(ft_enfermeiros!$A:$A,6))=VALUE(LEFT(B215,6)))*(ft_enfermeiros!$B:$B=C215), 0)), "")</f>
        <v>5590</v>
      </c>
      <c r="G215" cm="1">
        <f t="array" aca="1" ref="G215" ca="1">IFERROR(INDEX(ft_equipes_acs!$C:$C, MATCH(1, (VALUE(LEFT(ft_equipes_acs!$A:$A,6))=VALUE(LEFT(B215,6)))*(ft_equipes_acs!$B:$B=C215), 0)), "")</f>
        <v>53</v>
      </c>
      <c r="H215" cm="1">
        <f t="array" aca="1" ref="H215" ca="1">IFERROR(INDEX(ci_leitos_internacao!$C:$C, MATCH(1, (VALUE(LEFT(ci_leitos_internacao!$A:$A,6))=VALUE(LEFT(B215,6)))*(ci_leitos_internacao!$B:$B=C215), 0)), "")</f>
        <v>8167</v>
      </c>
      <c r="I215" cm="1">
        <f t="array" aca="1" ref="I215" ca="1">IFERROR(INDEX(ci_hospitais_internacao!$C:$C, MATCH(1, (VALUE(LEFT(ci_hospitais_internacao!$A:$A,6))=VALUE(LEFT(B215,6)))*(ci_hospitais_internacao!$B:$B=C215), 0)), "")</f>
        <v>21</v>
      </c>
      <c r="J215" t="str" cm="1">
        <f t="array" aca="1" ref="J215" ca="1">IFERROR(INDEX(ci_pa_clinico!$C:$C, MATCH(1, (VALUE(LEFT(ci_pa_clinico!$A:$A,6))=VALUE(LEFT(B215,6)))*(ci_pa_clinico!$B:$B=C215), 0)), "")</f>
        <v/>
      </c>
      <c r="K215" cm="1">
        <f t="array" aca="1" ref="K215" ca="1">IFERROR(INDEX(aps_equipes_esf!$C:$C, MATCH(1, (VALUE(LEFT(aps_equipes_esf!$A:$A,6))=VALUE(LEFT(B215,6)))*(aps_equipes_esf!$B:$B=C215), 0)), "")</f>
        <v>52</v>
      </c>
      <c r="L215" cm="1">
        <f t="array" aca="1" ref="L215" ca="1">IFERROR(INDEX(casos!$C:$C, MATCH(1, (VALUE(LEFT(casos!$A:$A,6))=VALUE(LEFT(B215,6)))*(casos!$B:$B=C215), 0)), "")</f>
        <v>9571</v>
      </c>
      <c r="M215" cm="1">
        <f t="array" ref="M215">IFERROR(INDEX(srag!$D:$D, MATCH(1, (VALUE(LEFT(srag!$A:$A,6))=VALUE(LEFT(B215,6)))*(srag!$C:$C=C215), 0)), "")</f>
        <v>941</v>
      </c>
      <c r="N215" cm="1">
        <f t="array" ref="N215">IFERROR(INDEX(fesp!$E:$E, MATCH(1, (VALUE(LEFT(fesp!$A:$A,6))=VALUE(LEFT(B215,6)))*(fesp!$C:$C=C215), 0)), "")</f>
        <v>737</v>
      </c>
      <c r="O215" cm="1">
        <f t="array" ref="O215">IFERROR(INDEX(fesp!$F:$F, MATCH(1, (VALUE(LEFT(fesp!$A:$A,6))=VALUE(LEFT(B215,6)))*(fesp!$C:$C=C215), 0)), "")</f>
        <v>36557</v>
      </c>
      <c r="P215" cm="1">
        <f t="array" ref="P215">IFERROR(INDEX(fesp!$G:$G, MATCH(1, (VALUE(LEFT(fesp!$A:$A,6))=VALUE(LEFT(B215,6)))*(fesp!$C:$C=C215), 0)), "")</f>
        <v>20566095</v>
      </c>
      <c r="Q215" cm="1">
        <f t="array" ref="Q215">IFERROR(INDEX(fesp!$H:$H, MATCH(1, (VALUE(LEFT(fesp!$A:$A,6))=VALUE(LEFT(B215,6)))*(fesp!$C:$C=C215), 0)), "")</f>
        <v>576</v>
      </c>
      <c r="R215" cm="1">
        <f t="array" ref="R215">IFERROR(INDEX(fesp!$I:$I, MATCH(1, (VALUE(LEFT(fesp!$A:$A,6))=VALUE(LEFT(B215,6)))*(fesp!$C:$C=C215), 0)), "")</f>
        <v>41483</v>
      </c>
      <c r="S215" cm="1">
        <f t="array" ref="S215">IFERROR(INDEX(fesp!$J:$J, MATCH(1, (VALUE(LEFT(fesp!$A:$A,6))=VALUE(LEFT(B215,6)))*(fesp!$C:$C=C215), 0)), "")</f>
        <v>197706</v>
      </c>
    </row>
    <row r="216" spans="1:19">
      <c r="A216" s="1" t="s">
        <v>9</v>
      </c>
      <c r="B216" s="3" t="s">
        <v>8</v>
      </c>
      <c r="C216" s="3">
        <v>2020</v>
      </c>
      <c r="D216" cm="1">
        <f t="array" ref="D216">IFERROR(INDEX(fesp!$D:$D, MATCH(1, (VALUE(LEFT(fesp!$A:$A,6))=VALUE(LEFT(B216,6)))*(fesp!$C:$C=C216), 0)), "")</f>
        <v>0</v>
      </c>
      <c r="E216" cm="1">
        <f t="array" aca="1" ref="E216" ca="1">IFERROR(INDEX(ft_medicos_clinicos!$C:$C, MATCH(1, (VALUE(LEFT(ft_medicos_clinicos!$A:$A,6))=VALUE(LEFT(B216,6)))*(ft_medicos_clinicos!$B:$B=C216), 0)), "")</f>
        <v>2011</v>
      </c>
      <c r="F216" cm="1">
        <f t="array" aca="1" ref="F216" ca="1">IFERROR(INDEX(ft_enfermeiros!$C:$C, MATCH(1, (VALUE(LEFT(ft_enfermeiros!$A:$A,6))=VALUE(LEFT(B216,6)))*(ft_enfermeiros!$B:$B=C216), 0)), "")</f>
        <v>6278</v>
      </c>
      <c r="G216" cm="1">
        <f t="array" aca="1" ref="G216" ca="1">IFERROR(INDEX(ft_equipes_acs!$C:$C, MATCH(1, (VALUE(LEFT(ft_equipes_acs!$A:$A,6))=VALUE(LEFT(B216,6)))*(ft_equipes_acs!$B:$B=C216), 0)), "")</f>
        <v>34</v>
      </c>
      <c r="H216" cm="1">
        <f t="array" aca="1" ref="H216" ca="1">IFERROR(INDEX(ci_leitos_internacao!$C:$C, MATCH(1, (VALUE(LEFT(ci_leitos_internacao!$A:$A,6))=VALUE(LEFT(B216,6)))*(ci_leitos_internacao!$B:$B=C216), 0)), "")</f>
        <v>8740</v>
      </c>
      <c r="I216" cm="1">
        <f t="array" aca="1" ref="I216" ca="1">IFERROR(INDEX(ci_hospitais_internacao!$C:$C, MATCH(1, (VALUE(LEFT(ci_hospitais_internacao!$A:$A,6))=VALUE(LEFT(B216,6)))*(ci_hospitais_internacao!$B:$B=C216), 0)), "")</f>
        <v>29</v>
      </c>
      <c r="J216" t="str" cm="1">
        <f t="array" aca="1" ref="J216" ca="1">IFERROR(INDEX(ci_pa_clinico!$C:$C, MATCH(1, (VALUE(LEFT(ci_pa_clinico!$A:$A,6))=VALUE(LEFT(B216,6)))*(ci_pa_clinico!$B:$B=C216), 0)), "")</f>
        <v/>
      </c>
      <c r="K216" cm="1">
        <f t="array" aca="1" ref="K216" ca="1">IFERROR(INDEX(aps_equipes_esf!$C:$C, MATCH(1, (VALUE(LEFT(aps_equipes_esf!$A:$A,6))=VALUE(LEFT(B216,6)))*(aps_equipes_esf!$B:$B=C216), 0)), "")</f>
        <v>8</v>
      </c>
      <c r="L216" cm="1">
        <f t="array" aca="1" ref="L216" ca="1">IFERROR(INDEX(casos!$C:$C, MATCH(1, (VALUE(LEFT(casos!$A:$A,6))=VALUE(LEFT(B216,6)))*(casos!$B:$B=C216), 0)), "")</f>
        <v>10925</v>
      </c>
      <c r="M216" cm="1">
        <f t="array" ref="M216">IFERROR(INDEX(srag!$D:$D, MATCH(1, (VALUE(LEFT(srag!$A:$A,6))=VALUE(LEFT(B216,6)))*(srag!$C:$C=C216), 0)), "")</f>
        <v>15746</v>
      </c>
      <c r="N216" cm="1">
        <f t="array" ref="N216">IFERROR(INDEX(fesp!$E:$E, MATCH(1, (VALUE(LEFT(fesp!$A:$A,6))=VALUE(LEFT(B216,6)))*(fesp!$C:$C=C216), 0)), "")</f>
        <v>676</v>
      </c>
      <c r="O216" cm="1">
        <f t="array" ref="O216">IFERROR(INDEX(fesp!$F:$F, MATCH(1, (VALUE(LEFT(fesp!$A:$A,6))=VALUE(LEFT(B216,6)))*(fesp!$C:$C=C216), 0)), "")</f>
        <v>26000</v>
      </c>
      <c r="P216" cm="1">
        <f t="array" ref="P216">IFERROR(INDEX(fesp!$G:$G, MATCH(1, (VALUE(LEFT(fesp!$A:$A,6))=VALUE(LEFT(B216,6)))*(fesp!$C:$C=C216), 0)), "")</f>
        <v>15986668</v>
      </c>
      <c r="Q216" cm="1">
        <f t="array" ref="Q216">IFERROR(INDEX(fesp!$H:$H, MATCH(1, (VALUE(LEFT(fesp!$A:$A,6))=VALUE(LEFT(B216,6)))*(fesp!$C:$C=C216), 0)), "")</f>
        <v>309</v>
      </c>
      <c r="R216" cm="1">
        <f t="array" ref="R216">IFERROR(INDEX(fesp!$I:$I, MATCH(1, (VALUE(LEFT(fesp!$A:$A,6))=VALUE(LEFT(B216,6)))*(fesp!$C:$C=C216), 0)), "")</f>
        <v>5299</v>
      </c>
      <c r="S216" cm="1">
        <f t="array" ref="S216">IFERROR(INDEX(fesp!$J:$J, MATCH(1, (VALUE(LEFT(fesp!$A:$A,6))=VALUE(LEFT(B216,6)))*(fesp!$C:$C=C216), 0)), "")</f>
        <v>2713</v>
      </c>
    </row>
    <row r="217" spans="1:19">
      <c r="A217" s="1" t="s">
        <v>9</v>
      </c>
      <c r="B217" s="3" t="s">
        <v>8</v>
      </c>
      <c r="C217" s="3">
        <v>2021</v>
      </c>
      <c r="D217" cm="1">
        <f t="array" ref="D217">IFERROR(INDEX(fesp!$D:$D, MATCH(1, (VALUE(LEFT(fesp!$A:$A,6))=VALUE(LEFT(B217,6)))*(fesp!$C:$C=C217), 0)), "")</f>
        <v>0</v>
      </c>
      <c r="E217" cm="1">
        <f t="array" aca="1" ref="E217" ca="1">IFERROR(INDEX(ft_medicos_clinicos!$C:$C, MATCH(1, (VALUE(LEFT(ft_medicos_clinicos!$A:$A,6))=VALUE(LEFT(B217,6)))*(ft_medicos_clinicos!$B:$B=C217), 0)), "")</f>
        <v>2044</v>
      </c>
      <c r="F217" cm="1">
        <f t="array" aca="1" ref="F217" ca="1">IFERROR(INDEX(ft_enfermeiros!$C:$C, MATCH(1, (VALUE(LEFT(ft_enfermeiros!$A:$A,6))=VALUE(LEFT(B217,6)))*(ft_enfermeiros!$B:$B=C217), 0)), "")</f>
        <v>6565</v>
      </c>
      <c r="G217" cm="1">
        <f t="array" aca="1" ref="G217" ca="1">IFERROR(INDEX(ft_equipes_acs!$C:$C, MATCH(1, (VALUE(LEFT(ft_equipes_acs!$A:$A,6))=VALUE(LEFT(B217,6)))*(ft_equipes_acs!$B:$B=C217), 0)), "")</f>
        <v>34</v>
      </c>
      <c r="H217" cm="1">
        <f t="array" aca="1" ref="H217" ca="1">IFERROR(INDEX(ci_leitos_internacao!$C:$C, MATCH(1, (VALUE(LEFT(ci_leitos_internacao!$A:$A,6))=VALUE(LEFT(B217,6)))*(ci_leitos_internacao!$B:$B=C217), 0)), "")</f>
        <v>8321</v>
      </c>
      <c r="I217" cm="1">
        <f t="array" aca="1" ref="I217" ca="1">IFERROR(INDEX(ci_hospitais_internacao!$C:$C, MATCH(1, (VALUE(LEFT(ci_hospitais_internacao!$A:$A,6))=VALUE(LEFT(B217,6)))*(ci_hospitais_internacao!$B:$B=C217), 0)), "")</f>
        <v>26</v>
      </c>
      <c r="J217" t="str" cm="1">
        <f t="array" aca="1" ref="J217" ca="1">IFERROR(INDEX(ci_pa_clinico!$C:$C, MATCH(1, (VALUE(LEFT(ci_pa_clinico!$A:$A,6))=VALUE(LEFT(B217,6)))*(ci_pa_clinico!$B:$B=C217), 0)), "")</f>
        <v/>
      </c>
      <c r="K217" cm="1">
        <f t="array" aca="1" ref="K217" ca="1">IFERROR(INDEX(aps_equipes_esf!$C:$C, MATCH(1, (VALUE(LEFT(aps_equipes_esf!$A:$A,6))=VALUE(LEFT(B217,6)))*(aps_equipes_esf!$B:$B=C217), 0)), "")</f>
        <v>8</v>
      </c>
      <c r="L217" cm="1">
        <f t="array" aca="1" ref="L217" ca="1">IFERROR(INDEX(casos!$C:$C, MATCH(1, (VALUE(LEFT(casos!$A:$A,6))=VALUE(LEFT(B217,6)))*(casos!$B:$B=C217), 0)), "")</f>
        <v>792</v>
      </c>
      <c r="M217" cm="1">
        <f t="array" ref="M217">IFERROR(INDEX(srag!$D:$D, MATCH(1, (VALUE(LEFT(srag!$A:$A,6))=VALUE(LEFT(B217,6)))*(srag!$C:$C=C217), 0)), "")</f>
        <v>20453</v>
      </c>
      <c r="N217" cm="1">
        <f t="array" ref="N217">IFERROR(INDEX(fesp!$E:$E, MATCH(1, (VALUE(LEFT(fesp!$A:$A,6))=VALUE(LEFT(B217,6)))*(fesp!$C:$C=C217), 0)), "")</f>
        <v>699</v>
      </c>
      <c r="O217" cm="1">
        <f t="array" ref="O217">IFERROR(INDEX(fesp!$F:$F, MATCH(1, (VALUE(LEFT(fesp!$A:$A,6))=VALUE(LEFT(B217,6)))*(fesp!$C:$C=C217), 0)), "")</f>
        <v>41481</v>
      </c>
      <c r="P217" cm="1">
        <f t="array" ref="P217">IFERROR(INDEX(fesp!$G:$G, MATCH(1, (VALUE(LEFT(fesp!$A:$A,6))=VALUE(LEFT(B217,6)))*(fesp!$C:$C=C217), 0)), "")</f>
        <v>20296518</v>
      </c>
      <c r="Q217" cm="1">
        <f t="array" ref="Q217">IFERROR(INDEX(fesp!$H:$H, MATCH(1, (VALUE(LEFT(fesp!$A:$A,6))=VALUE(LEFT(B217,6)))*(fesp!$C:$C=C217), 0)), "")</f>
        <v>334</v>
      </c>
      <c r="R217" cm="1">
        <f t="array" ref="R217">IFERROR(INDEX(fesp!$I:$I, MATCH(1, (VALUE(LEFT(fesp!$A:$A,6))=VALUE(LEFT(B217,6)))*(fesp!$C:$C=C217), 0)), "")</f>
        <v>5192</v>
      </c>
      <c r="S217" cm="1">
        <f t="array" ref="S217">IFERROR(INDEX(fesp!$J:$J, MATCH(1, (VALUE(LEFT(fesp!$A:$A,6))=VALUE(LEFT(B217,6)))*(fesp!$C:$C=C217), 0)), "")</f>
        <v>12390</v>
      </c>
    </row>
    <row r="218" spans="1:19">
      <c r="A218" s="1" t="s">
        <v>9</v>
      </c>
      <c r="B218" s="3" t="s">
        <v>8</v>
      </c>
      <c r="C218" s="3">
        <v>2022</v>
      </c>
      <c r="D218" cm="1">
        <f t="array" ref="D218">IFERROR(INDEX(fesp!$D:$D, MATCH(1, (VALUE(LEFT(fesp!$A:$A,6))=VALUE(LEFT(B218,6)))*(fesp!$C:$C=C218), 0)), "")</f>
        <v>2417678</v>
      </c>
      <c r="E218" cm="1">
        <f t="array" aca="1" ref="E218" ca="1">IFERROR(INDEX(ft_medicos_clinicos!$C:$C, MATCH(1, (VALUE(LEFT(ft_medicos_clinicos!$A:$A,6))=VALUE(LEFT(B218,6)))*(ft_medicos_clinicos!$B:$B=C218), 0)), "")</f>
        <v>2056</v>
      </c>
      <c r="F218" cm="1">
        <f t="array" aca="1" ref="F218" ca="1">IFERROR(INDEX(ft_enfermeiros!$C:$C, MATCH(1, (VALUE(LEFT(ft_enfermeiros!$A:$A,6))=VALUE(LEFT(B218,6)))*(ft_enfermeiros!$B:$B=C218), 0)), "")</f>
        <v>6977</v>
      </c>
      <c r="G218" cm="1">
        <f t="array" aca="1" ref="G218" ca="1">IFERROR(INDEX(ft_equipes_acs!$C:$C, MATCH(1, (VALUE(LEFT(ft_equipes_acs!$A:$A,6))=VALUE(LEFT(B218,6)))*(ft_equipes_acs!$B:$B=C218), 0)), "")</f>
        <v>33</v>
      </c>
      <c r="H218" cm="1">
        <f t="array" aca="1" ref="H218" ca="1">IFERROR(INDEX(ci_leitos_internacao!$C:$C, MATCH(1, (VALUE(LEFT(ci_leitos_internacao!$A:$A,6))=VALUE(LEFT(B218,6)))*(ci_leitos_internacao!$B:$B=C218), 0)), "")</f>
        <v>7991</v>
      </c>
      <c r="I218" cm="1">
        <f t="array" aca="1" ref="I218" ca="1">IFERROR(INDEX(ci_hospitais_internacao!$C:$C, MATCH(1, (VALUE(LEFT(ci_hospitais_internacao!$A:$A,6))=VALUE(LEFT(B218,6)))*(ci_hospitais_internacao!$B:$B=C218), 0)), "")</f>
        <v>24</v>
      </c>
      <c r="J218" t="str" cm="1">
        <f t="array" aca="1" ref="J218" ca="1">IFERROR(INDEX(ci_pa_clinico!$C:$C, MATCH(1, (VALUE(LEFT(ci_pa_clinico!$A:$A,6))=VALUE(LEFT(B218,6)))*(ci_pa_clinico!$B:$B=C218), 0)), "")</f>
        <v/>
      </c>
      <c r="K218" cm="1">
        <f t="array" aca="1" ref="K218" ca="1">IFERROR(INDEX(aps_equipes_esf!$C:$C, MATCH(1, (VALUE(LEFT(aps_equipes_esf!$A:$A,6))=VALUE(LEFT(B218,6)))*(aps_equipes_esf!$B:$B=C218), 0)), "")</f>
        <v>8</v>
      </c>
      <c r="L218" cm="1">
        <f t="array" aca="1" ref="L218" ca="1">IFERROR(INDEX(casos!$C:$C, MATCH(1, (VALUE(LEFT(casos!$A:$A,6))=VALUE(LEFT(B218,6)))*(casos!$B:$B=C218), 0)), "")</f>
        <v>2650</v>
      </c>
      <c r="M218" cm="1">
        <f t="array" ref="M218">IFERROR(INDEX(srag!$D:$D, MATCH(1, (VALUE(LEFT(srag!$A:$A,6))=VALUE(LEFT(B218,6)))*(srag!$C:$C=C218), 0)), "")</f>
        <v>7028</v>
      </c>
      <c r="N218" cm="1">
        <f t="array" ref="N218">IFERROR(INDEX(fesp!$E:$E, MATCH(1, (VALUE(LEFT(fesp!$A:$A,6))=VALUE(LEFT(B218,6)))*(fesp!$C:$C=C218), 0)), "")</f>
        <v>768</v>
      </c>
      <c r="O218" cm="1">
        <f t="array" ref="O218">IFERROR(INDEX(fesp!$F:$F, MATCH(1, (VALUE(LEFT(fesp!$A:$A,6))=VALUE(LEFT(B218,6)))*(fesp!$C:$C=C218), 0)), "")</f>
        <v>44524</v>
      </c>
      <c r="P218" cm="1">
        <f t="array" ref="P218">IFERROR(INDEX(fesp!$G:$G, MATCH(1, (VALUE(LEFT(fesp!$A:$A,6))=VALUE(LEFT(B218,6)))*(fesp!$C:$C=C218), 0)), "")</f>
        <v>21933007</v>
      </c>
      <c r="Q218" cm="1">
        <f t="array" ref="Q218">IFERROR(INDEX(fesp!$H:$H, MATCH(1, (VALUE(LEFT(fesp!$A:$A,6))=VALUE(LEFT(B218,6)))*(fesp!$C:$C=C218), 0)), "")</f>
        <v>587</v>
      </c>
      <c r="R218" cm="1">
        <f t="array" ref="R218">IFERROR(INDEX(fesp!$I:$I, MATCH(1, (VALUE(LEFT(fesp!$A:$A,6))=VALUE(LEFT(B218,6)))*(fesp!$C:$C=C218), 0)), "")</f>
        <v>5232</v>
      </c>
      <c r="S218" cm="1">
        <f t="array" ref="S218">IFERROR(INDEX(fesp!$J:$J, MATCH(1, (VALUE(LEFT(fesp!$A:$A,6))=VALUE(LEFT(B218,6)))*(fesp!$C:$C=C218), 0)), "")</f>
        <v>12980</v>
      </c>
    </row>
    <row r="219" spans="1:19">
      <c r="A219" s="1" t="s">
        <v>9</v>
      </c>
      <c r="B219" s="3" t="s">
        <v>8</v>
      </c>
      <c r="C219" s="3">
        <v>2023</v>
      </c>
      <c r="D219" cm="1">
        <f t="array" ref="D219">IFERROR(INDEX(fesp!$D:$D, MATCH(1, (VALUE(LEFT(fesp!$A:$A,6))=VALUE(LEFT(B219,6)))*(fesp!$C:$C=C219), 0)), "")</f>
        <v>0</v>
      </c>
      <c r="E219" cm="1">
        <f t="array" aca="1" ref="E219" ca="1">IFERROR(INDEX(ft_medicos_clinicos!$C:$C, MATCH(1, (VALUE(LEFT(ft_medicos_clinicos!$A:$A,6))=VALUE(LEFT(B219,6)))*(ft_medicos_clinicos!$B:$B=C219), 0)), "")</f>
        <v>2215</v>
      </c>
      <c r="F219" cm="1">
        <f t="array" aca="1" ref="F219" ca="1">IFERROR(INDEX(ft_enfermeiros!$C:$C, MATCH(1, (VALUE(LEFT(ft_enfermeiros!$A:$A,6))=VALUE(LEFT(B219,6)))*(ft_enfermeiros!$B:$B=C219), 0)), "")</f>
        <v>6985</v>
      </c>
      <c r="G219" cm="1">
        <f t="array" aca="1" ref="G219" ca="1">IFERROR(INDEX(ft_equipes_acs!$C:$C, MATCH(1, (VALUE(LEFT(ft_equipes_acs!$A:$A,6))=VALUE(LEFT(B219,6)))*(ft_equipes_acs!$B:$B=C219), 0)), "")</f>
        <v>33</v>
      </c>
      <c r="H219" cm="1">
        <f t="array" aca="1" ref="H219" ca="1">IFERROR(INDEX(ci_leitos_internacao!$C:$C, MATCH(1, (VALUE(LEFT(ci_leitos_internacao!$A:$A,6))=VALUE(LEFT(B219,6)))*(ci_leitos_internacao!$B:$B=C219), 0)), "")</f>
        <v>8020</v>
      </c>
      <c r="I219" cm="1">
        <f t="array" aca="1" ref="I219" ca="1">IFERROR(INDEX(ci_hospitais_internacao!$C:$C, MATCH(1, (VALUE(LEFT(ci_hospitais_internacao!$A:$A,6))=VALUE(LEFT(B219,6)))*(ci_hospitais_internacao!$B:$B=C219), 0)), "")</f>
        <v>21</v>
      </c>
      <c r="J219" t="str" cm="1">
        <f t="array" aca="1" ref="J219" ca="1">IFERROR(INDEX(ci_pa_clinico!$C:$C, MATCH(1, (VALUE(LEFT(ci_pa_clinico!$A:$A,6))=VALUE(LEFT(B219,6)))*(ci_pa_clinico!$B:$B=C219), 0)), "")</f>
        <v/>
      </c>
      <c r="K219" cm="1">
        <f t="array" aca="1" ref="K219" ca="1">IFERROR(INDEX(aps_equipes_esf!$C:$C, MATCH(1, (VALUE(LEFT(aps_equipes_esf!$A:$A,6))=VALUE(LEFT(B219,6)))*(aps_equipes_esf!$B:$B=C219), 0)), "")</f>
        <v>8</v>
      </c>
      <c r="L219" cm="1">
        <f t="array" aca="1" ref="L219" ca="1">IFERROR(INDEX(casos!$C:$C, MATCH(1, (VALUE(LEFT(casos!$A:$A,6))=VALUE(LEFT(B219,6)))*(casos!$B:$B=C219), 0)), "")</f>
        <v>13219</v>
      </c>
      <c r="M219" cm="1">
        <f t="array" ref="M219">IFERROR(INDEX(srag!$D:$D, MATCH(1, (VALUE(LEFT(srag!$A:$A,6))=VALUE(LEFT(B219,6)))*(srag!$C:$C=C219), 0)), "")</f>
        <v>3981</v>
      </c>
      <c r="N219" cm="1">
        <f t="array" ref="N219">IFERROR(INDEX(fesp!$E:$E, MATCH(1, (VALUE(LEFT(fesp!$A:$A,6))=VALUE(LEFT(B219,6)))*(fesp!$C:$C=C219), 0)), "")</f>
        <v>755</v>
      </c>
      <c r="O219" cm="1">
        <f t="array" ref="O219">IFERROR(INDEX(fesp!$F:$F, MATCH(1, (VALUE(LEFT(fesp!$A:$A,6))=VALUE(LEFT(B219,6)))*(fesp!$C:$C=C219), 0)), "")</f>
        <v>53048</v>
      </c>
      <c r="P219" cm="1">
        <f t="array" ref="P219">IFERROR(INDEX(fesp!$G:$G, MATCH(1, (VALUE(LEFT(fesp!$A:$A,6))=VALUE(LEFT(B219,6)))*(fesp!$C:$C=C219), 0)), "")</f>
        <v>24033715</v>
      </c>
      <c r="Q219" cm="1">
        <f t="array" ref="Q219">IFERROR(INDEX(fesp!$H:$H, MATCH(1, (VALUE(LEFT(fesp!$A:$A,6))=VALUE(LEFT(B219,6)))*(fesp!$C:$C=C219), 0)), "")</f>
        <v>468</v>
      </c>
      <c r="R219" cm="1">
        <f t="array" ref="R219">IFERROR(INDEX(fesp!$I:$I, MATCH(1, (VALUE(LEFT(fesp!$A:$A,6))=VALUE(LEFT(B219,6)))*(fesp!$C:$C=C219), 0)), "")</f>
        <v>5027</v>
      </c>
      <c r="S219" cm="1">
        <f t="array" ref="S219">IFERROR(INDEX(fesp!$J:$J, MATCH(1, (VALUE(LEFT(fesp!$A:$A,6))=VALUE(LEFT(B219,6)))*(fesp!$C:$C=C219), 0)), "")</f>
        <v>17319</v>
      </c>
    </row>
    <row r="220" spans="1:19">
      <c r="A220" s="1" t="s">
        <v>9</v>
      </c>
      <c r="B220" s="3" t="s">
        <v>8</v>
      </c>
      <c r="C220" s="3">
        <v>2024</v>
      </c>
      <c r="D220" cm="1">
        <f t="array" ref="D220">IFERROR(INDEX(fesp!$D:$D, MATCH(1, (VALUE(LEFT(fesp!$A:$A,6))=VALUE(LEFT(B220,6)))*(fesp!$C:$C=C220), 0)), "")</f>
        <v>0</v>
      </c>
      <c r="E220" cm="1">
        <f t="array" aca="1" ref="E220" ca="1">IFERROR(INDEX(ft_medicos_clinicos!$C:$C, MATCH(1, (VALUE(LEFT(ft_medicos_clinicos!$A:$A,6))=VALUE(LEFT(B220,6)))*(ft_medicos_clinicos!$B:$B=C220), 0)), "")</f>
        <v>2298</v>
      </c>
      <c r="F220" cm="1">
        <f t="array" aca="1" ref="F220" ca="1">IFERROR(INDEX(ft_enfermeiros!$C:$C, MATCH(1, (VALUE(LEFT(ft_enfermeiros!$A:$A,6))=VALUE(LEFT(B220,6)))*(ft_enfermeiros!$B:$B=C220), 0)), "")</f>
        <v>7362</v>
      </c>
      <c r="G220" cm="1">
        <f t="array" aca="1" ref="G220" ca="1">IFERROR(INDEX(ft_equipes_acs!$C:$C, MATCH(1, (VALUE(LEFT(ft_equipes_acs!$A:$A,6))=VALUE(LEFT(B220,6)))*(ft_equipes_acs!$B:$B=C220), 0)), "")</f>
        <v>32</v>
      </c>
      <c r="H220" cm="1">
        <f t="array" aca="1" ref="H220" ca="1">IFERROR(INDEX(ci_leitos_internacao!$C:$C, MATCH(1, (VALUE(LEFT(ci_leitos_internacao!$A:$A,6))=VALUE(LEFT(B220,6)))*(ci_leitos_internacao!$B:$B=C220), 0)), "")</f>
        <v>7887</v>
      </c>
      <c r="I220" cm="1">
        <f t="array" aca="1" ref="I220" ca="1">IFERROR(INDEX(ci_hospitais_internacao!$C:$C, MATCH(1, (VALUE(LEFT(ci_hospitais_internacao!$A:$A,6))=VALUE(LEFT(B220,6)))*(ci_hospitais_internacao!$B:$B=C220), 0)), "")</f>
        <v>21</v>
      </c>
      <c r="J220" t="str" cm="1">
        <f t="array" aca="1" ref="J220" ca="1">IFERROR(INDEX(ci_pa_clinico!$C:$C, MATCH(1, (VALUE(LEFT(ci_pa_clinico!$A:$A,6))=VALUE(LEFT(B220,6)))*(ci_pa_clinico!$B:$B=C220), 0)), "")</f>
        <v/>
      </c>
      <c r="K220" cm="1">
        <f t="array" aca="1" ref="K220" ca="1">IFERROR(INDEX(aps_equipes_esf!$C:$C, MATCH(1, (VALUE(LEFT(aps_equipes_esf!$A:$A,6))=VALUE(LEFT(B220,6)))*(aps_equipes_esf!$B:$B=C220), 0)), "")</f>
        <v>8</v>
      </c>
      <c r="L220" cm="1">
        <f t="array" aca="1" ref="L220" ca="1">IFERROR(INDEX(casos!$C:$C, MATCH(1, (VALUE(LEFT(casos!$A:$A,6))=VALUE(LEFT(B220,6)))*(casos!$B:$B=C220), 0)), "")</f>
        <v>11202</v>
      </c>
      <c r="M220" cm="1">
        <f t="array" ref="M220">IFERROR(INDEX(srag!$D:$D, MATCH(1, (VALUE(LEFT(srag!$A:$A,6))=VALUE(LEFT(B220,6)))*(srag!$C:$C=C220), 0)), "")</f>
        <v>4004</v>
      </c>
      <c r="N220" cm="1">
        <f t="array" ref="N220">IFERROR(INDEX(fesp!$E:$E, MATCH(1, (VALUE(LEFT(fesp!$A:$A,6))=VALUE(LEFT(B220,6)))*(fesp!$C:$C=C220), 0)), "")</f>
        <v>761</v>
      </c>
      <c r="O220" cm="1">
        <f t="array" ref="O220">IFERROR(INDEX(fesp!$F:$F, MATCH(1, (VALUE(LEFT(fesp!$A:$A,6))=VALUE(LEFT(B220,6)))*(fesp!$C:$C=C220), 0)), "")</f>
        <v>54147</v>
      </c>
      <c r="P220" cm="1">
        <f t="array" ref="P220">IFERROR(INDEX(fesp!$G:$G, MATCH(1, (VALUE(LEFT(fesp!$A:$A,6))=VALUE(LEFT(B220,6)))*(fesp!$C:$C=C220), 0)), "")</f>
        <v>26417955</v>
      </c>
      <c r="Q220" cm="1">
        <f t="array" ref="Q220">IFERROR(INDEX(fesp!$H:$H, MATCH(1, (VALUE(LEFT(fesp!$A:$A,6))=VALUE(LEFT(B220,6)))*(fesp!$C:$C=C220), 0)), "")</f>
        <v>449</v>
      </c>
      <c r="R220" cm="1">
        <f t="array" ref="R220">IFERROR(INDEX(fesp!$I:$I, MATCH(1, (VALUE(LEFT(fesp!$A:$A,6))=VALUE(LEFT(B220,6)))*(fesp!$C:$C=C220), 0)), "")</f>
        <v>6735</v>
      </c>
      <c r="S220" cm="1">
        <f t="array" ref="S220">IFERROR(INDEX(fesp!$J:$J, MATCH(1, (VALUE(LEFT(fesp!$A:$A,6))=VALUE(LEFT(B220,6)))*(fesp!$C:$C=C220), 0)), "")</f>
        <v>17321</v>
      </c>
    </row>
    <row r="221" spans="1:19">
      <c r="A221" s="1" t="s">
        <v>9</v>
      </c>
      <c r="B221" s="3" t="s">
        <v>8</v>
      </c>
      <c r="C221" s="3">
        <v>2025</v>
      </c>
      <c r="D221" cm="1">
        <f t="array" ref="D221">IFERROR(INDEX(fesp!$D:$D, MATCH(1, (VALUE(LEFT(fesp!$A:$A,6))=VALUE(LEFT(B221,6)))*(fesp!$C:$C=C221), 0)), "")</f>
        <v>0</v>
      </c>
      <c r="E221" cm="1">
        <f t="array" aca="1" ref="E221" ca="1">IFERROR(INDEX(ft_medicos_clinicos!$C:$C, MATCH(1, (VALUE(LEFT(ft_medicos_clinicos!$A:$A,6))=VALUE(LEFT(B221,6)))*(ft_medicos_clinicos!$B:$B=C221), 0)), "")</f>
        <v>2534</v>
      </c>
      <c r="F221" cm="1">
        <f t="array" aca="1" ref="F221" ca="1">IFERROR(INDEX(ft_enfermeiros!$C:$C, MATCH(1, (VALUE(LEFT(ft_enfermeiros!$A:$A,6))=VALUE(LEFT(B221,6)))*(ft_enfermeiros!$B:$B=C221), 0)), "")</f>
        <v>7779</v>
      </c>
      <c r="G221" cm="1">
        <f t="array" aca="1" ref="G221" ca="1">IFERROR(INDEX(ft_equipes_acs!$C:$C, MATCH(1, (VALUE(LEFT(ft_equipes_acs!$A:$A,6))=VALUE(LEFT(B221,6)))*(ft_equipes_acs!$B:$B=C221), 0)), "")</f>
        <v>32</v>
      </c>
      <c r="H221" cm="1">
        <f t="array" aca="1" ref="H221" ca="1">IFERROR(INDEX(ci_leitos_internacao!$C:$C, MATCH(1, (VALUE(LEFT(ci_leitos_internacao!$A:$A,6))=VALUE(LEFT(B221,6)))*(ci_leitos_internacao!$B:$B=C221), 0)), "")</f>
        <v>7790</v>
      </c>
      <c r="I221" cm="1">
        <f t="array" aca="1" ref="I221" ca="1">IFERROR(INDEX(ci_hospitais_internacao!$C:$C, MATCH(1, (VALUE(LEFT(ci_hospitais_internacao!$A:$A,6))=VALUE(LEFT(B221,6)))*(ci_hospitais_internacao!$B:$B=C221), 0)), "")</f>
        <v>21</v>
      </c>
      <c r="J221" t="str" cm="1">
        <f t="array" aca="1" ref="J221" ca="1">IFERROR(INDEX(ci_pa_clinico!$C:$C, MATCH(1, (VALUE(LEFT(ci_pa_clinico!$A:$A,6))=VALUE(LEFT(B221,6)))*(ci_pa_clinico!$B:$B=C221), 0)), "")</f>
        <v/>
      </c>
      <c r="K221" cm="1">
        <f t="array" aca="1" ref="K221" ca="1">IFERROR(INDEX(aps_equipes_esf!$C:$C, MATCH(1, (VALUE(LEFT(aps_equipes_esf!$A:$A,6))=VALUE(LEFT(B221,6)))*(aps_equipes_esf!$B:$B=C221), 0)), "")</f>
        <v>8</v>
      </c>
      <c r="L221" cm="1">
        <f t="array" aca="1" ref="L221" ca="1">IFERROR(INDEX(casos!$C:$C, MATCH(1, (VALUE(LEFT(casos!$A:$A,6))=VALUE(LEFT(B221,6)))*(casos!$B:$B=C221), 0)), "")</f>
        <v>3872</v>
      </c>
      <c r="M221" cm="1">
        <f t="array" ref="M221">IFERROR(INDEX(srag!$D:$D, MATCH(1, (VALUE(LEFT(srag!$A:$A,6))=VALUE(LEFT(B221,6)))*(srag!$C:$C=C221), 0)), "")</f>
        <v>4778</v>
      </c>
      <c r="N221" cm="1">
        <f t="array" ref="N221">IFERROR(INDEX(fesp!$E:$E, MATCH(1, (VALUE(LEFT(fesp!$A:$A,6))=VALUE(LEFT(B221,6)))*(fesp!$C:$C=C221), 0)), "")</f>
        <v>820</v>
      </c>
      <c r="O221" cm="1">
        <f t="array" ref="O221">IFERROR(INDEX(fesp!$F:$F, MATCH(1, (VALUE(LEFT(fesp!$A:$A,6))=VALUE(LEFT(B221,6)))*(fesp!$C:$C=C221), 0)), "")</f>
        <v>45928</v>
      </c>
      <c r="P221" cm="1">
        <f t="array" ref="P221">IFERROR(INDEX(fesp!$G:$G, MATCH(1, (VALUE(LEFT(fesp!$A:$A,6))=VALUE(LEFT(B221,6)))*(fesp!$C:$C=C221), 0)), "")</f>
        <v>21411799</v>
      </c>
      <c r="Q221" cm="1">
        <f t="array" ref="Q221">IFERROR(INDEX(fesp!$H:$H, MATCH(1, (VALUE(LEFT(fesp!$A:$A,6))=VALUE(LEFT(B221,6)))*(fesp!$C:$C=C221), 0)), "")</f>
        <v>365</v>
      </c>
      <c r="R221" cm="1">
        <f t="array" ref="R221">IFERROR(INDEX(fesp!$I:$I, MATCH(1, (VALUE(LEFT(fesp!$A:$A,6))=VALUE(LEFT(B221,6)))*(fesp!$C:$C=C221), 0)), "")</f>
        <v>6904</v>
      </c>
      <c r="S221" cm="1">
        <f t="array" ref="S221">IFERROR(INDEX(fesp!$J:$J, MATCH(1, (VALUE(LEFT(fesp!$A:$A,6))=VALUE(LEFT(B221,6)))*(fesp!$C:$C=C221), 0)), "")</f>
        <v>14389</v>
      </c>
    </row>
    <row r="222" spans="1:19">
      <c r="A222" s="1" t="s">
        <v>11</v>
      </c>
      <c r="B222" s="3">
        <v>3106200</v>
      </c>
      <c r="C222" s="3">
        <v>2015</v>
      </c>
      <c r="D222" cm="1">
        <f t="array" ref="D222">IFERROR(INDEX(fesp!$D:$D, MATCH(1, (VALUE(LEFT(fesp!$A:$A,6))=VALUE(LEFT(B222,6)))*(fesp!$C:$C=C222), 0)), "")</f>
        <v>2502557</v>
      </c>
      <c r="E222" cm="1">
        <f t="array" aca="1" ref="E222" ca="1">IFERROR(INDEX(ft_medicos_clinicos!$C:$C, MATCH(1, (VALUE(LEFT(ft_medicos_clinicos!$A:$A,6))=VALUE(LEFT(B222,6)))*(ft_medicos_clinicos!$B:$B=C222), 0)), "")</f>
        <v>3485</v>
      </c>
      <c r="F222" cm="1">
        <f t="array" aca="1" ref="F222" ca="1">IFERROR(INDEX(ft_enfermeiros!$C:$C, MATCH(1, (VALUE(LEFT(ft_enfermeiros!$A:$A,6))=VALUE(LEFT(B222,6)))*(ft_enfermeiros!$B:$B=C222), 0)), "")</f>
        <v>3716</v>
      </c>
      <c r="G222" cm="1">
        <f t="array" aca="1" ref="G222" ca="1">IFERROR(INDEX(ft_equipes_acs!$C:$C, MATCH(1, (VALUE(LEFT(ft_equipes_acs!$A:$A,6))=VALUE(LEFT(B222,6)))*(ft_equipes_acs!$B:$B=C222), 0)), "")</f>
        <v>4</v>
      </c>
      <c r="H222" cm="1">
        <f t="array" aca="1" ref="H222" ca="1">IFERROR(INDEX(ci_leitos_internacao!$C:$C, MATCH(1, (VALUE(LEFT(ci_leitos_internacao!$A:$A,6))=VALUE(LEFT(B222,6)))*(ci_leitos_internacao!$B:$B=C222), 0)), "")</f>
        <v>8917</v>
      </c>
      <c r="I222" cm="1">
        <f t="array" aca="1" ref="I222" ca="1">IFERROR(INDEX(ci_hospitais_internacao!$C:$C, MATCH(1, (VALUE(LEFT(ci_hospitais_internacao!$A:$A,6))=VALUE(LEFT(B222,6)))*(ci_hospitais_internacao!$B:$B=C222), 0)), "")</f>
        <v>20</v>
      </c>
      <c r="J222" t="str" cm="1">
        <f t="array" aca="1" ref="J222" ca="1">IFERROR(INDEX(ci_pa_clinico!$C:$C, MATCH(1, (VALUE(LEFT(ci_pa_clinico!$A:$A,6))=VALUE(LEFT(B222,6)))*(ci_pa_clinico!$B:$B=C222), 0)), "")</f>
        <v/>
      </c>
      <c r="K222" cm="1">
        <f t="array" aca="1" ref="K222" ca="1">IFERROR(INDEX(aps_equipes_esf!$C:$C, MATCH(1, (VALUE(LEFT(aps_equipes_esf!$A:$A,6))=VALUE(LEFT(B222,6)))*(aps_equipes_esf!$B:$B=C222), 0)), "")</f>
        <v>304</v>
      </c>
      <c r="L222" cm="1">
        <f t="array" aca="1" ref="L222" ca="1">IFERROR(INDEX(casos!$C:$C, MATCH(1, (VALUE(LEFT(casos!$A:$A,6))=VALUE(LEFT(B222,6)))*(casos!$B:$B=C222), 0)), "")</f>
        <v>19162</v>
      </c>
      <c r="M222" cm="1">
        <f t="array" ref="M222">IFERROR(INDEX(srag!$D:$D, MATCH(1, (VALUE(LEFT(srag!$A:$A,6))=VALUE(LEFT(B222,6)))*(srag!$C:$C=C222), 0)), "")</f>
        <v>657</v>
      </c>
      <c r="N222" cm="1">
        <f t="array" ref="N222">IFERROR(INDEX(fesp!$E:$E, MATCH(1, (VALUE(LEFT(fesp!$A:$A,6))=VALUE(LEFT(B222,6)))*(fesp!$C:$C=C222), 0)), "")</f>
        <v>1107</v>
      </c>
      <c r="O222" cm="1">
        <f t="array" ref="O222">IFERROR(INDEX(fesp!$F:$F, MATCH(1, (VALUE(LEFT(fesp!$A:$A,6))=VALUE(LEFT(B222,6)))*(fesp!$C:$C=C222), 0)), "")</f>
        <v>35429</v>
      </c>
      <c r="P222" cm="1">
        <f t="array" ref="P222">IFERROR(INDEX(fesp!$G:$G, MATCH(1, (VALUE(LEFT(fesp!$A:$A,6))=VALUE(LEFT(B222,6)))*(fesp!$C:$C=C222), 0)), "")</f>
        <v>16827223</v>
      </c>
      <c r="Q222" cm="1">
        <f t="array" ref="Q222">IFERROR(INDEX(fesp!$H:$H, MATCH(1, (VALUE(LEFT(fesp!$A:$A,6))=VALUE(LEFT(B222,6)))*(fesp!$C:$C=C222), 0)), "")</f>
        <v>207</v>
      </c>
      <c r="R222" cm="1">
        <f t="array" ref="R222">IFERROR(INDEX(fesp!$I:$I, MATCH(1, (VALUE(LEFT(fesp!$A:$A,6))=VALUE(LEFT(B222,6)))*(fesp!$C:$C=C222), 0)), "")</f>
        <v>123770</v>
      </c>
      <c r="S222" cm="1">
        <f t="array" ref="S222">IFERROR(INDEX(fesp!$J:$J, MATCH(1, (VALUE(LEFT(fesp!$A:$A,6))=VALUE(LEFT(B222,6)))*(fesp!$C:$C=C222), 0)), "")</f>
        <v>2250321</v>
      </c>
    </row>
    <row r="223" spans="1:19">
      <c r="A223" s="1" t="s">
        <v>11</v>
      </c>
      <c r="B223" s="3">
        <v>3106200</v>
      </c>
      <c r="C223" s="3">
        <v>2016</v>
      </c>
      <c r="D223" cm="1">
        <f t="array" ref="D223">IFERROR(INDEX(fesp!$D:$D, MATCH(1, (VALUE(LEFT(fesp!$A:$A,6))=VALUE(LEFT(B223,6)))*(fesp!$C:$C=C223), 0)), "")</f>
        <v>0</v>
      </c>
      <c r="E223" cm="1">
        <f t="array" aca="1" ref="E223" ca="1">IFERROR(INDEX(ft_medicos_clinicos!$C:$C, MATCH(1, (VALUE(LEFT(ft_medicos_clinicos!$A:$A,6))=VALUE(LEFT(B223,6)))*(ft_medicos_clinicos!$B:$B=C223), 0)), "")</f>
        <v>3801</v>
      </c>
      <c r="F223" cm="1">
        <f t="array" aca="1" ref="F223" ca="1">IFERROR(INDEX(ft_enfermeiros!$C:$C, MATCH(1, (VALUE(LEFT(ft_enfermeiros!$A:$A,6))=VALUE(LEFT(B223,6)))*(ft_enfermeiros!$B:$B=C223), 0)), "")</f>
        <v>4452</v>
      </c>
      <c r="G223" cm="1">
        <f t="array" aca="1" ref="G223" ca="1">IFERROR(INDEX(ft_equipes_acs!$C:$C, MATCH(1, (VALUE(LEFT(ft_equipes_acs!$A:$A,6))=VALUE(LEFT(B223,6)))*(ft_equipes_acs!$B:$B=C223), 0)), "")</f>
        <v>4</v>
      </c>
      <c r="H223" cm="1">
        <f t="array" aca="1" ref="H223" ca="1">IFERROR(INDEX(ci_leitos_internacao!$C:$C, MATCH(1, (VALUE(LEFT(ci_leitos_internacao!$A:$A,6))=VALUE(LEFT(B223,6)))*(ci_leitos_internacao!$B:$B=C223), 0)), "")</f>
        <v>8819</v>
      </c>
      <c r="I223" cm="1">
        <f t="array" aca="1" ref="I223" ca="1">IFERROR(INDEX(ci_hospitais_internacao!$C:$C, MATCH(1, (VALUE(LEFT(ci_hospitais_internacao!$A:$A,6))=VALUE(LEFT(B223,6)))*(ci_hospitais_internacao!$B:$B=C223), 0)), "")</f>
        <v>19</v>
      </c>
      <c r="J223" t="str" cm="1">
        <f t="array" aca="1" ref="J223" ca="1">IFERROR(INDEX(ci_pa_clinico!$C:$C, MATCH(1, (VALUE(LEFT(ci_pa_clinico!$A:$A,6))=VALUE(LEFT(B223,6)))*(ci_pa_clinico!$B:$B=C223), 0)), "")</f>
        <v/>
      </c>
      <c r="K223" cm="1">
        <f t="array" aca="1" ref="K223" ca="1">IFERROR(INDEX(aps_equipes_esf!$C:$C, MATCH(1, (VALUE(LEFT(aps_equipes_esf!$A:$A,6))=VALUE(LEFT(B223,6)))*(aps_equipes_esf!$B:$B=C223), 0)), "")</f>
        <v>307</v>
      </c>
      <c r="L223" cm="1">
        <f t="array" aca="1" ref="L223" ca="1">IFERROR(INDEX(casos!$C:$C, MATCH(1, (VALUE(LEFT(casos!$A:$A,6))=VALUE(LEFT(B223,6)))*(casos!$B:$B=C223), 0)), "")</f>
        <v>161820</v>
      </c>
      <c r="M223" cm="1">
        <f t="array" ref="M223">IFERROR(INDEX(srag!$D:$D, MATCH(1, (VALUE(LEFT(srag!$A:$A,6))=VALUE(LEFT(B223,6)))*(srag!$C:$C=C223), 0)), "")</f>
        <v>1679</v>
      </c>
      <c r="N223" cm="1">
        <f t="array" ref="N223">IFERROR(INDEX(fesp!$E:$E, MATCH(1, (VALUE(LEFT(fesp!$A:$A,6))=VALUE(LEFT(B223,6)))*(fesp!$C:$C=C223), 0)), "")</f>
        <v>1220</v>
      </c>
      <c r="O223" cm="1">
        <f t="array" ref="O223">IFERROR(INDEX(fesp!$F:$F, MATCH(1, (VALUE(LEFT(fesp!$A:$A,6))=VALUE(LEFT(B223,6)))*(fesp!$C:$C=C223), 0)), "")</f>
        <v>32770</v>
      </c>
      <c r="P223" cm="1">
        <f t="array" ref="P223">IFERROR(INDEX(fesp!$G:$G, MATCH(1, (VALUE(LEFT(fesp!$A:$A,6))=VALUE(LEFT(B223,6)))*(fesp!$C:$C=C223), 0)), "")</f>
        <v>19209820</v>
      </c>
      <c r="Q223" cm="1">
        <f t="array" ref="Q223">IFERROR(INDEX(fesp!$H:$H, MATCH(1, (VALUE(LEFT(fesp!$A:$A,6))=VALUE(LEFT(B223,6)))*(fesp!$C:$C=C223), 0)), "")</f>
        <v>209</v>
      </c>
      <c r="R223" cm="1">
        <f t="array" ref="R223">IFERROR(INDEX(fesp!$I:$I, MATCH(1, (VALUE(LEFT(fesp!$A:$A,6))=VALUE(LEFT(B223,6)))*(fesp!$C:$C=C223), 0)), "")</f>
        <v>14477</v>
      </c>
      <c r="S223" cm="1">
        <f t="array" ref="S223">IFERROR(INDEX(fesp!$J:$J, MATCH(1, (VALUE(LEFT(fesp!$A:$A,6))=VALUE(LEFT(B223,6)))*(fesp!$C:$C=C223), 0)), "")</f>
        <v>2326909</v>
      </c>
    </row>
    <row r="224" spans="1:19">
      <c r="A224" s="1" t="s">
        <v>11</v>
      </c>
      <c r="B224" s="3" t="s">
        <v>10</v>
      </c>
      <c r="C224" s="3">
        <v>2017</v>
      </c>
      <c r="D224" cm="1">
        <f t="array" ref="D224">IFERROR(INDEX(fesp!$D:$D, MATCH(1, (VALUE(LEFT(fesp!$A:$A,6))=VALUE(LEFT(B224,6)))*(fesp!$C:$C=C224), 0)), "")</f>
        <v>0</v>
      </c>
      <c r="E224" cm="1">
        <f t="array" aca="1" ref="E224" ca="1">IFERROR(INDEX(ft_medicos_clinicos!$C:$C, MATCH(1, (VALUE(LEFT(ft_medicos_clinicos!$A:$A,6))=VALUE(LEFT(B224,6)))*(ft_medicos_clinicos!$B:$B=C224), 0)), "")</f>
        <v>3660</v>
      </c>
      <c r="F224" cm="1">
        <f t="array" aca="1" ref="F224" ca="1">IFERROR(INDEX(ft_enfermeiros!$C:$C, MATCH(1, (VALUE(LEFT(ft_enfermeiros!$A:$A,6))=VALUE(LEFT(B224,6)))*(ft_enfermeiros!$B:$B=C224), 0)), "")</f>
        <v>4670</v>
      </c>
      <c r="G224" cm="1">
        <f t="array" aca="1" ref="G224" ca="1">IFERROR(INDEX(ft_equipes_acs!$C:$C, MATCH(1, (VALUE(LEFT(ft_equipes_acs!$A:$A,6))=VALUE(LEFT(B224,6)))*(ft_equipes_acs!$B:$B=C224), 0)), "")</f>
        <v>4</v>
      </c>
      <c r="H224" cm="1">
        <f t="array" aca="1" ref="H224" ca="1">IFERROR(INDEX(ci_leitos_internacao!$C:$C, MATCH(1, (VALUE(LEFT(ci_leitos_internacao!$A:$A,6))=VALUE(LEFT(B224,6)))*(ci_leitos_internacao!$B:$B=C224), 0)), "")</f>
        <v>9050</v>
      </c>
      <c r="I224" cm="1">
        <f t="array" aca="1" ref="I224" ca="1">IFERROR(INDEX(ci_hospitais_internacao!$C:$C, MATCH(1, (VALUE(LEFT(ci_hospitais_internacao!$A:$A,6))=VALUE(LEFT(B224,6)))*(ci_hospitais_internacao!$B:$B=C224), 0)), "")</f>
        <v>21</v>
      </c>
      <c r="J224" t="str" cm="1">
        <f t="array" aca="1" ref="J224" ca="1">IFERROR(INDEX(ci_pa_clinico!$C:$C, MATCH(1, (VALUE(LEFT(ci_pa_clinico!$A:$A,6))=VALUE(LEFT(B224,6)))*(ci_pa_clinico!$B:$B=C224), 0)), "")</f>
        <v/>
      </c>
      <c r="K224" cm="1">
        <f t="array" aca="1" ref="K224" ca="1">IFERROR(INDEX(aps_equipes_esf!$C:$C, MATCH(1, (VALUE(LEFT(aps_equipes_esf!$A:$A,6))=VALUE(LEFT(B224,6)))*(aps_equipes_esf!$B:$B=C224), 0)), "")</f>
        <v>309</v>
      </c>
      <c r="L224" cm="1">
        <f t="array" aca="1" ref="L224" ca="1">IFERROR(INDEX(casos!$C:$C, MATCH(1, (VALUE(LEFT(casos!$A:$A,6))=VALUE(LEFT(B224,6)))*(casos!$B:$B=C224), 0)), "")</f>
        <v>1590</v>
      </c>
      <c r="M224" cm="1">
        <f t="array" ref="M224">IFERROR(INDEX(srag!$D:$D, MATCH(1, (VALUE(LEFT(srag!$A:$A,6))=VALUE(LEFT(B224,6)))*(srag!$C:$C=C224), 0)), "")</f>
        <v>1330</v>
      </c>
      <c r="N224" cm="1">
        <f t="array" ref="N224">IFERROR(INDEX(fesp!$E:$E, MATCH(1, (VALUE(LEFT(fesp!$A:$A,6))=VALUE(LEFT(B224,6)))*(fesp!$C:$C=C224), 0)), "")</f>
        <v>1226</v>
      </c>
      <c r="O224" cm="1">
        <f t="array" ref="O224">IFERROR(INDEX(fesp!$F:$F, MATCH(1, (VALUE(LEFT(fesp!$A:$A,6))=VALUE(LEFT(B224,6)))*(fesp!$C:$C=C224), 0)), "")</f>
        <v>32640</v>
      </c>
      <c r="P224" cm="1">
        <f t="array" ref="P224">IFERROR(INDEX(fesp!$G:$G, MATCH(1, (VALUE(LEFT(fesp!$A:$A,6))=VALUE(LEFT(B224,6)))*(fesp!$C:$C=C224), 0)), "")</f>
        <v>23547663</v>
      </c>
      <c r="Q224" cm="1">
        <f t="array" ref="Q224">IFERROR(INDEX(fesp!$H:$H, MATCH(1, (VALUE(LEFT(fesp!$A:$A,6))=VALUE(LEFT(B224,6)))*(fesp!$C:$C=C224), 0)), "")</f>
        <v>205</v>
      </c>
      <c r="R224" cm="1">
        <f t="array" ref="R224">IFERROR(INDEX(fesp!$I:$I, MATCH(1, (VALUE(LEFT(fesp!$A:$A,6))=VALUE(LEFT(B224,6)))*(fesp!$C:$C=C224), 0)), "")</f>
        <v>112530</v>
      </c>
      <c r="S224" cm="1">
        <f t="array" ref="S224">IFERROR(INDEX(fesp!$J:$J, MATCH(1, (VALUE(LEFT(fesp!$A:$A,6))=VALUE(LEFT(B224,6)))*(fesp!$C:$C=C224), 0)), "")</f>
        <v>2451408</v>
      </c>
    </row>
    <row r="225" spans="1:19">
      <c r="A225" s="1" t="s">
        <v>11</v>
      </c>
      <c r="B225" s="3">
        <v>3106200</v>
      </c>
      <c r="C225" s="3">
        <v>2018</v>
      </c>
      <c r="D225" cm="1">
        <f t="array" ref="D225">IFERROR(INDEX(fesp!$D:$D, MATCH(1, (VALUE(LEFT(fesp!$A:$A,6))=VALUE(LEFT(B225,6)))*(fesp!$C:$C=C225), 0)), "")</f>
        <v>0</v>
      </c>
      <c r="E225" cm="1">
        <f t="array" aca="1" ref="E225" ca="1">IFERROR(INDEX(ft_medicos_clinicos!$C:$C, MATCH(1, (VALUE(LEFT(ft_medicos_clinicos!$A:$A,6))=VALUE(LEFT(B225,6)))*(ft_medicos_clinicos!$B:$B=C225), 0)), "")</f>
        <v>3657</v>
      </c>
      <c r="F225" cm="1">
        <f t="array" aca="1" ref="F225" ca="1">IFERROR(INDEX(ft_enfermeiros!$C:$C, MATCH(1, (VALUE(LEFT(ft_enfermeiros!$A:$A,6))=VALUE(LEFT(B225,6)))*(ft_enfermeiros!$B:$B=C225), 0)), "")</f>
        <v>4945</v>
      </c>
      <c r="G225" cm="1">
        <f t="array" aca="1" ref="G225" ca="1">IFERROR(INDEX(ft_equipes_acs!$C:$C, MATCH(1, (VALUE(LEFT(ft_equipes_acs!$A:$A,6))=VALUE(LEFT(B225,6)))*(ft_equipes_acs!$B:$B=C225), 0)), "")</f>
        <v>4</v>
      </c>
      <c r="H225" cm="1">
        <f t="array" aca="1" ref="H225" ca="1">IFERROR(INDEX(ci_leitos_internacao!$C:$C, MATCH(1, (VALUE(LEFT(ci_leitos_internacao!$A:$A,6))=VALUE(LEFT(B225,6)))*(ci_leitos_internacao!$B:$B=C225), 0)), "")</f>
        <v>8660</v>
      </c>
      <c r="I225" cm="1">
        <f t="array" aca="1" ref="I225" ca="1">IFERROR(INDEX(ci_hospitais_internacao!$C:$C, MATCH(1, (VALUE(LEFT(ci_hospitais_internacao!$A:$A,6))=VALUE(LEFT(B225,6)))*(ci_hospitais_internacao!$B:$B=C225), 0)), "")</f>
        <v>21</v>
      </c>
      <c r="J225" t="str" cm="1">
        <f t="array" aca="1" ref="J225" ca="1">IFERROR(INDEX(ci_pa_clinico!$C:$C, MATCH(1, (VALUE(LEFT(ci_pa_clinico!$A:$A,6))=VALUE(LEFT(B225,6)))*(ci_pa_clinico!$B:$B=C225), 0)), "")</f>
        <v/>
      </c>
      <c r="K225" cm="1">
        <f t="array" aca="1" ref="K225" ca="1">IFERROR(INDEX(aps_equipes_esf!$C:$C, MATCH(1, (VALUE(LEFT(aps_equipes_esf!$A:$A,6))=VALUE(LEFT(B225,6)))*(aps_equipes_esf!$B:$B=C225), 0)), "")</f>
        <v>317</v>
      </c>
      <c r="L225" cm="1">
        <f t="array" aca="1" ref="L225" ca="1">IFERROR(INDEX(casos!$C:$C, MATCH(1, (VALUE(LEFT(casos!$A:$A,6))=VALUE(LEFT(B225,6)))*(casos!$B:$B=C225), 0)), "")</f>
        <v>1010</v>
      </c>
      <c r="M225" cm="1">
        <f t="array" ref="M225">IFERROR(INDEX(srag!$D:$D, MATCH(1, (VALUE(LEFT(srag!$A:$A,6))=VALUE(LEFT(B225,6)))*(srag!$C:$C=C225), 0)), "")</f>
        <v>1172</v>
      </c>
      <c r="N225" cm="1">
        <f t="array" ref="N225">IFERROR(INDEX(fesp!$E:$E, MATCH(1, (VALUE(LEFT(fesp!$A:$A,6))=VALUE(LEFT(B225,6)))*(fesp!$C:$C=C225), 0)), "")</f>
        <v>1489</v>
      </c>
      <c r="O225" cm="1">
        <f t="array" ref="O225">IFERROR(INDEX(fesp!$F:$F, MATCH(1, (VALUE(LEFT(fesp!$A:$A,6))=VALUE(LEFT(B225,6)))*(fesp!$C:$C=C225), 0)), "")</f>
        <v>33338</v>
      </c>
      <c r="P225" cm="1">
        <f t="array" ref="P225">IFERROR(INDEX(fesp!$G:$G, MATCH(1, (VALUE(LEFT(fesp!$A:$A,6))=VALUE(LEFT(B225,6)))*(fesp!$C:$C=C225), 0)), "")</f>
        <v>18427067</v>
      </c>
      <c r="Q225" cm="1">
        <f t="array" ref="Q225">IFERROR(INDEX(fesp!$H:$H, MATCH(1, (VALUE(LEFT(fesp!$A:$A,6))=VALUE(LEFT(B225,6)))*(fesp!$C:$C=C225), 0)), "")</f>
        <v>227</v>
      </c>
      <c r="R225" cm="1">
        <f t="array" ref="R225">IFERROR(INDEX(fesp!$I:$I, MATCH(1, (VALUE(LEFT(fesp!$A:$A,6))=VALUE(LEFT(B225,6)))*(fesp!$C:$C=C225), 0)), "")</f>
        <v>15778</v>
      </c>
      <c r="S225" cm="1">
        <f t="array" ref="S225">IFERROR(INDEX(fesp!$J:$J, MATCH(1, (VALUE(LEFT(fesp!$A:$A,6))=VALUE(LEFT(B225,6)))*(fesp!$C:$C=C225), 0)), "")</f>
        <v>63919</v>
      </c>
    </row>
    <row r="226" spans="1:19">
      <c r="A226" s="1" t="s">
        <v>11</v>
      </c>
      <c r="B226" s="3" t="s">
        <v>10</v>
      </c>
      <c r="C226" s="3">
        <v>2019</v>
      </c>
      <c r="D226" cm="1">
        <f t="array" ref="D226">IFERROR(INDEX(fesp!$D:$D, MATCH(1, (VALUE(LEFT(fesp!$A:$A,6))=VALUE(LEFT(B226,6)))*(fesp!$C:$C=C226), 0)), "")</f>
        <v>0</v>
      </c>
      <c r="E226" cm="1">
        <f t="array" aca="1" ref="E226" ca="1">IFERROR(INDEX(ft_medicos_clinicos!$C:$C, MATCH(1, (VALUE(LEFT(ft_medicos_clinicos!$A:$A,6))=VALUE(LEFT(B226,6)))*(ft_medicos_clinicos!$B:$B=C226), 0)), "")</f>
        <v>3613</v>
      </c>
      <c r="F226" cm="1">
        <f t="array" aca="1" ref="F226" ca="1">IFERROR(INDEX(ft_enfermeiros!$C:$C, MATCH(1, (VALUE(LEFT(ft_enfermeiros!$A:$A,6))=VALUE(LEFT(B226,6)))*(ft_enfermeiros!$B:$B=C226), 0)), "")</f>
        <v>5309</v>
      </c>
      <c r="G226" cm="1">
        <f t="array" aca="1" ref="G226" ca="1">IFERROR(INDEX(ft_equipes_acs!$C:$C, MATCH(1, (VALUE(LEFT(ft_equipes_acs!$A:$A,6))=VALUE(LEFT(B226,6)))*(ft_equipes_acs!$B:$B=C226), 0)), "")</f>
        <v>4</v>
      </c>
      <c r="H226" cm="1">
        <f t="array" aca="1" ref="H226" ca="1">IFERROR(INDEX(ci_leitos_internacao!$C:$C, MATCH(1, (VALUE(LEFT(ci_leitos_internacao!$A:$A,6))=VALUE(LEFT(B226,6)))*(ci_leitos_internacao!$B:$B=C226), 0)), "")</f>
        <v>8879</v>
      </c>
      <c r="I226" cm="1">
        <f t="array" aca="1" ref="I226" ca="1">IFERROR(INDEX(ci_hospitais_internacao!$C:$C, MATCH(1, (VALUE(LEFT(ci_hospitais_internacao!$A:$A,6))=VALUE(LEFT(B226,6)))*(ci_hospitais_internacao!$B:$B=C226), 0)), "")</f>
        <v>20</v>
      </c>
      <c r="J226" t="str" cm="1">
        <f t="array" aca="1" ref="J226" ca="1">IFERROR(INDEX(ci_pa_clinico!$C:$C, MATCH(1, (VALUE(LEFT(ci_pa_clinico!$A:$A,6))=VALUE(LEFT(B226,6)))*(ci_pa_clinico!$B:$B=C226), 0)), "")</f>
        <v/>
      </c>
      <c r="K226" cm="1">
        <f t="array" aca="1" ref="K226" ca="1">IFERROR(INDEX(aps_equipes_esf!$C:$C, MATCH(1, (VALUE(LEFT(aps_equipes_esf!$A:$A,6))=VALUE(LEFT(B226,6)))*(aps_equipes_esf!$B:$B=C226), 0)), "")</f>
        <v>309</v>
      </c>
      <c r="L226" cm="1">
        <f t="array" aca="1" ref="L226" ca="1">IFERROR(INDEX(casos!$C:$C, MATCH(1, (VALUE(LEFT(casos!$A:$A,6))=VALUE(LEFT(B226,6)))*(casos!$B:$B=C226), 0)), "")</f>
        <v>124704</v>
      </c>
      <c r="M226" cm="1">
        <f t="array" ref="M226">IFERROR(INDEX(srag!$D:$D, MATCH(1, (VALUE(LEFT(srag!$A:$A,6))=VALUE(LEFT(B226,6)))*(srag!$C:$C=C226), 0)), "")</f>
        <v>1442</v>
      </c>
      <c r="N226" cm="1">
        <f t="array" ref="N226">IFERROR(INDEX(fesp!$E:$E, MATCH(1, (VALUE(LEFT(fesp!$A:$A,6))=VALUE(LEFT(B226,6)))*(fesp!$C:$C=C226), 0)), "")</f>
        <v>1365</v>
      </c>
      <c r="O226" cm="1">
        <f t="array" ref="O226">IFERROR(INDEX(fesp!$F:$F, MATCH(1, (VALUE(LEFT(fesp!$A:$A,6))=VALUE(LEFT(B226,6)))*(fesp!$C:$C=C226), 0)), "")</f>
        <v>36601</v>
      </c>
      <c r="P226" cm="1">
        <f t="array" ref="P226">IFERROR(INDEX(fesp!$G:$G, MATCH(1, (VALUE(LEFT(fesp!$A:$A,6))=VALUE(LEFT(B226,6)))*(fesp!$C:$C=C226), 0)), "")</f>
        <v>20070251</v>
      </c>
      <c r="Q226" cm="1">
        <f t="array" ref="Q226">IFERROR(INDEX(fesp!$H:$H, MATCH(1, (VALUE(LEFT(fesp!$A:$A,6))=VALUE(LEFT(B226,6)))*(fesp!$C:$C=C226), 0)), "")</f>
        <v>213</v>
      </c>
      <c r="R226" cm="1">
        <f t="array" ref="R226">IFERROR(INDEX(fesp!$I:$I, MATCH(1, (VALUE(LEFT(fesp!$A:$A,6))=VALUE(LEFT(B226,6)))*(fesp!$C:$C=C226), 0)), "")</f>
        <v>15969</v>
      </c>
      <c r="S226" cm="1">
        <f t="array" ref="S226">IFERROR(INDEX(fesp!$J:$J, MATCH(1, (VALUE(LEFT(fesp!$A:$A,6))=VALUE(LEFT(B226,6)))*(fesp!$C:$C=C226), 0)), "")</f>
        <v>62582</v>
      </c>
    </row>
    <row r="227" spans="1:19">
      <c r="A227" s="1" t="s">
        <v>11</v>
      </c>
      <c r="B227" s="3" t="s">
        <v>10</v>
      </c>
      <c r="C227" s="3">
        <v>2020</v>
      </c>
      <c r="D227" cm="1">
        <f t="array" ref="D227">IFERROR(INDEX(fesp!$D:$D, MATCH(1, (VALUE(LEFT(fesp!$A:$A,6))=VALUE(LEFT(B227,6)))*(fesp!$C:$C=C227), 0)), "")</f>
        <v>0</v>
      </c>
      <c r="E227" cm="1">
        <f t="array" aca="1" ref="E227" ca="1">IFERROR(INDEX(ft_medicos_clinicos!$C:$C, MATCH(1, (VALUE(LEFT(ft_medicos_clinicos!$A:$A,6))=VALUE(LEFT(B227,6)))*(ft_medicos_clinicos!$B:$B=C227), 0)), "")</f>
        <v>3771</v>
      </c>
      <c r="F227" cm="1">
        <f t="array" aca="1" ref="F227" ca="1">IFERROR(INDEX(ft_enfermeiros!$C:$C, MATCH(1, (VALUE(LEFT(ft_enfermeiros!$A:$A,6))=VALUE(LEFT(B227,6)))*(ft_enfermeiros!$B:$B=C227), 0)), "")</f>
        <v>5981</v>
      </c>
      <c r="G227" cm="1">
        <f t="array" aca="1" ref="G227" ca="1">IFERROR(INDEX(ft_equipes_acs!$C:$C, MATCH(1, (VALUE(LEFT(ft_equipes_acs!$A:$A,6))=VALUE(LEFT(B227,6)))*(ft_equipes_acs!$B:$B=C227), 0)), "")</f>
        <v>1</v>
      </c>
      <c r="H227" cm="1">
        <f t="array" aca="1" ref="H227" ca="1">IFERROR(INDEX(ci_leitos_internacao!$C:$C, MATCH(1, (VALUE(LEFT(ci_leitos_internacao!$A:$A,6))=VALUE(LEFT(B227,6)))*(ci_leitos_internacao!$B:$B=C227), 0)), "")</f>
        <v>8936</v>
      </c>
      <c r="I227" cm="1">
        <f t="array" aca="1" ref="I227" ca="1">IFERROR(INDEX(ci_hospitais_internacao!$C:$C, MATCH(1, (VALUE(LEFT(ci_hospitais_internacao!$A:$A,6))=VALUE(LEFT(B227,6)))*(ci_hospitais_internacao!$B:$B=C227), 0)), "")</f>
        <v>21</v>
      </c>
      <c r="J227" t="str" cm="1">
        <f t="array" aca="1" ref="J227" ca="1">IFERROR(INDEX(ci_pa_clinico!$C:$C, MATCH(1, (VALUE(LEFT(ci_pa_clinico!$A:$A,6))=VALUE(LEFT(B227,6)))*(ci_pa_clinico!$B:$B=C227), 0)), "")</f>
        <v/>
      </c>
      <c r="K227" cm="1">
        <f t="array" aca="1" ref="K227" ca="1">IFERROR(INDEX(aps_equipes_esf!$C:$C, MATCH(1, (VALUE(LEFT(aps_equipes_esf!$A:$A,6))=VALUE(LEFT(B227,6)))*(aps_equipes_esf!$B:$B=C227), 0)), "")</f>
        <v>26</v>
      </c>
      <c r="L227" cm="1">
        <f t="array" aca="1" ref="L227" ca="1">IFERROR(INDEX(casos!$C:$C, MATCH(1, (VALUE(LEFT(casos!$A:$A,6))=VALUE(LEFT(B227,6)))*(casos!$B:$B=C227), 0)), "")</f>
        <v>6197</v>
      </c>
      <c r="M227" cm="1">
        <f t="array" ref="M227">IFERROR(INDEX(srag!$D:$D, MATCH(1, (VALUE(LEFT(srag!$A:$A,6))=VALUE(LEFT(B227,6)))*(srag!$C:$C=C227), 0)), "")</f>
        <v>24082</v>
      </c>
      <c r="N227" cm="1">
        <f t="array" ref="N227">IFERROR(INDEX(fesp!$E:$E, MATCH(1, (VALUE(LEFT(fesp!$A:$A,6))=VALUE(LEFT(B227,6)))*(fesp!$C:$C=C227), 0)), "")</f>
        <v>1405</v>
      </c>
      <c r="O227" cm="1">
        <f t="array" ref="O227">IFERROR(INDEX(fesp!$F:$F, MATCH(1, (VALUE(LEFT(fesp!$A:$A,6))=VALUE(LEFT(B227,6)))*(fesp!$C:$C=C227), 0)), "")</f>
        <v>22177</v>
      </c>
      <c r="P227" cm="1">
        <f t="array" ref="P227">IFERROR(INDEX(fesp!$G:$G, MATCH(1, (VALUE(LEFT(fesp!$A:$A,6))=VALUE(LEFT(B227,6)))*(fesp!$C:$C=C227), 0)), "")</f>
        <v>15366698</v>
      </c>
      <c r="Q227" cm="1">
        <f t="array" ref="Q227">IFERROR(INDEX(fesp!$H:$H, MATCH(1, (VALUE(LEFT(fesp!$A:$A,6))=VALUE(LEFT(B227,6)))*(fesp!$C:$C=C227), 0)), "")</f>
        <v>198</v>
      </c>
      <c r="R227" cm="1">
        <f t="array" ref="R227">IFERROR(INDEX(fesp!$I:$I, MATCH(1, (VALUE(LEFT(fesp!$A:$A,6))=VALUE(LEFT(B227,6)))*(fesp!$C:$C=C227), 0)), "")</f>
        <v>14322</v>
      </c>
      <c r="S227" cm="1">
        <f t="array" ref="S227">IFERROR(INDEX(fesp!$J:$J, MATCH(1, (VALUE(LEFT(fesp!$A:$A,6))=VALUE(LEFT(B227,6)))*(fesp!$C:$C=C227), 0)), "")</f>
        <v>28353</v>
      </c>
    </row>
    <row r="228" spans="1:19">
      <c r="A228" s="1" t="s">
        <v>11</v>
      </c>
      <c r="B228" s="3" t="s">
        <v>10</v>
      </c>
      <c r="C228" s="3">
        <v>2021</v>
      </c>
      <c r="D228" cm="1">
        <f t="array" ref="D228">IFERROR(INDEX(fesp!$D:$D, MATCH(1, (VALUE(LEFT(fesp!$A:$A,6))=VALUE(LEFT(B228,6)))*(fesp!$C:$C=C228), 0)), "")</f>
        <v>0</v>
      </c>
      <c r="E228" cm="1">
        <f t="array" aca="1" ref="E228" ca="1">IFERROR(INDEX(ft_medicos_clinicos!$C:$C, MATCH(1, (VALUE(LEFT(ft_medicos_clinicos!$A:$A,6))=VALUE(LEFT(B228,6)))*(ft_medicos_clinicos!$B:$B=C228), 0)), "")</f>
        <v>4132</v>
      </c>
      <c r="F228" cm="1">
        <f t="array" aca="1" ref="F228" ca="1">IFERROR(INDEX(ft_enfermeiros!$C:$C, MATCH(1, (VALUE(LEFT(ft_enfermeiros!$A:$A,6))=VALUE(LEFT(B228,6)))*(ft_enfermeiros!$B:$B=C228), 0)), "")</f>
        <v>6985</v>
      </c>
      <c r="G228" cm="1">
        <f t="array" aca="1" ref="G228" ca="1">IFERROR(INDEX(ft_equipes_acs!$C:$C, MATCH(1, (VALUE(LEFT(ft_equipes_acs!$A:$A,6))=VALUE(LEFT(B228,6)))*(ft_equipes_acs!$B:$B=C228), 0)), "")</f>
        <v>1</v>
      </c>
      <c r="H228" cm="1">
        <f t="array" aca="1" ref="H228" ca="1">IFERROR(INDEX(ci_leitos_internacao!$C:$C, MATCH(1, (VALUE(LEFT(ci_leitos_internacao!$A:$A,6))=VALUE(LEFT(B228,6)))*(ci_leitos_internacao!$B:$B=C228), 0)), "")</f>
        <v>8955</v>
      </c>
      <c r="I228" cm="1">
        <f t="array" aca="1" ref="I228" ca="1">IFERROR(INDEX(ci_hospitais_internacao!$C:$C, MATCH(1, (VALUE(LEFT(ci_hospitais_internacao!$A:$A,6))=VALUE(LEFT(B228,6)))*(ci_hospitais_internacao!$B:$B=C228), 0)), "")</f>
        <v>22</v>
      </c>
      <c r="J228" t="str" cm="1">
        <f t="array" aca="1" ref="J228" ca="1">IFERROR(INDEX(ci_pa_clinico!$C:$C, MATCH(1, (VALUE(LEFT(ci_pa_clinico!$A:$A,6))=VALUE(LEFT(B228,6)))*(ci_pa_clinico!$B:$B=C228), 0)), "")</f>
        <v/>
      </c>
      <c r="K228" cm="1">
        <f t="array" aca="1" ref="K228" ca="1">IFERROR(INDEX(aps_equipes_esf!$C:$C, MATCH(1, (VALUE(LEFT(aps_equipes_esf!$A:$A,6))=VALUE(LEFT(B228,6)))*(aps_equipes_esf!$B:$B=C228), 0)), "")</f>
        <v>25</v>
      </c>
      <c r="L228" cm="1">
        <f t="array" aca="1" ref="L228" ca="1">IFERROR(INDEX(casos!$C:$C, MATCH(1, (VALUE(LEFT(casos!$A:$A,6))=VALUE(LEFT(B228,6)))*(casos!$B:$B=C228), 0)), "")</f>
        <v>1631</v>
      </c>
      <c r="M228" cm="1">
        <f t="array" ref="M228">IFERROR(INDEX(srag!$D:$D, MATCH(1, (VALUE(LEFT(srag!$A:$A,6))=VALUE(LEFT(B228,6)))*(srag!$C:$C=C228), 0)), "")</f>
        <v>34861</v>
      </c>
      <c r="N228" cm="1">
        <f t="array" ref="N228">IFERROR(INDEX(fesp!$E:$E, MATCH(1, (VALUE(LEFT(fesp!$A:$A,6))=VALUE(LEFT(B228,6)))*(fesp!$C:$C=C228), 0)), "")</f>
        <v>1414</v>
      </c>
      <c r="O228" cm="1">
        <f t="array" ref="O228">IFERROR(INDEX(fesp!$F:$F, MATCH(1, (VALUE(LEFT(fesp!$A:$A,6))=VALUE(LEFT(B228,6)))*(fesp!$C:$C=C228), 0)), "")</f>
        <v>30867</v>
      </c>
      <c r="P228" cm="1">
        <f t="array" ref="P228">IFERROR(INDEX(fesp!$G:$G, MATCH(1, (VALUE(LEFT(fesp!$A:$A,6))=VALUE(LEFT(B228,6)))*(fesp!$C:$C=C228), 0)), "")</f>
        <v>17410232</v>
      </c>
      <c r="Q228" cm="1">
        <f t="array" ref="Q228">IFERROR(INDEX(fesp!$H:$H, MATCH(1, (VALUE(LEFT(fesp!$A:$A,6))=VALUE(LEFT(B228,6)))*(fesp!$C:$C=C228), 0)), "")</f>
        <v>152</v>
      </c>
      <c r="R228" cm="1">
        <f t="array" ref="R228">IFERROR(INDEX(fesp!$I:$I, MATCH(1, (VALUE(LEFT(fesp!$A:$A,6))=VALUE(LEFT(B228,6)))*(fesp!$C:$C=C228), 0)), "")</f>
        <v>16372</v>
      </c>
      <c r="S228" cm="1">
        <f t="array" ref="S228">IFERROR(INDEX(fesp!$J:$J, MATCH(1, (VALUE(LEFT(fesp!$A:$A,6))=VALUE(LEFT(B228,6)))*(fesp!$C:$C=C228), 0)), "")</f>
        <v>35034</v>
      </c>
    </row>
    <row r="229" spans="1:19">
      <c r="A229" s="1" t="s">
        <v>11</v>
      </c>
      <c r="B229" s="3" t="s">
        <v>10</v>
      </c>
      <c r="C229" s="3">
        <v>2022</v>
      </c>
      <c r="D229" cm="1">
        <f t="array" ref="D229">IFERROR(INDEX(fesp!$D:$D, MATCH(1, (VALUE(LEFT(fesp!$A:$A,6))=VALUE(LEFT(B229,6)))*(fesp!$C:$C=C229), 0)), "")</f>
        <v>2315560</v>
      </c>
      <c r="E229" cm="1">
        <f t="array" aca="1" ref="E229" ca="1">IFERROR(INDEX(ft_medicos_clinicos!$C:$C, MATCH(1, (VALUE(LEFT(ft_medicos_clinicos!$A:$A,6))=VALUE(LEFT(B229,6)))*(ft_medicos_clinicos!$B:$B=C229), 0)), "")</f>
        <v>4408</v>
      </c>
      <c r="F229" cm="1">
        <f t="array" aca="1" ref="F229" ca="1">IFERROR(INDEX(ft_enfermeiros!$C:$C, MATCH(1, (VALUE(LEFT(ft_enfermeiros!$A:$A,6))=VALUE(LEFT(B229,6)))*(ft_enfermeiros!$B:$B=C229), 0)), "")</f>
        <v>6785</v>
      </c>
      <c r="G229" cm="1">
        <f t="array" aca="1" ref="G229" ca="1">IFERROR(INDEX(ft_equipes_acs!$C:$C, MATCH(1, (VALUE(LEFT(ft_equipes_acs!$A:$A,6))=VALUE(LEFT(B229,6)))*(ft_equipes_acs!$B:$B=C229), 0)), "")</f>
        <v>1</v>
      </c>
      <c r="H229" cm="1">
        <f t="array" aca="1" ref="H229" ca="1">IFERROR(INDEX(ci_leitos_internacao!$C:$C, MATCH(1, (VALUE(LEFT(ci_leitos_internacao!$A:$A,6))=VALUE(LEFT(B229,6)))*(ci_leitos_internacao!$B:$B=C229), 0)), "")</f>
        <v>9265</v>
      </c>
      <c r="I229" cm="1">
        <f t="array" aca="1" ref="I229" ca="1">IFERROR(INDEX(ci_hospitais_internacao!$C:$C, MATCH(1, (VALUE(LEFT(ci_hospitais_internacao!$A:$A,6))=VALUE(LEFT(B229,6)))*(ci_hospitais_internacao!$B:$B=C229), 0)), "")</f>
        <v>20</v>
      </c>
      <c r="J229" t="str" cm="1">
        <f t="array" aca="1" ref="J229" ca="1">IFERROR(INDEX(ci_pa_clinico!$C:$C, MATCH(1, (VALUE(LEFT(ci_pa_clinico!$A:$A,6))=VALUE(LEFT(B229,6)))*(ci_pa_clinico!$B:$B=C229), 0)), "")</f>
        <v/>
      </c>
      <c r="K229" cm="1">
        <f t="array" aca="1" ref="K229" ca="1">IFERROR(INDEX(aps_equipes_esf!$C:$C, MATCH(1, (VALUE(LEFT(aps_equipes_esf!$A:$A,6))=VALUE(LEFT(B229,6)))*(aps_equipes_esf!$B:$B=C229), 0)), "")</f>
        <v>25</v>
      </c>
      <c r="L229" cm="1">
        <f t="array" aca="1" ref="L229" ca="1">IFERROR(INDEX(casos!$C:$C, MATCH(1, (VALUE(LEFT(casos!$A:$A,6))=VALUE(LEFT(B229,6)))*(casos!$B:$B=C229), 0)), "")</f>
        <v>2305</v>
      </c>
      <c r="M229" cm="1">
        <f t="array" ref="M229">IFERROR(INDEX(srag!$D:$D, MATCH(1, (VALUE(LEFT(srag!$A:$A,6))=VALUE(LEFT(B229,6)))*(srag!$C:$C=C229), 0)), "")</f>
        <v>16327</v>
      </c>
      <c r="N229" cm="1">
        <f t="array" ref="N229">IFERROR(INDEX(fesp!$E:$E, MATCH(1, (VALUE(LEFT(fesp!$A:$A,6))=VALUE(LEFT(B229,6)))*(fesp!$C:$C=C229), 0)), "")</f>
        <v>1592</v>
      </c>
      <c r="O229" cm="1">
        <f t="array" ref="O229">IFERROR(INDEX(fesp!$F:$F, MATCH(1, (VALUE(LEFT(fesp!$A:$A,6))=VALUE(LEFT(B229,6)))*(fesp!$C:$C=C229), 0)), "")</f>
        <v>36677</v>
      </c>
      <c r="P229" cm="1">
        <f t="array" ref="P229">IFERROR(INDEX(fesp!$G:$G, MATCH(1, (VALUE(LEFT(fesp!$A:$A,6))=VALUE(LEFT(B229,6)))*(fesp!$C:$C=C229), 0)), "")</f>
        <v>18350492</v>
      </c>
      <c r="Q229" cm="1">
        <f t="array" ref="Q229">IFERROR(INDEX(fesp!$H:$H, MATCH(1, (VALUE(LEFT(fesp!$A:$A,6))=VALUE(LEFT(B229,6)))*(fesp!$C:$C=C229), 0)), "")</f>
        <v>203</v>
      </c>
      <c r="R229" cm="1">
        <f t="array" ref="R229">IFERROR(INDEX(fesp!$I:$I, MATCH(1, (VALUE(LEFT(fesp!$A:$A,6))=VALUE(LEFT(B229,6)))*(fesp!$C:$C=C229), 0)), "")</f>
        <v>6986</v>
      </c>
      <c r="S229" cm="1">
        <f t="array" ref="S229">IFERROR(INDEX(fesp!$J:$J, MATCH(1, (VALUE(LEFT(fesp!$A:$A,6))=VALUE(LEFT(B229,6)))*(fesp!$C:$C=C229), 0)), "")</f>
        <v>37853</v>
      </c>
    </row>
    <row r="230" spans="1:19">
      <c r="A230" s="1" t="s">
        <v>11</v>
      </c>
      <c r="B230" s="3" t="s">
        <v>10</v>
      </c>
      <c r="C230" s="3">
        <v>2023</v>
      </c>
      <c r="D230" cm="1">
        <f t="array" ref="D230">IFERROR(INDEX(fesp!$D:$D, MATCH(1, (VALUE(LEFT(fesp!$A:$A,6))=VALUE(LEFT(B230,6)))*(fesp!$C:$C=C230), 0)), "")</f>
        <v>0</v>
      </c>
      <c r="E230" cm="1">
        <f t="array" aca="1" ref="E230" ca="1">IFERROR(INDEX(ft_medicos_clinicos!$C:$C, MATCH(1, (VALUE(LEFT(ft_medicos_clinicos!$A:$A,6))=VALUE(LEFT(B230,6)))*(ft_medicos_clinicos!$B:$B=C230), 0)), "")</f>
        <v>4582</v>
      </c>
      <c r="F230" cm="1">
        <f t="array" aca="1" ref="F230" ca="1">IFERROR(INDEX(ft_enfermeiros!$C:$C, MATCH(1, (VALUE(LEFT(ft_enfermeiros!$A:$A,6))=VALUE(LEFT(B230,6)))*(ft_enfermeiros!$B:$B=C230), 0)), "")</f>
        <v>7005</v>
      </c>
      <c r="G230" cm="1">
        <f t="array" aca="1" ref="G230" ca="1">IFERROR(INDEX(ft_equipes_acs!$C:$C, MATCH(1, (VALUE(LEFT(ft_equipes_acs!$A:$A,6))=VALUE(LEFT(B230,6)))*(ft_equipes_acs!$B:$B=C230), 0)), "")</f>
        <v>1</v>
      </c>
      <c r="H230" cm="1">
        <f t="array" aca="1" ref="H230" ca="1">IFERROR(INDEX(ci_leitos_internacao!$C:$C, MATCH(1, (VALUE(LEFT(ci_leitos_internacao!$A:$A,6))=VALUE(LEFT(B230,6)))*(ci_leitos_internacao!$B:$B=C230), 0)), "")</f>
        <v>8945</v>
      </c>
      <c r="I230" cm="1">
        <f t="array" aca="1" ref="I230" ca="1">IFERROR(INDEX(ci_hospitais_internacao!$C:$C, MATCH(1, (VALUE(LEFT(ci_hospitais_internacao!$A:$A,6))=VALUE(LEFT(B230,6)))*(ci_hospitais_internacao!$B:$B=C230), 0)), "")</f>
        <v>20</v>
      </c>
      <c r="J230" t="str" cm="1">
        <f t="array" aca="1" ref="J230" ca="1">IFERROR(INDEX(ci_pa_clinico!$C:$C, MATCH(1, (VALUE(LEFT(ci_pa_clinico!$A:$A,6))=VALUE(LEFT(B230,6)))*(ci_pa_clinico!$B:$B=C230), 0)), "")</f>
        <v/>
      </c>
      <c r="K230" cm="1">
        <f t="array" aca="1" ref="K230" ca="1">IFERROR(INDEX(aps_equipes_esf!$C:$C, MATCH(1, (VALUE(LEFT(aps_equipes_esf!$A:$A,6))=VALUE(LEFT(B230,6)))*(aps_equipes_esf!$B:$B=C230), 0)), "")</f>
        <v>25</v>
      </c>
      <c r="L230" cm="1">
        <f t="array" aca="1" ref="L230" ca="1">IFERROR(INDEX(casos!$C:$C, MATCH(1, (VALUE(LEFT(casos!$A:$A,6))=VALUE(LEFT(B230,6)))*(casos!$B:$B=C230), 0)), "")</f>
        <v>21410</v>
      </c>
      <c r="M230" cm="1">
        <f t="array" ref="M230">IFERROR(INDEX(srag!$D:$D, MATCH(1, (VALUE(LEFT(srag!$A:$A,6))=VALUE(LEFT(B230,6)))*(srag!$C:$C=C230), 0)), "")</f>
        <v>7682</v>
      </c>
      <c r="N230" cm="1">
        <f t="array" ref="N230">IFERROR(INDEX(fesp!$E:$E, MATCH(1, (VALUE(LEFT(fesp!$A:$A,6))=VALUE(LEFT(B230,6)))*(fesp!$C:$C=C230), 0)), "")</f>
        <v>1563</v>
      </c>
      <c r="O230" cm="1">
        <f t="array" ref="O230">IFERROR(INDEX(fesp!$F:$F, MATCH(1, (VALUE(LEFT(fesp!$A:$A,6))=VALUE(LEFT(B230,6)))*(fesp!$C:$C=C230), 0)), "")</f>
        <v>39218</v>
      </c>
      <c r="P230" cm="1">
        <f t="array" ref="P230">IFERROR(INDEX(fesp!$G:$G, MATCH(1, (VALUE(LEFT(fesp!$A:$A,6))=VALUE(LEFT(B230,6)))*(fesp!$C:$C=C230), 0)), "")</f>
        <v>19175162</v>
      </c>
      <c r="Q230" cm="1">
        <f t="array" ref="Q230">IFERROR(INDEX(fesp!$H:$H, MATCH(1, (VALUE(LEFT(fesp!$A:$A,6))=VALUE(LEFT(B230,6)))*(fesp!$C:$C=C230), 0)), "")</f>
        <v>200</v>
      </c>
      <c r="R230" cm="1">
        <f t="array" ref="R230">IFERROR(INDEX(fesp!$I:$I, MATCH(1, (VALUE(LEFT(fesp!$A:$A,6))=VALUE(LEFT(B230,6)))*(fesp!$C:$C=C230), 0)), "")</f>
        <v>4497</v>
      </c>
      <c r="S230" cm="1">
        <f t="array" ref="S230">IFERROR(INDEX(fesp!$J:$J, MATCH(1, (VALUE(LEFT(fesp!$A:$A,6))=VALUE(LEFT(B230,6)))*(fesp!$C:$C=C230), 0)), "")</f>
        <v>34569</v>
      </c>
    </row>
    <row r="231" spans="1:19">
      <c r="A231" s="1" t="s">
        <v>11</v>
      </c>
      <c r="B231" s="3" t="s">
        <v>10</v>
      </c>
      <c r="C231" s="3">
        <v>2024</v>
      </c>
      <c r="D231" cm="1">
        <f t="array" ref="D231">IFERROR(INDEX(fesp!$D:$D, MATCH(1, (VALUE(LEFT(fesp!$A:$A,6))=VALUE(LEFT(B231,6)))*(fesp!$C:$C=C231), 0)), "")</f>
        <v>0</v>
      </c>
      <c r="E231" cm="1">
        <f t="array" aca="1" ref="E231" ca="1">IFERROR(INDEX(ft_medicos_clinicos!$C:$C, MATCH(1, (VALUE(LEFT(ft_medicos_clinicos!$A:$A,6))=VALUE(LEFT(B231,6)))*(ft_medicos_clinicos!$B:$B=C231), 0)), "")</f>
        <v>4789</v>
      </c>
      <c r="F231" cm="1">
        <f t="array" aca="1" ref="F231" ca="1">IFERROR(INDEX(ft_enfermeiros!$C:$C, MATCH(1, (VALUE(LEFT(ft_enfermeiros!$A:$A,6))=VALUE(LEFT(B231,6)))*(ft_enfermeiros!$B:$B=C231), 0)), "")</f>
        <v>7249</v>
      </c>
      <c r="G231" cm="1">
        <f t="array" aca="1" ref="G231" ca="1">IFERROR(INDEX(ft_equipes_acs!$C:$C, MATCH(1, (VALUE(LEFT(ft_equipes_acs!$A:$A,6))=VALUE(LEFT(B231,6)))*(ft_equipes_acs!$B:$B=C231), 0)), "")</f>
        <v>1</v>
      </c>
      <c r="H231" cm="1">
        <f t="array" aca="1" ref="H231" ca="1">IFERROR(INDEX(ci_leitos_internacao!$C:$C, MATCH(1, (VALUE(LEFT(ci_leitos_internacao!$A:$A,6))=VALUE(LEFT(B231,6)))*(ci_leitos_internacao!$B:$B=C231), 0)), "")</f>
        <v>9110</v>
      </c>
      <c r="I231" cm="1">
        <f t="array" aca="1" ref="I231" ca="1">IFERROR(INDEX(ci_hospitais_internacao!$C:$C, MATCH(1, (VALUE(LEFT(ci_hospitais_internacao!$A:$A,6))=VALUE(LEFT(B231,6)))*(ci_hospitais_internacao!$B:$B=C231), 0)), "")</f>
        <v>21</v>
      </c>
      <c r="J231" t="str" cm="1">
        <f t="array" aca="1" ref="J231" ca="1">IFERROR(INDEX(ci_pa_clinico!$C:$C, MATCH(1, (VALUE(LEFT(ci_pa_clinico!$A:$A,6))=VALUE(LEFT(B231,6)))*(ci_pa_clinico!$B:$B=C231), 0)), "")</f>
        <v/>
      </c>
      <c r="K231" cm="1">
        <f t="array" aca="1" ref="K231" ca="1">IFERROR(INDEX(aps_equipes_esf!$C:$C, MATCH(1, (VALUE(LEFT(aps_equipes_esf!$A:$A,6))=VALUE(LEFT(B231,6)))*(aps_equipes_esf!$B:$B=C231), 0)), "")</f>
        <v>25</v>
      </c>
      <c r="L231" cm="1">
        <f t="array" aca="1" ref="L231" ca="1">IFERROR(INDEX(casos!$C:$C, MATCH(1, (VALUE(LEFT(casos!$A:$A,6))=VALUE(LEFT(B231,6)))*(casos!$B:$B=C231), 0)), "")</f>
        <v>251472</v>
      </c>
      <c r="M231" cm="1">
        <f t="array" ref="M231">IFERROR(INDEX(srag!$D:$D, MATCH(1, (VALUE(LEFT(srag!$A:$A,6))=VALUE(LEFT(B231,6)))*(srag!$C:$C=C231), 0)), "")</f>
        <v>7726</v>
      </c>
      <c r="N231" cm="1">
        <f t="array" ref="N231">IFERROR(INDEX(fesp!$E:$E, MATCH(1, (VALUE(LEFT(fesp!$A:$A,6))=VALUE(LEFT(B231,6)))*(fesp!$C:$C=C231), 0)), "")</f>
        <v>1815</v>
      </c>
      <c r="O231" cm="1">
        <f t="array" ref="O231">IFERROR(INDEX(fesp!$F:$F, MATCH(1, (VALUE(LEFT(fesp!$A:$A,6))=VALUE(LEFT(B231,6)))*(fesp!$C:$C=C231), 0)), "")</f>
        <v>51826</v>
      </c>
      <c r="P231" cm="1">
        <f t="array" ref="P231">IFERROR(INDEX(fesp!$G:$G, MATCH(1, (VALUE(LEFT(fesp!$A:$A,6))=VALUE(LEFT(B231,6)))*(fesp!$C:$C=C231), 0)), "")</f>
        <v>18827603</v>
      </c>
      <c r="Q231" cm="1">
        <f t="array" ref="Q231">IFERROR(INDEX(fesp!$H:$H, MATCH(1, (VALUE(LEFT(fesp!$A:$A,6))=VALUE(LEFT(B231,6)))*(fesp!$C:$C=C231), 0)), "")</f>
        <v>222</v>
      </c>
      <c r="R231" cm="1">
        <f t="array" ref="R231">IFERROR(INDEX(fesp!$I:$I, MATCH(1, (VALUE(LEFT(fesp!$A:$A,6))=VALUE(LEFT(B231,6)))*(fesp!$C:$C=C231), 0)), "")</f>
        <v>4098</v>
      </c>
      <c r="S231" cm="1">
        <f t="array" ref="S231">IFERROR(INDEX(fesp!$J:$J, MATCH(1, (VALUE(LEFT(fesp!$A:$A,6))=VALUE(LEFT(B231,6)))*(fesp!$C:$C=C231), 0)), "")</f>
        <v>5090</v>
      </c>
    </row>
    <row r="232" spans="1:19">
      <c r="A232" s="1" t="s">
        <v>11</v>
      </c>
      <c r="B232" s="3" t="s">
        <v>10</v>
      </c>
      <c r="C232" s="3">
        <v>2025</v>
      </c>
      <c r="D232" cm="1">
        <f t="array" ref="D232">IFERROR(INDEX(fesp!$D:$D, MATCH(1, (VALUE(LEFT(fesp!$A:$A,6))=VALUE(LEFT(B232,6)))*(fesp!$C:$C=C232), 0)), "")</f>
        <v>0</v>
      </c>
      <c r="E232" cm="1">
        <f t="array" aca="1" ref="E232" ca="1">IFERROR(INDEX(ft_medicos_clinicos!$C:$C, MATCH(1, (VALUE(LEFT(ft_medicos_clinicos!$A:$A,6))=VALUE(LEFT(B232,6)))*(ft_medicos_clinicos!$B:$B=C232), 0)), "")</f>
        <v>4744</v>
      </c>
      <c r="F232" cm="1">
        <f t="array" aca="1" ref="F232" ca="1">IFERROR(INDEX(ft_enfermeiros!$C:$C, MATCH(1, (VALUE(LEFT(ft_enfermeiros!$A:$A,6))=VALUE(LEFT(B232,6)))*(ft_enfermeiros!$B:$B=C232), 0)), "")</f>
        <v>7470</v>
      </c>
      <c r="G232" cm="1">
        <f t="array" aca="1" ref="G232" ca="1">IFERROR(INDEX(ft_equipes_acs!$C:$C, MATCH(1, (VALUE(LEFT(ft_equipes_acs!$A:$A,6))=VALUE(LEFT(B232,6)))*(ft_equipes_acs!$B:$B=C232), 0)), "")</f>
        <v>1</v>
      </c>
      <c r="H232" cm="1">
        <f t="array" aca="1" ref="H232" ca="1">IFERROR(INDEX(ci_leitos_internacao!$C:$C, MATCH(1, (VALUE(LEFT(ci_leitos_internacao!$A:$A,6))=VALUE(LEFT(B232,6)))*(ci_leitos_internacao!$B:$B=C232), 0)), "")</f>
        <v>9281</v>
      </c>
      <c r="I232" cm="1">
        <f t="array" aca="1" ref="I232" ca="1">IFERROR(INDEX(ci_hospitais_internacao!$C:$C, MATCH(1, (VALUE(LEFT(ci_hospitais_internacao!$A:$A,6))=VALUE(LEFT(B232,6)))*(ci_hospitais_internacao!$B:$B=C232), 0)), "")</f>
        <v>23</v>
      </c>
      <c r="J232" t="str" cm="1">
        <f t="array" aca="1" ref="J232" ca="1">IFERROR(INDEX(ci_pa_clinico!$C:$C, MATCH(1, (VALUE(LEFT(ci_pa_clinico!$A:$A,6))=VALUE(LEFT(B232,6)))*(ci_pa_clinico!$B:$B=C232), 0)), "")</f>
        <v/>
      </c>
      <c r="K232" cm="1">
        <f t="array" aca="1" ref="K232" ca="1">IFERROR(INDEX(aps_equipes_esf!$C:$C, MATCH(1, (VALUE(LEFT(aps_equipes_esf!$A:$A,6))=VALUE(LEFT(B232,6)))*(aps_equipes_esf!$B:$B=C232), 0)), "")</f>
        <v>25</v>
      </c>
      <c r="L232" cm="1">
        <f t="array" aca="1" ref="L232" ca="1">IFERROR(INDEX(casos!$C:$C, MATCH(1, (VALUE(LEFT(casos!$A:$A,6))=VALUE(LEFT(B232,6)))*(casos!$B:$B=C232), 0)), "")</f>
        <v>5161</v>
      </c>
      <c r="M232" cm="1">
        <f t="array" ref="M232">IFERROR(INDEX(srag!$D:$D, MATCH(1, (VALUE(LEFT(srag!$A:$A,6))=VALUE(LEFT(B232,6)))*(srag!$C:$C=C232), 0)), "")</f>
        <v>8482</v>
      </c>
      <c r="N232" cm="1">
        <f t="array" ref="N232">IFERROR(INDEX(fesp!$E:$E, MATCH(1, (VALUE(LEFT(fesp!$A:$A,6))=VALUE(LEFT(B232,6)))*(fesp!$C:$C=C232), 0)), "")</f>
        <v>1524</v>
      </c>
      <c r="O232" cm="1">
        <f t="array" ref="O232">IFERROR(INDEX(fesp!$F:$F, MATCH(1, (VALUE(LEFT(fesp!$A:$A,6))=VALUE(LEFT(B232,6)))*(fesp!$C:$C=C232), 0)), "")</f>
        <v>44862</v>
      </c>
      <c r="P232" cm="1">
        <f t="array" ref="P232">IFERROR(INDEX(fesp!$G:$G, MATCH(1, (VALUE(LEFT(fesp!$A:$A,6))=VALUE(LEFT(B232,6)))*(fesp!$C:$C=C232), 0)), "")</f>
        <v>18964762</v>
      </c>
      <c r="Q232" cm="1">
        <f t="array" ref="Q232">IFERROR(INDEX(fesp!$H:$H, MATCH(1, (VALUE(LEFT(fesp!$A:$A,6))=VALUE(LEFT(B232,6)))*(fesp!$C:$C=C232), 0)), "")</f>
        <v>170</v>
      </c>
      <c r="R232" cm="1">
        <f t="array" ref="R232">IFERROR(INDEX(fesp!$I:$I, MATCH(1, (VALUE(LEFT(fesp!$A:$A,6))=VALUE(LEFT(B232,6)))*(fesp!$C:$C=C232), 0)), "")</f>
        <v>3553</v>
      </c>
      <c r="S232" cm="1">
        <f t="array" ref="S232">IFERROR(INDEX(fesp!$J:$J, MATCH(1, (VALUE(LEFT(fesp!$A:$A,6))=VALUE(LEFT(B232,6)))*(fesp!$C:$C=C232), 0)), "")</f>
        <v>1518</v>
      </c>
    </row>
    <row r="233" spans="1:19">
      <c r="A233" s="1" t="s">
        <v>115</v>
      </c>
      <c r="B233" s="3">
        <v>3106705</v>
      </c>
      <c r="C233" s="3">
        <v>2015</v>
      </c>
      <c r="D233" cm="1">
        <f t="array" ref="D233">IFERROR(INDEX(fesp!$D:$D, MATCH(1, (VALUE(LEFT(fesp!$A:$A,6))=VALUE(LEFT(B233,6)))*(fesp!$C:$C=C233), 0)), "")</f>
        <v>417307</v>
      </c>
      <c r="E233" cm="1">
        <f t="array" aca="1" ref="E233" ca="1">IFERROR(INDEX(ft_medicos_clinicos!$C:$C, MATCH(1, (VALUE(LEFT(ft_medicos_clinicos!$A:$A,6))=VALUE(LEFT(B233,6)))*(ft_medicos_clinicos!$B:$B=C233), 0)), "")</f>
        <v>159</v>
      </c>
      <c r="F233" cm="1">
        <f t="array" aca="1" ref="F233" ca="1">IFERROR(INDEX(ft_enfermeiros!$C:$C, MATCH(1, (VALUE(LEFT(ft_enfermeiros!$A:$A,6))=VALUE(LEFT(B233,6)))*(ft_enfermeiros!$B:$B=C233), 0)), "")</f>
        <v>271</v>
      </c>
      <c r="G233" cm="1">
        <f t="array" aca="1" ref="G233" ca="1">IFERROR(INDEX(ft_equipes_acs!$C:$C, MATCH(1, (VALUE(LEFT(ft_equipes_acs!$A:$A,6))=VALUE(LEFT(B233,6)))*(ft_equipes_acs!$B:$B=C233), 0)), "")</f>
        <v>10</v>
      </c>
      <c r="H233" cm="1">
        <f t="array" aca="1" ref="H233" ca="1">IFERROR(INDEX(ci_leitos_internacao!$C:$C, MATCH(1, (VALUE(LEFT(ci_leitos_internacao!$A:$A,6))=VALUE(LEFT(B233,6)))*(ci_leitos_internacao!$B:$B=C233), 0)), "")</f>
        <v>608</v>
      </c>
      <c r="I233" cm="1">
        <f t="array" aca="1" ref="I233" ca="1">IFERROR(INDEX(ci_hospitais_internacao!$C:$C, MATCH(1, (VALUE(LEFT(ci_hospitais_internacao!$A:$A,6))=VALUE(LEFT(B233,6)))*(ci_hospitais_internacao!$B:$B=C233), 0)), "")</f>
        <v>2</v>
      </c>
      <c r="J233" cm="1">
        <f t="array" aca="1" ref="J233" ca="1">IFERROR(INDEX(ci_pa_clinico!$C:$C, MATCH(1, (VALUE(LEFT(ci_pa_clinico!$A:$A,6))=VALUE(LEFT(B233,6)))*(ci_pa_clinico!$B:$B=C233), 0)), "")</f>
        <v>7</v>
      </c>
      <c r="K233" cm="1">
        <f t="array" aca="1" ref="K233" ca="1">IFERROR(INDEX(aps_equipes_esf!$C:$C, MATCH(1, (VALUE(LEFT(aps_equipes_esf!$A:$A,6))=VALUE(LEFT(B233,6)))*(aps_equipes_esf!$B:$B=C233), 0)), "")</f>
        <v>67</v>
      </c>
      <c r="L233" cm="1">
        <f t="array" aca="1" ref="L233" ca="1">IFERROR(INDEX(casos!$C:$C, MATCH(1, (VALUE(LEFT(casos!$A:$A,6))=VALUE(LEFT(B233,6)))*(casos!$B:$B=C233), 0)), "")</f>
        <v>22814</v>
      </c>
      <c r="M233" cm="1">
        <f t="array" ref="M233">IFERROR(INDEX(srag!$D:$D, MATCH(1, (VALUE(LEFT(srag!$A:$A,6))=VALUE(LEFT(B233,6)))*(srag!$C:$C=C233), 0)), "")</f>
        <v>23</v>
      </c>
      <c r="N233" cm="1">
        <f t="array" ref="N233">IFERROR(INDEX(fesp!$E:$E, MATCH(1, (VALUE(LEFT(fesp!$A:$A,6))=VALUE(LEFT(B233,6)))*(fesp!$C:$C=C233), 0)), "")</f>
        <v>52</v>
      </c>
      <c r="O233" cm="1">
        <f t="array" ref="O233">IFERROR(INDEX(fesp!$F:$F, MATCH(1, (VALUE(LEFT(fesp!$A:$A,6))=VALUE(LEFT(B233,6)))*(fesp!$C:$C=C233), 0)), "")</f>
        <v>1185</v>
      </c>
      <c r="P233" cm="1">
        <f t="array" ref="P233">IFERROR(INDEX(fesp!$G:$G, MATCH(1, (VALUE(LEFT(fesp!$A:$A,6))=VALUE(LEFT(B233,6)))*(fesp!$C:$C=C233), 0)), "")</f>
        <v>2124412</v>
      </c>
      <c r="Q233" cm="1">
        <f t="array" ref="Q233">IFERROR(INDEX(fesp!$H:$H, MATCH(1, (VALUE(LEFT(fesp!$A:$A,6))=VALUE(LEFT(B233,6)))*(fesp!$C:$C=C233), 0)), "")</f>
        <v>9</v>
      </c>
      <c r="R233" cm="1">
        <f t="array" ref="R233">IFERROR(INDEX(fesp!$I:$I, MATCH(1, (VALUE(LEFT(fesp!$A:$A,6))=VALUE(LEFT(B233,6)))*(fesp!$C:$C=C233), 0)), "")</f>
        <v>27572</v>
      </c>
      <c r="S233" cm="1">
        <f t="array" ref="S233">IFERROR(INDEX(fesp!$J:$J, MATCH(1, (VALUE(LEFT(fesp!$A:$A,6))=VALUE(LEFT(B233,6)))*(fesp!$C:$C=C233), 0)), "")</f>
        <v>304778</v>
      </c>
    </row>
    <row r="234" spans="1:19">
      <c r="A234" s="1" t="s">
        <v>115</v>
      </c>
      <c r="B234" s="3">
        <v>3106705</v>
      </c>
      <c r="C234" s="3">
        <v>2016</v>
      </c>
      <c r="D234" cm="1">
        <f t="array" ref="D234">IFERROR(INDEX(fesp!$D:$D, MATCH(1, (VALUE(LEFT(fesp!$A:$A,6))=VALUE(LEFT(B234,6)))*(fesp!$C:$C=C234), 0)), "")</f>
        <v>0</v>
      </c>
      <c r="E234" cm="1">
        <f t="array" aca="1" ref="E234" ca="1">IFERROR(INDEX(ft_medicos_clinicos!$C:$C, MATCH(1, (VALUE(LEFT(ft_medicos_clinicos!$A:$A,6))=VALUE(LEFT(B234,6)))*(ft_medicos_clinicos!$B:$B=C234), 0)), "")</f>
        <v>170</v>
      </c>
      <c r="F234" cm="1">
        <f t="array" aca="1" ref="F234" ca="1">IFERROR(INDEX(ft_enfermeiros!$C:$C, MATCH(1, (VALUE(LEFT(ft_enfermeiros!$A:$A,6))=VALUE(LEFT(B234,6)))*(ft_enfermeiros!$B:$B=C234), 0)), "")</f>
        <v>305</v>
      </c>
      <c r="G234" cm="1">
        <f t="array" aca="1" ref="G234" ca="1">IFERROR(INDEX(ft_equipes_acs!$C:$C, MATCH(1, (VALUE(LEFT(ft_equipes_acs!$A:$A,6))=VALUE(LEFT(B234,6)))*(ft_equipes_acs!$B:$B=C234), 0)), "")</f>
        <v>9</v>
      </c>
      <c r="H234" cm="1">
        <f t="array" aca="1" ref="H234" ca="1">IFERROR(INDEX(ci_leitos_internacao!$C:$C, MATCH(1, (VALUE(LEFT(ci_leitos_internacao!$A:$A,6))=VALUE(LEFT(B234,6)))*(ci_leitos_internacao!$B:$B=C234), 0)), "")</f>
        <v>608</v>
      </c>
      <c r="I234" cm="1">
        <f t="array" aca="1" ref="I234" ca="1">IFERROR(INDEX(ci_hospitais_internacao!$C:$C, MATCH(1, (VALUE(LEFT(ci_hospitais_internacao!$A:$A,6))=VALUE(LEFT(B234,6)))*(ci_hospitais_internacao!$B:$B=C234), 0)), "")</f>
        <v>2</v>
      </c>
      <c r="J234" cm="1">
        <f t="array" aca="1" ref="J234" ca="1">IFERROR(INDEX(ci_pa_clinico!$C:$C, MATCH(1, (VALUE(LEFT(ci_pa_clinico!$A:$A,6))=VALUE(LEFT(B234,6)))*(ci_pa_clinico!$B:$B=C234), 0)), "")</f>
        <v>7</v>
      </c>
      <c r="K234" cm="1">
        <f t="array" aca="1" ref="K234" ca="1">IFERROR(INDEX(aps_equipes_esf!$C:$C, MATCH(1, (VALUE(LEFT(aps_equipes_esf!$A:$A,6))=VALUE(LEFT(B234,6)))*(aps_equipes_esf!$B:$B=C234), 0)), "")</f>
        <v>67</v>
      </c>
      <c r="L234" cm="1">
        <f t="array" aca="1" ref="L234" ca="1">IFERROR(INDEX(casos!$C:$C, MATCH(1, (VALUE(LEFT(casos!$A:$A,6))=VALUE(LEFT(B234,6)))*(casos!$B:$B=C234), 0)), "")</f>
        <v>15990</v>
      </c>
      <c r="M234" cm="1">
        <f t="array" ref="M234">IFERROR(INDEX(srag!$D:$D, MATCH(1, (VALUE(LEFT(srag!$A:$A,6))=VALUE(LEFT(B234,6)))*(srag!$C:$C=C234), 0)), "")</f>
        <v>90</v>
      </c>
      <c r="N234" cm="1">
        <f t="array" ref="N234">IFERROR(INDEX(fesp!$E:$E, MATCH(1, (VALUE(LEFT(fesp!$A:$A,6))=VALUE(LEFT(B234,6)))*(fesp!$C:$C=C234), 0)), "")</f>
        <v>67</v>
      </c>
      <c r="O234" cm="1">
        <f t="array" ref="O234">IFERROR(INDEX(fesp!$F:$F, MATCH(1, (VALUE(LEFT(fesp!$A:$A,6))=VALUE(LEFT(B234,6)))*(fesp!$C:$C=C234), 0)), "")</f>
        <v>960</v>
      </c>
      <c r="P234" cm="1">
        <f t="array" ref="P234">IFERROR(INDEX(fesp!$G:$G, MATCH(1, (VALUE(LEFT(fesp!$A:$A,6))=VALUE(LEFT(B234,6)))*(fesp!$C:$C=C234), 0)), "")</f>
        <v>1845651</v>
      </c>
      <c r="Q234" cm="1">
        <f t="array" ref="Q234">IFERROR(INDEX(fesp!$H:$H, MATCH(1, (VALUE(LEFT(fesp!$A:$A,6))=VALUE(LEFT(B234,6)))*(fesp!$C:$C=C234), 0)), "")</f>
        <v>12</v>
      </c>
      <c r="R234" cm="1">
        <f t="array" ref="R234">IFERROR(INDEX(fesp!$I:$I, MATCH(1, (VALUE(LEFT(fesp!$A:$A,6))=VALUE(LEFT(B234,6)))*(fesp!$C:$C=C234), 0)), "")</f>
        <v>22367</v>
      </c>
      <c r="S234" cm="1">
        <f t="array" ref="S234">IFERROR(INDEX(fesp!$J:$J, MATCH(1, (VALUE(LEFT(fesp!$A:$A,6))=VALUE(LEFT(B234,6)))*(fesp!$C:$C=C234), 0)), "")</f>
        <v>290434</v>
      </c>
    </row>
    <row r="235" spans="1:19">
      <c r="A235" s="1" t="s">
        <v>115</v>
      </c>
      <c r="B235" s="3" t="s">
        <v>114</v>
      </c>
      <c r="C235" s="3">
        <v>2017</v>
      </c>
      <c r="D235" cm="1">
        <f t="array" ref="D235">IFERROR(INDEX(fesp!$D:$D, MATCH(1, (VALUE(LEFT(fesp!$A:$A,6))=VALUE(LEFT(B235,6)))*(fesp!$C:$C=C235), 0)), "")</f>
        <v>0</v>
      </c>
      <c r="E235" cm="1">
        <f t="array" aca="1" ref="E235" ca="1">IFERROR(INDEX(ft_medicos_clinicos!$C:$C, MATCH(1, (VALUE(LEFT(ft_medicos_clinicos!$A:$A,6))=VALUE(LEFT(B235,6)))*(ft_medicos_clinicos!$B:$B=C235), 0)), "")</f>
        <v>162</v>
      </c>
      <c r="F235" cm="1">
        <f t="array" aca="1" ref="F235" ca="1">IFERROR(INDEX(ft_enfermeiros!$C:$C, MATCH(1, (VALUE(LEFT(ft_enfermeiros!$A:$A,6))=VALUE(LEFT(B235,6)))*(ft_enfermeiros!$B:$B=C235), 0)), "")</f>
        <v>344</v>
      </c>
      <c r="G235" cm="1">
        <f t="array" aca="1" ref="G235" ca="1">IFERROR(INDEX(ft_equipes_acs!$C:$C, MATCH(1, (VALUE(LEFT(ft_equipes_acs!$A:$A,6))=VALUE(LEFT(B235,6)))*(ft_equipes_acs!$B:$B=C235), 0)), "")</f>
        <v>3</v>
      </c>
      <c r="H235" cm="1">
        <f t="array" aca="1" ref="H235" ca="1">IFERROR(INDEX(ci_leitos_internacao!$C:$C, MATCH(1, (VALUE(LEFT(ci_leitos_internacao!$A:$A,6))=VALUE(LEFT(B235,6)))*(ci_leitos_internacao!$B:$B=C235), 0)), "")</f>
        <v>514</v>
      </c>
      <c r="I235" cm="1">
        <f t="array" aca="1" ref="I235" ca="1">IFERROR(INDEX(ci_hospitais_internacao!$C:$C, MATCH(1, (VALUE(LEFT(ci_hospitais_internacao!$A:$A,6))=VALUE(LEFT(B235,6)))*(ci_hospitais_internacao!$B:$B=C235), 0)), "")</f>
        <v>2</v>
      </c>
      <c r="J235" cm="1">
        <f t="array" aca="1" ref="J235" ca="1">IFERROR(INDEX(ci_pa_clinico!$C:$C, MATCH(1, (VALUE(LEFT(ci_pa_clinico!$A:$A,6))=VALUE(LEFT(B235,6)))*(ci_pa_clinico!$B:$B=C235), 0)), "")</f>
        <v>7</v>
      </c>
      <c r="K235" cm="1">
        <f t="array" aca="1" ref="K235" ca="1">IFERROR(INDEX(aps_equipes_esf!$C:$C, MATCH(1, (VALUE(LEFT(aps_equipes_esf!$A:$A,6))=VALUE(LEFT(B235,6)))*(aps_equipes_esf!$B:$B=C235), 0)), "")</f>
        <v>77</v>
      </c>
      <c r="L235" cm="1">
        <f t="array" aca="1" ref="L235" ca="1">IFERROR(INDEX(casos!$C:$C, MATCH(1, (VALUE(LEFT(casos!$A:$A,6))=VALUE(LEFT(B235,6)))*(casos!$B:$B=C235), 0)), "")</f>
        <v>785</v>
      </c>
      <c r="M235" cm="1">
        <f t="array" ref="M235">IFERROR(INDEX(srag!$D:$D, MATCH(1, (VALUE(LEFT(srag!$A:$A,6))=VALUE(LEFT(B235,6)))*(srag!$C:$C=C235), 0)), "")</f>
        <v>68</v>
      </c>
      <c r="N235" cm="1">
        <f t="array" ref="N235">IFERROR(INDEX(fesp!$E:$E, MATCH(1, (VALUE(LEFT(fesp!$A:$A,6))=VALUE(LEFT(B235,6)))*(fesp!$C:$C=C235), 0)), "")</f>
        <v>81</v>
      </c>
      <c r="O235" cm="1">
        <f t="array" ref="O235">IFERROR(INDEX(fesp!$F:$F, MATCH(1, (VALUE(LEFT(fesp!$A:$A,6))=VALUE(LEFT(B235,6)))*(fesp!$C:$C=C235), 0)), "")</f>
        <v>1200</v>
      </c>
      <c r="P235" cm="1">
        <f t="array" ref="P235">IFERROR(INDEX(fesp!$G:$G, MATCH(1, (VALUE(LEFT(fesp!$A:$A,6))=VALUE(LEFT(B235,6)))*(fesp!$C:$C=C235), 0)), "")</f>
        <v>1799884</v>
      </c>
      <c r="Q235" cm="1">
        <f t="array" ref="Q235">IFERROR(INDEX(fesp!$H:$H, MATCH(1, (VALUE(LEFT(fesp!$A:$A,6))=VALUE(LEFT(B235,6)))*(fesp!$C:$C=C235), 0)), "")</f>
        <v>13</v>
      </c>
      <c r="R235" cm="1">
        <f t="array" ref="R235">IFERROR(INDEX(fesp!$I:$I, MATCH(1, (VALUE(LEFT(fesp!$A:$A,6))=VALUE(LEFT(B235,6)))*(fesp!$C:$C=C235), 0)), "")</f>
        <v>24179</v>
      </c>
      <c r="S235" cm="1">
        <f t="array" ref="S235">IFERROR(INDEX(fesp!$J:$J, MATCH(1, (VALUE(LEFT(fesp!$A:$A,6))=VALUE(LEFT(B235,6)))*(fesp!$C:$C=C235), 0)), "")</f>
        <v>245046</v>
      </c>
    </row>
    <row r="236" spans="1:19">
      <c r="A236" s="1" t="s">
        <v>115</v>
      </c>
      <c r="B236" s="3" t="s">
        <v>114</v>
      </c>
      <c r="C236" s="3">
        <v>2018</v>
      </c>
      <c r="D236" cm="1">
        <f t="array" ref="D236">IFERROR(INDEX(fesp!$D:$D, MATCH(1, (VALUE(LEFT(fesp!$A:$A,6))=VALUE(LEFT(B236,6)))*(fesp!$C:$C=C236), 0)), "")</f>
        <v>0</v>
      </c>
      <c r="E236" cm="1">
        <f t="array" aca="1" ref="E236" ca="1">IFERROR(INDEX(ft_medicos_clinicos!$C:$C, MATCH(1, (VALUE(LEFT(ft_medicos_clinicos!$A:$A,6))=VALUE(LEFT(B236,6)))*(ft_medicos_clinicos!$B:$B=C236), 0)), "")</f>
        <v>185</v>
      </c>
      <c r="F236" cm="1">
        <f t="array" aca="1" ref="F236" ca="1">IFERROR(INDEX(ft_enfermeiros!$C:$C, MATCH(1, (VALUE(LEFT(ft_enfermeiros!$A:$A,6))=VALUE(LEFT(B236,6)))*(ft_enfermeiros!$B:$B=C236), 0)), "")</f>
        <v>386</v>
      </c>
      <c r="G236" t="str" cm="1">
        <f t="array" aca="1" ref="G236" ca="1">IFERROR(INDEX(ft_equipes_acs!$C:$C, MATCH(1, (VALUE(LEFT(ft_equipes_acs!$A:$A,6))=VALUE(LEFT(B236,6)))*(ft_equipes_acs!$B:$B=C236), 0)), "")</f>
        <v>-</v>
      </c>
      <c r="H236" cm="1">
        <f t="array" aca="1" ref="H236" ca="1">IFERROR(INDEX(ci_leitos_internacao!$C:$C, MATCH(1, (VALUE(LEFT(ci_leitos_internacao!$A:$A,6))=VALUE(LEFT(B236,6)))*(ci_leitos_internacao!$B:$B=C236), 0)), "")</f>
        <v>541</v>
      </c>
      <c r="I236" cm="1">
        <f t="array" aca="1" ref="I236" ca="1">IFERROR(INDEX(ci_hospitais_internacao!$C:$C, MATCH(1, (VALUE(LEFT(ci_hospitais_internacao!$A:$A,6))=VALUE(LEFT(B236,6)))*(ci_hospitais_internacao!$B:$B=C236), 0)), "")</f>
        <v>2</v>
      </c>
      <c r="J236" cm="1">
        <f t="array" aca="1" ref="J236" ca="1">IFERROR(INDEX(ci_pa_clinico!$C:$C, MATCH(1, (VALUE(LEFT(ci_pa_clinico!$A:$A,6))=VALUE(LEFT(B236,6)))*(ci_pa_clinico!$B:$B=C236), 0)), "")</f>
        <v>7</v>
      </c>
      <c r="K236" cm="1">
        <f t="array" aca="1" ref="K236" ca="1">IFERROR(INDEX(aps_equipes_esf!$C:$C, MATCH(1, (VALUE(LEFT(aps_equipes_esf!$A:$A,6))=VALUE(LEFT(B236,6)))*(aps_equipes_esf!$B:$B=C236), 0)), "")</f>
        <v>79</v>
      </c>
      <c r="L236" cm="1">
        <f t="array" aca="1" ref="L236" ca="1">IFERROR(INDEX(casos!$C:$C, MATCH(1, (VALUE(LEFT(casos!$A:$A,6))=VALUE(LEFT(B236,6)))*(casos!$B:$B=C236), 0)), "")</f>
        <v>325</v>
      </c>
      <c r="M236" cm="1">
        <f t="array" ref="M236">IFERROR(INDEX(srag!$D:$D, MATCH(1, (VALUE(LEFT(srag!$A:$A,6))=VALUE(LEFT(B236,6)))*(srag!$C:$C=C236), 0)), "")</f>
        <v>51</v>
      </c>
      <c r="N236" cm="1">
        <f t="array" ref="N236">IFERROR(INDEX(fesp!$E:$E, MATCH(1, (VALUE(LEFT(fesp!$A:$A,6))=VALUE(LEFT(B236,6)))*(fesp!$C:$C=C236), 0)), "")</f>
        <v>85</v>
      </c>
      <c r="O236" cm="1">
        <f t="array" ref="O236">IFERROR(INDEX(fesp!$F:$F, MATCH(1, (VALUE(LEFT(fesp!$A:$A,6))=VALUE(LEFT(B236,6)))*(fesp!$C:$C=C236), 0)), "")</f>
        <v>2005</v>
      </c>
      <c r="P236" cm="1">
        <f t="array" ref="P236">IFERROR(INDEX(fesp!$G:$G, MATCH(1, (VALUE(LEFT(fesp!$A:$A,6))=VALUE(LEFT(B236,6)))*(fesp!$C:$C=C236), 0)), "")</f>
        <v>2012682</v>
      </c>
      <c r="Q236" cm="1">
        <f t="array" ref="Q236">IFERROR(INDEX(fesp!$H:$H, MATCH(1, (VALUE(LEFT(fesp!$A:$A,6))=VALUE(LEFT(B236,6)))*(fesp!$C:$C=C236), 0)), "")</f>
        <v>12</v>
      </c>
      <c r="R236" cm="1">
        <f t="array" ref="R236">IFERROR(INDEX(fesp!$I:$I, MATCH(1, (VALUE(LEFT(fesp!$A:$A,6))=VALUE(LEFT(B236,6)))*(fesp!$C:$C=C236), 0)), "")</f>
        <v>22926</v>
      </c>
      <c r="S236" cm="1">
        <f t="array" ref="S236">IFERROR(INDEX(fesp!$J:$J, MATCH(1, (VALUE(LEFT(fesp!$A:$A,6))=VALUE(LEFT(B236,6)))*(fesp!$C:$C=C236), 0)), "")</f>
        <v>266717</v>
      </c>
    </row>
    <row r="237" spans="1:19">
      <c r="A237" s="1" t="s">
        <v>115</v>
      </c>
      <c r="B237" s="3" t="s">
        <v>114</v>
      </c>
      <c r="C237" s="3">
        <v>2019</v>
      </c>
      <c r="D237" cm="1">
        <f t="array" ref="D237">IFERROR(INDEX(fesp!$D:$D, MATCH(1, (VALUE(LEFT(fesp!$A:$A,6))=VALUE(LEFT(B237,6)))*(fesp!$C:$C=C237), 0)), "")</f>
        <v>0</v>
      </c>
      <c r="E237" cm="1">
        <f t="array" aca="1" ref="E237" ca="1">IFERROR(INDEX(ft_medicos_clinicos!$C:$C, MATCH(1, (VALUE(LEFT(ft_medicos_clinicos!$A:$A,6))=VALUE(LEFT(B237,6)))*(ft_medicos_clinicos!$B:$B=C237), 0)), "")</f>
        <v>318</v>
      </c>
      <c r="F237" cm="1">
        <f t="array" aca="1" ref="F237" ca="1">IFERROR(INDEX(ft_enfermeiros!$C:$C, MATCH(1, (VALUE(LEFT(ft_enfermeiros!$A:$A,6))=VALUE(LEFT(B237,6)))*(ft_enfermeiros!$B:$B=C237), 0)), "")</f>
        <v>437</v>
      </c>
      <c r="G237" t="str" cm="1">
        <f t="array" aca="1" ref="G237" ca="1">IFERROR(INDEX(ft_equipes_acs!$C:$C, MATCH(1, (VALUE(LEFT(ft_equipes_acs!$A:$A,6))=VALUE(LEFT(B237,6)))*(ft_equipes_acs!$B:$B=C237), 0)), "")</f>
        <v>-</v>
      </c>
      <c r="H237" cm="1">
        <f t="array" aca="1" ref="H237" ca="1">IFERROR(INDEX(ci_leitos_internacao!$C:$C, MATCH(1, (VALUE(LEFT(ci_leitos_internacao!$A:$A,6))=VALUE(LEFT(B237,6)))*(ci_leitos_internacao!$B:$B=C237), 0)), "")</f>
        <v>638</v>
      </c>
      <c r="I237" cm="1">
        <f t="array" aca="1" ref="I237" ca="1">IFERROR(INDEX(ci_hospitais_internacao!$C:$C, MATCH(1, (VALUE(LEFT(ci_hospitais_internacao!$A:$A,6))=VALUE(LEFT(B237,6)))*(ci_hospitais_internacao!$B:$B=C237), 0)), "")</f>
        <v>2</v>
      </c>
      <c r="J237" cm="1">
        <f t="array" aca="1" ref="J237" ca="1">IFERROR(INDEX(ci_pa_clinico!$C:$C, MATCH(1, (VALUE(LEFT(ci_pa_clinico!$A:$A,6))=VALUE(LEFT(B237,6)))*(ci_pa_clinico!$B:$B=C237), 0)), "")</f>
        <v>6</v>
      </c>
      <c r="K237" cm="1">
        <f t="array" aca="1" ref="K237" ca="1">IFERROR(INDEX(aps_equipes_esf!$C:$C, MATCH(1, (VALUE(LEFT(aps_equipes_esf!$A:$A,6))=VALUE(LEFT(B237,6)))*(aps_equipes_esf!$B:$B=C237), 0)), "")</f>
        <v>78</v>
      </c>
      <c r="L237" cm="1">
        <f t="array" aca="1" ref="L237" ca="1">IFERROR(INDEX(casos!$C:$C, MATCH(1, (VALUE(LEFT(casos!$A:$A,6))=VALUE(LEFT(B237,6)))*(casos!$B:$B=C237), 0)), "")</f>
        <v>50154</v>
      </c>
      <c r="M237" cm="1">
        <f t="array" ref="M237">IFERROR(INDEX(srag!$D:$D, MATCH(1, (VALUE(LEFT(srag!$A:$A,6))=VALUE(LEFT(B237,6)))*(srag!$C:$C=C237), 0)), "")</f>
        <v>69</v>
      </c>
      <c r="N237" cm="1">
        <f t="array" ref="N237">IFERROR(INDEX(fesp!$E:$E, MATCH(1, (VALUE(LEFT(fesp!$A:$A,6))=VALUE(LEFT(B237,6)))*(fesp!$C:$C=C237), 0)), "")</f>
        <v>80</v>
      </c>
      <c r="O237" cm="1">
        <f t="array" ref="O237">IFERROR(INDEX(fesp!$F:$F, MATCH(1, (VALUE(LEFT(fesp!$A:$A,6))=VALUE(LEFT(B237,6)))*(fesp!$C:$C=C237), 0)), "")</f>
        <v>3305</v>
      </c>
      <c r="P237" cm="1">
        <f t="array" ref="P237">IFERROR(INDEX(fesp!$G:$G, MATCH(1, (VALUE(LEFT(fesp!$A:$A,6))=VALUE(LEFT(B237,6)))*(fesp!$C:$C=C237), 0)), "")</f>
        <v>2258921</v>
      </c>
      <c r="Q237" cm="1">
        <f t="array" ref="Q237">IFERROR(INDEX(fesp!$H:$H, MATCH(1, (VALUE(LEFT(fesp!$A:$A,6))=VALUE(LEFT(B237,6)))*(fesp!$C:$C=C237), 0)), "")</f>
        <v>16</v>
      </c>
      <c r="R237" cm="1">
        <f t="array" ref="R237">IFERROR(INDEX(fesp!$I:$I, MATCH(1, (VALUE(LEFT(fesp!$A:$A,6))=VALUE(LEFT(B237,6)))*(fesp!$C:$C=C237), 0)), "")</f>
        <v>21096</v>
      </c>
      <c r="S237" cm="1">
        <f t="array" ref="S237">IFERROR(INDEX(fesp!$J:$J, MATCH(1, (VALUE(LEFT(fesp!$A:$A,6))=VALUE(LEFT(B237,6)))*(fesp!$C:$C=C237), 0)), "")</f>
        <v>259473</v>
      </c>
    </row>
    <row r="238" spans="1:19">
      <c r="A238" s="1" t="s">
        <v>115</v>
      </c>
      <c r="B238" s="3" t="s">
        <v>114</v>
      </c>
      <c r="C238" s="3">
        <v>2020</v>
      </c>
      <c r="D238" cm="1">
        <f t="array" ref="D238">IFERROR(INDEX(fesp!$D:$D, MATCH(1, (VALUE(LEFT(fesp!$A:$A,6))=VALUE(LEFT(B238,6)))*(fesp!$C:$C=C238), 0)), "")</f>
        <v>0</v>
      </c>
      <c r="E238" cm="1">
        <f t="array" aca="1" ref="E238" ca="1">IFERROR(INDEX(ft_medicos_clinicos!$C:$C, MATCH(1, (VALUE(LEFT(ft_medicos_clinicos!$A:$A,6))=VALUE(LEFT(B238,6)))*(ft_medicos_clinicos!$B:$B=C238), 0)), "")</f>
        <v>401</v>
      </c>
      <c r="F238" cm="1">
        <f t="array" aca="1" ref="F238" ca="1">IFERROR(INDEX(ft_enfermeiros!$C:$C, MATCH(1, (VALUE(LEFT(ft_enfermeiros!$A:$A,6))=VALUE(LEFT(B238,6)))*(ft_enfermeiros!$B:$B=C238), 0)), "")</f>
        <v>542</v>
      </c>
      <c r="G238" t="str" cm="1">
        <f t="array" aca="1" ref="G238" ca="1">IFERROR(INDEX(ft_equipes_acs!$C:$C, MATCH(1, (VALUE(LEFT(ft_equipes_acs!$A:$A,6))=VALUE(LEFT(B238,6)))*(ft_equipes_acs!$B:$B=C238), 0)), "")</f>
        <v>-</v>
      </c>
      <c r="H238" cm="1">
        <f t="array" aca="1" ref="H238" ca="1">IFERROR(INDEX(ci_leitos_internacao!$C:$C, MATCH(1, (VALUE(LEFT(ci_leitos_internacao!$A:$A,6))=VALUE(LEFT(B238,6)))*(ci_leitos_internacao!$B:$B=C238), 0)), "")</f>
        <v>795</v>
      </c>
      <c r="I238" cm="1">
        <f t="array" aca="1" ref="I238" ca="1">IFERROR(INDEX(ci_hospitais_internacao!$C:$C, MATCH(1, (VALUE(LEFT(ci_hospitais_internacao!$A:$A,6))=VALUE(LEFT(B238,6)))*(ci_hospitais_internacao!$B:$B=C238), 0)), "")</f>
        <v>3</v>
      </c>
      <c r="J238" cm="1">
        <f t="array" aca="1" ref="J238" ca="1">IFERROR(INDEX(ci_pa_clinico!$C:$C, MATCH(1, (VALUE(LEFT(ci_pa_clinico!$A:$A,6))=VALUE(LEFT(B238,6)))*(ci_pa_clinico!$B:$B=C238), 0)), "")</f>
        <v>7</v>
      </c>
      <c r="K238" t="str" cm="1">
        <f t="array" aca="1" ref="K238" ca="1">IFERROR(INDEX(aps_equipes_esf!$C:$C, MATCH(1, (VALUE(LEFT(aps_equipes_esf!$A:$A,6))=VALUE(LEFT(B238,6)))*(aps_equipes_esf!$B:$B=C238), 0)), "")</f>
        <v>-</v>
      </c>
      <c r="L238" cm="1">
        <f t="array" aca="1" ref="L238" ca="1">IFERROR(INDEX(casos!$C:$C, MATCH(1, (VALUE(LEFT(casos!$A:$A,6))=VALUE(LEFT(B238,6)))*(casos!$B:$B=C238), 0)), "")</f>
        <v>339</v>
      </c>
      <c r="M238" cm="1">
        <f t="array" ref="M238">IFERROR(INDEX(srag!$D:$D, MATCH(1, (VALUE(LEFT(srag!$A:$A,6))=VALUE(LEFT(B238,6)))*(srag!$C:$C=C238), 0)), "")</f>
        <v>3171</v>
      </c>
      <c r="N238" cm="1">
        <f t="array" ref="N238">IFERROR(INDEX(fesp!$E:$E, MATCH(1, (VALUE(LEFT(fesp!$A:$A,6))=VALUE(LEFT(B238,6)))*(fesp!$C:$C=C238), 0)), "")</f>
        <v>85</v>
      </c>
      <c r="O238" cm="1">
        <f t="array" ref="O238">IFERROR(INDEX(fesp!$F:$F, MATCH(1, (VALUE(LEFT(fesp!$A:$A,6))=VALUE(LEFT(B238,6)))*(fesp!$C:$C=C238), 0)), "")</f>
        <v>3627</v>
      </c>
      <c r="P238" cm="1">
        <f t="array" ref="P238">IFERROR(INDEX(fesp!$G:$G, MATCH(1, (VALUE(LEFT(fesp!$A:$A,6))=VALUE(LEFT(B238,6)))*(fesp!$C:$C=C238), 0)), "")</f>
        <v>1683460</v>
      </c>
      <c r="Q238" cm="1">
        <f t="array" ref="Q238">IFERROR(INDEX(fesp!$H:$H, MATCH(1, (VALUE(LEFT(fesp!$A:$A,6))=VALUE(LEFT(B238,6)))*(fesp!$C:$C=C238), 0)), "")</f>
        <v>17</v>
      </c>
      <c r="R238" cm="1">
        <f t="array" ref="R238">IFERROR(INDEX(fesp!$I:$I, MATCH(1, (VALUE(LEFT(fesp!$A:$A,6))=VALUE(LEFT(B238,6)))*(fesp!$C:$C=C238), 0)), "")</f>
        <v>26974</v>
      </c>
      <c r="S238" cm="1">
        <f t="array" ref="S238">IFERROR(INDEX(fesp!$J:$J, MATCH(1, (VALUE(LEFT(fesp!$A:$A,6))=VALUE(LEFT(B238,6)))*(fesp!$C:$C=C238), 0)), "")</f>
        <v>203308</v>
      </c>
    </row>
    <row r="239" spans="1:19">
      <c r="A239" s="1" t="s">
        <v>115</v>
      </c>
      <c r="B239" s="3" t="s">
        <v>114</v>
      </c>
      <c r="C239" s="3">
        <v>2021</v>
      </c>
      <c r="D239" cm="1">
        <f t="array" ref="D239">IFERROR(INDEX(fesp!$D:$D, MATCH(1, (VALUE(LEFT(fesp!$A:$A,6))=VALUE(LEFT(B239,6)))*(fesp!$C:$C=C239), 0)), "")</f>
        <v>0</v>
      </c>
      <c r="E239" cm="1">
        <f t="array" aca="1" ref="E239" ca="1">IFERROR(INDEX(ft_medicos_clinicos!$C:$C, MATCH(1, (VALUE(LEFT(ft_medicos_clinicos!$A:$A,6))=VALUE(LEFT(B239,6)))*(ft_medicos_clinicos!$B:$B=C239), 0)), "")</f>
        <v>479</v>
      </c>
      <c r="F239" cm="1">
        <f t="array" aca="1" ref="F239" ca="1">IFERROR(INDEX(ft_enfermeiros!$C:$C, MATCH(1, (VALUE(LEFT(ft_enfermeiros!$A:$A,6))=VALUE(LEFT(B239,6)))*(ft_enfermeiros!$B:$B=C239), 0)), "")</f>
        <v>637</v>
      </c>
      <c r="G239" t="str" cm="1">
        <f t="array" aca="1" ref="G239" ca="1">IFERROR(INDEX(ft_equipes_acs!$C:$C, MATCH(1, (VALUE(LEFT(ft_equipes_acs!$A:$A,6))=VALUE(LEFT(B239,6)))*(ft_equipes_acs!$B:$B=C239), 0)), "")</f>
        <v>-</v>
      </c>
      <c r="H239" cm="1">
        <f t="array" aca="1" ref="H239" ca="1">IFERROR(INDEX(ci_leitos_internacao!$C:$C, MATCH(1, (VALUE(LEFT(ci_leitos_internacao!$A:$A,6))=VALUE(LEFT(B239,6)))*(ci_leitos_internacao!$B:$B=C239), 0)), "")</f>
        <v>725</v>
      </c>
      <c r="I239" cm="1">
        <f t="array" aca="1" ref="I239" ca="1">IFERROR(INDEX(ci_hospitais_internacao!$C:$C, MATCH(1, (VALUE(LEFT(ci_hospitais_internacao!$A:$A,6))=VALUE(LEFT(B239,6)))*(ci_hospitais_internacao!$B:$B=C239), 0)), "")</f>
        <v>2</v>
      </c>
      <c r="J239" cm="1">
        <f t="array" aca="1" ref="J239" ca="1">IFERROR(INDEX(ci_pa_clinico!$C:$C, MATCH(1, (VALUE(LEFT(ci_pa_clinico!$A:$A,6))=VALUE(LEFT(B239,6)))*(ci_pa_clinico!$B:$B=C239), 0)), "")</f>
        <v>7</v>
      </c>
      <c r="K239" t="str" cm="1">
        <f t="array" aca="1" ref="K239" ca="1">IFERROR(INDEX(aps_equipes_esf!$C:$C, MATCH(1, (VALUE(LEFT(aps_equipes_esf!$A:$A,6))=VALUE(LEFT(B239,6)))*(aps_equipes_esf!$B:$B=C239), 0)), "")</f>
        <v>-</v>
      </c>
      <c r="L239" cm="1">
        <f t="array" aca="1" ref="L239" ca="1">IFERROR(INDEX(casos!$C:$C, MATCH(1, (VALUE(LEFT(casos!$A:$A,6))=VALUE(LEFT(B239,6)))*(casos!$B:$B=C239), 0)), "")</f>
        <v>230</v>
      </c>
      <c r="M239" cm="1">
        <f t="array" ref="M239">IFERROR(INDEX(srag!$D:$D, MATCH(1, (VALUE(LEFT(srag!$A:$A,6))=VALUE(LEFT(B239,6)))*(srag!$C:$C=C239), 0)), "")</f>
        <v>5361</v>
      </c>
      <c r="N239" cm="1">
        <f t="array" ref="N239">IFERROR(INDEX(fesp!$E:$E, MATCH(1, (VALUE(LEFT(fesp!$A:$A,6))=VALUE(LEFT(B239,6)))*(fesp!$C:$C=C239), 0)), "")</f>
        <v>80</v>
      </c>
      <c r="O239" cm="1">
        <f t="array" ref="O239">IFERROR(INDEX(fesp!$F:$F, MATCH(1, (VALUE(LEFT(fesp!$A:$A,6))=VALUE(LEFT(B239,6)))*(fesp!$C:$C=C239), 0)), "")</f>
        <v>4580</v>
      </c>
      <c r="P239" cm="1">
        <f t="array" ref="P239">IFERROR(INDEX(fesp!$G:$G, MATCH(1, (VALUE(LEFT(fesp!$A:$A,6))=VALUE(LEFT(B239,6)))*(fesp!$C:$C=C239), 0)), "")</f>
        <v>1934572</v>
      </c>
      <c r="Q239" cm="1">
        <f t="array" ref="Q239">IFERROR(INDEX(fesp!$H:$H, MATCH(1, (VALUE(LEFT(fesp!$A:$A,6))=VALUE(LEFT(B239,6)))*(fesp!$C:$C=C239), 0)), "")</f>
        <v>10</v>
      </c>
      <c r="R239" cm="1">
        <f t="array" ref="R239">IFERROR(INDEX(fesp!$I:$I, MATCH(1, (VALUE(LEFT(fesp!$A:$A,6))=VALUE(LEFT(B239,6)))*(fesp!$C:$C=C239), 0)), "")</f>
        <v>27425</v>
      </c>
      <c r="S239" cm="1">
        <f t="array" ref="S239">IFERROR(INDEX(fesp!$J:$J, MATCH(1, (VALUE(LEFT(fesp!$A:$A,6))=VALUE(LEFT(B239,6)))*(fesp!$C:$C=C239), 0)), "")</f>
        <v>249881</v>
      </c>
    </row>
    <row r="240" spans="1:19">
      <c r="A240" s="1" t="s">
        <v>115</v>
      </c>
      <c r="B240" s="3" t="s">
        <v>114</v>
      </c>
      <c r="C240" s="3">
        <v>2022</v>
      </c>
      <c r="D240" cm="1">
        <f t="array" ref="D240">IFERROR(INDEX(fesp!$D:$D, MATCH(1, (VALUE(LEFT(fesp!$A:$A,6))=VALUE(LEFT(B240,6)))*(fesp!$C:$C=C240), 0)), "")</f>
        <v>411846</v>
      </c>
      <c r="E240" cm="1">
        <f t="array" aca="1" ref="E240" ca="1">IFERROR(INDEX(ft_medicos_clinicos!$C:$C, MATCH(1, (VALUE(LEFT(ft_medicos_clinicos!$A:$A,6))=VALUE(LEFT(B240,6)))*(ft_medicos_clinicos!$B:$B=C240), 0)), "")</f>
        <v>516</v>
      </c>
      <c r="F240" cm="1">
        <f t="array" aca="1" ref="F240" ca="1">IFERROR(INDEX(ft_enfermeiros!$C:$C, MATCH(1, (VALUE(LEFT(ft_enfermeiros!$A:$A,6))=VALUE(LEFT(B240,6)))*(ft_enfermeiros!$B:$B=C240), 0)), "")</f>
        <v>725</v>
      </c>
      <c r="G240" t="str" cm="1">
        <f t="array" aca="1" ref="G240" ca="1">IFERROR(INDEX(ft_equipes_acs!$C:$C, MATCH(1, (VALUE(LEFT(ft_equipes_acs!$A:$A,6))=VALUE(LEFT(B240,6)))*(ft_equipes_acs!$B:$B=C240), 0)), "")</f>
        <v>-</v>
      </c>
      <c r="H240" cm="1">
        <f t="array" aca="1" ref="H240" ca="1">IFERROR(INDEX(ci_leitos_internacao!$C:$C, MATCH(1, (VALUE(LEFT(ci_leitos_internacao!$A:$A,6))=VALUE(LEFT(B240,6)))*(ci_leitos_internacao!$B:$B=C240), 0)), "")</f>
        <v>723</v>
      </c>
      <c r="I240" cm="1">
        <f t="array" aca="1" ref="I240" ca="1">IFERROR(INDEX(ci_hospitais_internacao!$C:$C, MATCH(1, (VALUE(LEFT(ci_hospitais_internacao!$A:$A,6))=VALUE(LEFT(B240,6)))*(ci_hospitais_internacao!$B:$B=C240), 0)), "")</f>
        <v>2</v>
      </c>
      <c r="J240" cm="1">
        <f t="array" aca="1" ref="J240" ca="1">IFERROR(INDEX(ci_pa_clinico!$C:$C, MATCH(1, (VALUE(LEFT(ci_pa_clinico!$A:$A,6))=VALUE(LEFT(B240,6)))*(ci_pa_clinico!$B:$B=C240), 0)), "")</f>
        <v>7</v>
      </c>
      <c r="K240" t="str" cm="1">
        <f t="array" aca="1" ref="K240" ca="1">IFERROR(INDEX(aps_equipes_esf!$C:$C, MATCH(1, (VALUE(LEFT(aps_equipes_esf!$A:$A,6))=VALUE(LEFT(B240,6)))*(aps_equipes_esf!$B:$B=C240), 0)), "")</f>
        <v>-</v>
      </c>
      <c r="L240" cm="1">
        <f t="array" aca="1" ref="L240" ca="1">IFERROR(INDEX(casos!$C:$C, MATCH(1, (VALUE(LEFT(casos!$A:$A,6))=VALUE(LEFT(B240,6)))*(casos!$B:$B=C240), 0)), "")</f>
        <v>306</v>
      </c>
      <c r="M240" cm="1">
        <f t="array" ref="M240">IFERROR(INDEX(srag!$D:$D, MATCH(1, (VALUE(LEFT(srag!$A:$A,6))=VALUE(LEFT(B240,6)))*(srag!$C:$C=C240), 0)), "")</f>
        <v>2150</v>
      </c>
      <c r="N240" cm="1">
        <f t="array" ref="N240">IFERROR(INDEX(fesp!$E:$E, MATCH(1, (VALUE(LEFT(fesp!$A:$A,6))=VALUE(LEFT(B240,6)))*(fesp!$C:$C=C240), 0)), "")</f>
        <v>55</v>
      </c>
      <c r="O240" cm="1">
        <f t="array" ref="O240">IFERROR(INDEX(fesp!$F:$F, MATCH(1, (VALUE(LEFT(fesp!$A:$A,6))=VALUE(LEFT(B240,6)))*(fesp!$C:$C=C240), 0)), "")</f>
        <v>4543</v>
      </c>
      <c r="P240" cm="1">
        <f t="array" ref="P240">IFERROR(INDEX(fesp!$G:$G, MATCH(1, (VALUE(LEFT(fesp!$A:$A,6))=VALUE(LEFT(B240,6)))*(fesp!$C:$C=C240), 0)), "")</f>
        <v>2217257</v>
      </c>
      <c r="Q240" cm="1">
        <f t="array" ref="Q240">IFERROR(INDEX(fesp!$H:$H, MATCH(1, (VALUE(LEFT(fesp!$A:$A,6))=VALUE(LEFT(B240,6)))*(fesp!$C:$C=C240), 0)), "")</f>
        <v>18</v>
      </c>
      <c r="R240" cm="1">
        <f t="array" ref="R240">IFERROR(INDEX(fesp!$I:$I, MATCH(1, (VALUE(LEFT(fesp!$A:$A,6))=VALUE(LEFT(B240,6)))*(fesp!$C:$C=C240), 0)), "")</f>
        <v>27281</v>
      </c>
      <c r="S240" cm="1">
        <f t="array" ref="S240">IFERROR(INDEX(fesp!$J:$J, MATCH(1, (VALUE(LEFT(fesp!$A:$A,6))=VALUE(LEFT(B240,6)))*(fesp!$C:$C=C240), 0)), "")</f>
        <v>324494</v>
      </c>
    </row>
    <row r="241" spans="1:19">
      <c r="A241" s="1" t="s">
        <v>115</v>
      </c>
      <c r="B241" s="3" t="s">
        <v>114</v>
      </c>
      <c r="C241" s="3">
        <v>2023</v>
      </c>
      <c r="D241" cm="1">
        <f t="array" ref="D241">IFERROR(INDEX(fesp!$D:$D, MATCH(1, (VALUE(LEFT(fesp!$A:$A,6))=VALUE(LEFT(B241,6)))*(fesp!$C:$C=C241), 0)), "")</f>
        <v>0</v>
      </c>
      <c r="E241" cm="1">
        <f t="array" aca="1" ref="E241" ca="1">IFERROR(INDEX(ft_medicos_clinicos!$C:$C, MATCH(1, (VALUE(LEFT(ft_medicos_clinicos!$A:$A,6))=VALUE(LEFT(B241,6)))*(ft_medicos_clinicos!$B:$B=C241), 0)), "")</f>
        <v>499</v>
      </c>
      <c r="F241" cm="1">
        <f t="array" aca="1" ref="F241" ca="1">IFERROR(INDEX(ft_enfermeiros!$C:$C, MATCH(1, (VALUE(LEFT(ft_enfermeiros!$A:$A,6))=VALUE(LEFT(B241,6)))*(ft_enfermeiros!$B:$B=C241), 0)), "")</f>
        <v>691</v>
      </c>
      <c r="G241" t="str" cm="1">
        <f t="array" aca="1" ref="G241" ca="1">IFERROR(INDEX(ft_equipes_acs!$C:$C, MATCH(1, (VALUE(LEFT(ft_equipes_acs!$A:$A,6))=VALUE(LEFT(B241,6)))*(ft_equipes_acs!$B:$B=C241), 0)), "")</f>
        <v>-</v>
      </c>
      <c r="H241" cm="1">
        <f t="array" aca="1" ref="H241" ca="1">IFERROR(INDEX(ci_leitos_internacao!$C:$C, MATCH(1, (VALUE(LEFT(ci_leitos_internacao!$A:$A,6))=VALUE(LEFT(B241,6)))*(ci_leitos_internacao!$B:$B=C241), 0)), "")</f>
        <v>724</v>
      </c>
      <c r="I241" cm="1">
        <f t="array" aca="1" ref="I241" ca="1">IFERROR(INDEX(ci_hospitais_internacao!$C:$C, MATCH(1, (VALUE(LEFT(ci_hospitais_internacao!$A:$A,6))=VALUE(LEFT(B241,6)))*(ci_hospitais_internacao!$B:$B=C241), 0)), "")</f>
        <v>2</v>
      </c>
      <c r="J241" cm="1">
        <f t="array" aca="1" ref="J241" ca="1">IFERROR(INDEX(ci_pa_clinico!$C:$C, MATCH(1, (VALUE(LEFT(ci_pa_clinico!$A:$A,6))=VALUE(LEFT(B241,6)))*(ci_pa_clinico!$B:$B=C241), 0)), "")</f>
        <v>7</v>
      </c>
      <c r="K241" t="str" cm="1">
        <f t="array" aca="1" ref="K241" ca="1">IFERROR(INDEX(aps_equipes_esf!$C:$C, MATCH(1, (VALUE(LEFT(aps_equipes_esf!$A:$A,6))=VALUE(LEFT(B241,6)))*(aps_equipes_esf!$B:$B=C241), 0)), "")</f>
        <v>-</v>
      </c>
      <c r="L241" cm="1">
        <f t="array" aca="1" ref="L241" ca="1">IFERROR(INDEX(casos!$C:$C, MATCH(1, (VALUE(LEFT(casos!$A:$A,6))=VALUE(LEFT(B241,6)))*(casos!$B:$B=C241), 0)), "")</f>
        <v>9972</v>
      </c>
      <c r="M241" cm="1">
        <f t="array" ref="M241">IFERROR(INDEX(srag!$D:$D, MATCH(1, (VALUE(LEFT(srag!$A:$A,6))=VALUE(LEFT(B241,6)))*(srag!$C:$C=C241), 0)), "")</f>
        <v>1013</v>
      </c>
      <c r="N241" cm="1">
        <f t="array" ref="N241">IFERROR(INDEX(fesp!$E:$E, MATCH(1, (VALUE(LEFT(fesp!$A:$A,6))=VALUE(LEFT(B241,6)))*(fesp!$C:$C=C241), 0)), "")</f>
        <v>49</v>
      </c>
      <c r="O241" cm="1">
        <f t="array" ref="O241">IFERROR(INDEX(fesp!$F:$F, MATCH(1, (VALUE(LEFT(fesp!$A:$A,6))=VALUE(LEFT(B241,6)))*(fesp!$C:$C=C241), 0)), "")</f>
        <v>4987</v>
      </c>
      <c r="P241" cm="1">
        <f t="array" ref="P241">IFERROR(INDEX(fesp!$G:$G, MATCH(1, (VALUE(LEFT(fesp!$A:$A,6))=VALUE(LEFT(B241,6)))*(fesp!$C:$C=C241), 0)), "")</f>
        <v>2564002</v>
      </c>
      <c r="Q241" cm="1">
        <f t="array" ref="Q241">IFERROR(INDEX(fesp!$H:$H, MATCH(1, (VALUE(LEFT(fesp!$A:$A,6))=VALUE(LEFT(B241,6)))*(fesp!$C:$C=C241), 0)), "")</f>
        <v>17</v>
      </c>
      <c r="R241" cm="1">
        <f t="array" ref="R241">IFERROR(INDEX(fesp!$I:$I, MATCH(1, (VALUE(LEFT(fesp!$A:$A,6))=VALUE(LEFT(B241,6)))*(fesp!$C:$C=C241), 0)), "")</f>
        <v>24739</v>
      </c>
      <c r="S241" cm="1">
        <f t="array" ref="S241">IFERROR(INDEX(fesp!$J:$J, MATCH(1, (VALUE(LEFT(fesp!$A:$A,6))=VALUE(LEFT(B241,6)))*(fesp!$C:$C=C241), 0)), "")</f>
        <v>380112</v>
      </c>
    </row>
    <row r="242" spans="1:19">
      <c r="A242" s="1" t="s">
        <v>115</v>
      </c>
      <c r="B242" s="3" t="s">
        <v>114</v>
      </c>
      <c r="C242" s="3">
        <v>2024</v>
      </c>
      <c r="D242" cm="1">
        <f t="array" ref="D242">IFERROR(INDEX(fesp!$D:$D, MATCH(1, (VALUE(LEFT(fesp!$A:$A,6))=VALUE(LEFT(B242,6)))*(fesp!$C:$C=C242), 0)), "")</f>
        <v>0</v>
      </c>
      <c r="E242" cm="1">
        <f t="array" aca="1" ref="E242" ca="1">IFERROR(INDEX(ft_medicos_clinicos!$C:$C, MATCH(1, (VALUE(LEFT(ft_medicos_clinicos!$A:$A,6))=VALUE(LEFT(B242,6)))*(ft_medicos_clinicos!$B:$B=C242), 0)), "")</f>
        <v>650</v>
      </c>
      <c r="F242" cm="1">
        <f t="array" aca="1" ref="F242" ca="1">IFERROR(INDEX(ft_enfermeiros!$C:$C, MATCH(1, (VALUE(LEFT(ft_enfermeiros!$A:$A,6))=VALUE(LEFT(B242,6)))*(ft_enfermeiros!$B:$B=C242), 0)), "")</f>
        <v>758</v>
      </c>
      <c r="G242" t="str" cm="1">
        <f t="array" aca="1" ref="G242" ca="1">IFERROR(INDEX(ft_equipes_acs!$C:$C, MATCH(1, (VALUE(LEFT(ft_equipes_acs!$A:$A,6))=VALUE(LEFT(B242,6)))*(ft_equipes_acs!$B:$B=C242), 0)), "")</f>
        <v>-</v>
      </c>
      <c r="H242" cm="1">
        <f t="array" aca="1" ref="H242" ca="1">IFERROR(INDEX(ci_leitos_internacao!$C:$C, MATCH(1, (VALUE(LEFT(ci_leitos_internacao!$A:$A,6))=VALUE(LEFT(B242,6)))*(ci_leitos_internacao!$B:$B=C242), 0)), "")</f>
        <v>718</v>
      </c>
      <c r="I242" cm="1">
        <f t="array" aca="1" ref="I242" ca="1">IFERROR(INDEX(ci_hospitais_internacao!$C:$C, MATCH(1, (VALUE(LEFT(ci_hospitais_internacao!$A:$A,6))=VALUE(LEFT(B242,6)))*(ci_hospitais_internacao!$B:$B=C242), 0)), "")</f>
        <v>2</v>
      </c>
      <c r="J242" cm="1">
        <f t="array" aca="1" ref="J242" ca="1">IFERROR(INDEX(ci_pa_clinico!$C:$C, MATCH(1, (VALUE(LEFT(ci_pa_clinico!$A:$A,6))=VALUE(LEFT(B242,6)))*(ci_pa_clinico!$B:$B=C242), 0)), "")</f>
        <v>6</v>
      </c>
      <c r="K242" t="str" cm="1">
        <f t="array" aca="1" ref="K242" ca="1">IFERROR(INDEX(aps_equipes_esf!$C:$C, MATCH(1, (VALUE(LEFT(aps_equipes_esf!$A:$A,6))=VALUE(LEFT(B242,6)))*(aps_equipes_esf!$B:$B=C242), 0)), "")</f>
        <v>-</v>
      </c>
      <c r="L242" cm="1">
        <f t="array" aca="1" ref="L242" ca="1">IFERROR(INDEX(casos!$C:$C, MATCH(1, (VALUE(LEFT(casos!$A:$A,6))=VALUE(LEFT(B242,6)))*(casos!$B:$B=C242), 0)), "")</f>
        <v>56696</v>
      </c>
      <c r="M242" cm="1">
        <f t="array" ref="M242">IFERROR(INDEX(srag!$D:$D, MATCH(1, (VALUE(LEFT(srag!$A:$A,6))=VALUE(LEFT(B242,6)))*(srag!$C:$C=C242), 0)), "")</f>
        <v>705</v>
      </c>
      <c r="N242" cm="1">
        <f t="array" ref="N242">IFERROR(INDEX(fesp!$E:$E, MATCH(1, (VALUE(LEFT(fesp!$A:$A,6))=VALUE(LEFT(B242,6)))*(fesp!$C:$C=C242), 0)), "")</f>
        <v>54</v>
      </c>
      <c r="O242" cm="1">
        <f t="array" ref="O242">IFERROR(INDEX(fesp!$F:$F, MATCH(1, (VALUE(LEFT(fesp!$A:$A,6))=VALUE(LEFT(B242,6)))*(fesp!$C:$C=C242), 0)), "")</f>
        <v>5852</v>
      </c>
      <c r="P242" cm="1">
        <f t="array" ref="P242">IFERROR(INDEX(fesp!$G:$G, MATCH(1, (VALUE(LEFT(fesp!$A:$A,6))=VALUE(LEFT(B242,6)))*(fesp!$C:$C=C242), 0)), "")</f>
        <v>2784676</v>
      </c>
      <c r="Q242" cm="1">
        <f t="array" ref="Q242">IFERROR(INDEX(fesp!$H:$H, MATCH(1, (VALUE(LEFT(fesp!$A:$A,6))=VALUE(LEFT(B242,6)))*(fesp!$C:$C=C242), 0)), "")</f>
        <v>6</v>
      </c>
      <c r="R242" cm="1">
        <f t="array" ref="R242">IFERROR(INDEX(fesp!$I:$I, MATCH(1, (VALUE(LEFT(fesp!$A:$A,6))=VALUE(LEFT(B242,6)))*(fesp!$C:$C=C242), 0)), "")</f>
        <v>20395</v>
      </c>
      <c r="S242" cm="1">
        <f t="array" ref="S242">IFERROR(INDEX(fesp!$J:$J, MATCH(1, (VALUE(LEFT(fesp!$A:$A,6))=VALUE(LEFT(B242,6)))*(fesp!$C:$C=C242), 0)), "")</f>
        <v>407443</v>
      </c>
    </row>
    <row r="243" spans="1:19">
      <c r="A243" s="1" t="s">
        <v>115</v>
      </c>
      <c r="B243" s="3">
        <v>3106705</v>
      </c>
      <c r="C243" s="3">
        <v>2025</v>
      </c>
      <c r="D243" cm="1">
        <f t="array" ref="D243">IFERROR(INDEX(fesp!$D:$D, MATCH(1, (VALUE(LEFT(fesp!$A:$A,6))=VALUE(LEFT(B243,6)))*(fesp!$C:$C=C243), 0)), "")</f>
        <v>0</v>
      </c>
      <c r="E243" cm="1">
        <f t="array" aca="1" ref="E243" ca="1">IFERROR(INDEX(ft_medicos_clinicos!$C:$C, MATCH(1, (VALUE(LEFT(ft_medicos_clinicos!$A:$A,6))=VALUE(LEFT(B243,6)))*(ft_medicos_clinicos!$B:$B=C243), 0)), "")</f>
        <v>555</v>
      </c>
      <c r="F243" cm="1">
        <f t="array" aca="1" ref="F243" ca="1">IFERROR(INDEX(ft_enfermeiros!$C:$C, MATCH(1, (VALUE(LEFT(ft_enfermeiros!$A:$A,6))=VALUE(LEFT(B243,6)))*(ft_enfermeiros!$B:$B=C243), 0)), "")</f>
        <v>863</v>
      </c>
      <c r="G243" t="str" cm="1">
        <f t="array" aca="1" ref="G243" ca="1">IFERROR(INDEX(ft_equipes_acs!$C:$C, MATCH(1, (VALUE(LEFT(ft_equipes_acs!$A:$A,6))=VALUE(LEFT(B243,6)))*(ft_equipes_acs!$B:$B=C243), 0)), "")</f>
        <v>-</v>
      </c>
      <c r="H243" cm="1">
        <f t="array" aca="1" ref="H243" ca="1">IFERROR(INDEX(ci_leitos_internacao!$C:$C, MATCH(1, (VALUE(LEFT(ci_leitos_internacao!$A:$A,6))=VALUE(LEFT(B243,6)))*(ci_leitos_internacao!$B:$B=C243), 0)), "")</f>
        <v>1028</v>
      </c>
      <c r="I243" cm="1">
        <f t="array" aca="1" ref="I243" ca="1">IFERROR(INDEX(ci_hospitais_internacao!$C:$C, MATCH(1, (VALUE(LEFT(ci_hospitais_internacao!$A:$A,6))=VALUE(LEFT(B243,6)))*(ci_hospitais_internacao!$B:$B=C243), 0)), "")</f>
        <v>2</v>
      </c>
      <c r="J243" cm="1">
        <f t="array" aca="1" ref="J243" ca="1">IFERROR(INDEX(ci_pa_clinico!$C:$C, MATCH(1, (VALUE(LEFT(ci_pa_clinico!$A:$A,6))=VALUE(LEFT(B243,6)))*(ci_pa_clinico!$B:$B=C243), 0)), "")</f>
        <v>6</v>
      </c>
      <c r="K243" t="str" cm="1">
        <f t="array" aca="1" ref="K243" ca="1">IFERROR(INDEX(aps_equipes_esf!$C:$C, MATCH(1, (VALUE(LEFT(aps_equipes_esf!$A:$A,6))=VALUE(LEFT(B243,6)))*(aps_equipes_esf!$B:$B=C243), 0)), "")</f>
        <v>-</v>
      </c>
      <c r="L243" cm="1">
        <f t="array" aca="1" ref="L243" ca="1">IFERROR(INDEX(casos!$C:$C, MATCH(1, (VALUE(LEFT(casos!$A:$A,6))=VALUE(LEFT(B243,6)))*(casos!$B:$B=C243), 0)), "")</f>
        <v>878</v>
      </c>
      <c r="M243" cm="1">
        <f t="array" ref="M243">IFERROR(INDEX(srag!$D:$D, MATCH(1, (VALUE(LEFT(srag!$A:$A,6))=VALUE(LEFT(B243,6)))*(srag!$C:$C=C243), 0)), "")</f>
        <v>1429</v>
      </c>
      <c r="N243" cm="1">
        <f t="array" ref="N243">IFERROR(INDEX(fesp!$E:$E, MATCH(1, (VALUE(LEFT(fesp!$A:$A,6))=VALUE(LEFT(B243,6)))*(fesp!$C:$C=C243), 0)), "")</f>
        <v>56</v>
      </c>
      <c r="O243" cm="1">
        <f t="array" ref="O243">IFERROR(INDEX(fesp!$F:$F, MATCH(1, (VALUE(LEFT(fesp!$A:$A,6))=VALUE(LEFT(B243,6)))*(fesp!$C:$C=C243), 0)), "")</f>
        <v>5475</v>
      </c>
      <c r="P243" cm="1">
        <f t="array" ref="P243">IFERROR(INDEX(fesp!$G:$G, MATCH(1, (VALUE(LEFT(fesp!$A:$A,6))=VALUE(LEFT(B243,6)))*(fesp!$C:$C=C243), 0)), "")</f>
        <v>2750479</v>
      </c>
      <c r="Q243" cm="1">
        <f t="array" ref="Q243">IFERROR(INDEX(fesp!$H:$H, MATCH(1, (VALUE(LEFT(fesp!$A:$A,6))=VALUE(LEFT(B243,6)))*(fesp!$C:$C=C243), 0)), "")</f>
        <v>8</v>
      </c>
      <c r="R243" cm="1">
        <f t="array" ref="R243">IFERROR(INDEX(fesp!$I:$I, MATCH(1, (VALUE(LEFT(fesp!$A:$A,6))=VALUE(LEFT(B243,6)))*(fesp!$C:$C=C243), 0)), "")</f>
        <v>18367</v>
      </c>
      <c r="S243" cm="1">
        <f t="array" ref="S243">IFERROR(INDEX(fesp!$J:$J, MATCH(1, (VALUE(LEFT(fesp!$A:$A,6))=VALUE(LEFT(B243,6)))*(fesp!$C:$C=C243), 0)), "")</f>
        <v>339366</v>
      </c>
    </row>
    <row r="244" spans="1:19">
      <c r="A244" s="1" t="s">
        <v>69</v>
      </c>
      <c r="B244" s="3">
        <v>3118601</v>
      </c>
      <c r="C244" s="3">
        <v>2015</v>
      </c>
      <c r="D244" cm="1">
        <f t="array" ref="D244">IFERROR(INDEX(fesp!$D:$D, MATCH(1, (VALUE(LEFT(fesp!$A:$A,6))=VALUE(LEFT(B244,6)))*(fesp!$C:$C=C244), 0)), "")</f>
        <v>648766</v>
      </c>
      <c r="E244" cm="1">
        <f t="array" aca="1" ref="E244" ca="1">IFERROR(INDEX(ft_medicos_clinicos!$C:$C, MATCH(1, (VALUE(LEFT(ft_medicos_clinicos!$A:$A,6))=VALUE(LEFT(B244,6)))*(ft_medicos_clinicos!$B:$B=C244), 0)), "")</f>
        <v>305</v>
      </c>
      <c r="F244" cm="1">
        <f t="array" aca="1" ref="F244" ca="1">IFERROR(INDEX(ft_enfermeiros!$C:$C, MATCH(1, (VALUE(LEFT(ft_enfermeiros!$A:$A,6))=VALUE(LEFT(B244,6)))*(ft_enfermeiros!$B:$B=C244), 0)), "")</f>
        <v>293</v>
      </c>
      <c r="G244" t="str" cm="1">
        <f t="array" aca="1" ref="G244" ca="1">IFERROR(INDEX(ft_equipes_acs!$C:$C, MATCH(1, (VALUE(LEFT(ft_equipes_acs!$A:$A,6))=VALUE(LEFT(B244,6)))*(ft_equipes_acs!$B:$B=C244), 0)), "")</f>
        <v/>
      </c>
      <c r="H244" cm="1">
        <f t="array" aca="1" ref="H244" ca="1">IFERROR(INDEX(ci_leitos_internacao!$C:$C, MATCH(1, (VALUE(LEFT(ci_leitos_internacao!$A:$A,6))=VALUE(LEFT(B244,6)))*(ci_leitos_internacao!$B:$B=C244), 0)), "")</f>
        <v>488</v>
      </c>
      <c r="I244" cm="1">
        <f t="array" aca="1" ref="I244" ca="1">IFERROR(INDEX(ci_hospitais_internacao!$C:$C, MATCH(1, (VALUE(LEFT(ci_hospitais_internacao!$A:$A,6))=VALUE(LEFT(B244,6)))*(ci_hospitais_internacao!$B:$B=C244), 0)), "")</f>
        <v>1</v>
      </c>
      <c r="J244" cm="1">
        <f t="array" aca="1" ref="J244" ca="1">IFERROR(INDEX(ci_pa_clinico!$C:$C, MATCH(1, (VALUE(LEFT(ci_pa_clinico!$A:$A,6))=VALUE(LEFT(B244,6)))*(ci_pa_clinico!$B:$B=C244), 0)), "")</f>
        <v>7</v>
      </c>
      <c r="K244" cm="1">
        <f t="array" aca="1" ref="K244" ca="1">IFERROR(INDEX(aps_equipes_esf!$C:$C, MATCH(1, (VALUE(LEFT(aps_equipes_esf!$A:$A,6))=VALUE(LEFT(B244,6)))*(aps_equipes_esf!$B:$B=C244), 0)), "")</f>
        <v>74</v>
      </c>
      <c r="L244" cm="1">
        <f t="array" aca="1" ref="L244" ca="1">IFERROR(INDEX(casos!$C:$C, MATCH(1, (VALUE(LEFT(casos!$A:$A,6))=VALUE(LEFT(B244,6)))*(casos!$B:$B=C244), 0)), "")</f>
        <v>10111</v>
      </c>
      <c r="M244" cm="1">
        <f t="array" ref="M244">IFERROR(INDEX(srag!$D:$D, MATCH(1, (VALUE(LEFT(srag!$A:$A,6))=VALUE(LEFT(B244,6)))*(srag!$C:$C=C244), 0)), "")</f>
        <v>62</v>
      </c>
      <c r="N244" cm="1">
        <f t="array" ref="N244">IFERROR(INDEX(fesp!$E:$E, MATCH(1, (VALUE(LEFT(fesp!$A:$A,6))=VALUE(LEFT(B244,6)))*(fesp!$C:$C=C244), 0)), "")</f>
        <v>91</v>
      </c>
      <c r="O244" cm="1">
        <f t="array" ref="O244">IFERROR(INDEX(fesp!$F:$F, MATCH(1, (VALUE(LEFT(fesp!$A:$A,6))=VALUE(LEFT(B244,6)))*(fesp!$C:$C=C244), 0)), "")</f>
        <v>4535</v>
      </c>
      <c r="P244" cm="1">
        <f t="array" ref="P244">IFERROR(INDEX(fesp!$G:$G, MATCH(1, (VALUE(LEFT(fesp!$A:$A,6))=VALUE(LEFT(B244,6)))*(fesp!$C:$C=C244), 0)), "")</f>
        <v>2516603</v>
      </c>
      <c r="Q244" cm="1">
        <f t="array" ref="Q244">IFERROR(INDEX(fesp!$H:$H, MATCH(1, (VALUE(LEFT(fesp!$A:$A,6))=VALUE(LEFT(B244,6)))*(fesp!$C:$C=C244), 0)), "")</f>
        <v>17</v>
      </c>
      <c r="R244" cm="1">
        <f t="array" ref="R244">IFERROR(INDEX(fesp!$I:$I, MATCH(1, (VALUE(LEFT(fesp!$A:$A,6))=VALUE(LEFT(B244,6)))*(fesp!$C:$C=C244), 0)), "")</f>
        <v>36765</v>
      </c>
      <c r="S244" cm="1">
        <f t="array" ref="S244">IFERROR(INDEX(fesp!$J:$J, MATCH(1, (VALUE(LEFT(fesp!$A:$A,6))=VALUE(LEFT(B244,6)))*(fesp!$C:$C=C244), 0)), "")</f>
        <v>402437</v>
      </c>
    </row>
    <row r="245" spans="1:19">
      <c r="A245" s="1" t="s">
        <v>69</v>
      </c>
      <c r="B245" s="3" t="s">
        <v>68</v>
      </c>
      <c r="C245" s="3">
        <v>2016</v>
      </c>
      <c r="D245" cm="1">
        <f t="array" ref="D245">IFERROR(INDEX(fesp!$D:$D, MATCH(1, (VALUE(LEFT(fesp!$A:$A,6))=VALUE(LEFT(B245,6)))*(fesp!$C:$C=C245), 0)), "")</f>
        <v>0</v>
      </c>
      <c r="E245" cm="1">
        <f t="array" aca="1" ref="E245" ca="1">IFERROR(INDEX(ft_medicos_clinicos!$C:$C, MATCH(1, (VALUE(LEFT(ft_medicos_clinicos!$A:$A,6))=VALUE(LEFT(B245,6)))*(ft_medicos_clinicos!$B:$B=C245), 0)), "")</f>
        <v>359</v>
      </c>
      <c r="F245" cm="1">
        <f t="array" aca="1" ref="F245" ca="1">IFERROR(INDEX(ft_enfermeiros!$C:$C, MATCH(1, (VALUE(LEFT(ft_enfermeiros!$A:$A,6))=VALUE(LEFT(B245,6)))*(ft_enfermeiros!$B:$B=C245), 0)), "")</f>
        <v>281</v>
      </c>
      <c r="G245" t="str" cm="1">
        <f t="array" aca="1" ref="G245" ca="1">IFERROR(INDEX(ft_equipes_acs!$C:$C, MATCH(1, (VALUE(LEFT(ft_equipes_acs!$A:$A,6))=VALUE(LEFT(B245,6)))*(ft_equipes_acs!$B:$B=C245), 0)), "")</f>
        <v/>
      </c>
      <c r="H245" cm="1">
        <f t="array" aca="1" ref="H245" ca="1">IFERROR(INDEX(ci_leitos_internacao!$C:$C, MATCH(1, (VALUE(LEFT(ci_leitos_internacao!$A:$A,6))=VALUE(LEFT(B245,6)))*(ci_leitos_internacao!$B:$B=C245), 0)), "")</f>
        <v>501</v>
      </c>
      <c r="I245" cm="1">
        <f t="array" aca="1" ref="I245" ca="1">IFERROR(INDEX(ci_hospitais_internacao!$C:$C, MATCH(1, (VALUE(LEFT(ci_hospitais_internacao!$A:$A,6))=VALUE(LEFT(B245,6)))*(ci_hospitais_internacao!$B:$B=C245), 0)), "")</f>
        <v>1</v>
      </c>
      <c r="J245" cm="1">
        <f t="array" aca="1" ref="J245" ca="1">IFERROR(INDEX(ci_pa_clinico!$C:$C, MATCH(1, (VALUE(LEFT(ci_pa_clinico!$A:$A,6))=VALUE(LEFT(B245,6)))*(ci_pa_clinico!$B:$B=C245), 0)), "")</f>
        <v>7</v>
      </c>
      <c r="K245" cm="1">
        <f t="array" aca="1" ref="K245" ca="1">IFERROR(INDEX(aps_equipes_esf!$C:$C, MATCH(1, (VALUE(LEFT(aps_equipes_esf!$A:$A,6))=VALUE(LEFT(B245,6)))*(aps_equipes_esf!$B:$B=C245), 0)), "")</f>
        <v>74</v>
      </c>
      <c r="L245" cm="1">
        <f t="array" aca="1" ref="L245" ca="1">IFERROR(INDEX(casos!$C:$C, MATCH(1, (VALUE(LEFT(casos!$A:$A,6))=VALUE(LEFT(B245,6)))*(casos!$B:$B=C245), 0)), "")</f>
        <v>36590</v>
      </c>
      <c r="M245" cm="1">
        <f t="array" ref="M245">IFERROR(INDEX(srag!$D:$D, MATCH(1, (VALUE(LEFT(srag!$A:$A,6))=VALUE(LEFT(B245,6)))*(srag!$C:$C=C245), 0)), "")</f>
        <v>277</v>
      </c>
      <c r="N245" cm="1">
        <f t="array" ref="N245">IFERROR(INDEX(fesp!$E:$E, MATCH(1, (VALUE(LEFT(fesp!$A:$A,6))=VALUE(LEFT(B245,6)))*(fesp!$C:$C=C245), 0)), "")</f>
        <v>58</v>
      </c>
      <c r="O245" cm="1">
        <f t="array" ref="O245">IFERROR(INDEX(fesp!$F:$F, MATCH(1, (VALUE(LEFT(fesp!$A:$A,6))=VALUE(LEFT(B245,6)))*(fesp!$C:$C=C245), 0)), "")</f>
        <v>3851</v>
      </c>
      <c r="P245" cm="1">
        <f t="array" ref="P245">IFERROR(INDEX(fesp!$G:$G, MATCH(1, (VALUE(LEFT(fesp!$A:$A,6))=VALUE(LEFT(B245,6)))*(fesp!$C:$C=C245), 0)), "")</f>
        <v>2458312</v>
      </c>
      <c r="Q245" cm="1">
        <f t="array" ref="Q245">IFERROR(INDEX(fesp!$H:$H, MATCH(1, (VALUE(LEFT(fesp!$A:$A,6))=VALUE(LEFT(B245,6)))*(fesp!$C:$C=C245), 0)), "")</f>
        <v>12</v>
      </c>
      <c r="R245" cm="1">
        <f t="array" ref="R245">IFERROR(INDEX(fesp!$I:$I, MATCH(1, (VALUE(LEFT(fesp!$A:$A,6))=VALUE(LEFT(B245,6)))*(fesp!$C:$C=C245), 0)), "")</f>
        <v>12542</v>
      </c>
      <c r="S245" cm="1">
        <f t="array" ref="S245">IFERROR(INDEX(fesp!$J:$J, MATCH(1, (VALUE(LEFT(fesp!$A:$A,6))=VALUE(LEFT(B245,6)))*(fesp!$C:$C=C245), 0)), "")</f>
        <v>219613</v>
      </c>
    </row>
    <row r="246" spans="1:19">
      <c r="A246" s="1" t="s">
        <v>69</v>
      </c>
      <c r="B246" s="3" t="s">
        <v>68</v>
      </c>
      <c r="C246" s="3">
        <v>2017</v>
      </c>
      <c r="D246" cm="1">
        <f t="array" ref="D246">IFERROR(INDEX(fesp!$D:$D, MATCH(1, (VALUE(LEFT(fesp!$A:$A,6))=VALUE(LEFT(B246,6)))*(fesp!$C:$C=C246), 0)), "")</f>
        <v>0</v>
      </c>
      <c r="E246" cm="1">
        <f t="array" aca="1" ref="E246" ca="1">IFERROR(INDEX(ft_medicos_clinicos!$C:$C, MATCH(1, (VALUE(LEFT(ft_medicos_clinicos!$A:$A,6))=VALUE(LEFT(B246,6)))*(ft_medicos_clinicos!$B:$B=C246), 0)), "")</f>
        <v>349</v>
      </c>
      <c r="F246" cm="1">
        <f t="array" aca="1" ref="F246" ca="1">IFERROR(INDEX(ft_enfermeiros!$C:$C, MATCH(1, (VALUE(LEFT(ft_enfermeiros!$A:$A,6))=VALUE(LEFT(B246,6)))*(ft_enfermeiros!$B:$B=C246), 0)), "")</f>
        <v>291</v>
      </c>
      <c r="G246" t="str" cm="1">
        <f t="array" aca="1" ref="G246" ca="1">IFERROR(INDEX(ft_equipes_acs!$C:$C, MATCH(1, (VALUE(LEFT(ft_equipes_acs!$A:$A,6))=VALUE(LEFT(B246,6)))*(ft_equipes_acs!$B:$B=C246), 0)), "")</f>
        <v/>
      </c>
      <c r="H246" cm="1">
        <f t="array" aca="1" ref="H246" ca="1">IFERROR(INDEX(ci_leitos_internacao!$C:$C, MATCH(1, (VALUE(LEFT(ci_leitos_internacao!$A:$A,6))=VALUE(LEFT(B246,6)))*(ci_leitos_internacao!$B:$B=C246), 0)), "")</f>
        <v>554</v>
      </c>
      <c r="I246" cm="1">
        <f t="array" aca="1" ref="I246" ca="1">IFERROR(INDEX(ci_hospitais_internacao!$C:$C, MATCH(1, (VALUE(LEFT(ci_hospitais_internacao!$A:$A,6))=VALUE(LEFT(B246,6)))*(ci_hospitais_internacao!$B:$B=C246), 0)), "")</f>
        <v>2</v>
      </c>
      <c r="J246" cm="1">
        <f t="array" aca="1" ref="J246" ca="1">IFERROR(INDEX(ci_pa_clinico!$C:$C, MATCH(1, (VALUE(LEFT(ci_pa_clinico!$A:$A,6))=VALUE(LEFT(B246,6)))*(ci_pa_clinico!$B:$B=C246), 0)), "")</f>
        <v>7</v>
      </c>
      <c r="K246" cm="1">
        <f t="array" aca="1" ref="K246" ca="1">IFERROR(INDEX(aps_equipes_esf!$C:$C, MATCH(1, (VALUE(LEFT(aps_equipes_esf!$A:$A,6))=VALUE(LEFT(B246,6)))*(aps_equipes_esf!$B:$B=C246), 0)), "")</f>
        <v>73</v>
      </c>
      <c r="L246" cm="1">
        <f t="array" aca="1" ref="L246" ca="1">IFERROR(INDEX(casos!$C:$C, MATCH(1, (VALUE(LEFT(casos!$A:$A,6))=VALUE(LEFT(B246,6)))*(casos!$B:$B=C246), 0)), "")</f>
        <v>527</v>
      </c>
      <c r="M246" cm="1">
        <f t="array" ref="M246">IFERROR(INDEX(srag!$D:$D, MATCH(1, (VALUE(LEFT(srag!$A:$A,6))=VALUE(LEFT(B246,6)))*(srag!$C:$C=C246), 0)), "")</f>
        <v>202</v>
      </c>
      <c r="N246" cm="1">
        <f t="array" ref="N246">IFERROR(INDEX(fesp!$E:$E, MATCH(1, (VALUE(LEFT(fesp!$A:$A,6))=VALUE(LEFT(B246,6)))*(fesp!$C:$C=C246), 0)), "")</f>
        <v>93</v>
      </c>
      <c r="O246" cm="1">
        <f t="array" ref="O246">IFERROR(INDEX(fesp!$F:$F, MATCH(1, (VALUE(LEFT(fesp!$A:$A,6))=VALUE(LEFT(B246,6)))*(fesp!$C:$C=C246), 0)), "")</f>
        <v>6519</v>
      </c>
      <c r="P246" cm="1">
        <f t="array" ref="P246">IFERROR(INDEX(fesp!$G:$G, MATCH(1, (VALUE(LEFT(fesp!$A:$A,6))=VALUE(LEFT(B246,6)))*(fesp!$C:$C=C246), 0)), "")</f>
        <v>2293869</v>
      </c>
      <c r="Q246" cm="1">
        <f t="array" ref="Q246">IFERROR(INDEX(fesp!$H:$H, MATCH(1, (VALUE(LEFT(fesp!$A:$A,6))=VALUE(LEFT(B246,6)))*(fesp!$C:$C=C246), 0)), "")</f>
        <v>14</v>
      </c>
      <c r="R246" cm="1">
        <f t="array" ref="R246">IFERROR(INDEX(fesp!$I:$I, MATCH(1, (VALUE(LEFT(fesp!$A:$A,6))=VALUE(LEFT(B246,6)))*(fesp!$C:$C=C246), 0)), "")</f>
        <v>15896</v>
      </c>
      <c r="S246" cm="1">
        <f t="array" ref="S246">IFERROR(INDEX(fesp!$J:$J, MATCH(1, (VALUE(LEFT(fesp!$A:$A,6))=VALUE(LEFT(B246,6)))*(fesp!$C:$C=C246), 0)), "")</f>
        <v>342653</v>
      </c>
    </row>
    <row r="247" spans="1:19">
      <c r="A247" s="1" t="s">
        <v>69</v>
      </c>
      <c r="B247" s="3" t="s">
        <v>68</v>
      </c>
      <c r="C247" s="3">
        <v>2018</v>
      </c>
      <c r="D247" cm="1">
        <f t="array" ref="D247">IFERROR(INDEX(fesp!$D:$D, MATCH(1, (VALUE(LEFT(fesp!$A:$A,6))=VALUE(LEFT(B247,6)))*(fesp!$C:$C=C247), 0)), "")</f>
        <v>0</v>
      </c>
      <c r="E247" cm="1">
        <f t="array" aca="1" ref="E247" ca="1">IFERROR(INDEX(ft_medicos_clinicos!$C:$C, MATCH(1, (VALUE(LEFT(ft_medicos_clinicos!$A:$A,6))=VALUE(LEFT(B247,6)))*(ft_medicos_clinicos!$B:$B=C247), 0)), "")</f>
        <v>351</v>
      </c>
      <c r="F247" cm="1">
        <f t="array" aca="1" ref="F247" ca="1">IFERROR(INDEX(ft_enfermeiros!$C:$C, MATCH(1, (VALUE(LEFT(ft_enfermeiros!$A:$A,6))=VALUE(LEFT(B247,6)))*(ft_enfermeiros!$B:$B=C247), 0)), "")</f>
        <v>340</v>
      </c>
      <c r="G247" t="str" cm="1">
        <f t="array" aca="1" ref="G247" ca="1">IFERROR(INDEX(ft_equipes_acs!$C:$C, MATCH(1, (VALUE(LEFT(ft_equipes_acs!$A:$A,6))=VALUE(LEFT(B247,6)))*(ft_equipes_acs!$B:$B=C247), 0)), "")</f>
        <v/>
      </c>
      <c r="H247" cm="1">
        <f t="array" aca="1" ref="H247" ca="1">IFERROR(INDEX(ci_leitos_internacao!$C:$C, MATCH(1, (VALUE(LEFT(ci_leitos_internacao!$A:$A,6))=VALUE(LEFT(B247,6)))*(ci_leitos_internacao!$B:$B=C247), 0)), "")</f>
        <v>560</v>
      </c>
      <c r="I247" cm="1">
        <f t="array" aca="1" ref="I247" ca="1">IFERROR(INDEX(ci_hospitais_internacao!$C:$C, MATCH(1, (VALUE(LEFT(ci_hospitais_internacao!$A:$A,6))=VALUE(LEFT(B247,6)))*(ci_hospitais_internacao!$B:$B=C247), 0)), "")</f>
        <v>2</v>
      </c>
      <c r="J247" cm="1">
        <f t="array" aca="1" ref="J247" ca="1">IFERROR(INDEX(ci_pa_clinico!$C:$C, MATCH(1, (VALUE(LEFT(ci_pa_clinico!$A:$A,6))=VALUE(LEFT(B247,6)))*(ci_pa_clinico!$B:$B=C247), 0)), "")</f>
        <v>6</v>
      </c>
      <c r="K247" cm="1">
        <f t="array" aca="1" ref="K247" ca="1">IFERROR(INDEX(aps_equipes_esf!$C:$C, MATCH(1, (VALUE(LEFT(aps_equipes_esf!$A:$A,6))=VALUE(LEFT(B247,6)))*(aps_equipes_esf!$B:$B=C247), 0)), "")</f>
        <v>90</v>
      </c>
      <c r="L247" cm="1">
        <f t="array" aca="1" ref="L247" ca="1">IFERROR(INDEX(casos!$C:$C, MATCH(1, (VALUE(LEFT(casos!$A:$A,6))=VALUE(LEFT(B247,6)))*(casos!$B:$B=C247), 0)), "")</f>
        <v>633</v>
      </c>
      <c r="M247" cm="1">
        <f t="array" ref="M247">IFERROR(INDEX(srag!$D:$D, MATCH(1, (VALUE(LEFT(srag!$A:$A,6))=VALUE(LEFT(B247,6)))*(srag!$C:$C=C247), 0)), "")</f>
        <v>156</v>
      </c>
      <c r="N247" cm="1">
        <f t="array" ref="N247">IFERROR(INDEX(fesp!$E:$E, MATCH(1, (VALUE(LEFT(fesp!$A:$A,6))=VALUE(LEFT(B247,6)))*(fesp!$C:$C=C247), 0)), "")</f>
        <v>108</v>
      </c>
      <c r="O247" cm="1">
        <f t="array" ref="O247">IFERROR(INDEX(fesp!$F:$F, MATCH(1, (VALUE(LEFT(fesp!$A:$A,6))=VALUE(LEFT(B247,6)))*(fesp!$C:$C=C247), 0)), "")</f>
        <v>6791</v>
      </c>
      <c r="P247" cm="1">
        <f t="array" ref="P247">IFERROR(INDEX(fesp!$G:$G, MATCH(1, (VALUE(LEFT(fesp!$A:$A,6))=VALUE(LEFT(B247,6)))*(fesp!$C:$C=C247), 0)), "")</f>
        <v>2900678</v>
      </c>
      <c r="Q247" cm="1">
        <f t="array" ref="Q247">IFERROR(INDEX(fesp!$H:$H, MATCH(1, (VALUE(LEFT(fesp!$A:$A,6))=VALUE(LEFT(B247,6)))*(fesp!$C:$C=C247), 0)), "")</f>
        <v>21</v>
      </c>
      <c r="R247" cm="1">
        <f t="array" ref="R247">IFERROR(INDEX(fesp!$I:$I, MATCH(1, (VALUE(LEFT(fesp!$A:$A,6))=VALUE(LEFT(B247,6)))*(fesp!$C:$C=C247), 0)), "")</f>
        <v>5927</v>
      </c>
      <c r="S247" cm="1">
        <f t="array" ref="S247">IFERROR(INDEX(fesp!$J:$J, MATCH(1, (VALUE(LEFT(fesp!$A:$A,6))=VALUE(LEFT(B247,6)))*(fesp!$C:$C=C247), 0)), "")</f>
        <v>73216</v>
      </c>
    </row>
    <row r="248" spans="1:19">
      <c r="A248" s="1" t="s">
        <v>69</v>
      </c>
      <c r="B248" s="3" t="s">
        <v>68</v>
      </c>
      <c r="C248" s="3">
        <v>2019</v>
      </c>
      <c r="D248" cm="1">
        <f t="array" ref="D248">IFERROR(INDEX(fesp!$D:$D, MATCH(1, (VALUE(LEFT(fesp!$A:$A,6))=VALUE(LEFT(B248,6)))*(fesp!$C:$C=C248), 0)), "")</f>
        <v>0</v>
      </c>
      <c r="E248" cm="1">
        <f t="array" aca="1" ref="E248" ca="1">IFERROR(INDEX(ft_medicos_clinicos!$C:$C, MATCH(1, (VALUE(LEFT(ft_medicos_clinicos!$A:$A,6))=VALUE(LEFT(B248,6)))*(ft_medicos_clinicos!$B:$B=C248), 0)), "")</f>
        <v>300</v>
      </c>
      <c r="F248" cm="1">
        <f t="array" aca="1" ref="F248" ca="1">IFERROR(INDEX(ft_enfermeiros!$C:$C, MATCH(1, (VALUE(LEFT(ft_enfermeiros!$A:$A,6))=VALUE(LEFT(B248,6)))*(ft_enfermeiros!$B:$B=C248), 0)), "")</f>
        <v>369</v>
      </c>
      <c r="G248" t="str" cm="1">
        <f t="array" aca="1" ref="G248" ca="1">IFERROR(INDEX(ft_equipes_acs!$C:$C, MATCH(1, (VALUE(LEFT(ft_equipes_acs!$A:$A,6))=VALUE(LEFT(B248,6)))*(ft_equipes_acs!$B:$B=C248), 0)), "")</f>
        <v/>
      </c>
      <c r="H248" cm="1">
        <f t="array" aca="1" ref="H248" ca="1">IFERROR(INDEX(ci_leitos_internacao!$C:$C, MATCH(1, (VALUE(LEFT(ci_leitos_internacao!$A:$A,6))=VALUE(LEFT(B248,6)))*(ci_leitos_internacao!$B:$B=C248), 0)), "")</f>
        <v>551</v>
      </c>
      <c r="I248" cm="1">
        <f t="array" aca="1" ref="I248" ca="1">IFERROR(INDEX(ci_hospitais_internacao!$C:$C, MATCH(1, (VALUE(LEFT(ci_hospitais_internacao!$A:$A,6))=VALUE(LEFT(B248,6)))*(ci_hospitais_internacao!$B:$B=C248), 0)), "")</f>
        <v>2</v>
      </c>
      <c r="J248" cm="1">
        <f t="array" aca="1" ref="J248" ca="1">IFERROR(INDEX(ci_pa_clinico!$C:$C, MATCH(1, (VALUE(LEFT(ci_pa_clinico!$A:$A,6))=VALUE(LEFT(B248,6)))*(ci_pa_clinico!$B:$B=C248), 0)), "")</f>
        <v>6</v>
      </c>
      <c r="K248" cm="1">
        <f t="array" aca="1" ref="K248" ca="1">IFERROR(INDEX(aps_equipes_esf!$C:$C, MATCH(1, (VALUE(LEFT(aps_equipes_esf!$A:$A,6))=VALUE(LEFT(B248,6)))*(aps_equipes_esf!$B:$B=C248), 0)), "")</f>
        <v>91</v>
      </c>
      <c r="L248" cm="1">
        <f t="array" aca="1" ref="L248" ca="1">IFERROR(INDEX(casos!$C:$C, MATCH(1, (VALUE(LEFT(casos!$A:$A,6))=VALUE(LEFT(B248,6)))*(casos!$B:$B=C248), 0)), "")</f>
        <v>45068</v>
      </c>
      <c r="M248" cm="1">
        <f t="array" ref="M248">IFERROR(INDEX(srag!$D:$D, MATCH(1, (VALUE(LEFT(srag!$A:$A,6))=VALUE(LEFT(B248,6)))*(srag!$C:$C=C248), 0)), "")</f>
        <v>183</v>
      </c>
      <c r="N248" cm="1">
        <f t="array" ref="N248">IFERROR(INDEX(fesp!$E:$E, MATCH(1, (VALUE(LEFT(fesp!$A:$A,6))=VALUE(LEFT(B248,6)))*(fesp!$C:$C=C248), 0)), "")</f>
        <v>120</v>
      </c>
      <c r="O248" cm="1">
        <f t="array" ref="O248">IFERROR(INDEX(fesp!$F:$F, MATCH(1, (VALUE(LEFT(fesp!$A:$A,6))=VALUE(LEFT(B248,6)))*(fesp!$C:$C=C248), 0)), "")</f>
        <v>5821</v>
      </c>
      <c r="P248" cm="1">
        <f t="array" ref="P248">IFERROR(INDEX(fesp!$G:$G, MATCH(1, (VALUE(LEFT(fesp!$A:$A,6))=VALUE(LEFT(B248,6)))*(fesp!$C:$C=C248), 0)), "")</f>
        <v>2700512</v>
      </c>
      <c r="Q248" cm="1">
        <f t="array" ref="Q248">IFERROR(INDEX(fesp!$H:$H, MATCH(1, (VALUE(LEFT(fesp!$A:$A,6))=VALUE(LEFT(B248,6)))*(fesp!$C:$C=C248), 0)), "")</f>
        <v>36</v>
      </c>
      <c r="R248" cm="1">
        <f t="array" ref="R248">IFERROR(INDEX(fesp!$I:$I, MATCH(1, (VALUE(LEFT(fesp!$A:$A,6))=VALUE(LEFT(B248,6)))*(fesp!$C:$C=C248), 0)), "")</f>
        <v>2301</v>
      </c>
      <c r="S248" cm="1">
        <f t="array" ref="S248">IFERROR(INDEX(fesp!$J:$J, MATCH(1, (VALUE(LEFT(fesp!$A:$A,6))=VALUE(LEFT(B248,6)))*(fesp!$C:$C=C248), 0)), "")</f>
        <v>424</v>
      </c>
    </row>
    <row r="249" spans="1:19">
      <c r="A249" s="1" t="s">
        <v>69</v>
      </c>
      <c r="B249" s="3" t="s">
        <v>68</v>
      </c>
      <c r="C249" s="3">
        <v>2020</v>
      </c>
      <c r="D249" cm="1">
        <f t="array" ref="D249">IFERROR(INDEX(fesp!$D:$D, MATCH(1, (VALUE(LEFT(fesp!$A:$A,6))=VALUE(LEFT(B249,6)))*(fesp!$C:$C=C249), 0)), "")</f>
        <v>0</v>
      </c>
      <c r="E249" cm="1">
        <f t="array" aca="1" ref="E249" ca="1">IFERROR(INDEX(ft_medicos_clinicos!$C:$C, MATCH(1, (VALUE(LEFT(ft_medicos_clinicos!$A:$A,6))=VALUE(LEFT(B249,6)))*(ft_medicos_clinicos!$B:$B=C249), 0)), "")</f>
        <v>272</v>
      </c>
      <c r="F249" cm="1">
        <f t="array" aca="1" ref="F249" ca="1">IFERROR(INDEX(ft_enfermeiros!$C:$C, MATCH(1, (VALUE(LEFT(ft_enfermeiros!$A:$A,6))=VALUE(LEFT(B249,6)))*(ft_enfermeiros!$B:$B=C249), 0)), "")</f>
        <v>415</v>
      </c>
      <c r="G249" t="str" cm="1">
        <f t="array" aca="1" ref="G249" ca="1">IFERROR(INDEX(ft_equipes_acs!$C:$C, MATCH(1, (VALUE(LEFT(ft_equipes_acs!$A:$A,6))=VALUE(LEFT(B249,6)))*(ft_equipes_acs!$B:$B=C249), 0)), "")</f>
        <v/>
      </c>
      <c r="H249" cm="1">
        <f t="array" aca="1" ref="H249" ca="1">IFERROR(INDEX(ci_leitos_internacao!$C:$C, MATCH(1, (VALUE(LEFT(ci_leitos_internacao!$A:$A,6))=VALUE(LEFT(B249,6)))*(ci_leitos_internacao!$B:$B=C249), 0)), "")</f>
        <v>539</v>
      </c>
      <c r="I249" cm="1">
        <f t="array" aca="1" ref="I249" ca="1">IFERROR(INDEX(ci_hospitais_internacao!$C:$C, MATCH(1, (VALUE(LEFT(ci_hospitais_internacao!$A:$A,6))=VALUE(LEFT(B249,6)))*(ci_hospitais_internacao!$B:$B=C249), 0)), "")</f>
        <v>2</v>
      </c>
      <c r="J249" cm="1">
        <f t="array" aca="1" ref="J249" ca="1">IFERROR(INDEX(ci_pa_clinico!$C:$C, MATCH(1, (VALUE(LEFT(ci_pa_clinico!$A:$A,6))=VALUE(LEFT(B249,6)))*(ci_pa_clinico!$B:$B=C249), 0)), "")</f>
        <v>7</v>
      </c>
      <c r="K249" t="str" cm="1">
        <f t="array" aca="1" ref="K249" ca="1">IFERROR(INDEX(aps_equipes_esf!$C:$C, MATCH(1, (VALUE(LEFT(aps_equipes_esf!$A:$A,6))=VALUE(LEFT(B249,6)))*(aps_equipes_esf!$B:$B=C249), 0)), "")</f>
        <v>-</v>
      </c>
      <c r="L249" cm="1">
        <f t="array" aca="1" ref="L249" ca="1">IFERROR(INDEX(casos!$C:$C, MATCH(1, (VALUE(LEFT(casos!$A:$A,6))=VALUE(LEFT(B249,6)))*(casos!$B:$B=C249), 0)), "")</f>
        <v>1603</v>
      </c>
      <c r="M249" cm="1">
        <f t="array" ref="M249">IFERROR(INDEX(srag!$D:$D, MATCH(1, (VALUE(LEFT(srag!$A:$A,6))=VALUE(LEFT(B249,6)))*(srag!$C:$C=C249), 0)), "")</f>
        <v>4712</v>
      </c>
      <c r="N249" cm="1">
        <f t="array" ref="N249">IFERROR(INDEX(fesp!$E:$E, MATCH(1, (VALUE(LEFT(fesp!$A:$A,6))=VALUE(LEFT(B249,6)))*(fesp!$C:$C=C249), 0)), "")</f>
        <v>129</v>
      </c>
      <c r="O249" cm="1">
        <f t="array" ref="O249">IFERROR(INDEX(fesp!$F:$F, MATCH(1, (VALUE(LEFT(fesp!$A:$A,6))=VALUE(LEFT(B249,6)))*(fesp!$C:$C=C249), 0)), "")</f>
        <v>2590</v>
      </c>
      <c r="P249" cm="1">
        <f t="array" ref="P249">IFERROR(INDEX(fesp!$G:$G, MATCH(1, (VALUE(LEFT(fesp!$A:$A,6))=VALUE(LEFT(B249,6)))*(fesp!$C:$C=C249), 0)), "")</f>
        <v>2104146</v>
      </c>
      <c r="Q249" cm="1">
        <f t="array" ref="Q249">IFERROR(INDEX(fesp!$H:$H, MATCH(1, (VALUE(LEFT(fesp!$A:$A,6))=VALUE(LEFT(B249,6)))*(fesp!$C:$C=C249), 0)), "")</f>
        <v>36</v>
      </c>
      <c r="R249" cm="1">
        <f t="array" ref="R249">IFERROR(INDEX(fesp!$I:$I, MATCH(1, (VALUE(LEFT(fesp!$A:$A,6))=VALUE(LEFT(B249,6)))*(fesp!$C:$C=C249), 0)), "")</f>
        <v>1053</v>
      </c>
      <c r="S249" cm="1">
        <f t="array" ref="S249">IFERROR(INDEX(fesp!$J:$J, MATCH(1, (VALUE(LEFT(fesp!$A:$A,6))=VALUE(LEFT(B249,6)))*(fesp!$C:$C=C249), 0)), "")</f>
        <v>9</v>
      </c>
    </row>
    <row r="250" spans="1:19">
      <c r="A250" s="1" t="s">
        <v>69</v>
      </c>
      <c r="B250" s="3" t="s">
        <v>68</v>
      </c>
      <c r="C250" s="3">
        <v>2021</v>
      </c>
      <c r="D250" cm="1">
        <f t="array" ref="D250">IFERROR(INDEX(fesp!$D:$D, MATCH(1, (VALUE(LEFT(fesp!$A:$A,6))=VALUE(LEFT(B250,6)))*(fesp!$C:$C=C250), 0)), "")</f>
        <v>0</v>
      </c>
      <c r="E250" cm="1">
        <f t="array" aca="1" ref="E250" ca="1">IFERROR(INDEX(ft_medicos_clinicos!$C:$C, MATCH(1, (VALUE(LEFT(ft_medicos_clinicos!$A:$A,6))=VALUE(LEFT(B250,6)))*(ft_medicos_clinicos!$B:$B=C250), 0)), "")</f>
        <v>301</v>
      </c>
      <c r="F250" cm="1">
        <f t="array" aca="1" ref="F250" ca="1">IFERROR(INDEX(ft_enfermeiros!$C:$C, MATCH(1, (VALUE(LEFT(ft_enfermeiros!$A:$A,6))=VALUE(LEFT(B250,6)))*(ft_enfermeiros!$B:$B=C250), 0)), "")</f>
        <v>609</v>
      </c>
      <c r="G250" t="str" cm="1">
        <f t="array" aca="1" ref="G250" ca="1">IFERROR(INDEX(ft_equipes_acs!$C:$C, MATCH(1, (VALUE(LEFT(ft_equipes_acs!$A:$A,6))=VALUE(LEFT(B250,6)))*(ft_equipes_acs!$B:$B=C250), 0)), "")</f>
        <v/>
      </c>
      <c r="H250" cm="1">
        <f t="array" aca="1" ref="H250" ca="1">IFERROR(INDEX(ci_leitos_internacao!$C:$C, MATCH(1, (VALUE(LEFT(ci_leitos_internacao!$A:$A,6))=VALUE(LEFT(B250,6)))*(ci_leitos_internacao!$B:$B=C250), 0)), "")</f>
        <v>585</v>
      </c>
      <c r="I250" cm="1">
        <f t="array" aca="1" ref="I250" ca="1">IFERROR(INDEX(ci_hospitais_internacao!$C:$C, MATCH(1, (VALUE(LEFT(ci_hospitais_internacao!$A:$A,6))=VALUE(LEFT(B250,6)))*(ci_hospitais_internacao!$B:$B=C250), 0)), "")</f>
        <v>2</v>
      </c>
      <c r="J250" cm="1">
        <f t="array" aca="1" ref="J250" ca="1">IFERROR(INDEX(ci_pa_clinico!$C:$C, MATCH(1, (VALUE(LEFT(ci_pa_clinico!$A:$A,6))=VALUE(LEFT(B250,6)))*(ci_pa_clinico!$B:$B=C250), 0)), "")</f>
        <v>7</v>
      </c>
      <c r="K250" t="str" cm="1">
        <f t="array" aca="1" ref="K250" ca="1">IFERROR(INDEX(aps_equipes_esf!$C:$C, MATCH(1, (VALUE(LEFT(aps_equipes_esf!$A:$A,6))=VALUE(LEFT(B250,6)))*(aps_equipes_esf!$B:$B=C250), 0)), "")</f>
        <v>-</v>
      </c>
      <c r="L250" cm="1">
        <f t="array" aca="1" ref="L250" ca="1">IFERROR(INDEX(casos!$C:$C, MATCH(1, (VALUE(LEFT(casos!$A:$A,6))=VALUE(LEFT(B250,6)))*(casos!$B:$B=C250), 0)), "")</f>
        <v>333</v>
      </c>
      <c r="M250" cm="1">
        <f t="array" ref="M250">IFERROR(INDEX(srag!$D:$D, MATCH(1, (VALUE(LEFT(srag!$A:$A,6))=VALUE(LEFT(B250,6)))*(srag!$C:$C=C250), 0)), "")</f>
        <v>7848</v>
      </c>
      <c r="N250" cm="1">
        <f t="array" ref="N250">IFERROR(INDEX(fesp!$E:$E, MATCH(1, (VALUE(LEFT(fesp!$A:$A,6))=VALUE(LEFT(B250,6)))*(fesp!$C:$C=C250), 0)), "")</f>
        <v>121</v>
      </c>
      <c r="O250" cm="1">
        <f t="array" ref="O250">IFERROR(INDEX(fesp!$F:$F, MATCH(1, (VALUE(LEFT(fesp!$A:$A,6))=VALUE(LEFT(B250,6)))*(fesp!$C:$C=C250), 0)), "")</f>
        <v>5195</v>
      </c>
      <c r="P250" cm="1">
        <f t="array" ref="P250">IFERROR(INDEX(fesp!$G:$G, MATCH(1, (VALUE(LEFT(fesp!$A:$A,6))=VALUE(LEFT(B250,6)))*(fesp!$C:$C=C250), 0)), "")</f>
        <v>2446553</v>
      </c>
      <c r="Q250" cm="1">
        <f t="array" ref="Q250">IFERROR(INDEX(fesp!$H:$H, MATCH(1, (VALUE(LEFT(fesp!$A:$A,6))=VALUE(LEFT(B250,6)))*(fesp!$C:$C=C250), 0)), "")</f>
        <v>24</v>
      </c>
      <c r="R250" cm="1">
        <f t="array" ref="R250">IFERROR(INDEX(fesp!$I:$I, MATCH(1, (VALUE(LEFT(fesp!$A:$A,6))=VALUE(LEFT(B250,6)))*(fesp!$C:$C=C250), 0)), "")</f>
        <v>1192</v>
      </c>
      <c r="S250" cm="1">
        <f t="array" ref="S250">IFERROR(INDEX(fesp!$J:$J, MATCH(1, (VALUE(LEFT(fesp!$A:$A,6))=VALUE(LEFT(B250,6)))*(fesp!$C:$C=C250), 0)), "")</f>
        <v>0</v>
      </c>
    </row>
    <row r="251" spans="1:19">
      <c r="A251" s="1" t="s">
        <v>69</v>
      </c>
      <c r="B251" s="3" t="s">
        <v>68</v>
      </c>
      <c r="C251" s="3">
        <v>2022</v>
      </c>
      <c r="D251" cm="1">
        <f t="array" ref="D251">IFERROR(INDEX(fesp!$D:$D, MATCH(1, (VALUE(LEFT(fesp!$A:$A,6))=VALUE(LEFT(B251,6)))*(fesp!$C:$C=C251), 0)), "")</f>
        <v>621863</v>
      </c>
      <c r="E251" cm="1">
        <f t="array" aca="1" ref="E251" ca="1">IFERROR(INDEX(ft_medicos_clinicos!$C:$C, MATCH(1, (VALUE(LEFT(ft_medicos_clinicos!$A:$A,6))=VALUE(LEFT(B251,6)))*(ft_medicos_clinicos!$B:$B=C251), 0)), "")</f>
        <v>333</v>
      </c>
      <c r="F251" cm="1">
        <f t="array" aca="1" ref="F251" ca="1">IFERROR(INDEX(ft_enfermeiros!$C:$C, MATCH(1, (VALUE(LEFT(ft_enfermeiros!$A:$A,6))=VALUE(LEFT(B251,6)))*(ft_enfermeiros!$B:$B=C251), 0)), "")</f>
        <v>514</v>
      </c>
      <c r="G251" t="str" cm="1">
        <f t="array" aca="1" ref="G251" ca="1">IFERROR(INDEX(ft_equipes_acs!$C:$C, MATCH(1, (VALUE(LEFT(ft_equipes_acs!$A:$A,6))=VALUE(LEFT(B251,6)))*(ft_equipes_acs!$B:$B=C251), 0)), "")</f>
        <v/>
      </c>
      <c r="H251" cm="1">
        <f t="array" aca="1" ref="H251" ca="1">IFERROR(INDEX(ci_leitos_internacao!$C:$C, MATCH(1, (VALUE(LEFT(ci_leitos_internacao!$A:$A,6))=VALUE(LEFT(B251,6)))*(ci_leitos_internacao!$B:$B=C251), 0)), "")</f>
        <v>640</v>
      </c>
      <c r="I251" cm="1">
        <f t="array" aca="1" ref="I251" ca="1">IFERROR(INDEX(ci_hospitais_internacao!$C:$C, MATCH(1, (VALUE(LEFT(ci_hospitais_internacao!$A:$A,6))=VALUE(LEFT(B251,6)))*(ci_hospitais_internacao!$B:$B=C251), 0)), "")</f>
        <v>4</v>
      </c>
      <c r="J251" cm="1">
        <f t="array" aca="1" ref="J251" ca="1">IFERROR(INDEX(ci_pa_clinico!$C:$C, MATCH(1, (VALUE(LEFT(ci_pa_clinico!$A:$A,6))=VALUE(LEFT(B251,6)))*(ci_pa_clinico!$B:$B=C251), 0)), "")</f>
        <v>7</v>
      </c>
      <c r="K251" t="str" cm="1">
        <f t="array" aca="1" ref="K251" ca="1">IFERROR(INDEX(aps_equipes_esf!$C:$C, MATCH(1, (VALUE(LEFT(aps_equipes_esf!$A:$A,6))=VALUE(LEFT(B251,6)))*(aps_equipes_esf!$B:$B=C251), 0)), "")</f>
        <v>-</v>
      </c>
      <c r="L251" cm="1">
        <f t="array" aca="1" ref="L251" ca="1">IFERROR(INDEX(casos!$C:$C, MATCH(1, (VALUE(LEFT(casos!$A:$A,6))=VALUE(LEFT(B251,6)))*(casos!$B:$B=C251), 0)), "")</f>
        <v>436</v>
      </c>
      <c r="M251" cm="1">
        <f t="array" ref="M251">IFERROR(INDEX(srag!$D:$D, MATCH(1, (VALUE(LEFT(srag!$A:$A,6))=VALUE(LEFT(B251,6)))*(srag!$C:$C=C251), 0)), "")</f>
        <v>3867</v>
      </c>
      <c r="N251" cm="1">
        <f t="array" ref="N251">IFERROR(INDEX(fesp!$E:$E, MATCH(1, (VALUE(LEFT(fesp!$A:$A,6))=VALUE(LEFT(B251,6)))*(fesp!$C:$C=C251), 0)), "")</f>
        <v>156</v>
      </c>
      <c r="O251" cm="1">
        <f t="array" ref="O251">IFERROR(INDEX(fesp!$F:$F, MATCH(1, (VALUE(LEFT(fesp!$A:$A,6))=VALUE(LEFT(B251,6)))*(fesp!$C:$C=C251), 0)), "")</f>
        <v>5894</v>
      </c>
      <c r="P251" cm="1">
        <f t="array" ref="P251">IFERROR(INDEX(fesp!$G:$G, MATCH(1, (VALUE(LEFT(fesp!$A:$A,6))=VALUE(LEFT(B251,6)))*(fesp!$C:$C=C251), 0)), "")</f>
        <v>2929048</v>
      </c>
      <c r="Q251" cm="1">
        <f t="array" ref="Q251">IFERROR(INDEX(fesp!$H:$H, MATCH(1, (VALUE(LEFT(fesp!$A:$A,6))=VALUE(LEFT(B251,6)))*(fesp!$C:$C=C251), 0)), "")</f>
        <v>20</v>
      </c>
      <c r="R251" cm="1">
        <f t="array" ref="R251">IFERROR(INDEX(fesp!$I:$I, MATCH(1, (VALUE(LEFT(fesp!$A:$A,6))=VALUE(LEFT(B251,6)))*(fesp!$C:$C=C251), 0)), "")</f>
        <v>1314</v>
      </c>
      <c r="S251" cm="1">
        <f t="array" ref="S251">IFERROR(INDEX(fesp!$J:$J, MATCH(1, (VALUE(LEFT(fesp!$A:$A,6))=VALUE(LEFT(B251,6)))*(fesp!$C:$C=C251), 0)), "")</f>
        <v>1090</v>
      </c>
    </row>
    <row r="252" spans="1:19">
      <c r="A252" s="1" t="s">
        <v>69</v>
      </c>
      <c r="B252" s="3" t="s">
        <v>68</v>
      </c>
      <c r="C252" s="3">
        <v>2023</v>
      </c>
      <c r="D252" cm="1">
        <f t="array" ref="D252">IFERROR(INDEX(fesp!$D:$D, MATCH(1, (VALUE(LEFT(fesp!$A:$A,6))=VALUE(LEFT(B252,6)))*(fesp!$C:$C=C252), 0)), "")</f>
        <v>0</v>
      </c>
      <c r="E252" cm="1">
        <f t="array" aca="1" ref="E252" ca="1">IFERROR(INDEX(ft_medicos_clinicos!$C:$C, MATCH(1, (VALUE(LEFT(ft_medicos_clinicos!$A:$A,6))=VALUE(LEFT(B252,6)))*(ft_medicos_clinicos!$B:$B=C252), 0)), "")</f>
        <v>365</v>
      </c>
      <c r="F252" cm="1">
        <f t="array" aca="1" ref="F252" ca="1">IFERROR(INDEX(ft_enfermeiros!$C:$C, MATCH(1, (VALUE(LEFT(ft_enfermeiros!$A:$A,6))=VALUE(LEFT(B252,6)))*(ft_enfermeiros!$B:$B=C252), 0)), "")</f>
        <v>554</v>
      </c>
      <c r="G252" t="str" cm="1">
        <f t="array" aca="1" ref="G252" ca="1">IFERROR(INDEX(ft_equipes_acs!$C:$C, MATCH(1, (VALUE(LEFT(ft_equipes_acs!$A:$A,6))=VALUE(LEFT(B252,6)))*(ft_equipes_acs!$B:$B=C252), 0)), "")</f>
        <v/>
      </c>
      <c r="H252" cm="1">
        <f t="array" aca="1" ref="H252" ca="1">IFERROR(INDEX(ci_leitos_internacao!$C:$C, MATCH(1, (VALUE(LEFT(ci_leitos_internacao!$A:$A,6))=VALUE(LEFT(B252,6)))*(ci_leitos_internacao!$B:$B=C252), 0)), "")</f>
        <v>622</v>
      </c>
      <c r="I252" cm="1">
        <f t="array" aca="1" ref="I252" ca="1">IFERROR(INDEX(ci_hospitais_internacao!$C:$C, MATCH(1, (VALUE(LEFT(ci_hospitais_internacao!$A:$A,6))=VALUE(LEFT(B252,6)))*(ci_hospitais_internacao!$B:$B=C252), 0)), "")</f>
        <v>3</v>
      </c>
      <c r="J252" cm="1">
        <f t="array" aca="1" ref="J252" ca="1">IFERROR(INDEX(ci_pa_clinico!$C:$C, MATCH(1, (VALUE(LEFT(ci_pa_clinico!$A:$A,6))=VALUE(LEFT(B252,6)))*(ci_pa_clinico!$B:$B=C252), 0)), "")</f>
        <v>7</v>
      </c>
      <c r="K252" t="str" cm="1">
        <f t="array" aca="1" ref="K252" ca="1">IFERROR(INDEX(aps_equipes_esf!$C:$C, MATCH(1, (VALUE(LEFT(aps_equipes_esf!$A:$A,6))=VALUE(LEFT(B252,6)))*(aps_equipes_esf!$B:$B=C252), 0)), "")</f>
        <v>-</v>
      </c>
      <c r="L252" cm="1">
        <f t="array" aca="1" ref="L252" ca="1">IFERROR(INDEX(casos!$C:$C, MATCH(1, (VALUE(LEFT(casos!$A:$A,6))=VALUE(LEFT(B252,6)))*(casos!$B:$B=C252), 0)), "")</f>
        <v>6516</v>
      </c>
      <c r="M252" cm="1">
        <f t="array" ref="M252">IFERROR(INDEX(srag!$D:$D, MATCH(1, (VALUE(LEFT(srag!$A:$A,6))=VALUE(LEFT(B252,6)))*(srag!$C:$C=C252), 0)), "")</f>
        <v>1950</v>
      </c>
      <c r="N252" cm="1">
        <f t="array" ref="N252">IFERROR(INDEX(fesp!$E:$E, MATCH(1, (VALUE(LEFT(fesp!$A:$A,6))=VALUE(LEFT(B252,6)))*(fesp!$C:$C=C252), 0)), "")</f>
        <v>119</v>
      </c>
      <c r="O252" cm="1">
        <f t="array" ref="O252">IFERROR(INDEX(fesp!$F:$F, MATCH(1, (VALUE(LEFT(fesp!$A:$A,6))=VALUE(LEFT(B252,6)))*(fesp!$C:$C=C252), 0)), "")</f>
        <v>5770</v>
      </c>
      <c r="P252" cm="1">
        <f t="array" ref="P252">IFERROR(INDEX(fesp!$G:$G, MATCH(1, (VALUE(LEFT(fesp!$A:$A,6))=VALUE(LEFT(B252,6)))*(fesp!$C:$C=C252), 0)), "")</f>
        <v>2729537</v>
      </c>
      <c r="Q252" cm="1">
        <f t="array" ref="Q252">IFERROR(INDEX(fesp!$H:$H, MATCH(1, (VALUE(LEFT(fesp!$A:$A,6))=VALUE(LEFT(B252,6)))*(fesp!$C:$C=C252), 0)), "")</f>
        <v>23</v>
      </c>
      <c r="R252" cm="1">
        <f t="array" ref="R252">IFERROR(INDEX(fesp!$I:$I, MATCH(1, (VALUE(LEFT(fesp!$A:$A,6))=VALUE(LEFT(B252,6)))*(fesp!$C:$C=C252), 0)), "")</f>
        <v>0</v>
      </c>
      <c r="S252" cm="1">
        <f t="array" ref="S252">IFERROR(INDEX(fesp!$J:$J, MATCH(1, (VALUE(LEFT(fesp!$A:$A,6))=VALUE(LEFT(B252,6)))*(fesp!$C:$C=C252), 0)), "")</f>
        <v>125</v>
      </c>
    </row>
    <row r="253" spans="1:19">
      <c r="A253" s="1" t="s">
        <v>69</v>
      </c>
      <c r="B253" s="3" t="s">
        <v>68</v>
      </c>
      <c r="C253" s="3">
        <v>2024</v>
      </c>
      <c r="D253" cm="1">
        <f t="array" ref="D253">IFERROR(INDEX(fesp!$D:$D, MATCH(1, (VALUE(LEFT(fesp!$A:$A,6))=VALUE(LEFT(B253,6)))*(fesp!$C:$C=C253), 0)), "")</f>
        <v>0</v>
      </c>
      <c r="E253" cm="1">
        <f t="array" aca="1" ref="E253" ca="1">IFERROR(INDEX(ft_medicos_clinicos!$C:$C, MATCH(1, (VALUE(LEFT(ft_medicos_clinicos!$A:$A,6))=VALUE(LEFT(B253,6)))*(ft_medicos_clinicos!$B:$B=C253), 0)), "")</f>
        <v>349</v>
      </c>
      <c r="F253" cm="1">
        <f t="array" aca="1" ref="F253" ca="1">IFERROR(INDEX(ft_enfermeiros!$C:$C, MATCH(1, (VALUE(LEFT(ft_enfermeiros!$A:$A,6))=VALUE(LEFT(B253,6)))*(ft_enfermeiros!$B:$B=C253), 0)), "")</f>
        <v>596</v>
      </c>
      <c r="G253" t="str" cm="1">
        <f t="array" aca="1" ref="G253" ca="1">IFERROR(INDEX(ft_equipes_acs!$C:$C, MATCH(1, (VALUE(LEFT(ft_equipes_acs!$A:$A,6))=VALUE(LEFT(B253,6)))*(ft_equipes_acs!$B:$B=C253), 0)), "")</f>
        <v/>
      </c>
      <c r="H253" cm="1">
        <f t="array" aca="1" ref="H253" ca="1">IFERROR(INDEX(ci_leitos_internacao!$C:$C, MATCH(1, (VALUE(LEFT(ci_leitos_internacao!$A:$A,6))=VALUE(LEFT(B253,6)))*(ci_leitos_internacao!$B:$B=C253), 0)), "")</f>
        <v>541</v>
      </c>
      <c r="I253" cm="1">
        <f t="array" aca="1" ref="I253" ca="1">IFERROR(INDEX(ci_hospitais_internacao!$C:$C, MATCH(1, (VALUE(LEFT(ci_hospitais_internacao!$A:$A,6))=VALUE(LEFT(B253,6)))*(ci_hospitais_internacao!$B:$B=C253), 0)), "")</f>
        <v>3</v>
      </c>
      <c r="J253" cm="1">
        <f t="array" aca="1" ref="J253" ca="1">IFERROR(INDEX(ci_pa_clinico!$C:$C, MATCH(1, (VALUE(LEFT(ci_pa_clinico!$A:$A,6))=VALUE(LEFT(B253,6)))*(ci_pa_clinico!$B:$B=C253), 0)), "")</f>
        <v>8</v>
      </c>
      <c r="K253" t="str" cm="1">
        <f t="array" aca="1" ref="K253" ca="1">IFERROR(INDEX(aps_equipes_esf!$C:$C, MATCH(1, (VALUE(LEFT(aps_equipes_esf!$A:$A,6))=VALUE(LEFT(B253,6)))*(aps_equipes_esf!$B:$B=C253), 0)), "")</f>
        <v>-</v>
      </c>
      <c r="L253" cm="1">
        <f t="array" aca="1" ref="L253" ca="1">IFERROR(INDEX(casos!$C:$C, MATCH(1, (VALUE(LEFT(casos!$A:$A,6))=VALUE(LEFT(B253,6)))*(casos!$B:$B=C253), 0)), "")</f>
        <v>70965</v>
      </c>
      <c r="M253" cm="1">
        <f t="array" ref="M253">IFERROR(INDEX(srag!$D:$D, MATCH(1, (VALUE(LEFT(srag!$A:$A,6))=VALUE(LEFT(B253,6)))*(srag!$C:$C=C253), 0)), "")</f>
        <v>1555</v>
      </c>
      <c r="N253" cm="1">
        <f t="array" ref="N253">IFERROR(INDEX(fesp!$E:$E, MATCH(1, (VALUE(LEFT(fesp!$A:$A,6))=VALUE(LEFT(B253,6)))*(fesp!$C:$C=C253), 0)), "")</f>
        <v>111</v>
      </c>
      <c r="O253" cm="1">
        <f t="array" ref="O253">IFERROR(INDEX(fesp!$F:$F, MATCH(1, (VALUE(LEFT(fesp!$A:$A,6))=VALUE(LEFT(B253,6)))*(fesp!$C:$C=C253), 0)), "")</f>
        <v>7205</v>
      </c>
      <c r="P253" cm="1">
        <f t="array" ref="P253">IFERROR(INDEX(fesp!$G:$G, MATCH(1, (VALUE(LEFT(fesp!$A:$A,6))=VALUE(LEFT(B253,6)))*(fesp!$C:$C=C253), 0)), "")</f>
        <v>3171042</v>
      </c>
      <c r="Q253" cm="1">
        <f t="array" ref="Q253">IFERROR(INDEX(fesp!$H:$H, MATCH(1, (VALUE(LEFT(fesp!$A:$A,6))=VALUE(LEFT(B253,6)))*(fesp!$C:$C=C253), 0)), "")</f>
        <v>24</v>
      </c>
      <c r="R253" cm="1">
        <f t="array" ref="R253">IFERROR(INDEX(fesp!$I:$I, MATCH(1, (VALUE(LEFT(fesp!$A:$A,6))=VALUE(LEFT(B253,6)))*(fesp!$C:$C=C253), 0)), "")</f>
        <v>0</v>
      </c>
      <c r="S253" cm="1">
        <f t="array" ref="S253">IFERROR(INDEX(fesp!$J:$J, MATCH(1, (VALUE(LEFT(fesp!$A:$A,6))=VALUE(LEFT(B253,6)))*(fesp!$C:$C=C253), 0)), "")</f>
        <v>7</v>
      </c>
    </row>
    <row r="254" spans="1:19">
      <c r="A254" s="1" t="s">
        <v>69</v>
      </c>
      <c r="B254" s="3">
        <v>3118601</v>
      </c>
      <c r="C254" s="3">
        <v>2025</v>
      </c>
      <c r="D254" cm="1">
        <f t="array" ref="D254">IFERROR(INDEX(fesp!$D:$D, MATCH(1, (VALUE(LEFT(fesp!$A:$A,6))=VALUE(LEFT(B254,6)))*(fesp!$C:$C=C254), 0)), "")</f>
        <v>0</v>
      </c>
      <c r="E254" cm="1">
        <f t="array" aca="1" ref="E254" ca="1">IFERROR(INDEX(ft_medicos_clinicos!$C:$C, MATCH(1, (VALUE(LEFT(ft_medicos_clinicos!$A:$A,6))=VALUE(LEFT(B254,6)))*(ft_medicos_clinicos!$B:$B=C254), 0)), "")</f>
        <v>328</v>
      </c>
      <c r="F254" cm="1">
        <f t="array" aca="1" ref="F254" ca="1">IFERROR(INDEX(ft_enfermeiros!$C:$C, MATCH(1, (VALUE(LEFT(ft_enfermeiros!$A:$A,6))=VALUE(LEFT(B254,6)))*(ft_enfermeiros!$B:$B=C254), 0)), "")</f>
        <v>553</v>
      </c>
      <c r="G254" t="str" cm="1">
        <f t="array" aca="1" ref="G254" ca="1">IFERROR(INDEX(ft_equipes_acs!$C:$C, MATCH(1, (VALUE(LEFT(ft_equipes_acs!$A:$A,6))=VALUE(LEFT(B254,6)))*(ft_equipes_acs!$B:$B=C254), 0)), "")</f>
        <v/>
      </c>
      <c r="H254" cm="1">
        <f t="array" aca="1" ref="H254" ca="1">IFERROR(INDEX(ci_leitos_internacao!$C:$C, MATCH(1, (VALUE(LEFT(ci_leitos_internacao!$A:$A,6))=VALUE(LEFT(B254,6)))*(ci_leitos_internacao!$B:$B=C254), 0)), "")</f>
        <v>553</v>
      </c>
      <c r="I254" cm="1">
        <f t="array" aca="1" ref="I254" ca="1">IFERROR(INDEX(ci_hospitais_internacao!$C:$C, MATCH(1, (VALUE(LEFT(ci_hospitais_internacao!$A:$A,6))=VALUE(LEFT(B254,6)))*(ci_hospitais_internacao!$B:$B=C254), 0)), "")</f>
        <v>3</v>
      </c>
      <c r="J254" cm="1">
        <f t="array" aca="1" ref="J254" ca="1">IFERROR(INDEX(ci_pa_clinico!$C:$C, MATCH(1, (VALUE(LEFT(ci_pa_clinico!$A:$A,6))=VALUE(LEFT(B254,6)))*(ci_pa_clinico!$B:$B=C254), 0)), "")</f>
        <v>8</v>
      </c>
      <c r="K254" t="str" cm="1">
        <f t="array" aca="1" ref="K254" ca="1">IFERROR(INDEX(aps_equipes_esf!$C:$C, MATCH(1, (VALUE(LEFT(aps_equipes_esf!$A:$A,6))=VALUE(LEFT(B254,6)))*(aps_equipes_esf!$B:$B=C254), 0)), "")</f>
        <v>-</v>
      </c>
      <c r="L254" cm="1">
        <f t="array" aca="1" ref="L254" ca="1">IFERROR(INDEX(casos!$C:$C, MATCH(1, (VALUE(LEFT(casos!$A:$A,6))=VALUE(LEFT(B254,6)))*(casos!$B:$B=C254), 0)), "")</f>
        <v>2180</v>
      </c>
      <c r="M254" cm="1">
        <f t="array" ref="M254">IFERROR(INDEX(srag!$D:$D, MATCH(1, (VALUE(LEFT(srag!$A:$A,6))=VALUE(LEFT(B254,6)))*(srag!$C:$C=C254), 0)), "")</f>
        <v>2064</v>
      </c>
      <c r="N254" cm="1">
        <f t="array" ref="N254">IFERROR(INDEX(fesp!$E:$E, MATCH(1, (VALUE(LEFT(fesp!$A:$A,6))=VALUE(LEFT(B254,6)))*(fesp!$C:$C=C254), 0)), "")</f>
        <v>97</v>
      </c>
      <c r="O254" cm="1">
        <f t="array" ref="O254">IFERROR(INDEX(fesp!$F:$F, MATCH(1, (VALUE(LEFT(fesp!$A:$A,6))=VALUE(LEFT(B254,6)))*(fesp!$C:$C=C254), 0)), "")</f>
        <v>5001</v>
      </c>
      <c r="P254" cm="1">
        <f t="array" ref="P254">IFERROR(INDEX(fesp!$G:$G, MATCH(1, (VALUE(LEFT(fesp!$A:$A,6))=VALUE(LEFT(B254,6)))*(fesp!$C:$C=C254), 0)), "")</f>
        <v>2037944</v>
      </c>
      <c r="Q254" cm="1">
        <f t="array" ref="Q254">IFERROR(INDEX(fesp!$H:$H, MATCH(1, (VALUE(LEFT(fesp!$A:$A,6))=VALUE(LEFT(B254,6)))*(fesp!$C:$C=C254), 0)), "")</f>
        <v>11</v>
      </c>
      <c r="R254" cm="1">
        <f t="array" ref="R254">IFERROR(INDEX(fesp!$I:$I, MATCH(1, (VALUE(LEFT(fesp!$A:$A,6))=VALUE(LEFT(B254,6)))*(fesp!$C:$C=C254), 0)), "")</f>
        <v>4</v>
      </c>
      <c r="S254" cm="1">
        <f t="array" ref="S254">IFERROR(INDEX(fesp!$J:$J, MATCH(1, (VALUE(LEFT(fesp!$A:$A,6))=VALUE(LEFT(B254,6)))*(fesp!$C:$C=C254), 0)), "")</f>
        <v>16</v>
      </c>
    </row>
    <row r="255" spans="1:19">
      <c r="A255" s="1" t="s">
        <v>79</v>
      </c>
      <c r="B255" s="3">
        <v>3136702</v>
      </c>
      <c r="C255" s="3">
        <v>2015</v>
      </c>
      <c r="D255" cm="1">
        <f t="array" ref="D255">IFERROR(INDEX(fesp!$D:$D, MATCH(1, (VALUE(LEFT(fesp!$A:$A,6))=VALUE(LEFT(B255,6)))*(fesp!$C:$C=C255), 0)), "")</f>
        <v>555284</v>
      </c>
      <c r="E255" cm="1">
        <f t="array" aca="1" ref="E255" ca="1">IFERROR(INDEX(ft_medicos_clinicos!$C:$C, MATCH(1, (VALUE(LEFT(ft_medicos_clinicos!$A:$A,6))=VALUE(LEFT(B255,6)))*(ft_medicos_clinicos!$B:$B=C255), 0)), "")</f>
        <v>579</v>
      </c>
      <c r="F255" cm="1">
        <f t="array" aca="1" ref="F255" ca="1">IFERROR(INDEX(ft_enfermeiros!$C:$C, MATCH(1, (VALUE(LEFT(ft_enfermeiros!$A:$A,6))=VALUE(LEFT(B255,6)))*(ft_enfermeiros!$B:$B=C255), 0)), "")</f>
        <v>675</v>
      </c>
      <c r="G255" cm="1">
        <f t="array" aca="1" ref="G255" ca="1">IFERROR(INDEX(ft_equipes_acs!$C:$C, MATCH(1, (VALUE(LEFT(ft_equipes_acs!$A:$A,6))=VALUE(LEFT(B255,6)))*(ft_equipes_acs!$B:$B=C255), 0)), "")</f>
        <v>1</v>
      </c>
      <c r="H255" cm="1">
        <f t="array" aca="1" ref="H255" ca="1">IFERROR(INDEX(ci_leitos_internacao!$C:$C, MATCH(1, (VALUE(LEFT(ci_leitos_internacao!$A:$A,6))=VALUE(LEFT(B255,6)))*(ci_leitos_internacao!$B:$B=C255), 0)), "")</f>
        <v>2275</v>
      </c>
      <c r="I255" cm="1">
        <f t="array" aca="1" ref="I255" ca="1">IFERROR(INDEX(ci_hospitais_internacao!$C:$C, MATCH(1, (VALUE(LEFT(ci_hospitais_internacao!$A:$A,6))=VALUE(LEFT(B255,6)))*(ci_hospitais_internacao!$B:$B=C255), 0)), "")</f>
        <v>10</v>
      </c>
      <c r="J255" cm="1">
        <f t="array" aca="1" ref="J255" ca="1">IFERROR(INDEX(ci_pa_clinico!$C:$C, MATCH(1, (VALUE(LEFT(ci_pa_clinico!$A:$A,6))=VALUE(LEFT(B255,6)))*(ci_pa_clinico!$B:$B=C255), 0)), "")</f>
        <v>7</v>
      </c>
      <c r="K255" cm="1">
        <f t="array" aca="1" ref="K255" ca="1">IFERROR(INDEX(aps_equipes_esf!$C:$C, MATCH(1, (VALUE(LEFT(aps_equipes_esf!$A:$A,6))=VALUE(LEFT(B255,6)))*(aps_equipes_esf!$B:$B=C255), 0)), "")</f>
        <v>93</v>
      </c>
      <c r="L255" cm="1">
        <f t="array" aca="1" ref="L255" ca="1">IFERROR(INDEX(casos!$C:$C, MATCH(1, (VALUE(LEFT(casos!$A:$A,6))=VALUE(LEFT(B255,6)))*(casos!$B:$B=C255), 0)), "")</f>
        <v>4678</v>
      </c>
      <c r="M255" cm="1">
        <f t="array" ref="M255">IFERROR(INDEX(srag!$D:$D, MATCH(1, (VALUE(LEFT(srag!$A:$A,6))=VALUE(LEFT(B255,6)))*(srag!$C:$C=C255), 0)), "")</f>
        <v>12</v>
      </c>
      <c r="N255" cm="1">
        <f t="array" ref="N255">IFERROR(INDEX(fesp!$E:$E, MATCH(1, (VALUE(LEFT(fesp!$A:$A,6))=VALUE(LEFT(B255,6)))*(fesp!$C:$C=C255), 0)), "")</f>
        <v>296</v>
      </c>
      <c r="O255" cm="1">
        <f t="array" ref="O255">IFERROR(INDEX(fesp!$F:$F, MATCH(1, (VALUE(LEFT(fesp!$A:$A,6))=VALUE(LEFT(B255,6)))*(fesp!$C:$C=C255), 0)), "")</f>
        <v>8536</v>
      </c>
      <c r="P255" cm="1">
        <f t="array" ref="P255">IFERROR(INDEX(fesp!$G:$G, MATCH(1, (VALUE(LEFT(fesp!$A:$A,6))=VALUE(LEFT(B255,6)))*(fesp!$C:$C=C255), 0)), "")</f>
        <v>3133438</v>
      </c>
      <c r="Q255" cm="1">
        <f t="array" ref="Q255">IFERROR(INDEX(fesp!$H:$H, MATCH(1, (VALUE(LEFT(fesp!$A:$A,6))=VALUE(LEFT(B255,6)))*(fesp!$C:$C=C255), 0)), "")</f>
        <v>69</v>
      </c>
      <c r="R255" cm="1">
        <f t="array" ref="R255">IFERROR(INDEX(fesp!$I:$I, MATCH(1, (VALUE(LEFT(fesp!$A:$A,6))=VALUE(LEFT(B255,6)))*(fesp!$C:$C=C255), 0)), "")</f>
        <v>15771</v>
      </c>
      <c r="S255" cm="1">
        <f t="array" ref="S255">IFERROR(INDEX(fesp!$J:$J, MATCH(1, (VALUE(LEFT(fesp!$A:$A,6))=VALUE(LEFT(B255,6)))*(fesp!$C:$C=C255), 0)), "")</f>
        <v>297183</v>
      </c>
    </row>
    <row r="256" spans="1:19">
      <c r="A256" s="1" t="s">
        <v>79</v>
      </c>
      <c r="B256" s="3" t="s">
        <v>78</v>
      </c>
      <c r="C256" s="3">
        <v>2016</v>
      </c>
      <c r="D256" cm="1">
        <f t="array" ref="D256">IFERROR(INDEX(fesp!$D:$D, MATCH(1, (VALUE(LEFT(fesp!$A:$A,6))=VALUE(LEFT(B256,6)))*(fesp!$C:$C=C256), 0)), "")</f>
        <v>0</v>
      </c>
      <c r="E256" cm="1">
        <f t="array" aca="1" ref="E256" ca="1">IFERROR(INDEX(ft_medicos_clinicos!$C:$C, MATCH(1, (VALUE(LEFT(ft_medicos_clinicos!$A:$A,6))=VALUE(LEFT(B256,6)))*(ft_medicos_clinicos!$B:$B=C256), 0)), "")</f>
        <v>637</v>
      </c>
      <c r="F256" cm="1">
        <f t="array" aca="1" ref="F256" ca="1">IFERROR(INDEX(ft_enfermeiros!$C:$C, MATCH(1, (VALUE(LEFT(ft_enfermeiros!$A:$A,6))=VALUE(LEFT(B256,6)))*(ft_enfermeiros!$B:$B=C256), 0)), "")</f>
        <v>762</v>
      </c>
      <c r="G256" t="str" cm="1">
        <f t="array" aca="1" ref="G256" ca="1">IFERROR(INDEX(ft_equipes_acs!$C:$C, MATCH(1, (VALUE(LEFT(ft_equipes_acs!$A:$A,6))=VALUE(LEFT(B256,6)))*(ft_equipes_acs!$B:$B=C256), 0)), "")</f>
        <v>-</v>
      </c>
      <c r="H256" cm="1">
        <f t="array" aca="1" ref="H256" ca="1">IFERROR(INDEX(ci_leitos_internacao!$C:$C, MATCH(1, (VALUE(LEFT(ci_leitos_internacao!$A:$A,6))=VALUE(LEFT(B256,6)))*(ci_leitos_internacao!$B:$B=C256), 0)), "")</f>
        <v>2477</v>
      </c>
      <c r="I256" cm="1">
        <f t="array" aca="1" ref="I256" ca="1">IFERROR(INDEX(ci_hospitais_internacao!$C:$C, MATCH(1, (VALUE(LEFT(ci_hospitais_internacao!$A:$A,6))=VALUE(LEFT(B256,6)))*(ci_hospitais_internacao!$B:$B=C256), 0)), "")</f>
        <v>10</v>
      </c>
      <c r="J256" cm="1">
        <f t="array" aca="1" ref="J256" ca="1">IFERROR(INDEX(ci_pa_clinico!$C:$C, MATCH(1, (VALUE(LEFT(ci_pa_clinico!$A:$A,6))=VALUE(LEFT(B256,6)))*(ci_pa_clinico!$B:$B=C256), 0)), "")</f>
        <v>7</v>
      </c>
      <c r="K256" cm="1">
        <f t="array" aca="1" ref="K256" ca="1">IFERROR(INDEX(aps_equipes_esf!$C:$C, MATCH(1, (VALUE(LEFT(aps_equipes_esf!$A:$A,6))=VALUE(LEFT(B256,6)))*(aps_equipes_esf!$B:$B=C256), 0)), "")</f>
        <v>94</v>
      </c>
      <c r="L256" cm="1">
        <f t="array" aca="1" ref="L256" ca="1">IFERROR(INDEX(casos!$C:$C, MATCH(1, (VALUE(LEFT(casos!$A:$A,6))=VALUE(LEFT(B256,6)))*(casos!$B:$B=C256), 0)), "")</f>
        <v>35013</v>
      </c>
      <c r="M256" cm="1">
        <f t="array" ref="M256">IFERROR(INDEX(srag!$D:$D, MATCH(1, (VALUE(LEFT(srag!$A:$A,6))=VALUE(LEFT(B256,6)))*(srag!$C:$C=C256), 0)), "")</f>
        <v>96</v>
      </c>
      <c r="N256" cm="1">
        <f t="array" ref="N256">IFERROR(INDEX(fesp!$E:$E, MATCH(1, (VALUE(LEFT(fesp!$A:$A,6))=VALUE(LEFT(B256,6)))*(fesp!$C:$C=C256), 0)), "")</f>
        <v>302</v>
      </c>
      <c r="O256" cm="1">
        <f t="array" ref="O256">IFERROR(INDEX(fesp!$F:$F, MATCH(1, (VALUE(LEFT(fesp!$A:$A,6))=VALUE(LEFT(B256,6)))*(fesp!$C:$C=C256), 0)), "")</f>
        <v>8075</v>
      </c>
      <c r="P256" cm="1">
        <f t="array" ref="P256">IFERROR(INDEX(fesp!$G:$G, MATCH(1, (VALUE(LEFT(fesp!$A:$A,6))=VALUE(LEFT(B256,6)))*(fesp!$C:$C=C256), 0)), "")</f>
        <v>3386042</v>
      </c>
      <c r="Q256" cm="1">
        <f t="array" ref="Q256">IFERROR(INDEX(fesp!$H:$H, MATCH(1, (VALUE(LEFT(fesp!$A:$A,6))=VALUE(LEFT(B256,6)))*(fesp!$C:$C=C256), 0)), "")</f>
        <v>87</v>
      </c>
      <c r="R256" cm="1">
        <f t="array" ref="R256">IFERROR(INDEX(fesp!$I:$I, MATCH(1, (VALUE(LEFT(fesp!$A:$A,6))=VALUE(LEFT(B256,6)))*(fesp!$C:$C=C256), 0)), "")</f>
        <v>7693</v>
      </c>
      <c r="S256" cm="1">
        <f t="array" ref="S256">IFERROR(INDEX(fesp!$J:$J, MATCH(1, (VALUE(LEFT(fesp!$A:$A,6))=VALUE(LEFT(B256,6)))*(fesp!$C:$C=C256), 0)), "")</f>
        <v>73928</v>
      </c>
    </row>
    <row r="257" spans="1:19">
      <c r="A257" s="1" t="s">
        <v>79</v>
      </c>
      <c r="B257" s="3" t="s">
        <v>78</v>
      </c>
      <c r="C257" s="3">
        <v>2017</v>
      </c>
      <c r="D257" cm="1">
        <f t="array" ref="D257">IFERROR(INDEX(fesp!$D:$D, MATCH(1, (VALUE(LEFT(fesp!$A:$A,6))=VALUE(LEFT(B257,6)))*(fesp!$C:$C=C257), 0)), "")</f>
        <v>0</v>
      </c>
      <c r="E257" cm="1">
        <f t="array" aca="1" ref="E257" ca="1">IFERROR(INDEX(ft_medicos_clinicos!$C:$C, MATCH(1, (VALUE(LEFT(ft_medicos_clinicos!$A:$A,6))=VALUE(LEFT(B257,6)))*(ft_medicos_clinicos!$B:$B=C257), 0)), "")</f>
        <v>702</v>
      </c>
      <c r="F257" cm="1">
        <f t="array" aca="1" ref="F257" ca="1">IFERROR(INDEX(ft_enfermeiros!$C:$C, MATCH(1, (VALUE(LEFT(ft_enfermeiros!$A:$A,6))=VALUE(LEFT(B257,6)))*(ft_enfermeiros!$B:$B=C257), 0)), "")</f>
        <v>813</v>
      </c>
      <c r="G257" t="str" cm="1">
        <f t="array" aca="1" ref="G257" ca="1">IFERROR(INDEX(ft_equipes_acs!$C:$C, MATCH(1, (VALUE(LEFT(ft_equipes_acs!$A:$A,6))=VALUE(LEFT(B257,6)))*(ft_equipes_acs!$B:$B=C257), 0)), "")</f>
        <v>-</v>
      </c>
      <c r="H257" cm="1">
        <f t="array" aca="1" ref="H257" ca="1">IFERROR(INDEX(ci_leitos_internacao!$C:$C, MATCH(1, (VALUE(LEFT(ci_leitos_internacao!$A:$A,6))=VALUE(LEFT(B257,6)))*(ci_leitos_internacao!$B:$B=C257), 0)), "")</f>
        <v>2422</v>
      </c>
      <c r="I257" cm="1">
        <f t="array" aca="1" ref="I257" ca="1">IFERROR(INDEX(ci_hospitais_internacao!$C:$C, MATCH(1, (VALUE(LEFT(ci_hospitais_internacao!$A:$A,6))=VALUE(LEFT(B257,6)))*(ci_hospitais_internacao!$B:$B=C257), 0)), "")</f>
        <v>10</v>
      </c>
      <c r="J257" cm="1">
        <f t="array" aca="1" ref="J257" ca="1">IFERROR(INDEX(ci_pa_clinico!$C:$C, MATCH(1, (VALUE(LEFT(ci_pa_clinico!$A:$A,6))=VALUE(LEFT(B257,6)))*(ci_pa_clinico!$B:$B=C257), 0)), "")</f>
        <v>7</v>
      </c>
      <c r="K257" cm="1">
        <f t="array" aca="1" ref="K257" ca="1">IFERROR(INDEX(aps_equipes_esf!$C:$C, MATCH(1, (VALUE(LEFT(aps_equipes_esf!$A:$A,6))=VALUE(LEFT(B257,6)))*(aps_equipes_esf!$B:$B=C257), 0)), "")</f>
        <v>94</v>
      </c>
      <c r="L257" cm="1">
        <f t="array" aca="1" ref="L257" ca="1">IFERROR(INDEX(casos!$C:$C, MATCH(1, (VALUE(LEFT(casos!$A:$A,6))=VALUE(LEFT(B257,6)))*(casos!$B:$B=C257), 0)), "")</f>
        <v>102</v>
      </c>
      <c r="M257" cm="1">
        <f t="array" ref="M257">IFERROR(INDEX(srag!$D:$D, MATCH(1, (VALUE(LEFT(srag!$A:$A,6))=VALUE(LEFT(B257,6)))*(srag!$C:$C=C257), 0)), "")</f>
        <v>25</v>
      </c>
      <c r="N257" cm="1">
        <f t="array" ref="N257">IFERROR(INDEX(fesp!$E:$E, MATCH(1, (VALUE(LEFT(fesp!$A:$A,6))=VALUE(LEFT(B257,6)))*(fesp!$C:$C=C257), 0)), "")</f>
        <v>271</v>
      </c>
      <c r="O257" cm="1">
        <f t="array" ref="O257">IFERROR(INDEX(fesp!$F:$F, MATCH(1, (VALUE(LEFT(fesp!$A:$A,6))=VALUE(LEFT(B257,6)))*(fesp!$C:$C=C257), 0)), "")</f>
        <v>6486</v>
      </c>
      <c r="P257" cm="1">
        <f t="array" ref="P257">IFERROR(INDEX(fesp!$G:$G, MATCH(1, (VALUE(LEFT(fesp!$A:$A,6))=VALUE(LEFT(B257,6)))*(fesp!$C:$C=C257), 0)), "")</f>
        <v>3678317</v>
      </c>
      <c r="Q257" cm="1">
        <f t="array" ref="Q257">IFERROR(INDEX(fesp!$H:$H, MATCH(1, (VALUE(LEFT(fesp!$A:$A,6))=VALUE(LEFT(B257,6)))*(fesp!$C:$C=C257), 0)), "")</f>
        <v>71</v>
      </c>
      <c r="R257" cm="1">
        <f t="array" ref="R257">IFERROR(INDEX(fesp!$I:$I, MATCH(1, (VALUE(LEFT(fesp!$A:$A,6))=VALUE(LEFT(B257,6)))*(fesp!$C:$C=C257), 0)), "")</f>
        <v>9796</v>
      </c>
      <c r="S257" cm="1">
        <f t="array" ref="S257">IFERROR(INDEX(fesp!$J:$J, MATCH(1, (VALUE(LEFT(fesp!$A:$A,6))=VALUE(LEFT(B257,6)))*(fesp!$C:$C=C257), 0)), "")</f>
        <v>80377</v>
      </c>
    </row>
    <row r="258" spans="1:19">
      <c r="A258" s="1" t="s">
        <v>79</v>
      </c>
      <c r="B258" s="3" t="s">
        <v>78</v>
      </c>
      <c r="C258" s="3">
        <v>2018</v>
      </c>
      <c r="D258" cm="1">
        <f t="array" ref="D258">IFERROR(INDEX(fesp!$D:$D, MATCH(1, (VALUE(LEFT(fesp!$A:$A,6))=VALUE(LEFT(B258,6)))*(fesp!$C:$C=C258), 0)), "")</f>
        <v>0</v>
      </c>
      <c r="E258" cm="1">
        <f t="array" aca="1" ref="E258" ca="1">IFERROR(INDEX(ft_medicos_clinicos!$C:$C, MATCH(1, (VALUE(LEFT(ft_medicos_clinicos!$A:$A,6))=VALUE(LEFT(B258,6)))*(ft_medicos_clinicos!$B:$B=C258), 0)), "")</f>
        <v>718</v>
      </c>
      <c r="F258" cm="1">
        <f t="array" aca="1" ref="F258" ca="1">IFERROR(INDEX(ft_enfermeiros!$C:$C, MATCH(1, (VALUE(LEFT(ft_enfermeiros!$A:$A,6))=VALUE(LEFT(B258,6)))*(ft_enfermeiros!$B:$B=C258), 0)), "")</f>
        <v>922</v>
      </c>
      <c r="G258" t="str" cm="1">
        <f t="array" aca="1" ref="G258" ca="1">IFERROR(INDEX(ft_equipes_acs!$C:$C, MATCH(1, (VALUE(LEFT(ft_equipes_acs!$A:$A,6))=VALUE(LEFT(B258,6)))*(ft_equipes_acs!$B:$B=C258), 0)), "")</f>
        <v>-</v>
      </c>
      <c r="H258" cm="1">
        <f t="array" aca="1" ref="H258" ca="1">IFERROR(INDEX(ci_leitos_internacao!$C:$C, MATCH(1, (VALUE(LEFT(ci_leitos_internacao!$A:$A,6))=VALUE(LEFT(B258,6)))*(ci_leitos_internacao!$B:$B=C258), 0)), "")</f>
        <v>2408</v>
      </c>
      <c r="I258" cm="1">
        <f t="array" aca="1" ref="I258" ca="1">IFERROR(INDEX(ci_hospitais_internacao!$C:$C, MATCH(1, (VALUE(LEFT(ci_hospitais_internacao!$A:$A,6))=VALUE(LEFT(B258,6)))*(ci_hospitais_internacao!$B:$B=C258), 0)), "")</f>
        <v>11</v>
      </c>
      <c r="J258" cm="1">
        <f t="array" aca="1" ref="J258" ca="1">IFERROR(INDEX(ci_pa_clinico!$C:$C, MATCH(1, (VALUE(LEFT(ci_pa_clinico!$A:$A,6))=VALUE(LEFT(B258,6)))*(ci_pa_clinico!$B:$B=C258), 0)), "")</f>
        <v>7</v>
      </c>
      <c r="K258" cm="1">
        <f t="array" aca="1" ref="K258" ca="1">IFERROR(INDEX(aps_equipes_esf!$C:$C, MATCH(1, (VALUE(LEFT(aps_equipes_esf!$A:$A,6))=VALUE(LEFT(B258,6)))*(aps_equipes_esf!$B:$B=C258), 0)), "")</f>
        <v>94</v>
      </c>
      <c r="L258" cm="1">
        <f t="array" aca="1" ref="L258" ca="1">IFERROR(INDEX(casos!$C:$C, MATCH(1, (VALUE(LEFT(casos!$A:$A,6))=VALUE(LEFT(B258,6)))*(casos!$B:$B=C258), 0)), "")</f>
        <v>162</v>
      </c>
      <c r="M258" cm="1">
        <f t="array" ref="M258">IFERROR(INDEX(srag!$D:$D, MATCH(1, (VALUE(LEFT(srag!$A:$A,6))=VALUE(LEFT(B258,6)))*(srag!$C:$C=C258), 0)), "")</f>
        <v>39</v>
      </c>
      <c r="N258" cm="1">
        <f t="array" ref="N258">IFERROR(INDEX(fesp!$E:$E, MATCH(1, (VALUE(LEFT(fesp!$A:$A,6))=VALUE(LEFT(B258,6)))*(fesp!$C:$C=C258), 0)), "")</f>
        <v>321</v>
      </c>
      <c r="O258" cm="1">
        <f t="array" ref="O258">IFERROR(INDEX(fesp!$F:$F, MATCH(1, (VALUE(LEFT(fesp!$A:$A,6))=VALUE(LEFT(B258,6)))*(fesp!$C:$C=C258), 0)), "")</f>
        <v>3596</v>
      </c>
      <c r="P258" cm="1">
        <f t="array" ref="P258">IFERROR(INDEX(fesp!$G:$G, MATCH(1, (VALUE(LEFT(fesp!$A:$A,6))=VALUE(LEFT(B258,6)))*(fesp!$C:$C=C258), 0)), "")</f>
        <v>4086137</v>
      </c>
      <c r="Q258" cm="1">
        <f t="array" ref="Q258">IFERROR(INDEX(fesp!$H:$H, MATCH(1, (VALUE(LEFT(fesp!$A:$A,6))=VALUE(LEFT(B258,6)))*(fesp!$C:$C=C258), 0)), "")</f>
        <v>98</v>
      </c>
      <c r="R258" cm="1">
        <f t="array" ref="R258">IFERROR(INDEX(fesp!$I:$I, MATCH(1, (VALUE(LEFT(fesp!$A:$A,6))=VALUE(LEFT(B258,6)))*(fesp!$C:$C=C258), 0)), "")</f>
        <v>2400</v>
      </c>
      <c r="S258" cm="1">
        <f t="array" ref="S258">IFERROR(INDEX(fesp!$J:$J, MATCH(1, (VALUE(LEFT(fesp!$A:$A,6))=VALUE(LEFT(B258,6)))*(fesp!$C:$C=C258), 0)), "")</f>
        <v>1166</v>
      </c>
    </row>
    <row r="259" spans="1:19">
      <c r="A259" s="1" t="s">
        <v>79</v>
      </c>
      <c r="B259" s="3" t="s">
        <v>78</v>
      </c>
      <c r="C259" s="3">
        <v>2019</v>
      </c>
      <c r="D259" cm="1">
        <f t="array" ref="D259">IFERROR(INDEX(fesp!$D:$D, MATCH(1, (VALUE(LEFT(fesp!$A:$A,6))=VALUE(LEFT(B259,6)))*(fesp!$C:$C=C259), 0)), "")</f>
        <v>0</v>
      </c>
      <c r="E259" cm="1">
        <f t="array" aca="1" ref="E259" ca="1">IFERROR(INDEX(ft_medicos_clinicos!$C:$C, MATCH(1, (VALUE(LEFT(ft_medicos_clinicos!$A:$A,6))=VALUE(LEFT(B259,6)))*(ft_medicos_clinicos!$B:$B=C259), 0)), "")</f>
        <v>698</v>
      </c>
      <c r="F259" cm="1">
        <f t="array" aca="1" ref="F259" ca="1">IFERROR(INDEX(ft_enfermeiros!$C:$C, MATCH(1, (VALUE(LEFT(ft_enfermeiros!$A:$A,6))=VALUE(LEFT(B259,6)))*(ft_enfermeiros!$B:$B=C259), 0)), "")</f>
        <v>943</v>
      </c>
      <c r="G259" t="str" cm="1">
        <f t="array" aca="1" ref="G259" ca="1">IFERROR(INDEX(ft_equipes_acs!$C:$C, MATCH(1, (VALUE(LEFT(ft_equipes_acs!$A:$A,6))=VALUE(LEFT(B259,6)))*(ft_equipes_acs!$B:$B=C259), 0)), "")</f>
        <v>-</v>
      </c>
      <c r="H259" cm="1">
        <f t="array" aca="1" ref="H259" ca="1">IFERROR(INDEX(ci_leitos_internacao!$C:$C, MATCH(1, (VALUE(LEFT(ci_leitos_internacao!$A:$A,6))=VALUE(LEFT(B259,6)))*(ci_leitos_internacao!$B:$B=C259), 0)), "")</f>
        <v>2396</v>
      </c>
      <c r="I259" cm="1">
        <f t="array" aca="1" ref="I259" ca="1">IFERROR(INDEX(ci_hospitais_internacao!$C:$C, MATCH(1, (VALUE(LEFT(ci_hospitais_internacao!$A:$A,6))=VALUE(LEFT(B259,6)))*(ci_hospitais_internacao!$B:$B=C259), 0)), "")</f>
        <v>11</v>
      </c>
      <c r="J259" cm="1">
        <f t="array" aca="1" ref="J259" ca="1">IFERROR(INDEX(ci_pa_clinico!$C:$C, MATCH(1, (VALUE(LEFT(ci_pa_clinico!$A:$A,6))=VALUE(LEFT(B259,6)))*(ci_pa_clinico!$B:$B=C259), 0)), "")</f>
        <v>7</v>
      </c>
      <c r="K259" cm="1">
        <f t="array" aca="1" ref="K259" ca="1">IFERROR(INDEX(aps_equipes_esf!$C:$C, MATCH(1, (VALUE(LEFT(aps_equipes_esf!$A:$A,6))=VALUE(LEFT(B259,6)))*(aps_equipes_esf!$B:$B=C259), 0)), "")</f>
        <v>94</v>
      </c>
      <c r="L259" cm="1">
        <f t="array" aca="1" ref="L259" ca="1">IFERROR(INDEX(casos!$C:$C, MATCH(1, (VALUE(LEFT(casos!$A:$A,6))=VALUE(LEFT(B259,6)))*(casos!$B:$B=C259), 0)), "")</f>
        <v>7605</v>
      </c>
      <c r="M259" cm="1">
        <f t="array" ref="M259">IFERROR(INDEX(srag!$D:$D, MATCH(1, (VALUE(LEFT(srag!$A:$A,6))=VALUE(LEFT(B259,6)))*(srag!$C:$C=C259), 0)), "")</f>
        <v>47</v>
      </c>
      <c r="N259" cm="1">
        <f t="array" ref="N259">IFERROR(INDEX(fesp!$E:$E, MATCH(1, (VALUE(LEFT(fesp!$A:$A,6))=VALUE(LEFT(B259,6)))*(fesp!$C:$C=C259), 0)), "")</f>
        <v>287</v>
      </c>
      <c r="O259" cm="1">
        <f t="array" aca="1" ref="O259" ca="1">IFERROR(INDEX(fesp!$F:$F, MATCH(1, (VALUE(LEFT(fesp!$A:$A,6))=VALUE(LEFT(B259,6)))*(fesp!$C:$C=C259), 0)), "")</f>
        <v>3375</v>
      </c>
      <c r="P259" cm="1">
        <f t="array" ref="P259">IFERROR(INDEX(fesp!$G:$G, MATCH(1, (VALUE(LEFT(fesp!$A:$A,6))=VALUE(LEFT(B259,6)))*(fesp!$C:$C=C259), 0)), "")</f>
        <v>3283442</v>
      </c>
      <c r="Q259" cm="1">
        <f t="array" ref="Q259">IFERROR(INDEX(fesp!$H:$H, MATCH(1, (VALUE(LEFT(fesp!$A:$A,6))=VALUE(LEFT(B259,6)))*(fesp!$C:$C=C259), 0)), "")</f>
        <v>85</v>
      </c>
      <c r="R259" cm="1">
        <f t="array" ref="R259">IFERROR(INDEX(fesp!$I:$I, MATCH(1, (VALUE(LEFT(fesp!$A:$A,6))=VALUE(LEFT(B259,6)))*(fesp!$C:$C=C259), 0)), "")</f>
        <v>837</v>
      </c>
      <c r="S259" cm="1">
        <f t="array" ref="S259">IFERROR(INDEX(fesp!$J:$J, MATCH(1, (VALUE(LEFT(fesp!$A:$A,6))=VALUE(LEFT(B259,6)))*(fesp!$C:$C=C259), 0)), "")</f>
        <v>119</v>
      </c>
    </row>
    <row r="260" spans="1:19">
      <c r="A260" s="1" t="s">
        <v>79</v>
      </c>
      <c r="B260" s="3" t="s">
        <v>78</v>
      </c>
      <c r="C260" s="3">
        <v>2020</v>
      </c>
      <c r="D260" cm="1">
        <f t="array" ref="D260">IFERROR(INDEX(fesp!$D:$D, MATCH(1, (VALUE(LEFT(fesp!$A:$A,6))=VALUE(LEFT(B260,6)))*(fesp!$C:$C=C260), 0)), "")</f>
        <v>0</v>
      </c>
      <c r="E260" cm="1">
        <f t="array" aca="1" ref="E260" ca="1">IFERROR(INDEX(ft_medicos_clinicos!$C:$C, MATCH(1, (VALUE(LEFT(ft_medicos_clinicos!$A:$A,6))=VALUE(LEFT(B260,6)))*(ft_medicos_clinicos!$B:$B=C260), 0)), "")</f>
        <v>702</v>
      </c>
      <c r="F260" cm="1">
        <f t="array" aca="1" ref="F260" ca="1">IFERROR(INDEX(ft_enfermeiros!$C:$C, MATCH(1, (VALUE(LEFT(ft_enfermeiros!$A:$A,6))=VALUE(LEFT(B260,6)))*(ft_enfermeiros!$B:$B=C260), 0)), "")</f>
        <v>1040</v>
      </c>
      <c r="G260" t="str" cm="1">
        <f t="array" aca="1" ref="G260" ca="1">IFERROR(INDEX(ft_equipes_acs!$C:$C, MATCH(1, (VALUE(LEFT(ft_equipes_acs!$A:$A,6))=VALUE(LEFT(B260,6)))*(ft_equipes_acs!$B:$B=C260), 0)), "")</f>
        <v>-</v>
      </c>
      <c r="H260" cm="1">
        <f t="array" aca="1" ref="H260" ca="1">IFERROR(INDEX(ci_leitos_internacao!$C:$C, MATCH(1, (VALUE(LEFT(ci_leitos_internacao!$A:$A,6))=VALUE(LEFT(B260,6)))*(ci_leitos_internacao!$B:$B=C260), 0)), "")</f>
        <v>2388</v>
      </c>
      <c r="I260" cm="1">
        <f t="array" aca="1" ref="I260" ca="1">IFERROR(INDEX(ci_hospitais_internacao!$C:$C, MATCH(1, (VALUE(LEFT(ci_hospitais_internacao!$A:$A,6))=VALUE(LEFT(B260,6)))*(ci_hospitais_internacao!$B:$B=C260), 0)), "")</f>
        <v>11</v>
      </c>
      <c r="J260" cm="1">
        <f t="array" aca="1" ref="J260" ca="1">IFERROR(INDEX(ci_pa_clinico!$C:$C, MATCH(1, (VALUE(LEFT(ci_pa_clinico!$A:$A,6))=VALUE(LEFT(B260,6)))*(ci_pa_clinico!$B:$B=C260), 0)), "")</f>
        <v>7</v>
      </c>
      <c r="K260" t="str" cm="1">
        <f t="array" aca="1" ref="K260" ca="1">IFERROR(INDEX(aps_equipes_esf!$C:$C, MATCH(1, (VALUE(LEFT(aps_equipes_esf!$A:$A,6))=VALUE(LEFT(B260,6)))*(aps_equipes_esf!$B:$B=C260), 0)), "")</f>
        <v>-</v>
      </c>
      <c r="L260" cm="1">
        <f t="array" aca="1" ref="L260" ca="1">IFERROR(INDEX(casos!$C:$C, MATCH(1, (VALUE(LEFT(casos!$A:$A,6))=VALUE(LEFT(B260,6)))*(casos!$B:$B=C260), 0)), "")</f>
        <v>173</v>
      </c>
      <c r="M260" cm="1">
        <f t="array" ref="M260">IFERROR(INDEX(srag!$D:$D, MATCH(1, (VALUE(LEFT(srag!$A:$A,6))=VALUE(LEFT(B260,6)))*(srag!$C:$C=C260), 0)), "")</f>
        <v>3556</v>
      </c>
      <c r="N260" cm="1">
        <f t="array" ref="N260">IFERROR(INDEX(fesp!$E:$E, MATCH(1, (VALUE(LEFT(fesp!$A:$A,6))=VALUE(LEFT(B260,6)))*(fesp!$C:$C=C260), 0)), "")</f>
        <v>263</v>
      </c>
      <c r="O260" cm="1">
        <f t="array" ref="O260">IFERROR(INDEX(fesp!$F:$F, MATCH(1, (VALUE(LEFT(fesp!$A:$A,6))=VALUE(LEFT(B260,6)))*(fesp!$C:$C=C260), 0)), "")</f>
        <v>3545</v>
      </c>
      <c r="P260" cm="1">
        <f t="array" ref="P260">IFERROR(INDEX(fesp!$G:$G, MATCH(1, (VALUE(LEFT(fesp!$A:$A,6))=VALUE(LEFT(B260,6)))*(fesp!$C:$C=C260), 0)), "")</f>
        <v>2542130</v>
      </c>
      <c r="Q260" cm="1">
        <f t="array" aca="1" ref="Q260" ca="1">IFERROR(INDEX(fesp!$H:$H, MATCH(1, (VALUE(LEFT(fesp!$A:$A,6))=VALUE(LEFT(B260,6)))*(fesp!$C:$C=C260), 0)), "")</f>
        <v>84</v>
      </c>
      <c r="R260" cm="1">
        <f t="array" ref="R260">IFERROR(INDEX(fesp!$I:$I, MATCH(1, (VALUE(LEFT(fesp!$A:$A,6))=VALUE(LEFT(B260,6)))*(fesp!$C:$C=C260), 0)), "")</f>
        <v>3216</v>
      </c>
      <c r="S260" cm="1">
        <f t="array" ref="S260">IFERROR(INDEX(fesp!$J:$J, MATCH(1, (VALUE(LEFT(fesp!$A:$A,6))=VALUE(LEFT(B260,6)))*(fesp!$C:$C=C260), 0)), "")</f>
        <v>0</v>
      </c>
    </row>
    <row r="261" spans="1:19">
      <c r="A261" s="1" t="s">
        <v>79</v>
      </c>
      <c r="B261" s="3" t="s">
        <v>78</v>
      </c>
      <c r="C261" s="3">
        <v>2021</v>
      </c>
      <c r="D261" cm="1">
        <f t="array" ref="D261">IFERROR(INDEX(fesp!$D:$D, MATCH(1, (VALUE(LEFT(fesp!$A:$A,6))=VALUE(LEFT(B261,6)))*(fesp!$C:$C=C261), 0)), "")</f>
        <v>0</v>
      </c>
      <c r="E261" cm="1">
        <f t="array" aca="1" ref="E261" ca="1">IFERROR(INDEX(ft_medicos_clinicos!$C:$C, MATCH(1, (VALUE(LEFT(ft_medicos_clinicos!$A:$A,6))=VALUE(LEFT(B261,6)))*(ft_medicos_clinicos!$B:$B=C261), 0)), "")</f>
        <v>766</v>
      </c>
      <c r="F261" cm="1">
        <f t="array" aca="1" ref="F261" ca="1">IFERROR(INDEX(ft_enfermeiros!$C:$C, MATCH(1, (VALUE(LEFT(ft_enfermeiros!$A:$A,6))=VALUE(LEFT(B261,6)))*(ft_enfermeiros!$B:$B=C261), 0)), "")</f>
        <v>1077</v>
      </c>
      <c r="G261" t="str" cm="1">
        <f t="array" aca="1" ref="G261" ca="1">IFERROR(INDEX(ft_equipes_acs!$C:$C, MATCH(1, (VALUE(LEFT(ft_equipes_acs!$A:$A,6))=VALUE(LEFT(B261,6)))*(ft_equipes_acs!$B:$B=C261), 0)), "")</f>
        <v>-</v>
      </c>
      <c r="H261" cm="1">
        <f t="array" aca="1" ref="H261" ca="1">IFERROR(INDEX(ci_leitos_internacao!$C:$C, MATCH(1, (VALUE(LEFT(ci_leitos_internacao!$A:$A,6))=VALUE(LEFT(B261,6)))*(ci_leitos_internacao!$B:$B=C261), 0)), "")</f>
        <v>2490</v>
      </c>
      <c r="I261" cm="1">
        <f t="array" aca="1" ref="I261" ca="1">IFERROR(INDEX(ci_hospitais_internacao!$C:$C, MATCH(1, (VALUE(LEFT(ci_hospitais_internacao!$A:$A,6))=VALUE(LEFT(B261,6)))*(ci_hospitais_internacao!$B:$B=C261), 0)), "")</f>
        <v>12</v>
      </c>
      <c r="J261" cm="1">
        <f t="array" aca="1" ref="J261" ca="1">IFERROR(INDEX(ci_pa_clinico!$C:$C, MATCH(1, (VALUE(LEFT(ci_pa_clinico!$A:$A,6))=VALUE(LEFT(B261,6)))*(ci_pa_clinico!$B:$B=C261), 0)), "")</f>
        <v>8</v>
      </c>
      <c r="K261" t="str" cm="1">
        <f t="array" aca="1" ref="K261" ca="1">IFERROR(INDEX(aps_equipes_esf!$C:$C, MATCH(1, (VALUE(LEFT(aps_equipes_esf!$A:$A,6))=VALUE(LEFT(B261,6)))*(aps_equipes_esf!$B:$B=C261), 0)), "")</f>
        <v>-</v>
      </c>
      <c r="L261" cm="1">
        <f t="array" aca="1" ref="L261" ca="1">IFERROR(INDEX(casos!$C:$C, MATCH(1, (VALUE(LEFT(casos!$A:$A,6))=VALUE(LEFT(B261,6)))*(casos!$B:$B=C261), 0)), "")</f>
        <v>43</v>
      </c>
      <c r="M261" cm="1">
        <f t="array" ref="M261">IFERROR(INDEX(srag!$D:$D, MATCH(1, (VALUE(LEFT(srag!$A:$A,6))=VALUE(LEFT(B261,6)))*(srag!$C:$C=C261), 0)), "")</f>
        <v>6213</v>
      </c>
      <c r="N261" cm="1">
        <f t="array" ref="N261">IFERROR(INDEX(fesp!$E:$E, MATCH(1, (VALUE(LEFT(fesp!$A:$A,6))=VALUE(LEFT(B261,6)))*(fesp!$C:$C=C261), 0)), "")</f>
        <v>211</v>
      </c>
      <c r="O261" cm="1">
        <f t="array" ref="O261">IFERROR(INDEX(fesp!$F:$F, MATCH(1, (VALUE(LEFT(fesp!$A:$A,6))=VALUE(LEFT(B261,6)))*(fesp!$C:$C=C261), 0)), "")</f>
        <v>3529</v>
      </c>
      <c r="P261" cm="1">
        <f t="array" ref="P261">IFERROR(INDEX(fesp!$G:$G, MATCH(1, (VALUE(LEFT(fesp!$A:$A,6))=VALUE(LEFT(B261,6)))*(fesp!$C:$C=C261), 0)), "")</f>
        <v>3824341</v>
      </c>
      <c r="Q261" cm="1">
        <f t="array" ref="Q261">IFERROR(INDEX(fesp!$H:$H, MATCH(1, (VALUE(LEFT(fesp!$A:$A,6))=VALUE(LEFT(B261,6)))*(fesp!$C:$C=C261), 0)), "")</f>
        <v>55</v>
      </c>
      <c r="R261" cm="1">
        <f t="array" ref="R261">IFERROR(INDEX(fesp!$I:$I, MATCH(1, (VALUE(LEFT(fesp!$A:$A,6))=VALUE(LEFT(B261,6)))*(fesp!$C:$C=C261), 0)), "")</f>
        <v>2386</v>
      </c>
      <c r="S261" cm="1">
        <f t="array" aca="1" ref="S261" ca="1">IFERROR(INDEX(fesp!$J:$J, MATCH(1, (VALUE(LEFT(fesp!$A:$A,6))=VALUE(LEFT(B261,6)))*(fesp!$C:$C=C261), 0)), "")</f>
        <v>0</v>
      </c>
    </row>
    <row r="262" spans="1:19">
      <c r="A262" s="1" t="s">
        <v>79</v>
      </c>
      <c r="B262" s="3" t="s">
        <v>78</v>
      </c>
      <c r="C262" s="3">
        <v>2022</v>
      </c>
      <c r="D262" cm="1">
        <f t="array" ref="D262">IFERROR(INDEX(fesp!$D:$D, MATCH(1, (VALUE(LEFT(fesp!$A:$A,6))=VALUE(LEFT(B262,6)))*(fesp!$C:$C=C262), 0)), "")</f>
        <v>540756</v>
      </c>
      <c r="E262" cm="1">
        <f t="array" aca="1" ref="E262" ca="1">IFERROR(INDEX(ft_medicos_clinicos!$C:$C, MATCH(1, (VALUE(LEFT(ft_medicos_clinicos!$A:$A,6))=VALUE(LEFT(B262,6)))*(ft_medicos_clinicos!$B:$B=C262), 0)), "")</f>
        <v>801</v>
      </c>
      <c r="F262" cm="1">
        <f t="array" aca="1" ref="F262" ca="1">IFERROR(INDEX(ft_enfermeiros!$C:$C, MATCH(1, (VALUE(LEFT(ft_enfermeiros!$A:$A,6))=VALUE(LEFT(B262,6)))*(ft_enfermeiros!$B:$B=C262), 0)), "")</f>
        <v>1104</v>
      </c>
      <c r="G262" t="str" cm="1">
        <f t="array" aca="1" ref="G262" ca="1">IFERROR(INDEX(ft_equipes_acs!$C:$C, MATCH(1, (VALUE(LEFT(ft_equipes_acs!$A:$A,6))=VALUE(LEFT(B262,6)))*(ft_equipes_acs!$B:$B=C262), 0)), "")</f>
        <v>-</v>
      </c>
      <c r="H262" cm="1">
        <f t="array" aca="1" ref="H262" ca="1">IFERROR(INDEX(ci_leitos_internacao!$C:$C, MATCH(1, (VALUE(LEFT(ci_leitos_internacao!$A:$A,6))=VALUE(LEFT(B262,6)))*(ci_leitos_internacao!$B:$B=C262), 0)), "")</f>
        <v>2482</v>
      </c>
      <c r="I262" cm="1">
        <f t="array" aca="1" ref="I262" ca="1">IFERROR(INDEX(ci_hospitais_internacao!$C:$C, MATCH(1, (VALUE(LEFT(ci_hospitais_internacao!$A:$A,6))=VALUE(LEFT(B262,6)))*(ci_hospitais_internacao!$B:$B=C262), 0)), "")</f>
        <v>11</v>
      </c>
      <c r="J262" cm="1">
        <f t="array" aca="1" ref="J262" ca="1">IFERROR(INDEX(ci_pa_clinico!$C:$C, MATCH(1, (VALUE(LEFT(ci_pa_clinico!$A:$A,6))=VALUE(LEFT(B262,6)))*(ci_pa_clinico!$B:$B=C262), 0)), "")</f>
        <v>8</v>
      </c>
      <c r="K262" t="str" cm="1">
        <f t="array" aca="1" ref="K262" ca="1">IFERROR(INDEX(aps_equipes_esf!$C:$C, MATCH(1, (VALUE(LEFT(aps_equipes_esf!$A:$A,6))=VALUE(LEFT(B262,6)))*(aps_equipes_esf!$B:$B=C262), 0)), "")</f>
        <v>-</v>
      </c>
      <c r="L262" cm="1">
        <f t="array" aca="1" ref="L262" ca="1">IFERROR(INDEX(casos!$C:$C, MATCH(1, (VALUE(LEFT(casos!$A:$A,6))=VALUE(LEFT(B262,6)))*(casos!$B:$B=C262), 0)), "")</f>
        <v>117</v>
      </c>
      <c r="M262" cm="1">
        <f t="array" ref="M262">IFERROR(INDEX(srag!$D:$D, MATCH(1, (VALUE(LEFT(srag!$A:$A,6))=VALUE(LEFT(B262,6)))*(srag!$C:$C=C262), 0)), "")</f>
        <v>2208</v>
      </c>
      <c r="N262" cm="1">
        <f t="array" ref="N262">IFERROR(INDEX(fesp!$E:$E, MATCH(1, (VALUE(LEFT(fesp!$A:$A,6))=VALUE(LEFT(B262,6)))*(fesp!$C:$C=C262), 0)), "")</f>
        <v>246</v>
      </c>
      <c r="O262" cm="1">
        <f t="array" ref="O262">IFERROR(INDEX(fesp!$F:$F, MATCH(1, (VALUE(LEFT(fesp!$A:$A,6))=VALUE(LEFT(B262,6)))*(fesp!$C:$C=C262), 0)), "")</f>
        <v>4609</v>
      </c>
      <c r="P262" cm="1">
        <f t="array" ref="P262">IFERROR(INDEX(fesp!$G:$G, MATCH(1, (VALUE(LEFT(fesp!$A:$A,6))=VALUE(LEFT(B262,6)))*(fesp!$C:$C=C262), 0)), "")</f>
        <v>4159929</v>
      </c>
      <c r="Q262" cm="1">
        <f t="array" ref="Q262">IFERROR(INDEX(fesp!$H:$H, MATCH(1, (VALUE(LEFT(fesp!$A:$A,6))=VALUE(LEFT(B262,6)))*(fesp!$C:$C=C262), 0)), "")</f>
        <v>65</v>
      </c>
      <c r="R262" cm="1">
        <f t="array" ref="R262">IFERROR(INDEX(fesp!$I:$I, MATCH(1, (VALUE(LEFT(fesp!$A:$A,6))=VALUE(LEFT(B262,6)))*(fesp!$C:$C=C262), 0)), "")</f>
        <v>3465</v>
      </c>
      <c r="S262" cm="1">
        <f t="array" ref="S262">IFERROR(INDEX(fesp!$J:$J, MATCH(1, (VALUE(LEFT(fesp!$A:$A,6))=VALUE(LEFT(B262,6)))*(fesp!$C:$C=C262), 0)), "")</f>
        <v>3990</v>
      </c>
    </row>
    <row r="263" spans="1:19">
      <c r="A263" s="1" t="s">
        <v>79</v>
      </c>
      <c r="B263" s="3" t="s">
        <v>78</v>
      </c>
      <c r="C263" s="3">
        <v>2023</v>
      </c>
      <c r="D263" cm="1">
        <f t="array" ref="D263">IFERROR(INDEX(fesp!$D:$D, MATCH(1, (VALUE(LEFT(fesp!$A:$A,6))=VALUE(LEFT(B263,6)))*(fesp!$C:$C=C263), 0)), "")</f>
        <v>0</v>
      </c>
      <c r="E263" cm="1">
        <f t="array" aca="1" ref="E263" ca="1">IFERROR(INDEX(ft_medicos_clinicos!$C:$C, MATCH(1, (VALUE(LEFT(ft_medicos_clinicos!$A:$A,6))=VALUE(LEFT(B263,6)))*(ft_medicos_clinicos!$B:$B=C263), 0)), "")</f>
        <v>885</v>
      </c>
      <c r="F263" cm="1">
        <f t="array" aca="1" ref="F263" ca="1">IFERROR(INDEX(ft_enfermeiros!$C:$C, MATCH(1, (VALUE(LEFT(ft_enfermeiros!$A:$A,6))=VALUE(LEFT(B263,6)))*(ft_enfermeiros!$B:$B=C263), 0)), "")</f>
        <v>1292</v>
      </c>
      <c r="G263" t="str" cm="1">
        <f t="array" aca="1" ref="G263" ca="1">IFERROR(INDEX(ft_equipes_acs!$C:$C, MATCH(1, (VALUE(LEFT(ft_equipes_acs!$A:$A,6))=VALUE(LEFT(B263,6)))*(ft_equipes_acs!$B:$B=C263), 0)), "")</f>
        <v>-</v>
      </c>
      <c r="H263" cm="1">
        <f t="array" aca="1" ref="H263" ca="1">IFERROR(INDEX(ci_leitos_internacao!$C:$C, MATCH(1, (VALUE(LEFT(ci_leitos_internacao!$A:$A,6))=VALUE(LEFT(B263,6)))*(ci_leitos_internacao!$B:$B=C263), 0)), "")</f>
        <v>2501</v>
      </c>
      <c r="I263" cm="1">
        <f t="array" aca="1" ref="I263" ca="1">IFERROR(INDEX(ci_hospitais_internacao!$C:$C, MATCH(1, (VALUE(LEFT(ci_hospitais_internacao!$A:$A,6))=VALUE(LEFT(B263,6)))*(ci_hospitais_internacao!$B:$B=C263), 0)), "")</f>
        <v>11</v>
      </c>
      <c r="J263" cm="1">
        <f t="array" aca="1" ref="J263" ca="1">IFERROR(INDEX(ci_pa_clinico!$C:$C, MATCH(1, (VALUE(LEFT(ci_pa_clinico!$A:$A,6))=VALUE(LEFT(B263,6)))*(ci_pa_clinico!$B:$B=C263), 0)), "")</f>
        <v>8</v>
      </c>
      <c r="K263" t="str" cm="1">
        <f t="array" aca="1" ref="K263" ca="1">IFERROR(INDEX(aps_equipes_esf!$C:$C, MATCH(1, (VALUE(LEFT(aps_equipes_esf!$A:$A,6))=VALUE(LEFT(B263,6)))*(aps_equipes_esf!$B:$B=C263), 0)), "")</f>
        <v>-</v>
      </c>
      <c r="L263" cm="1">
        <f t="array" aca="1" ref="L263" ca="1">IFERROR(INDEX(casos!$C:$C, MATCH(1, (VALUE(LEFT(casos!$A:$A,6))=VALUE(LEFT(B263,6)))*(casos!$B:$B=C263), 0)), "")</f>
        <v>1630</v>
      </c>
      <c r="M263" cm="1">
        <f t="array" ref="M263">IFERROR(INDEX(srag!$D:$D, MATCH(1, (VALUE(LEFT(srag!$A:$A,6))=VALUE(LEFT(B263,6)))*(srag!$C:$C=C263), 0)), "")</f>
        <v>495</v>
      </c>
      <c r="N263" cm="1">
        <f t="array" ref="N263">IFERROR(INDEX(fesp!$E:$E, MATCH(1, (VALUE(LEFT(fesp!$A:$A,6))=VALUE(LEFT(B263,6)))*(fesp!$C:$C=C263), 0)), "")</f>
        <v>326</v>
      </c>
      <c r="O263" cm="1">
        <f t="array" aca="1" ref="O263" ca="1">IFERROR(INDEX(fesp!$F:$F, MATCH(1, (VALUE(LEFT(fesp!$A:$A,6))=VALUE(LEFT(B263,6)))*(fesp!$C:$C=C263), 0)), "")</f>
        <v>6388</v>
      </c>
      <c r="P263" cm="1">
        <f t="array" ref="P263">IFERROR(INDEX(fesp!$G:$G, MATCH(1, (VALUE(LEFT(fesp!$A:$A,6))=VALUE(LEFT(B263,6)))*(fesp!$C:$C=C263), 0)), "")</f>
        <v>3676045</v>
      </c>
      <c r="Q263" cm="1">
        <f t="array" ref="Q263">IFERROR(INDEX(fesp!$H:$H, MATCH(1, (VALUE(LEFT(fesp!$A:$A,6))=VALUE(LEFT(B263,6)))*(fesp!$C:$C=C263), 0)), "")</f>
        <v>103</v>
      </c>
      <c r="R263" cm="1">
        <f t="array" ref="R263">IFERROR(INDEX(fesp!$I:$I, MATCH(1, (VALUE(LEFT(fesp!$A:$A,6))=VALUE(LEFT(B263,6)))*(fesp!$C:$C=C263), 0)), "")</f>
        <v>2233</v>
      </c>
      <c r="S263" cm="1">
        <f t="array" aca="1" ref="S263" ca="1">IFERROR(INDEX(fesp!$J:$J, MATCH(1, (VALUE(LEFT(fesp!$A:$A,6))=VALUE(LEFT(B263,6)))*(fesp!$C:$C=C263), 0)), "")</f>
        <v>0</v>
      </c>
    </row>
    <row r="264" spans="1:19">
      <c r="A264" s="1" t="s">
        <v>79</v>
      </c>
      <c r="B264" s="3" t="s">
        <v>78</v>
      </c>
      <c r="C264" s="3">
        <v>2024</v>
      </c>
      <c r="D264" cm="1">
        <f t="array" ref="D264">IFERROR(INDEX(fesp!$D:$D, MATCH(1, (VALUE(LEFT(fesp!$A:$A,6))=VALUE(LEFT(B264,6)))*(fesp!$C:$C=C264), 0)), "")</f>
        <v>0</v>
      </c>
      <c r="E264" cm="1">
        <f t="array" aca="1" ref="E264" ca="1">IFERROR(INDEX(ft_medicos_clinicos!$C:$C, MATCH(1, (VALUE(LEFT(ft_medicos_clinicos!$A:$A,6))=VALUE(LEFT(B264,6)))*(ft_medicos_clinicos!$B:$B=C264), 0)), "")</f>
        <v>877</v>
      </c>
      <c r="F264" cm="1">
        <f t="array" aca="1" ref="F264" ca="1">IFERROR(INDEX(ft_enfermeiros!$C:$C, MATCH(1, (VALUE(LEFT(ft_enfermeiros!$A:$A,6))=VALUE(LEFT(B264,6)))*(ft_enfermeiros!$B:$B=C264), 0)), "")</f>
        <v>1463</v>
      </c>
      <c r="G264" t="str" cm="1">
        <f t="array" aca="1" ref="G264" ca="1">IFERROR(INDEX(ft_equipes_acs!$C:$C, MATCH(1, (VALUE(LEFT(ft_equipes_acs!$A:$A,6))=VALUE(LEFT(B264,6)))*(ft_equipes_acs!$B:$B=C264), 0)), "")</f>
        <v>-</v>
      </c>
      <c r="H264" cm="1">
        <f t="array" aca="1" ref="H264" ca="1">IFERROR(INDEX(ci_leitos_internacao!$C:$C, MATCH(1, (VALUE(LEFT(ci_leitos_internacao!$A:$A,6))=VALUE(LEFT(B264,6)))*(ci_leitos_internacao!$B:$B=C264), 0)), "")</f>
        <v>2444</v>
      </c>
      <c r="I264" cm="1">
        <f t="array" aca="1" ref="I264" ca="1">IFERROR(INDEX(ci_hospitais_internacao!$C:$C, MATCH(1, (VALUE(LEFT(ci_hospitais_internacao!$A:$A,6))=VALUE(LEFT(B264,6)))*(ci_hospitais_internacao!$B:$B=C264), 0)), "")</f>
        <v>11</v>
      </c>
      <c r="J264" cm="1">
        <f t="array" aca="1" ref="J264" ca="1">IFERROR(INDEX(ci_pa_clinico!$C:$C, MATCH(1, (VALUE(LEFT(ci_pa_clinico!$A:$A,6))=VALUE(LEFT(B264,6)))*(ci_pa_clinico!$B:$B=C264), 0)), "")</f>
        <v>8</v>
      </c>
      <c r="K264" t="str" cm="1">
        <f t="array" aca="1" ref="K264" ca="1">IFERROR(INDEX(aps_equipes_esf!$C:$C, MATCH(1, (VALUE(LEFT(aps_equipes_esf!$A:$A,6))=VALUE(LEFT(B264,6)))*(aps_equipes_esf!$B:$B=C264), 0)), "")</f>
        <v>-</v>
      </c>
      <c r="L264" cm="1">
        <f t="array" aca="1" ref="L264" ca="1">IFERROR(INDEX(casos!$C:$C, MATCH(1, (VALUE(LEFT(casos!$A:$A,6))=VALUE(LEFT(B264,6)))*(casos!$B:$B=C264), 0)), "")</f>
        <v>24025</v>
      </c>
      <c r="M264" cm="1">
        <f t="array" ref="M264">IFERROR(INDEX(srag!$D:$D, MATCH(1, (VALUE(LEFT(srag!$A:$A,6))=VALUE(LEFT(B264,6)))*(srag!$C:$C=C264), 0)), "")</f>
        <v>193</v>
      </c>
      <c r="N264" cm="1">
        <f t="array" ref="N264">IFERROR(INDEX(fesp!$E:$E, MATCH(1, (VALUE(LEFT(fesp!$A:$A,6))=VALUE(LEFT(B264,6)))*(fesp!$C:$C=C264), 0)), "")</f>
        <v>277</v>
      </c>
      <c r="O264" cm="1">
        <f t="array" aca="1" ref="O264" ca="1">IFERROR(INDEX(fesp!$F:$F, MATCH(1, (VALUE(LEFT(fesp!$A:$A,6))=VALUE(LEFT(B264,6)))*(fesp!$C:$C=C264), 0)), "")</f>
        <v>7662</v>
      </c>
      <c r="P264" cm="1">
        <f t="array" ref="P264">IFERROR(INDEX(fesp!$G:$G, MATCH(1, (VALUE(LEFT(fesp!$A:$A,6))=VALUE(LEFT(B264,6)))*(fesp!$C:$C=C264), 0)), "")</f>
        <v>4184797</v>
      </c>
      <c r="Q264" cm="1">
        <f t="array" aca="1" ref="Q264" ca="1">IFERROR(INDEX(fesp!$H:$H, MATCH(1, (VALUE(LEFT(fesp!$A:$A,6))=VALUE(LEFT(B264,6)))*(fesp!$C:$C=C264), 0)), "")</f>
        <v>67</v>
      </c>
      <c r="R264" cm="1">
        <f t="array" ref="R264">IFERROR(INDEX(fesp!$I:$I, MATCH(1, (VALUE(LEFT(fesp!$A:$A,6))=VALUE(LEFT(B264,6)))*(fesp!$C:$C=C264), 0)), "")</f>
        <v>2168</v>
      </c>
      <c r="S264" cm="1">
        <f t="array" aca="1" ref="S264" ca="1">IFERROR(INDEX(fesp!$J:$J, MATCH(1, (VALUE(LEFT(fesp!$A:$A,6))=VALUE(LEFT(B264,6)))*(fesp!$C:$C=C264), 0)), "")</f>
        <v>0</v>
      </c>
    </row>
    <row r="265" spans="1:19">
      <c r="A265" s="1" t="s">
        <v>79</v>
      </c>
      <c r="B265" s="3">
        <v>3136702</v>
      </c>
      <c r="C265" s="3">
        <v>2025</v>
      </c>
      <c r="D265" cm="1">
        <f t="array" ref="D265">IFERROR(INDEX(fesp!$D:$D, MATCH(1, (VALUE(LEFT(fesp!$A:$A,6))=VALUE(LEFT(B265,6)))*(fesp!$C:$C=C265), 0)), "")</f>
        <v>0</v>
      </c>
      <c r="E265" cm="1">
        <f t="array" aca="1" ref="E265" ca="1">IFERROR(INDEX(ft_medicos_clinicos!$C:$C, MATCH(1, (VALUE(LEFT(ft_medicos_clinicos!$A:$A,6))=VALUE(LEFT(B265,6)))*(ft_medicos_clinicos!$B:$B=C265), 0)), "")</f>
        <v>938</v>
      </c>
      <c r="F265" cm="1">
        <f t="array" aca="1" ref="F265" ca="1">IFERROR(INDEX(ft_enfermeiros!$C:$C, MATCH(1, (VALUE(LEFT(ft_enfermeiros!$A:$A,6))=VALUE(LEFT(B265,6)))*(ft_enfermeiros!$B:$B=C265), 0)), "")</f>
        <v>1506</v>
      </c>
      <c r="G265" t="str" cm="1">
        <f t="array" aca="1" ref="G265" ca="1">IFERROR(INDEX(ft_equipes_acs!$C:$C, MATCH(1, (VALUE(LEFT(ft_equipes_acs!$A:$A,6))=VALUE(LEFT(B265,6)))*(ft_equipes_acs!$B:$B=C265), 0)), "")</f>
        <v>-</v>
      </c>
      <c r="H265" cm="1">
        <f t="array" aca="1" ref="H265" ca="1">IFERROR(INDEX(ci_leitos_internacao!$C:$C, MATCH(1, (VALUE(LEFT(ci_leitos_internacao!$A:$A,6))=VALUE(LEFT(B265,6)))*(ci_leitos_internacao!$B:$B=C265), 0)), "")</f>
        <v>2450</v>
      </c>
      <c r="I265" cm="1">
        <f t="array" aca="1" ref="I265" ca="1">IFERROR(INDEX(ci_hospitais_internacao!$C:$C, MATCH(1, (VALUE(LEFT(ci_hospitais_internacao!$A:$A,6))=VALUE(LEFT(B265,6)))*(ci_hospitais_internacao!$B:$B=C265), 0)), "")</f>
        <v>11</v>
      </c>
      <c r="J265" cm="1">
        <f t="array" aca="1" ref="J265" ca="1">IFERROR(INDEX(ci_pa_clinico!$C:$C, MATCH(1, (VALUE(LEFT(ci_pa_clinico!$A:$A,6))=VALUE(LEFT(B265,6)))*(ci_pa_clinico!$B:$B=C265), 0)), "")</f>
        <v>10</v>
      </c>
      <c r="K265" t="str" cm="1">
        <f t="array" aca="1" ref="K265" ca="1">IFERROR(INDEX(aps_equipes_esf!$C:$C, MATCH(1, (VALUE(LEFT(aps_equipes_esf!$A:$A,6))=VALUE(LEFT(B265,6)))*(aps_equipes_esf!$B:$B=C265), 0)), "")</f>
        <v>-</v>
      </c>
      <c r="L265" cm="1">
        <f t="array" aca="1" ref="L265" ca="1">IFERROR(INDEX(casos!$C:$C, MATCH(1, (VALUE(LEFT(casos!$A:$A,6))=VALUE(LEFT(B265,6)))*(casos!$B:$B=C265), 0)), "")</f>
        <v>4221</v>
      </c>
      <c r="M265" cm="1">
        <f t="array" ref="M265">IFERROR(INDEX(srag!$D:$D, MATCH(1, (VALUE(LEFT(srag!$A:$A,6))=VALUE(LEFT(B265,6)))*(srag!$C:$C=C265), 0)), "")</f>
        <v>263</v>
      </c>
      <c r="N265" cm="1">
        <f t="array" ref="N265">IFERROR(INDEX(fesp!$E:$E, MATCH(1, (VALUE(LEFT(fesp!$A:$A,6))=VALUE(LEFT(B265,6)))*(fesp!$C:$C=C265), 0)), "")</f>
        <v>248</v>
      </c>
      <c r="O265" cm="1">
        <f t="array" aca="1" ref="O265" ca="1">IFERROR(INDEX(fesp!$F:$F, MATCH(1, (VALUE(LEFT(fesp!$A:$A,6))=VALUE(LEFT(B265,6)))*(fesp!$C:$C=C265), 0)), "")</f>
        <v>7857</v>
      </c>
      <c r="P265" cm="1">
        <f t="array" ref="P265">IFERROR(INDEX(fesp!$G:$G, MATCH(1, (VALUE(LEFT(fesp!$A:$A,6))=VALUE(LEFT(B265,6)))*(fesp!$C:$C=C265), 0)), "")</f>
        <v>3621131</v>
      </c>
      <c r="Q265" cm="1">
        <f t="array" aca="1" ref="Q265" ca="1">IFERROR(INDEX(fesp!$H:$H, MATCH(1, (VALUE(LEFT(fesp!$A:$A,6))=VALUE(LEFT(B265,6)))*(fesp!$C:$C=C265), 0)), "")</f>
        <v>30</v>
      </c>
      <c r="R265" cm="1">
        <f t="array" ref="R265">IFERROR(INDEX(fesp!$I:$I, MATCH(1, (VALUE(LEFT(fesp!$A:$A,6))=VALUE(LEFT(B265,6)))*(fesp!$C:$C=C265), 0)), "")</f>
        <v>2675</v>
      </c>
      <c r="S265" cm="1">
        <f t="array" aca="1" ref="S265" ca="1">IFERROR(INDEX(fesp!$J:$J, MATCH(1, (VALUE(LEFT(fesp!$A:$A,6))=VALUE(LEFT(B265,6)))*(fesp!$C:$C=C265), 0)), "")</f>
        <v>32090</v>
      </c>
    </row>
    <row r="266" spans="1:19">
      <c r="A266" s="1" t="s">
        <v>113</v>
      </c>
      <c r="B266" s="3">
        <v>3143302</v>
      </c>
      <c r="C266" s="3">
        <v>2015</v>
      </c>
      <c r="D266" cm="1">
        <f t="array" ref="D266">IFERROR(INDEX(fesp!$D:$D, MATCH(1, (VALUE(LEFT(fesp!$A:$A,6))=VALUE(LEFT(B266,6)))*(fesp!$C:$C=C266), 0)), "")</f>
        <v>394350</v>
      </c>
      <c r="E266" cm="1">
        <f t="array" aca="1" ref="E266" ca="1">IFERROR(INDEX(ft_medicos_clinicos!$C:$C, MATCH(1, (VALUE(LEFT(ft_medicos_clinicos!$A:$A,6))=VALUE(LEFT(B266,6)))*(ft_medicos_clinicos!$B:$B=C266), 0)), "")</f>
        <v>468</v>
      </c>
      <c r="F266" cm="1">
        <f t="array" aca="1" ref="F266" ca="1">IFERROR(INDEX(ft_enfermeiros!$C:$C, MATCH(1, (VALUE(LEFT(ft_enfermeiros!$A:$A,6))=VALUE(LEFT(B266,6)))*(ft_enfermeiros!$B:$B=C266), 0)), "")</f>
        <v>319</v>
      </c>
      <c r="G266" cm="1">
        <f t="array" aca="1" ref="G266" ca="1">IFERROR(INDEX(ft_equipes_acs!$C:$C, MATCH(1, (VALUE(LEFT(ft_equipes_acs!$A:$A,6))=VALUE(LEFT(B266,6)))*(ft_equipes_acs!$B:$B=C266), 0)), "")</f>
        <v>2</v>
      </c>
      <c r="H266" cm="1">
        <f t="array" aca="1" ref="H266" ca="1">IFERROR(INDEX(ci_leitos_internacao!$C:$C, MATCH(1, (VALUE(LEFT(ci_leitos_internacao!$A:$A,6))=VALUE(LEFT(B266,6)))*(ci_leitos_internacao!$B:$B=C266), 0)), "")</f>
        <v>1160</v>
      </c>
      <c r="I266" cm="1">
        <f t="array" aca="1" ref="I266" ca="1">IFERROR(INDEX(ci_hospitais_internacao!$C:$C, MATCH(1, (VALUE(LEFT(ci_hospitais_internacao!$A:$A,6))=VALUE(LEFT(B266,6)))*(ci_hospitais_internacao!$B:$B=C266), 0)), "")</f>
        <v>5</v>
      </c>
      <c r="J266" cm="1">
        <f t="array" aca="1" ref="J266" ca="1">IFERROR(INDEX(ci_pa_clinico!$C:$C, MATCH(1, (VALUE(LEFT(ci_pa_clinico!$A:$A,6))=VALUE(LEFT(B266,6)))*(ci_pa_clinico!$B:$B=C266), 0)), "")</f>
        <v>4</v>
      </c>
      <c r="K266" cm="1">
        <f t="array" aca="1" ref="K266" ca="1">IFERROR(INDEX(aps_equipes_esf!$C:$C, MATCH(1, (VALUE(LEFT(aps_equipes_esf!$A:$A,6))=VALUE(LEFT(B266,6)))*(aps_equipes_esf!$B:$B=C266), 0)), "")</f>
        <v>48</v>
      </c>
      <c r="L266" cm="1">
        <f t="array" aca="1" ref="L266" ca="1">IFERROR(INDEX(casos!$C:$C, MATCH(1, (VALUE(LEFT(casos!$A:$A,6))=VALUE(LEFT(B266,6)))*(casos!$B:$B=C266), 0)), "")</f>
        <v>1268</v>
      </c>
      <c r="M266" cm="1">
        <f t="array" ref="M266">IFERROR(INDEX(srag!$D:$D, MATCH(1, (VALUE(LEFT(srag!$A:$A,6))=VALUE(LEFT(B266,6)))*(srag!$C:$C=C266), 0)), "")</f>
        <v>2</v>
      </c>
      <c r="N266" cm="1">
        <f t="array" ref="N266">IFERROR(INDEX(fesp!$E:$E, MATCH(1, (VALUE(LEFT(fesp!$A:$A,6))=VALUE(LEFT(B266,6)))*(fesp!$C:$C=C266), 0)), "")</f>
        <v>215</v>
      </c>
      <c r="O266" cm="1">
        <f t="array" aca="1" ref="O266" ca="1">IFERROR(INDEX(fesp!$F:$F, MATCH(1, (VALUE(LEFT(fesp!$A:$A,6))=VALUE(LEFT(B266,6)))*(fesp!$C:$C=C266), 0)), "")</f>
        <v>2047</v>
      </c>
      <c r="P266" cm="1">
        <f t="array" aca="1" ref="P266" ca="1">IFERROR(INDEX(fesp!$G:$G, MATCH(1, (VALUE(LEFT(fesp!$A:$A,6))=VALUE(LEFT(B266,6)))*(fesp!$C:$C=C266), 0)), "")</f>
        <v>1731510</v>
      </c>
      <c r="Q266" cm="1">
        <f t="array" aca="1" ref="Q266" ca="1">IFERROR(INDEX(fesp!$H:$H, MATCH(1, (VALUE(LEFT(fesp!$A:$A,6))=VALUE(LEFT(B266,6)))*(fesp!$C:$C=C266), 0)), "")</f>
        <v>116</v>
      </c>
      <c r="R266" cm="1">
        <f t="array" ref="R266">IFERROR(INDEX(fesp!$I:$I, MATCH(1, (VALUE(LEFT(fesp!$A:$A,6))=VALUE(LEFT(B266,6)))*(fesp!$C:$C=C266), 0)), "")</f>
        <v>4509</v>
      </c>
      <c r="S266" cm="1">
        <f t="array" aca="1" ref="S266" ca="1">IFERROR(INDEX(fesp!$J:$J, MATCH(1, (VALUE(LEFT(fesp!$A:$A,6))=VALUE(LEFT(B266,6)))*(fesp!$C:$C=C266), 0)), "")</f>
        <v>295314</v>
      </c>
    </row>
    <row r="267" spans="1:19">
      <c r="A267" s="1" t="s">
        <v>113</v>
      </c>
      <c r="B267" s="3">
        <v>3143302</v>
      </c>
      <c r="C267" s="3">
        <v>2016</v>
      </c>
      <c r="D267" cm="1">
        <f t="array" ref="D267">IFERROR(INDEX(fesp!$D:$D, MATCH(1, (VALUE(LEFT(fesp!$A:$A,6))=VALUE(LEFT(B267,6)))*(fesp!$C:$C=C267), 0)), "")</f>
        <v>0</v>
      </c>
      <c r="E267" cm="1">
        <f t="array" aca="1" ref="E267" ca="1">IFERROR(INDEX(ft_medicos_clinicos!$C:$C, MATCH(1, (VALUE(LEFT(ft_medicos_clinicos!$A:$A,6))=VALUE(LEFT(B267,6)))*(ft_medicos_clinicos!$B:$B=C267), 0)), "")</f>
        <v>491</v>
      </c>
      <c r="F267" cm="1">
        <f t="array" aca="1" ref="F267" ca="1">IFERROR(INDEX(ft_enfermeiros!$C:$C, MATCH(1, (VALUE(LEFT(ft_enfermeiros!$A:$A,6))=VALUE(LEFT(B267,6)))*(ft_enfermeiros!$B:$B=C267), 0)), "")</f>
        <v>317</v>
      </c>
      <c r="G267" t="str" cm="1">
        <f t="array" aca="1" ref="G267" ca="1">IFERROR(INDEX(ft_equipes_acs!$C:$C, MATCH(1, (VALUE(LEFT(ft_equipes_acs!$A:$A,6))=VALUE(LEFT(B267,6)))*(ft_equipes_acs!$B:$B=C267), 0)), "")</f>
        <v>-</v>
      </c>
      <c r="H267" cm="1">
        <f t="array" aca="1" ref="H267" ca="1">IFERROR(INDEX(ci_leitos_internacao!$C:$C, MATCH(1, (VALUE(LEFT(ci_leitos_internacao!$A:$A,6))=VALUE(LEFT(B267,6)))*(ci_leitos_internacao!$B:$B=C267), 0)), "")</f>
        <v>1092</v>
      </c>
      <c r="I267" cm="1">
        <f t="array" aca="1" ref="I267" ca="1">IFERROR(INDEX(ci_hospitais_internacao!$C:$C, MATCH(1, (VALUE(LEFT(ci_hospitais_internacao!$A:$A,6))=VALUE(LEFT(B267,6)))*(ci_hospitais_internacao!$B:$B=C267), 0)), "")</f>
        <v>5</v>
      </c>
      <c r="J267" cm="1">
        <f t="array" aca="1" ref="J267" ca="1">IFERROR(INDEX(ci_pa_clinico!$C:$C, MATCH(1, (VALUE(LEFT(ci_pa_clinico!$A:$A,6))=VALUE(LEFT(B267,6)))*(ci_pa_clinico!$B:$B=C267), 0)), "")</f>
        <v>4</v>
      </c>
      <c r="K267" cm="1">
        <f t="array" aca="1" ref="K267" ca="1">IFERROR(INDEX(aps_equipes_esf!$C:$C, MATCH(1, (VALUE(LEFT(aps_equipes_esf!$A:$A,6))=VALUE(LEFT(B267,6)))*(aps_equipes_esf!$B:$B=C267), 0)), "")</f>
        <v>35</v>
      </c>
      <c r="L267" cm="1">
        <f t="array" aca="1" ref="L267" ca="1">IFERROR(INDEX(casos!$C:$C, MATCH(1, (VALUE(LEFT(casos!$A:$A,6))=VALUE(LEFT(B267,6)))*(casos!$B:$B=C267), 0)), "")</f>
        <v>2214</v>
      </c>
      <c r="M267" cm="1">
        <f t="array" ref="M267">IFERROR(INDEX(srag!$D:$D, MATCH(1, (VALUE(LEFT(srag!$A:$A,6))=VALUE(LEFT(B267,6)))*(srag!$C:$C=C267), 0)), "")</f>
        <v>26</v>
      </c>
      <c r="N267" cm="1">
        <f t="array" aca="1" ref="N267" ca="1">IFERROR(INDEX(fesp!$E:$E, MATCH(1, (VALUE(LEFT(fesp!$A:$A,6))=VALUE(LEFT(B267,6)))*(fesp!$C:$C=C267), 0)), "")</f>
        <v>178</v>
      </c>
      <c r="O267" cm="1">
        <f t="array" aca="1" ref="O267" ca="1">IFERROR(INDEX(fesp!$F:$F, MATCH(1, (VALUE(LEFT(fesp!$A:$A,6))=VALUE(LEFT(B267,6)))*(fesp!$C:$C=C267), 0)), "")</f>
        <v>842</v>
      </c>
      <c r="P267" cm="1">
        <f t="array" ref="P267">IFERROR(INDEX(fesp!$G:$G, MATCH(1, (VALUE(LEFT(fesp!$A:$A,6))=VALUE(LEFT(B267,6)))*(fesp!$C:$C=C267), 0)), "")</f>
        <v>1458670</v>
      </c>
      <c r="Q267" cm="1">
        <f t="array" aca="1" ref="Q267" ca="1">IFERROR(INDEX(fesp!$H:$H, MATCH(1, (VALUE(LEFT(fesp!$A:$A,6))=VALUE(LEFT(B267,6)))*(fesp!$C:$C=C267), 0)), "")</f>
        <v>171</v>
      </c>
      <c r="R267" cm="1">
        <f t="array" aca="1" ref="R267" ca="1">IFERROR(INDEX(fesp!$I:$I, MATCH(1, (VALUE(LEFT(fesp!$A:$A,6))=VALUE(LEFT(B267,6)))*(fesp!$C:$C=C267), 0)), "")</f>
        <v>7994</v>
      </c>
      <c r="S267" cm="1">
        <f t="array" aca="1" ref="S267" ca="1">IFERROR(INDEX(fesp!$J:$J, MATCH(1, (VALUE(LEFT(fesp!$A:$A,6))=VALUE(LEFT(B267,6)))*(fesp!$C:$C=C267), 0)), "")</f>
        <v>223442</v>
      </c>
    </row>
    <row r="268" spans="1:19">
      <c r="A268" s="1" t="s">
        <v>113</v>
      </c>
      <c r="B268" s="3" t="s">
        <v>112</v>
      </c>
      <c r="C268" s="3">
        <v>2017</v>
      </c>
      <c r="D268" cm="1">
        <f t="array" ref="D268">IFERROR(INDEX(fesp!$D:$D, MATCH(1, (VALUE(LEFT(fesp!$A:$A,6))=VALUE(LEFT(B268,6)))*(fesp!$C:$C=C268), 0)), "")</f>
        <v>0</v>
      </c>
      <c r="E268" cm="1">
        <f t="array" aca="1" ref="E268" ca="1">IFERROR(INDEX(ft_medicos_clinicos!$C:$C, MATCH(1, (VALUE(LEFT(ft_medicos_clinicos!$A:$A,6))=VALUE(LEFT(B268,6)))*(ft_medicos_clinicos!$B:$B=C268), 0)), "")</f>
        <v>531</v>
      </c>
      <c r="F268" cm="1">
        <f t="array" aca="1" ref="F268" ca="1">IFERROR(INDEX(ft_enfermeiros!$C:$C, MATCH(1, (VALUE(LEFT(ft_enfermeiros!$A:$A,6))=VALUE(LEFT(B268,6)))*(ft_enfermeiros!$B:$B=C268), 0)), "")</f>
        <v>327</v>
      </c>
      <c r="G268" t="str" cm="1">
        <f t="array" aca="1" ref="G268" ca="1">IFERROR(INDEX(ft_equipes_acs!$C:$C, MATCH(1, (VALUE(LEFT(ft_equipes_acs!$A:$A,6))=VALUE(LEFT(B268,6)))*(ft_equipes_acs!$B:$B=C268), 0)), "")</f>
        <v>-</v>
      </c>
      <c r="H268" cm="1">
        <f t="array" aca="1" ref="H268" ca="1">IFERROR(INDEX(ci_leitos_internacao!$C:$C, MATCH(1, (VALUE(LEFT(ci_leitos_internacao!$A:$A,6))=VALUE(LEFT(B268,6)))*(ci_leitos_internacao!$B:$B=C268), 0)), "")</f>
        <v>1090</v>
      </c>
      <c r="I268" cm="1">
        <f t="array" aca="1" ref="I268" ca="1">IFERROR(INDEX(ci_hospitais_internacao!$C:$C, MATCH(1, (VALUE(LEFT(ci_hospitais_internacao!$A:$A,6))=VALUE(LEFT(B268,6)))*(ci_hospitais_internacao!$B:$B=C268), 0)), "")</f>
        <v>6</v>
      </c>
      <c r="J268" cm="1">
        <f t="array" aca="1" ref="J268" ca="1">IFERROR(INDEX(ci_pa_clinico!$C:$C, MATCH(1, (VALUE(LEFT(ci_pa_clinico!$A:$A,6))=VALUE(LEFT(B268,6)))*(ci_pa_clinico!$B:$B=C268), 0)), "")</f>
        <v>4</v>
      </c>
      <c r="K268" cm="1">
        <f t="array" aca="1" ref="K268" ca="1">IFERROR(INDEX(aps_equipes_esf!$C:$C, MATCH(1, (VALUE(LEFT(aps_equipes_esf!$A:$A,6))=VALUE(LEFT(B268,6)))*(aps_equipes_esf!$B:$B=C268), 0)), "")</f>
        <v>37</v>
      </c>
      <c r="L268" cm="1">
        <f t="array" aca="1" ref="L268" ca="1">IFERROR(INDEX(casos!$C:$C, MATCH(1, (VALUE(LEFT(casos!$A:$A,6))=VALUE(LEFT(B268,6)))*(casos!$B:$B=C268), 0)), "")</f>
        <v>105</v>
      </c>
      <c r="M268" cm="1">
        <f t="array" ref="M268">IFERROR(INDEX(srag!$D:$D, MATCH(1, (VALUE(LEFT(srag!$A:$A,6))=VALUE(LEFT(B268,6)))*(srag!$C:$C=C268), 0)), "")</f>
        <v>19</v>
      </c>
      <c r="N268" cm="1">
        <f t="array" ref="N268">IFERROR(INDEX(fesp!$E:$E, MATCH(1, (VALUE(LEFT(fesp!$A:$A,6))=VALUE(LEFT(B268,6)))*(fesp!$C:$C=C268), 0)), "")</f>
        <v>214</v>
      </c>
      <c r="O268" cm="1">
        <f t="array" aca="1" ref="O268" ca="1">IFERROR(INDEX(fesp!$F:$F, MATCH(1, (VALUE(LEFT(fesp!$A:$A,6))=VALUE(LEFT(B268,6)))*(fesp!$C:$C=C268), 0)), "")</f>
        <v>1067</v>
      </c>
      <c r="P268" cm="1">
        <f t="array" aca="1" ref="P268" ca="1">IFERROR(INDEX(fesp!$G:$G, MATCH(1, (VALUE(LEFT(fesp!$A:$A,6))=VALUE(LEFT(B268,6)))*(fesp!$C:$C=C268), 0)), "")</f>
        <v>1525997</v>
      </c>
      <c r="Q268" cm="1">
        <f t="array" aca="1" ref="Q268" ca="1">IFERROR(INDEX(fesp!$H:$H, MATCH(1, (VALUE(LEFT(fesp!$A:$A,6))=VALUE(LEFT(B268,6)))*(fesp!$C:$C=C268), 0)), "")</f>
        <v>188</v>
      </c>
      <c r="R268" cm="1">
        <f t="array" ref="R268">IFERROR(INDEX(fesp!$I:$I, MATCH(1, (VALUE(LEFT(fesp!$A:$A,6))=VALUE(LEFT(B268,6)))*(fesp!$C:$C=C268), 0)), "")</f>
        <v>19424</v>
      </c>
      <c r="S268" cm="1">
        <f t="array" aca="1" ref="S268" ca="1">IFERROR(INDEX(fesp!$J:$J, MATCH(1, (VALUE(LEFT(fesp!$A:$A,6))=VALUE(LEFT(B268,6)))*(fesp!$C:$C=C268), 0)), "")</f>
        <v>164420</v>
      </c>
    </row>
    <row r="269" spans="1:19">
      <c r="A269" s="1" t="s">
        <v>113</v>
      </c>
      <c r="B269" s="3" t="s">
        <v>112</v>
      </c>
      <c r="C269" s="3">
        <v>2018</v>
      </c>
      <c r="D269" cm="1">
        <f t="array" ref="D269">IFERROR(INDEX(fesp!$D:$D, MATCH(1, (VALUE(LEFT(fesp!$A:$A,6))=VALUE(LEFT(B269,6)))*(fesp!$C:$C=C269), 0)), "")</f>
        <v>0</v>
      </c>
      <c r="E269" cm="1">
        <f t="array" aca="1" ref="E269" ca="1">IFERROR(INDEX(ft_medicos_clinicos!$C:$C, MATCH(1, (VALUE(LEFT(ft_medicos_clinicos!$A:$A,6))=VALUE(LEFT(B269,6)))*(ft_medicos_clinicos!$B:$B=C269), 0)), "")</f>
        <v>567</v>
      </c>
      <c r="F269" cm="1">
        <f t="array" aca="1" ref="F269" ca="1">IFERROR(INDEX(ft_enfermeiros!$C:$C, MATCH(1, (VALUE(LEFT(ft_enfermeiros!$A:$A,6))=VALUE(LEFT(B269,6)))*(ft_enfermeiros!$B:$B=C269), 0)), "")</f>
        <v>360</v>
      </c>
      <c r="G269" t="str" cm="1">
        <f t="array" aca="1" ref="G269" ca="1">IFERROR(INDEX(ft_equipes_acs!$C:$C, MATCH(1, (VALUE(LEFT(ft_equipes_acs!$A:$A,6))=VALUE(LEFT(B269,6)))*(ft_equipes_acs!$B:$B=C269), 0)), "")</f>
        <v>-</v>
      </c>
      <c r="H269" cm="1">
        <f t="array" aca="1" ref="H269" ca="1">IFERROR(INDEX(ci_leitos_internacao!$C:$C, MATCH(1, (VALUE(LEFT(ci_leitos_internacao!$A:$A,6))=VALUE(LEFT(B269,6)))*(ci_leitos_internacao!$B:$B=C269), 0)), "")</f>
        <v>904</v>
      </c>
      <c r="I269" cm="1">
        <f t="array" aca="1" ref="I269" ca="1">IFERROR(INDEX(ci_hospitais_internacao!$C:$C, MATCH(1, (VALUE(LEFT(ci_hospitais_internacao!$A:$A,6))=VALUE(LEFT(B269,6)))*(ci_hospitais_internacao!$B:$B=C269), 0)), "")</f>
        <v>6</v>
      </c>
      <c r="J269" cm="1">
        <f t="array" aca="1" ref="J269" ca="1">IFERROR(INDEX(ci_pa_clinico!$C:$C, MATCH(1, (VALUE(LEFT(ci_pa_clinico!$A:$A,6))=VALUE(LEFT(B269,6)))*(ci_pa_clinico!$B:$B=C269), 0)), "")</f>
        <v>4</v>
      </c>
      <c r="K269" cm="1">
        <f t="array" aca="1" ref="K269" ca="1">IFERROR(INDEX(aps_equipes_esf!$C:$C, MATCH(1, (VALUE(LEFT(aps_equipes_esf!$A:$A,6))=VALUE(LEFT(B269,6)))*(aps_equipes_esf!$B:$B=C269), 0)), "")</f>
        <v>37</v>
      </c>
      <c r="L269" cm="1">
        <f t="array" aca="1" ref="L269" ca="1">IFERROR(INDEX(casos!$C:$C, MATCH(1, (VALUE(LEFT(casos!$A:$A,6))=VALUE(LEFT(B269,6)))*(casos!$B:$B=C269), 0)), "")</f>
        <v>246</v>
      </c>
      <c r="M269" cm="1">
        <f t="array" ref="M269">IFERROR(INDEX(srag!$D:$D, MATCH(1, (VALUE(LEFT(srag!$A:$A,6))=VALUE(LEFT(B269,6)))*(srag!$C:$C=C269), 0)), "")</f>
        <v>49</v>
      </c>
      <c r="N269" cm="1">
        <f t="array" aca="1" ref="N269" ca="1">IFERROR(INDEX(fesp!$E:$E, MATCH(1, (VALUE(LEFT(fesp!$A:$A,6))=VALUE(LEFT(B269,6)))*(fesp!$C:$C=C269), 0)), "")</f>
        <v>175</v>
      </c>
      <c r="O269" cm="1">
        <f t="array" aca="1" ref="O269" ca="1">IFERROR(INDEX(fesp!$F:$F, MATCH(1, (VALUE(LEFT(fesp!$A:$A,6))=VALUE(LEFT(B269,6)))*(fesp!$C:$C=C269), 0)), "")</f>
        <v>920</v>
      </c>
      <c r="P269" cm="1">
        <f t="array" aca="1" ref="P269" ca="1">IFERROR(INDEX(fesp!$G:$G, MATCH(1, (VALUE(LEFT(fesp!$A:$A,6))=VALUE(LEFT(B269,6)))*(fesp!$C:$C=C269), 0)), "")</f>
        <v>1526775</v>
      </c>
      <c r="Q269" cm="1">
        <f t="array" aca="1" ref="Q269" ca="1">IFERROR(INDEX(fesp!$H:$H, MATCH(1, (VALUE(LEFT(fesp!$A:$A,6))=VALUE(LEFT(B269,6)))*(fesp!$C:$C=C269), 0)), "")</f>
        <v>94</v>
      </c>
      <c r="R269" cm="1">
        <f t="array" aca="1" ref="R269" ca="1">IFERROR(INDEX(fesp!$I:$I, MATCH(1, (VALUE(LEFT(fesp!$A:$A,6))=VALUE(LEFT(B269,6)))*(fesp!$C:$C=C269), 0)), "")</f>
        <v>2900</v>
      </c>
      <c r="S269" cm="1">
        <f t="array" aca="1" ref="S269" ca="1">IFERROR(INDEX(fesp!$J:$J, MATCH(1, (VALUE(LEFT(fesp!$A:$A,6))=VALUE(LEFT(B269,6)))*(fesp!$C:$C=C269), 0)), "")</f>
        <v>11916</v>
      </c>
    </row>
    <row r="270" spans="1:19">
      <c r="A270" s="1" t="s">
        <v>113</v>
      </c>
      <c r="B270" s="3" t="s">
        <v>112</v>
      </c>
      <c r="C270" s="3">
        <v>2019</v>
      </c>
      <c r="D270" cm="1">
        <f t="array" ref="D270">IFERROR(INDEX(fesp!$D:$D, MATCH(1, (VALUE(LEFT(fesp!$A:$A,6))=VALUE(LEFT(B270,6)))*(fesp!$C:$C=C270), 0)), "")</f>
        <v>0</v>
      </c>
      <c r="E270" cm="1">
        <f t="array" aca="1" ref="E270" ca="1">IFERROR(INDEX(ft_medicos_clinicos!$C:$C, MATCH(1, (VALUE(LEFT(ft_medicos_clinicos!$A:$A,6))=VALUE(LEFT(B270,6)))*(ft_medicos_clinicos!$B:$B=C270), 0)), "")</f>
        <v>544</v>
      </c>
      <c r="F270" cm="1">
        <f t="array" aca="1" ref="F270" ca="1">IFERROR(INDEX(ft_enfermeiros!$C:$C, MATCH(1, (VALUE(LEFT(ft_enfermeiros!$A:$A,6))=VALUE(LEFT(B270,6)))*(ft_enfermeiros!$B:$B=C270), 0)), "")</f>
        <v>389</v>
      </c>
      <c r="G270" t="str" cm="1">
        <f t="array" aca="1" ref="G270" ca="1">IFERROR(INDEX(ft_equipes_acs!$C:$C, MATCH(1, (VALUE(LEFT(ft_equipes_acs!$A:$A,6))=VALUE(LEFT(B270,6)))*(ft_equipes_acs!$B:$B=C270), 0)), "")</f>
        <v>-</v>
      </c>
      <c r="H270" cm="1">
        <f t="array" aca="1" ref="H270" ca="1">IFERROR(INDEX(ci_leitos_internacao!$C:$C, MATCH(1, (VALUE(LEFT(ci_leitos_internacao!$A:$A,6))=VALUE(LEFT(B270,6)))*(ci_leitos_internacao!$B:$B=C270), 0)), "")</f>
        <v>945</v>
      </c>
      <c r="I270" cm="1">
        <f t="array" aca="1" ref="I270" ca="1">IFERROR(INDEX(ci_hospitais_internacao!$C:$C, MATCH(1, (VALUE(LEFT(ci_hospitais_internacao!$A:$A,6))=VALUE(LEFT(B270,6)))*(ci_hospitais_internacao!$B:$B=C270), 0)), "")</f>
        <v>6</v>
      </c>
      <c r="J270" cm="1">
        <f t="array" aca="1" ref="J270" ca="1">IFERROR(INDEX(ci_pa_clinico!$C:$C, MATCH(1, (VALUE(LEFT(ci_pa_clinico!$A:$A,6))=VALUE(LEFT(B270,6)))*(ci_pa_clinico!$B:$B=C270), 0)), "")</f>
        <v>4</v>
      </c>
      <c r="K270" cm="1">
        <f t="array" aca="1" ref="K270" ca="1">IFERROR(INDEX(aps_equipes_esf!$C:$C, MATCH(1, (VALUE(LEFT(aps_equipes_esf!$A:$A,6))=VALUE(LEFT(B270,6)))*(aps_equipes_esf!$B:$B=C270), 0)), "")</f>
        <v>30</v>
      </c>
      <c r="L270" cm="1">
        <f t="array" aca="1" ref="L270" ca="1">IFERROR(INDEX(casos!$C:$C, MATCH(1, (VALUE(LEFT(casos!$A:$A,6))=VALUE(LEFT(B270,6)))*(casos!$B:$B=C270), 0)), "")</f>
        <v>8422</v>
      </c>
      <c r="M270" cm="1">
        <f t="array" ref="M270">IFERROR(INDEX(srag!$D:$D, MATCH(1, (VALUE(LEFT(srag!$A:$A,6))=VALUE(LEFT(B270,6)))*(srag!$C:$C=C270), 0)), "")</f>
        <v>62</v>
      </c>
      <c r="N270" cm="1">
        <f t="array" aca="1" ref="N270" ca="1">IFERROR(INDEX(fesp!$E:$E, MATCH(1, (VALUE(LEFT(fesp!$A:$A,6))=VALUE(LEFT(B270,6)))*(fesp!$C:$C=C270), 0)), "")</f>
        <v>209</v>
      </c>
      <c r="O270" cm="1">
        <f t="array" aca="1" ref="O270" ca="1">IFERROR(INDEX(fesp!$F:$F, MATCH(1, (VALUE(LEFT(fesp!$A:$A,6))=VALUE(LEFT(B270,6)))*(fesp!$C:$C=C270), 0)), "")</f>
        <v>1540</v>
      </c>
      <c r="P270" cm="1">
        <f t="array" aca="1" ref="P270" ca="1">IFERROR(INDEX(fesp!$G:$G, MATCH(1, (VALUE(LEFT(fesp!$A:$A,6))=VALUE(LEFT(B270,6)))*(fesp!$C:$C=C270), 0)), "")</f>
        <v>1862904</v>
      </c>
      <c r="Q270" cm="1">
        <f t="array" aca="1" ref="Q270" ca="1">IFERROR(INDEX(fesp!$H:$H, MATCH(1, (VALUE(LEFT(fesp!$A:$A,6))=VALUE(LEFT(B270,6)))*(fesp!$C:$C=C270), 0)), "")</f>
        <v>161</v>
      </c>
      <c r="R270" cm="1">
        <f t="array" aca="1" ref="R270" ca="1">IFERROR(INDEX(fesp!$I:$I, MATCH(1, (VALUE(LEFT(fesp!$A:$A,6))=VALUE(LEFT(B270,6)))*(fesp!$C:$C=C270), 0)), "")</f>
        <v>1680</v>
      </c>
      <c r="S270" cm="1">
        <f t="array" aca="1" ref="S270" ca="1">IFERROR(INDEX(fesp!$J:$J, MATCH(1, (VALUE(LEFT(fesp!$A:$A,6))=VALUE(LEFT(B270,6)))*(fesp!$C:$C=C270), 0)), "")</f>
        <v>50780</v>
      </c>
    </row>
    <row r="271" spans="1:19">
      <c r="A271" s="1" t="s">
        <v>113</v>
      </c>
      <c r="B271" s="3" t="s">
        <v>112</v>
      </c>
      <c r="C271" s="3">
        <v>2020</v>
      </c>
      <c r="D271" cm="1">
        <f t="array" ref="D271">IFERROR(INDEX(fesp!$D:$D, MATCH(1, (VALUE(LEFT(fesp!$A:$A,6))=VALUE(LEFT(B271,6)))*(fesp!$C:$C=C271), 0)), "")</f>
        <v>0</v>
      </c>
      <c r="E271" cm="1">
        <f t="array" aca="1" ref="E271" ca="1">IFERROR(INDEX(ft_medicos_clinicos!$C:$C, MATCH(1, (VALUE(LEFT(ft_medicos_clinicos!$A:$A,6))=VALUE(LEFT(B271,6)))*(ft_medicos_clinicos!$B:$B=C271), 0)), "")</f>
        <v>580</v>
      </c>
      <c r="F271" cm="1">
        <f t="array" aca="1" ref="F271" ca="1">IFERROR(INDEX(ft_enfermeiros!$C:$C, MATCH(1, (VALUE(LEFT(ft_enfermeiros!$A:$A,6))=VALUE(LEFT(B271,6)))*(ft_enfermeiros!$B:$B=C271), 0)), "")</f>
        <v>474</v>
      </c>
      <c r="G271" t="str" cm="1">
        <f t="array" aca="1" ref="G271" ca="1">IFERROR(INDEX(ft_equipes_acs!$C:$C, MATCH(1, (VALUE(LEFT(ft_equipes_acs!$A:$A,6))=VALUE(LEFT(B271,6)))*(ft_equipes_acs!$B:$B=C271), 0)), "")</f>
        <v>-</v>
      </c>
      <c r="H271" cm="1">
        <f t="array" aca="1" ref="H271" ca="1">IFERROR(INDEX(ci_leitos_internacao!$C:$C, MATCH(1, (VALUE(LEFT(ci_leitos_internacao!$A:$A,6))=VALUE(LEFT(B271,6)))*(ci_leitos_internacao!$B:$B=C271), 0)), "")</f>
        <v>898</v>
      </c>
      <c r="I271" cm="1">
        <f t="array" aca="1" ref="I271" ca="1">IFERROR(INDEX(ci_hospitais_internacao!$C:$C, MATCH(1, (VALUE(LEFT(ci_hospitais_internacao!$A:$A,6))=VALUE(LEFT(B271,6)))*(ci_hospitais_internacao!$B:$B=C271), 0)), "")</f>
        <v>6</v>
      </c>
      <c r="J271" cm="1">
        <f t="array" aca="1" ref="J271" ca="1">IFERROR(INDEX(ci_pa_clinico!$C:$C, MATCH(1, (VALUE(LEFT(ci_pa_clinico!$A:$A,6))=VALUE(LEFT(B271,6)))*(ci_pa_clinico!$B:$B=C271), 0)), "")</f>
        <v>5</v>
      </c>
      <c r="K271" t="str" cm="1">
        <f t="array" aca="1" ref="K271" ca="1">IFERROR(INDEX(aps_equipes_esf!$C:$C, MATCH(1, (VALUE(LEFT(aps_equipes_esf!$A:$A,6))=VALUE(LEFT(B271,6)))*(aps_equipes_esf!$B:$B=C271), 0)), "")</f>
        <v>-</v>
      </c>
      <c r="L271" cm="1">
        <f t="array" aca="1" ref="L271" ca="1">IFERROR(INDEX(casos!$C:$C, MATCH(1, (VALUE(LEFT(casos!$A:$A,6))=VALUE(LEFT(B271,6)))*(casos!$B:$B=C271), 0)), "")</f>
        <v>81</v>
      </c>
      <c r="M271" cm="1">
        <f t="array" ref="M271">IFERROR(INDEX(srag!$D:$D, MATCH(1, (VALUE(LEFT(srag!$A:$A,6))=VALUE(LEFT(B271,6)))*(srag!$C:$C=C271), 0)), "")</f>
        <v>1808</v>
      </c>
      <c r="N271" cm="1">
        <f t="array" aca="1" ref="N271" ca="1">IFERROR(INDEX(fesp!$E:$E, MATCH(1, (VALUE(LEFT(fesp!$A:$A,6))=VALUE(LEFT(B271,6)))*(fesp!$C:$C=C271), 0)), "")</f>
        <v>219</v>
      </c>
      <c r="O271" cm="1">
        <f t="array" aca="1" ref="O271" ca="1">IFERROR(INDEX(fesp!$F:$F, MATCH(1, (VALUE(LEFT(fesp!$A:$A,6))=VALUE(LEFT(B271,6)))*(fesp!$C:$C=C271), 0)), "")</f>
        <v>2110</v>
      </c>
      <c r="P271" cm="1">
        <f t="array" aca="1" ref="P271" ca="1">IFERROR(INDEX(fesp!$G:$G, MATCH(1, (VALUE(LEFT(fesp!$A:$A,6))=VALUE(LEFT(B271,6)))*(fesp!$C:$C=C271), 0)), "")</f>
        <v>1525262</v>
      </c>
      <c r="Q271" cm="1">
        <f t="array" aca="1" ref="Q271" ca="1">IFERROR(INDEX(fesp!$H:$H, MATCH(1, (VALUE(LEFT(fesp!$A:$A,6))=VALUE(LEFT(B271,6)))*(fesp!$C:$C=C271), 0)), "")</f>
        <v>93</v>
      </c>
      <c r="R271" cm="1">
        <f t="array" aca="1" ref="R271" ca="1">IFERROR(INDEX(fesp!$I:$I, MATCH(1, (VALUE(LEFT(fesp!$A:$A,6))=VALUE(LEFT(B271,6)))*(fesp!$C:$C=C271), 0)), "")</f>
        <v>3523</v>
      </c>
      <c r="S271" cm="1">
        <f t="array" aca="1" ref="S271" ca="1">IFERROR(INDEX(fesp!$J:$J, MATCH(1, (VALUE(LEFT(fesp!$A:$A,6))=VALUE(LEFT(B271,6)))*(fesp!$C:$C=C271), 0)), "")</f>
        <v>47978</v>
      </c>
    </row>
    <row r="272" spans="1:19">
      <c r="A272" s="1" t="s">
        <v>113</v>
      </c>
      <c r="B272" s="3" t="s">
        <v>112</v>
      </c>
      <c r="C272" s="3">
        <v>2021</v>
      </c>
      <c r="D272" cm="1">
        <f t="array" ref="D272">IFERROR(INDEX(fesp!$D:$D, MATCH(1, (VALUE(LEFT(fesp!$A:$A,6))=VALUE(LEFT(B272,6)))*(fesp!$C:$C=C272), 0)), "")</f>
        <v>0</v>
      </c>
      <c r="E272" cm="1">
        <f t="array" aca="1" ref="E272" ca="1">IFERROR(INDEX(ft_medicos_clinicos!$C:$C, MATCH(1, (VALUE(LEFT(ft_medicos_clinicos!$A:$A,6))=VALUE(LEFT(B272,6)))*(ft_medicos_clinicos!$B:$B=C272), 0)), "")</f>
        <v>624</v>
      </c>
      <c r="F272" cm="1">
        <f t="array" aca="1" ref="F272" ca="1">IFERROR(INDEX(ft_enfermeiros!$C:$C, MATCH(1, (VALUE(LEFT(ft_enfermeiros!$A:$A,6))=VALUE(LEFT(B272,6)))*(ft_enfermeiros!$B:$B=C272), 0)), "")</f>
        <v>512</v>
      </c>
      <c r="G272" t="str" cm="1">
        <f t="array" aca="1" ref="G272" ca="1">IFERROR(INDEX(ft_equipes_acs!$C:$C, MATCH(1, (VALUE(LEFT(ft_equipes_acs!$A:$A,6))=VALUE(LEFT(B272,6)))*(ft_equipes_acs!$B:$B=C272), 0)), "")</f>
        <v>-</v>
      </c>
      <c r="H272" cm="1">
        <f t="array" aca="1" ref="H272" ca="1">IFERROR(INDEX(ci_leitos_internacao!$C:$C, MATCH(1, (VALUE(LEFT(ci_leitos_internacao!$A:$A,6))=VALUE(LEFT(B272,6)))*(ci_leitos_internacao!$B:$B=C272), 0)), "")</f>
        <v>982</v>
      </c>
      <c r="I272" cm="1">
        <f t="array" aca="1" ref="I272" ca="1">IFERROR(INDEX(ci_hospitais_internacao!$C:$C, MATCH(1, (VALUE(LEFT(ci_hospitais_internacao!$A:$A,6))=VALUE(LEFT(B272,6)))*(ci_hospitais_internacao!$B:$B=C272), 0)), "")</f>
        <v>8</v>
      </c>
      <c r="J272" cm="1">
        <f t="array" aca="1" ref="J272" ca="1">IFERROR(INDEX(ci_pa_clinico!$C:$C, MATCH(1, (VALUE(LEFT(ci_pa_clinico!$A:$A,6))=VALUE(LEFT(B272,6)))*(ci_pa_clinico!$B:$B=C272), 0)), "")</f>
        <v>5</v>
      </c>
      <c r="K272" t="str" cm="1">
        <f t="array" aca="1" ref="K272" ca="1">IFERROR(INDEX(aps_equipes_esf!$C:$C, MATCH(1, (VALUE(LEFT(aps_equipes_esf!$A:$A,6))=VALUE(LEFT(B272,6)))*(aps_equipes_esf!$B:$B=C272), 0)), "")</f>
        <v>-</v>
      </c>
      <c r="L272" cm="1">
        <f t="array" aca="1" ref="L272" ca="1">IFERROR(INDEX(casos!$C:$C, MATCH(1, (VALUE(LEFT(casos!$A:$A,6))=VALUE(LEFT(B272,6)))*(casos!$B:$B=C272), 0)), "")</f>
        <v>31</v>
      </c>
      <c r="M272" cm="1">
        <f t="array" ref="M272">IFERROR(INDEX(srag!$D:$D, MATCH(1, (VALUE(LEFT(srag!$A:$A,6))=VALUE(LEFT(B272,6)))*(srag!$C:$C=C272), 0)), "")</f>
        <v>4050</v>
      </c>
      <c r="N272" cm="1">
        <f t="array" aca="1" ref="N272" ca="1">IFERROR(INDEX(fesp!$E:$E, MATCH(1, (VALUE(LEFT(fesp!$A:$A,6))=VALUE(LEFT(B272,6)))*(fesp!$C:$C=C272), 0)), "")</f>
        <v>206</v>
      </c>
      <c r="O272" cm="1">
        <f t="array" aca="1" ref="O272" ca="1">IFERROR(INDEX(fesp!$F:$F, MATCH(1, (VALUE(LEFT(fesp!$A:$A,6))=VALUE(LEFT(B272,6)))*(fesp!$C:$C=C272), 0)), "")</f>
        <v>2791</v>
      </c>
      <c r="P272" cm="1">
        <f t="array" aca="1" ref="P272" ca="1">IFERROR(INDEX(fesp!$G:$G, MATCH(1, (VALUE(LEFT(fesp!$A:$A,6))=VALUE(LEFT(B272,6)))*(fesp!$C:$C=C272), 0)), "")</f>
        <v>2062474</v>
      </c>
      <c r="Q272" cm="1">
        <f t="array" aca="1" ref="Q272" ca="1">IFERROR(INDEX(fesp!$H:$H, MATCH(1, (VALUE(LEFT(fesp!$A:$A,6))=VALUE(LEFT(B272,6)))*(fesp!$C:$C=C272), 0)), "")</f>
        <v>50</v>
      </c>
      <c r="R272" cm="1">
        <f t="array" aca="1" ref="R272" ca="1">IFERROR(INDEX(fesp!$I:$I, MATCH(1, (VALUE(LEFT(fesp!$A:$A,6))=VALUE(LEFT(B272,6)))*(fesp!$C:$C=C272), 0)), "")</f>
        <v>4662</v>
      </c>
      <c r="S272" cm="1">
        <f t="array" aca="1" ref="S272" ca="1">IFERROR(INDEX(fesp!$J:$J, MATCH(1, (VALUE(LEFT(fesp!$A:$A,6))=VALUE(LEFT(B272,6)))*(fesp!$C:$C=C272), 0)), "")</f>
        <v>78485</v>
      </c>
    </row>
    <row r="273" spans="1:19">
      <c r="A273" s="1" t="s">
        <v>113</v>
      </c>
      <c r="B273" s="3" t="s">
        <v>112</v>
      </c>
      <c r="C273" s="3">
        <v>2022</v>
      </c>
      <c r="D273" cm="1">
        <f t="array" ref="D273">IFERROR(INDEX(fesp!$D:$D, MATCH(1, (VALUE(LEFT(fesp!$A:$A,6))=VALUE(LEFT(B273,6)))*(fesp!$C:$C=C273), 0)), "")</f>
        <v>414240</v>
      </c>
      <c r="E273" cm="1">
        <f t="array" aca="1" ref="E273" ca="1">IFERROR(INDEX(ft_medicos_clinicos!$C:$C, MATCH(1, (VALUE(LEFT(ft_medicos_clinicos!$A:$A,6))=VALUE(LEFT(B273,6)))*(ft_medicos_clinicos!$B:$B=C273), 0)), "")</f>
        <v>665</v>
      </c>
      <c r="F273" cm="1">
        <f t="array" aca="1" ref="F273" ca="1">IFERROR(INDEX(ft_enfermeiros!$C:$C, MATCH(1, (VALUE(LEFT(ft_enfermeiros!$A:$A,6))=VALUE(LEFT(B273,6)))*(ft_enfermeiros!$B:$B=C273), 0)), "")</f>
        <v>574</v>
      </c>
      <c r="G273" t="str" cm="1">
        <f t="array" aca="1" ref="G273" ca="1">IFERROR(INDEX(ft_equipes_acs!$C:$C, MATCH(1, (VALUE(LEFT(ft_equipes_acs!$A:$A,6))=VALUE(LEFT(B273,6)))*(ft_equipes_acs!$B:$B=C273), 0)), "")</f>
        <v>-</v>
      </c>
      <c r="H273" cm="1">
        <f t="array" aca="1" ref="H273" ca="1">IFERROR(INDEX(ci_leitos_internacao!$C:$C, MATCH(1, (VALUE(LEFT(ci_leitos_internacao!$A:$A,6))=VALUE(LEFT(B273,6)))*(ci_leitos_internacao!$B:$B=C273), 0)), "")</f>
        <v>1004</v>
      </c>
      <c r="I273" cm="1">
        <f t="array" aca="1" ref="I273" ca="1">IFERROR(INDEX(ci_hospitais_internacao!$C:$C, MATCH(1, (VALUE(LEFT(ci_hospitais_internacao!$A:$A,6))=VALUE(LEFT(B273,6)))*(ci_hospitais_internacao!$B:$B=C273), 0)), "")</f>
        <v>7</v>
      </c>
      <c r="J273" cm="1">
        <f t="array" aca="1" ref="J273" ca="1">IFERROR(INDEX(ci_pa_clinico!$C:$C, MATCH(1, (VALUE(LEFT(ci_pa_clinico!$A:$A,6))=VALUE(LEFT(B273,6)))*(ci_pa_clinico!$B:$B=C273), 0)), "")</f>
        <v>5</v>
      </c>
      <c r="K273" t="str" cm="1">
        <f t="array" aca="1" ref="K273" ca="1">IFERROR(INDEX(aps_equipes_esf!$C:$C, MATCH(1, (VALUE(LEFT(aps_equipes_esf!$A:$A,6))=VALUE(LEFT(B273,6)))*(aps_equipes_esf!$B:$B=C273), 0)), "")</f>
        <v>-</v>
      </c>
      <c r="L273" cm="1">
        <f t="array" aca="1" ref="L273" ca="1">IFERROR(INDEX(casos!$C:$C, MATCH(1, (VALUE(LEFT(casos!$A:$A,6))=VALUE(LEFT(B273,6)))*(casos!$B:$B=C273), 0)), "")</f>
        <v>300</v>
      </c>
      <c r="M273" cm="1">
        <f t="array" ref="M273">IFERROR(INDEX(srag!$D:$D, MATCH(1, (VALUE(LEFT(srag!$A:$A,6))=VALUE(LEFT(B273,6)))*(srag!$C:$C=C273), 0)), "")</f>
        <v>1741</v>
      </c>
      <c r="N273" cm="1">
        <f t="array" aca="1" ref="N273" ca="1">IFERROR(INDEX(fesp!$E:$E, MATCH(1, (VALUE(LEFT(fesp!$A:$A,6))=VALUE(LEFT(B273,6)))*(fesp!$C:$C=C273), 0)), "")</f>
        <v>236</v>
      </c>
      <c r="O273" cm="1">
        <f t="array" aca="1" ref="O273" ca="1">IFERROR(INDEX(fesp!$F:$F, MATCH(1, (VALUE(LEFT(fesp!$A:$A,6))=VALUE(LEFT(B273,6)))*(fesp!$C:$C=C273), 0)), "")</f>
        <v>4733</v>
      </c>
      <c r="P273" cm="1">
        <f t="array" aca="1" ref="P273" ca="1">IFERROR(INDEX(fesp!$G:$G, MATCH(1, (VALUE(LEFT(fesp!$A:$A,6))=VALUE(LEFT(B273,6)))*(fesp!$C:$C=C273), 0)), "")</f>
        <v>2445111</v>
      </c>
      <c r="Q273" cm="1">
        <f t="array" aca="1" ref="Q273" ca="1">IFERROR(INDEX(fesp!$H:$H, MATCH(1, (VALUE(LEFT(fesp!$A:$A,6))=VALUE(LEFT(B273,6)))*(fesp!$C:$C=C273), 0)), "")</f>
        <v>32</v>
      </c>
      <c r="R273" cm="1">
        <f t="array" aca="1" ref="R273" ca="1">IFERROR(INDEX(fesp!$I:$I, MATCH(1, (VALUE(LEFT(fesp!$A:$A,6))=VALUE(LEFT(B273,6)))*(fesp!$C:$C=C273), 0)), "")</f>
        <v>1</v>
      </c>
      <c r="S273" cm="1">
        <f t="array" aca="1" ref="S273" ca="1">IFERROR(INDEX(fesp!$J:$J, MATCH(1, (VALUE(LEFT(fesp!$A:$A,6))=VALUE(LEFT(B273,6)))*(fesp!$C:$C=C273), 0)), "")</f>
        <v>45</v>
      </c>
    </row>
    <row r="274" spans="1:19">
      <c r="A274" s="1" t="s">
        <v>113</v>
      </c>
      <c r="B274" s="3" t="s">
        <v>112</v>
      </c>
      <c r="C274" s="3">
        <v>2023</v>
      </c>
      <c r="D274" cm="1">
        <f t="array" ref="D274">IFERROR(INDEX(fesp!$D:$D, MATCH(1, (VALUE(LEFT(fesp!$A:$A,6))=VALUE(LEFT(B274,6)))*(fesp!$C:$C=C274), 0)), "")</f>
        <v>0</v>
      </c>
      <c r="E274" cm="1">
        <f t="array" aca="1" ref="E274" ca="1">IFERROR(INDEX(ft_medicos_clinicos!$C:$C, MATCH(1, (VALUE(LEFT(ft_medicos_clinicos!$A:$A,6))=VALUE(LEFT(B274,6)))*(ft_medicos_clinicos!$B:$B=C274), 0)), "")</f>
        <v>709</v>
      </c>
      <c r="F274" cm="1">
        <f t="array" aca="1" ref="F274" ca="1">IFERROR(INDEX(ft_enfermeiros!$C:$C, MATCH(1, (VALUE(LEFT(ft_enfermeiros!$A:$A,6))=VALUE(LEFT(B274,6)))*(ft_enfermeiros!$B:$B=C274), 0)), "")</f>
        <v>697</v>
      </c>
      <c r="G274" t="str" cm="1">
        <f t="array" aca="1" ref="G274" ca="1">IFERROR(INDEX(ft_equipes_acs!$C:$C, MATCH(1, (VALUE(LEFT(ft_equipes_acs!$A:$A,6))=VALUE(LEFT(B274,6)))*(ft_equipes_acs!$B:$B=C274), 0)), "")</f>
        <v>-</v>
      </c>
      <c r="H274" cm="1">
        <f t="array" aca="1" ref="H274" ca="1">IFERROR(INDEX(ci_leitos_internacao!$C:$C, MATCH(1, (VALUE(LEFT(ci_leitos_internacao!$A:$A,6))=VALUE(LEFT(B274,6)))*(ci_leitos_internacao!$B:$B=C274), 0)), "")</f>
        <v>1008</v>
      </c>
      <c r="I274" cm="1">
        <f t="array" aca="1" ref="I274" ca="1">IFERROR(INDEX(ci_hospitais_internacao!$C:$C, MATCH(1, (VALUE(LEFT(ci_hospitais_internacao!$A:$A,6))=VALUE(LEFT(B274,6)))*(ci_hospitais_internacao!$B:$B=C274), 0)), "")</f>
        <v>7</v>
      </c>
      <c r="J274" cm="1">
        <f t="array" aca="1" ref="J274" ca="1">IFERROR(INDEX(ci_pa_clinico!$C:$C, MATCH(1, (VALUE(LEFT(ci_pa_clinico!$A:$A,6))=VALUE(LEFT(B274,6)))*(ci_pa_clinico!$B:$B=C274), 0)), "")</f>
        <v>5</v>
      </c>
      <c r="K274" t="str" cm="1">
        <f t="array" aca="1" ref="K274" ca="1">IFERROR(INDEX(aps_equipes_esf!$C:$C, MATCH(1, (VALUE(LEFT(aps_equipes_esf!$A:$A,6))=VALUE(LEFT(B274,6)))*(aps_equipes_esf!$B:$B=C274), 0)), "")</f>
        <v>-</v>
      </c>
      <c r="L274" cm="1">
        <f t="array" aca="1" ref="L274" ca="1">IFERROR(INDEX(casos!$C:$C, MATCH(1, (VALUE(LEFT(casos!$A:$A,6))=VALUE(LEFT(B274,6)))*(casos!$B:$B=C274), 0)), "")</f>
        <v>8526</v>
      </c>
      <c r="M274" cm="1">
        <f t="array" ref="M274">IFERROR(INDEX(srag!$D:$D, MATCH(1, (VALUE(LEFT(srag!$A:$A,6))=VALUE(LEFT(B274,6)))*(srag!$C:$C=C274), 0)), "")</f>
        <v>528</v>
      </c>
      <c r="N274" cm="1">
        <f t="array" aca="1" ref="N274" ca="1">IFERROR(INDEX(fesp!$E:$E, MATCH(1, (VALUE(LEFT(fesp!$A:$A,6))=VALUE(LEFT(B274,6)))*(fesp!$C:$C=C274), 0)), "")</f>
        <v>214</v>
      </c>
      <c r="O274" cm="1">
        <f t="array" aca="1" ref="O274" ca="1">IFERROR(INDEX(fesp!$F:$F, MATCH(1, (VALUE(LEFT(fesp!$A:$A,6))=VALUE(LEFT(B274,6)))*(fesp!$C:$C=C274), 0)), "")</f>
        <v>8771</v>
      </c>
      <c r="P274" cm="1">
        <f t="array" aca="1" ref="P274" ca="1">IFERROR(INDEX(fesp!$G:$G, MATCH(1, (VALUE(LEFT(fesp!$A:$A,6))=VALUE(LEFT(B274,6)))*(fesp!$C:$C=C274), 0)), "")</f>
        <v>2779769</v>
      </c>
      <c r="Q274" cm="1">
        <f t="array" aca="1" ref="Q274" ca="1">IFERROR(INDEX(fesp!$H:$H, MATCH(1, (VALUE(LEFT(fesp!$A:$A,6))=VALUE(LEFT(B274,6)))*(fesp!$C:$C=C274), 0)), "")</f>
        <v>57</v>
      </c>
      <c r="R274" cm="1">
        <f t="array" aca="1" ref="R274" ca="1">IFERROR(INDEX(fesp!$I:$I, MATCH(1, (VALUE(LEFT(fesp!$A:$A,6))=VALUE(LEFT(B274,6)))*(fesp!$C:$C=C274), 0)), "")</f>
        <v>4</v>
      </c>
      <c r="S274" cm="1">
        <f t="array" aca="1" ref="S274" ca="1">IFERROR(INDEX(fesp!$J:$J, MATCH(1, (VALUE(LEFT(fesp!$A:$A,6))=VALUE(LEFT(B274,6)))*(fesp!$C:$C=C274), 0)), "")</f>
        <v>53</v>
      </c>
    </row>
    <row r="275" spans="1:19">
      <c r="A275" s="1" t="s">
        <v>113</v>
      </c>
      <c r="B275" s="3" t="s">
        <v>112</v>
      </c>
      <c r="C275" s="3">
        <v>2024</v>
      </c>
      <c r="D275" cm="1">
        <f t="array" ref="D275">IFERROR(INDEX(fesp!$D:$D, MATCH(1, (VALUE(LEFT(fesp!$A:$A,6))=VALUE(LEFT(B275,6)))*(fesp!$C:$C=C275), 0)), "")</f>
        <v>0</v>
      </c>
      <c r="E275" cm="1">
        <f t="array" aca="1" ref="E275" ca="1">IFERROR(INDEX(ft_medicos_clinicos!$C:$C, MATCH(1, (VALUE(LEFT(ft_medicos_clinicos!$A:$A,6))=VALUE(LEFT(B275,6)))*(ft_medicos_clinicos!$B:$B=C275), 0)), "")</f>
        <v>814</v>
      </c>
      <c r="F275" cm="1">
        <f t="array" aca="1" ref="F275" ca="1">IFERROR(INDEX(ft_enfermeiros!$C:$C, MATCH(1, (VALUE(LEFT(ft_enfermeiros!$A:$A,6))=VALUE(LEFT(B275,6)))*(ft_enfermeiros!$B:$B=C275), 0)), "")</f>
        <v>738</v>
      </c>
      <c r="G275" t="str" cm="1">
        <f t="array" aca="1" ref="G275" ca="1">IFERROR(INDEX(ft_equipes_acs!$C:$C, MATCH(1, (VALUE(LEFT(ft_equipes_acs!$A:$A,6))=VALUE(LEFT(B275,6)))*(ft_equipes_acs!$B:$B=C275), 0)), "")</f>
        <v>-</v>
      </c>
      <c r="H275" cm="1">
        <f t="array" aca="1" ref="H275" ca="1">IFERROR(INDEX(ci_leitos_internacao!$C:$C, MATCH(1, (VALUE(LEFT(ci_leitos_internacao!$A:$A,6))=VALUE(LEFT(B275,6)))*(ci_leitos_internacao!$B:$B=C275), 0)), "")</f>
        <v>1045</v>
      </c>
      <c r="I275" cm="1">
        <f t="array" aca="1" ref="I275" ca="1">IFERROR(INDEX(ci_hospitais_internacao!$C:$C, MATCH(1, (VALUE(LEFT(ci_hospitais_internacao!$A:$A,6))=VALUE(LEFT(B275,6)))*(ci_hospitais_internacao!$B:$B=C275), 0)), "")</f>
        <v>9</v>
      </c>
      <c r="J275" cm="1">
        <f t="array" aca="1" ref="J275" ca="1">IFERROR(INDEX(ci_pa_clinico!$C:$C, MATCH(1, (VALUE(LEFT(ci_pa_clinico!$A:$A,6))=VALUE(LEFT(B275,6)))*(ci_pa_clinico!$B:$B=C275), 0)), "")</f>
        <v>5</v>
      </c>
      <c r="K275" t="str" cm="1">
        <f t="array" aca="1" ref="K275" ca="1">IFERROR(INDEX(aps_equipes_esf!$C:$C, MATCH(1, (VALUE(LEFT(aps_equipes_esf!$A:$A,6))=VALUE(LEFT(B275,6)))*(aps_equipes_esf!$B:$B=C275), 0)), "")</f>
        <v>-</v>
      </c>
      <c r="L275" cm="1">
        <f t="array" aca="1" ref="L275" ca="1">IFERROR(INDEX(casos!$C:$C, MATCH(1, (VALUE(LEFT(casos!$A:$A,6))=VALUE(LEFT(B275,6)))*(casos!$B:$B=C275), 0)), "")</f>
        <v>17417</v>
      </c>
      <c r="M275" cm="1">
        <f t="array" ref="M275">IFERROR(INDEX(srag!$D:$D, MATCH(1, (VALUE(LEFT(srag!$A:$A,6))=VALUE(LEFT(B275,6)))*(srag!$C:$C=C275), 0)), "")</f>
        <v>772</v>
      </c>
      <c r="N275" cm="1">
        <f t="array" aca="1" ref="N275" ca="1">IFERROR(INDEX(fesp!$E:$E, MATCH(1, (VALUE(LEFT(fesp!$A:$A,6))=VALUE(LEFT(B275,6)))*(fesp!$C:$C=C275), 0)), "")</f>
        <v>229</v>
      </c>
      <c r="O275" cm="1">
        <f t="array" aca="1" ref="O275" ca="1">IFERROR(INDEX(fesp!$F:$F, MATCH(1, (VALUE(LEFT(fesp!$A:$A,6))=VALUE(LEFT(B275,6)))*(fesp!$C:$C=C275), 0)), "")</f>
        <v>11723</v>
      </c>
      <c r="P275" cm="1">
        <f t="array" aca="1" ref="P275" ca="1">IFERROR(INDEX(fesp!$G:$G, MATCH(1, (VALUE(LEFT(fesp!$A:$A,6))=VALUE(LEFT(B275,6)))*(fesp!$C:$C=C275), 0)), "")</f>
        <v>3037569</v>
      </c>
      <c r="Q275" cm="1">
        <f t="array" aca="1" ref="Q275" ca="1">IFERROR(INDEX(fesp!$H:$H, MATCH(1, (VALUE(LEFT(fesp!$A:$A,6))=VALUE(LEFT(B275,6)))*(fesp!$C:$C=C275), 0)), "")</f>
        <v>35</v>
      </c>
      <c r="R275" cm="1">
        <f t="array" aca="1" ref="R275" ca="1">IFERROR(INDEX(fesp!$I:$I, MATCH(1, (VALUE(LEFT(fesp!$A:$A,6))=VALUE(LEFT(B275,6)))*(fesp!$C:$C=C275), 0)), "")</f>
        <v>119</v>
      </c>
      <c r="S275" cm="1">
        <f t="array" aca="1" ref="S275" ca="1">IFERROR(INDEX(fesp!$J:$J, MATCH(1, (VALUE(LEFT(fesp!$A:$A,6))=VALUE(LEFT(B275,6)))*(fesp!$C:$C=C275), 0)), "")</f>
        <v>34</v>
      </c>
    </row>
    <row r="276" spans="1:19">
      <c r="A276" s="1" t="s">
        <v>113</v>
      </c>
      <c r="B276" s="3" t="s">
        <v>112</v>
      </c>
      <c r="C276" s="3">
        <v>2025</v>
      </c>
      <c r="D276" cm="1">
        <f t="array" ref="D276">IFERROR(INDEX(fesp!$D:$D, MATCH(1, (VALUE(LEFT(fesp!$A:$A,6))=VALUE(LEFT(B276,6)))*(fesp!$C:$C=C276), 0)), "")</f>
        <v>0</v>
      </c>
      <c r="E276" cm="1">
        <f t="array" aca="1" ref="E276" ca="1">IFERROR(INDEX(ft_medicos_clinicos!$C:$C, MATCH(1, (VALUE(LEFT(ft_medicos_clinicos!$A:$A,6))=VALUE(LEFT(B276,6)))*(ft_medicos_clinicos!$B:$B=C276), 0)), "")</f>
        <v>856</v>
      </c>
      <c r="F276" cm="1">
        <f t="array" aca="1" ref="F276" ca="1">IFERROR(INDEX(ft_enfermeiros!$C:$C, MATCH(1, (VALUE(LEFT(ft_enfermeiros!$A:$A,6))=VALUE(LEFT(B276,6)))*(ft_enfermeiros!$B:$B=C276), 0)), "")</f>
        <v>778</v>
      </c>
      <c r="G276" t="str" cm="1">
        <f t="array" aca="1" ref="G276" ca="1">IFERROR(INDEX(ft_equipes_acs!$C:$C, MATCH(1, (VALUE(LEFT(ft_equipes_acs!$A:$A,6))=VALUE(LEFT(B276,6)))*(ft_equipes_acs!$B:$B=C276), 0)), "")</f>
        <v>-</v>
      </c>
      <c r="H276" cm="1">
        <f t="array" aca="1" ref="H276" ca="1">IFERROR(INDEX(ci_leitos_internacao!$C:$C, MATCH(1, (VALUE(LEFT(ci_leitos_internacao!$A:$A,6))=VALUE(LEFT(B276,6)))*(ci_leitos_internacao!$B:$B=C276), 0)), "")</f>
        <v>1078</v>
      </c>
      <c r="I276" cm="1">
        <f t="array" aca="1" ref="I276" ca="1">IFERROR(INDEX(ci_hospitais_internacao!$C:$C, MATCH(1, (VALUE(LEFT(ci_hospitais_internacao!$A:$A,6))=VALUE(LEFT(B276,6)))*(ci_hospitais_internacao!$B:$B=C276), 0)), "")</f>
        <v>8</v>
      </c>
      <c r="J276" cm="1">
        <f t="array" aca="1" ref="J276" ca="1">IFERROR(INDEX(ci_pa_clinico!$C:$C, MATCH(1, (VALUE(LEFT(ci_pa_clinico!$A:$A,6))=VALUE(LEFT(B276,6)))*(ci_pa_clinico!$B:$B=C276), 0)), "")</f>
        <v>5</v>
      </c>
      <c r="K276" t="str" cm="1">
        <f t="array" aca="1" ref="K276" ca="1">IFERROR(INDEX(aps_equipes_esf!$C:$C, MATCH(1, (VALUE(LEFT(aps_equipes_esf!$A:$A,6))=VALUE(LEFT(B276,6)))*(aps_equipes_esf!$B:$B=C276), 0)), "")</f>
        <v>-</v>
      </c>
      <c r="L276" cm="1">
        <f t="array" aca="1" ref="L276" ca="1">IFERROR(INDEX(casos!$C:$C, MATCH(1, (VALUE(LEFT(casos!$A:$A,6))=VALUE(LEFT(B276,6)))*(casos!$B:$B=C276), 0)), "")</f>
        <v>570</v>
      </c>
      <c r="M276" cm="1">
        <f t="array" ref="M276">IFERROR(INDEX(srag!$D:$D, MATCH(1, (VALUE(LEFT(srag!$A:$A,6))=VALUE(LEFT(B276,6)))*(srag!$C:$C=C276), 0)), "")</f>
        <v>1066</v>
      </c>
      <c r="N276" cm="1">
        <f t="array" aca="1" ref="N276" ca="1">IFERROR(INDEX(fesp!$E:$E, MATCH(1, (VALUE(LEFT(fesp!$A:$A,6))=VALUE(LEFT(B276,6)))*(fesp!$C:$C=C276), 0)), "")</f>
        <v>262</v>
      </c>
      <c r="O276" cm="1">
        <f t="array" aca="1" ref="O276" ca="1">IFERROR(INDEX(fesp!$F:$F, MATCH(1, (VALUE(LEFT(fesp!$A:$A,6))=VALUE(LEFT(B276,6)))*(fesp!$C:$C=C276), 0)), "")</f>
        <v>6648</v>
      </c>
      <c r="P276" cm="1">
        <f t="array" aca="1" ref="P276" ca="1">IFERROR(INDEX(fesp!$G:$G, MATCH(1, (VALUE(LEFT(fesp!$A:$A,6))=VALUE(LEFT(B276,6)))*(fesp!$C:$C=C276), 0)), "")</f>
        <v>2438232</v>
      </c>
      <c r="Q276" cm="1">
        <f t="array" aca="1" ref="Q276" ca="1">IFERROR(INDEX(fesp!$H:$H, MATCH(1, (VALUE(LEFT(fesp!$A:$A,6))=VALUE(LEFT(B276,6)))*(fesp!$C:$C=C276), 0)), "")</f>
        <v>29</v>
      </c>
      <c r="R276" cm="1">
        <f t="array" aca="1" ref="R276" ca="1">IFERROR(INDEX(fesp!$I:$I, MATCH(1, (VALUE(LEFT(fesp!$A:$A,6))=VALUE(LEFT(B276,6)))*(fesp!$C:$C=C276), 0)), "")</f>
        <v>45</v>
      </c>
      <c r="S276" cm="1">
        <f t="array" aca="1" ref="S276" ca="1">IFERROR(INDEX(fesp!$J:$J, MATCH(1, (VALUE(LEFT(fesp!$A:$A,6))=VALUE(LEFT(B276,6)))*(fesp!$C:$C=C276), 0)), "")</f>
        <v>312</v>
      </c>
    </row>
    <row r="277" spans="1:19">
      <c r="A277" s="1" t="s">
        <v>53</v>
      </c>
      <c r="B277" s="3">
        <v>3170206</v>
      </c>
      <c r="C277" s="3">
        <v>2015</v>
      </c>
      <c r="D277" cm="1">
        <f t="array" ref="D277">IFERROR(INDEX(fesp!$D:$D, MATCH(1, (VALUE(LEFT(fesp!$A:$A,6))=VALUE(LEFT(B277,6)))*(fesp!$C:$C=C277), 0)), "")</f>
        <v>662362</v>
      </c>
      <c r="E277" cm="1">
        <f t="array" aca="1" ref="E277" ca="1">IFERROR(INDEX(ft_medicos_clinicos!$C:$C, MATCH(1, (VALUE(LEFT(ft_medicos_clinicos!$A:$A,6))=VALUE(LEFT(B277,6)))*(ft_medicos_clinicos!$B:$B=C277), 0)), "")</f>
        <v>367</v>
      </c>
      <c r="F277" cm="1">
        <f t="array" aca="1" ref="F277" ca="1">IFERROR(INDEX(ft_enfermeiros!$C:$C, MATCH(1, (VALUE(LEFT(ft_enfermeiros!$A:$A,6))=VALUE(LEFT(B277,6)))*(ft_enfermeiros!$B:$B=C277), 0)), "")</f>
        <v>610</v>
      </c>
      <c r="G277" cm="1">
        <f t="array" aca="1" ref="G277" ca="1">IFERROR(INDEX(ft_equipes_acs!$C:$C, MATCH(1, (VALUE(LEFT(ft_equipes_acs!$A:$A,6))=VALUE(LEFT(B277,6)))*(ft_equipes_acs!$B:$B=C277), 0)), "")</f>
        <v>4</v>
      </c>
      <c r="H277" cm="1">
        <f t="array" aca="1" ref="H277" ca="1">IFERROR(INDEX(ci_leitos_internacao!$C:$C, MATCH(1, (VALUE(LEFT(ci_leitos_internacao!$A:$A,6))=VALUE(LEFT(B277,6)))*(ci_leitos_internacao!$B:$B=C277), 0)), "")</f>
        <v>1281</v>
      </c>
      <c r="I277" cm="1">
        <f t="array" aca="1" ref="I277" ca="1">IFERROR(INDEX(ci_hospitais_internacao!$C:$C, MATCH(1, (VALUE(LEFT(ci_hospitais_internacao!$A:$A,6))=VALUE(LEFT(B277,6)))*(ci_hospitais_internacao!$B:$B=C277), 0)), "")</f>
        <v>6</v>
      </c>
      <c r="J277" t="str" cm="1">
        <f t="array" aca="1" ref="J277" ca="1">IFERROR(INDEX(ci_pa_clinico!$C:$C, MATCH(1, (VALUE(LEFT(ci_pa_clinico!$A:$A,6))=VALUE(LEFT(B277,6)))*(ci_pa_clinico!$B:$B=C277), 0)), "")</f>
        <v/>
      </c>
      <c r="K277" cm="1">
        <f t="array" aca="1" ref="K277" ca="1">IFERROR(INDEX(aps_equipes_esf!$C:$C, MATCH(1, (VALUE(LEFT(aps_equipes_esf!$A:$A,6))=VALUE(LEFT(B277,6)))*(aps_equipes_esf!$B:$B=C277), 0)), "")</f>
        <v>46</v>
      </c>
      <c r="L277" cm="1">
        <f t="array" aca="1" ref="L277" ca="1">IFERROR(INDEX(casos!$C:$C, MATCH(1, (VALUE(LEFT(casos!$A:$A,6))=VALUE(LEFT(B277,6)))*(casos!$B:$B=C277), 0)), "")</f>
        <v>16768</v>
      </c>
      <c r="M277" cm="1">
        <f t="array" ref="M277">IFERROR(INDEX(srag!$D:$D, MATCH(1, (VALUE(LEFT(srag!$A:$A,6))=VALUE(LEFT(B277,6)))*(srag!$C:$C=C277), 0)), "")</f>
        <v>33</v>
      </c>
      <c r="N277" cm="1">
        <f t="array" aca="1" ref="N277" ca="1">IFERROR(INDEX(fesp!$E:$E, MATCH(1, (VALUE(LEFT(fesp!$A:$A,6))=VALUE(LEFT(B277,6)))*(fesp!$C:$C=C277), 0)), "")</f>
        <v>191</v>
      </c>
      <c r="O277" cm="1">
        <f t="array" aca="1" ref="O277" ca="1">IFERROR(INDEX(fesp!$F:$F, MATCH(1, (VALUE(LEFT(fesp!$A:$A,6))=VALUE(LEFT(B277,6)))*(fesp!$C:$C=C277), 0)), "")</f>
        <v>6948</v>
      </c>
      <c r="P277" cm="1">
        <f t="array" aca="1" ref="P277" ca="1">IFERROR(INDEX(fesp!$G:$G, MATCH(1, (VALUE(LEFT(fesp!$A:$A,6))=VALUE(LEFT(B277,6)))*(fesp!$C:$C=C277), 0)), "")</f>
        <v>5242114</v>
      </c>
      <c r="Q277" cm="1">
        <f t="array" aca="1" ref="Q277" ca="1">IFERROR(INDEX(fesp!$H:$H, MATCH(1, (VALUE(LEFT(fesp!$A:$A,6))=VALUE(LEFT(B277,6)))*(fesp!$C:$C=C277), 0)), "")</f>
        <v>105</v>
      </c>
      <c r="R277" cm="1">
        <f t="array" aca="1" ref="R277" ca="1">IFERROR(INDEX(fesp!$I:$I, MATCH(1, (VALUE(LEFT(fesp!$A:$A,6))=VALUE(LEFT(B277,6)))*(fesp!$C:$C=C277), 0)), "")</f>
        <v>59223</v>
      </c>
      <c r="S277" cm="1">
        <f t="array" aca="1" ref="S277" ca="1">IFERROR(INDEX(fesp!$J:$J, MATCH(1, (VALUE(LEFT(fesp!$A:$A,6))=VALUE(LEFT(B277,6)))*(fesp!$C:$C=C277), 0)), "")</f>
        <v>751785</v>
      </c>
    </row>
    <row r="278" spans="1:19">
      <c r="A278" s="1" t="s">
        <v>53</v>
      </c>
      <c r="B278" s="3">
        <v>3170206</v>
      </c>
      <c r="C278" s="3">
        <v>2016</v>
      </c>
      <c r="D278" cm="1">
        <f t="array" ref="D278">IFERROR(INDEX(fesp!$D:$D, MATCH(1, (VALUE(LEFT(fesp!$A:$A,6))=VALUE(LEFT(B278,6)))*(fesp!$C:$C=C278), 0)), "")</f>
        <v>0</v>
      </c>
      <c r="E278" cm="1">
        <f t="array" aca="1" ref="E278" ca="1">IFERROR(INDEX(ft_medicos_clinicos!$C:$C, MATCH(1, (VALUE(LEFT(ft_medicos_clinicos!$A:$A,6))=VALUE(LEFT(B278,6)))*(ft_medicos_clinicos!$B:$B=C278), 0)), "")</f>
        <v>368</v>
      </c>
      <c r="F278" cm="1">
        <f t="array" aca="1" ref="F278" ca="1">IFERROR(INDEX(ft_enfermeiros!$C:$C, MATCH(1, (VALUE(LEFT(ft_enfermeiros!$A:$A,6))=VALUE(LEFT(B278,6)))*(ft_enfermeiros!$B:$B=C278), 0)), "")</f>
        <v>680</v>
      </c>
      <c r="G278" cm="1">
        <f t="array" aca="1" ref="G278" ca="1">IFERROR(INDEX(ft_equipes_acs!$C:$C, MATCH(1, (VALUE(LEFT(ft_equipes_acs!$A:$A,6))=VALUE(LEFT(B278,6)))*(ft_equipes_acs!$B:$B=C278), 0)), "")</f>
        <v>4</v>
      </c>
      <c r="H278" cm="1">
        <f t="array" aca="1" ref="H278" ca="1">IFERROR(INDEX(ci_leitos_internacao!$C:$C, MATCH(1, (VALUE(LEFT(ci_leitos_internacao!$A:$A,6))=VALUE(LEFT(B278,6)))*(ci_leitos_internacao!$B:$B=C278), 0)), "")</f>
        <v>1284</v>
      </c>
      <c r="I278" cm="1">
        <f t="array" aca="1" ref="I278" ca="1">IFERROR(INDEX(ci_hospitais_internacao!$C:$C, MATCH(1, (VALUE(LEFT(ci_hospitais_internacao!$A:$A,6))=VALUE(LEFT(B278,6)))*(ci_hospitais_internacao!$B:$B=C278), 0)), "")</f>
        <v>6</v>
      </c>
      <c r="J278" t="str" cm="1">
        <f t="array" aca="1" ref="J278" ca="1">IFERROR(INDEX(ci_pa_clinico!$C:$C, MATCH(1, (VALUE(LEFT(ci_pa_clinico!$A:$A,6))=VALUE(LEFT(B278,6)))*(ci_pa_clinico!$B:$B=C278), 0)), "")</f>
        <v/>
      </c>
      <c r="K278" cm="1">
        <f t="array" aca="1" ref="K278" ca="1">IFERROR(INDEX(aps_equipes_esf!$C:$C, MATCH(1, (VALUE(LEFT(aps_equipes_esf!$A:$A,6))=VALUE(LEFT(B278,6)))*(aps_equipes_esf!$B:$B=C278), 0)), "")</f>
        <v>44</v>
      </c>
      <c r="L278" cm="1">
        <f t="array" aca="1" ref="L278" ca="1">IFERROR(INDEX(casos!$C:$C, MATCH(1, (VALUE(LEFT(casos!$A:$A,6))=VALUE(LEFT(B278,6)))*(casos!$B:$B=C278), 0)), "")</f>
        <v>9465</v>
      </c>
      <c r="M278" cm="1">
        <f t="array" ref="M278">IFERROR(INDEX(srag!$D:$D, MATCH(1, (VALUE(LEFT(srag!$A:$A,6))=VALUE(LEFT(B278,6)))*(srag!$C:$C=C278), 0)), "")</f>
        <v>164</v>
      </c>
      <c r="N278" cm="1">
        <f t="array" aca="1" ref="N278" ca="1">IFERROR(INDEX(fesp!$E:$E, MATCH(1, (VALUE(LEFT(fesp!$A:$A,6))=VALUE(LEFT(B278,6)))*(fesp!$C:$C=C278), 0)), "")</f>
        <v>209</v>
      </c>
      <c r="O278" cm="1">
        <f t="array" aca="1" ref="O278" ca="1">IFERROR(INDEX(fesp!$F:$F, MATCH(1, (VALUE(LEFT(fesp!$A:$A,6))=VALUE(LEFT(B278,6)))*(fesp!$C:$C=C278), 0)), "")</f>
        <v>5808</v>
      </c>
      <c r="P278" cm="1">
        <f t="array" aca="1" ref="P278" ca="1">IFERROR(INDEX(fesp!$G:$G, MATCH(1, (VALUE(LEFT(fesp!$A:$A,6))=VALUE(LEFT(B278,6)))*(fesp!$C:$C=C278), 0)), "")</f>
        <v>5389436</v>
      </c>
      <c r="Q278" cm="1">
        <f t="array" aca="1" ref="Q278" ca="1">IFERROR(INDEX(fesp!$H:$H, MATCH(1, (VALUE(LEFT(fesp!$A:$A,6))=VALUE(LEFT(B278,6)))*(fesp!$C:$C=C278), 0)), "")</f>
        <v>112</v>
      </c>
      <c r="R278" cm="1">
        <f t="array" aca="1" ref="R278" ca="1">IFERROR(INDEX(fesp!$I:$I, MATCH(1, (VALUE(LEFT(fesp!$A:$A,6))=VALUE(LEFT(B278,6)))*(fesp!$C:$C=C278), 0)), "")</f>
        <v>67874</v>
      </c>
      <c r="S278" cm="1">
        <f t="array" aca="1" ref="S278" ca="1">IFERROR(INDEX(fesp!$J:$J, MATCH(1, (VALUE(LEFT(fesp!$A:$A,6))=VALUE(LEFT(B278,6)))*(fesp!$C:$C=C278), 0)), "")</f>
        <v>694925</v>
      </c>
    </row>
    <row r="279" spans="1:19">
      <c r="A279" s="1" t="s">
        <v>53</v>
      </c>
      <c r="B279" s="3" t="s">
        <v>52</v>
      </c>
      <c r="C279" s="3">
        <v>2017</v>
      </c>
      <c r="D279" cm="1">
        <f t="array" ref="D279">IFERROR(INDEX(fesp!$D:$D, MATCH(1, (VALUE(LEFT(fesp!$A:$A,6))=VALUE(LEFT(B279,6)))*(fesp!$C:$C=C279), 0)), "")</f>
        <v>0</v>
      </c>
      <c r="E279" cm="1">
        <f t="array" aca="1" ref="E279" ca="1">IFERROR(INDEX(ft_medicos_clinicos!$C:$C, MATCH(1, (VALUE(LEFT(ft_medicos_clinicos!$A:$A,6))=VALUE(LEFT(B279,6)))*(ft_medicos_clinicos!$B:$B=C279), 0)), "")</f>
        <v>387</v>
      </c>
      <c r="F279" cm="1">
        <f t="array" aca="1" ref="F279" ca="1">IFERROR(INDEX(ft_enfermeiros!$C:$C, MATCH(1, (VALUE(LEFT(ft_enfermeiros!$A:$A,6))=VALUE(LEFT(B279,6)))*(ft_enfermeiros!$B:$B=C279), 0)), "")</f>
        <v>688</v>
      </c>
      <c r="G279" cm="1">
        <f t="array" aca="1" ref="G279" ca="1">IFERROR(INDEX(ft_equipes_acs!$C:$C, MATCH(1, (VALUE(LEFT(ft_equipes_acs!$A:$A,6))=VALUE(LEFT(B279,6)))*(ft_equipes_acs!$B:$B=C279), 0)), "")</f>
        <v>4</v>
      </c>
      <c r="H279" cm="1">
        <f t="array" aca="1" ref="H279" ca="1">IFERROR(INDEX(ci_leitos_internacao!$C:$C, MATCH(1, (VALUE(LEFT(ci_leitos_internacao!$A:$A,6))=VALUE(LEFT(B279,6)))*(ci_leitos_internacao!$B:$B=C279), 0)), "")</f>
        <v>1288</v>
      </c>
      <c r="I279" cm="1">
        <f t="array" aca="1" ref="I279" ca="1">IFERROR(INDEX(ci_hospitais_internacao!$C:$C, MATCH(1, (VALUE(LEFT(ci_hospitais_internacao!$A:$A,6))=VALUE(LEFT(B279,6)))*(ci_hospitais_internacao!$B:$B=C279), 0)), "")</f>
        <v>6</v>
      </c>
      <c r="J279" t="str" cm="1">
        <f t="array" aca="1" ref="J279" ca="1">IFERROR(INDEX(ci_pa_clinico!$C:$C, MATCH(1, (VALUE(LEFT(ci_pa_clinico!$A:$A,6))=VALUE(LEFT(B279,6)))*(ci_pa_clinico!$B:$B=C279), 0)), "")</f>
        <v/>
      </c>
      <c r="K279" cm="1">
        <f t="array" aca="1" ref="K279" ca="1">IFERROR(INDEX(aps_equipes_esf!$C:$C, MATCH(1, (VALUE(LEFT(aps_equipes_esf!$A:$A,6))=VALUE(LEFT(B279,6)))*(aps_equipes_esf!$B:$B=C279), 0)), "")</f>
        <v>44</v>
      </c>
      <c r="L279" cm="1">
        <f t="array" aca="1" ref="L279" ca="1">IFERROR(INDEX(casos!$C:$C, MATCH(1, (VALUE(LEFT(casos!$A:$A,6))=VALUE(LEFT(B279,6)))*(casos!$B:$B=C279), 0)), "")</f>
        <v>1767</v>
      </c>
      <c r="M279" cm="1">
        <f t="array" ref="M279">IFERROR(INDEX(srag!$D:$D, MATCH(1, (VALUE(LEFT(srag!$A:$A,6))=VALUE(LEFT(B279,6)))*(srag!$C:$C=C279), 0)), "")</f>
        <v>64</v>
      </c>
      <c r="N279" cm="1">
        <f t="array" aca="1" ref="N279" ca="1">IFERROR(INDEX(fesp!$E:$E, MATCH(1, (VALUE(LEFT(fesp!$A:$A,6))=VALUE(LEFT(B279,6)))*(fesp!$C:$C=C279), 0)), "")</f>
        <v>302</v>
      </c>
      <c r="O279" cm="1">
        <f t="array" aca="1" ref="O279" ca="1">IFERROR(INDEX(fesp!$F:$F, MATCH(1, (VALUE(LEFT(fesp!$A:$A,6))=VALUE(LEFT(B279,6)))*(fesp!$C:$C=C279), 0)), "")</f>
        <v>6705</v>
      </c>
      <c r="P279" cm="1">
        <f t="array" aca="1" ref="P279" ca="1">IFERROR(INDEX(fesp!$G:$G, MATCH(1, (VALUE(LEFT(fesp!$A:$A,6))=VALUE(LEFT(B279,6)))*(fesp!$C:$C=C279), 0)), "")</f>
        <v>6105181</v>
      </c>
      <c r="Q279" cm="1">
        <f t="array" aca="1" ref="Q279" ca="1">IFERROR(INDEX(fesp!$H:$H, MATCH(1, (VALUE(LEFT(fesp!$A:$A,6))=VALUE(LEFT(B279,6)))*(fesp!$C:$C=C279), 0)), "")</f>
        <v>89</v>
      </c>
      <c r="R279" cm="1">
        <f t="array" aca="1" ref="R279" ca="1">IFERROR(INDEX(fesp!$I:$I, MATCH(1, (VALUE(LEFT(fesp!$A:$A,6))=VALUE(LEFT(B279,6)))*(fesp!$C:$C=C279), 0)), "")</f>
        <v>56552</v>
      </c>
      <c r="S279" cm="1">
        <f t="array" aca="1" ref="S279" ca="1">IFERROR(INDEX(fesp!$J:$J, MATCH(1, (VALUE(LEFT(fesp!$A:$A,6))=VALUE(LEFT(B279,6)))*(fesp!$C:$C=C279), 0)), "")</f>
        <v>551366</v>
      </c>
    </row>
    <row r="280" spans="1:19">
      <c r="A280" s="1" t="s">
        <v>53</v>
      </c>
      <c r="B280" s="3" t="s">
        <v>52</v>
      </c>
      <c r="C280" s="3">
        <v>2018</v>
      </c>
      <c r="D280" cm="1">
        <f t="array" ref="D280">IFERROR(INDEX(fesp!$D:$D, MATCH(1, (VALUE(LEFT(fesp!$A:$A,6))=VALUE(LEFT(B280,6)))*(fesp!$C:$C=C280), 0)), "")</f>
        <v>0</v>
      </c>
      <c r="E280" cm="1">
        <f t="array" aca="1" ref="E280" ca="1">IFERROR(INDEX(ft_medicos_clinicos!$C:$C, MATCH(1, (VALUE(LEFT(ft_medicos_clinicos!$A:$A,6))=VALUE(LEFT(B280,6)))*(ft_medicos_clinicos!$B:$B=C280), 0)), "")</f>
        <v>382</v>
      </c>
      <c r="F280" cm="1">
        <f t="array" aca="1" ref="F280" ca="1">IFERROR(INDEX(ft_enfermeiros!$C:$C, MATCH(1, (VALUE(LEFT(ft_enfermeiros!$A:$A,6))=VALUE(LEFT(B280,6)))*(ft_enfermeiros!$B:$B=C280), 0)), "")</f>
        <v>794</v>
      </c>
      <c r="G280" cm="1">
        <f t="array" aca="1" ref="G280" ca="1">IFERROR(INDEX(ft_equipes_acs!$C:$C, MATCH(1, (VALUE(LEFT(ft_equipes_acs!$A:$A,6))=VALUE(LEFT(B280,6)))*(ft_equipes_acs!$B:$B=C280), 0)), "")</f>
        <v>1</v>
      </c>
      <c r="H280" cm="1">
        <f t="array" aca="1" ref="H280" ca="1">IFERROR(INDEX(ci_leitos_internacao!$C:$C, MATCH(1, (VALUE(LEFT(ci_leitos_internacao!$A:$A,6))=VALUE(LEFT(B280,6)))*(ci_leitos_internacao!$B:$B=C280), 0)), "")</f>
        <v>1191</v>
      </c>
      <c r="I280" cm="1">
        <f t="array" aca="1" ref="I280" ca="1">IFERROR(INDEX(ci_hospitais_internacao!$C:$C, MATCH(1, (VALUE(LEFT(ci_hospitais_internacao!$A:$A,6))=VALUE(LEFT(B280,6)))*(ci_hospitais_internacao!$B:$B=C280), 0)), "")</f>
        <v>6</v>
      </c>
      <c r="J280" t="str" cm="1">
        <f t="array" aca="1" ref="J280" ca="1">IFERROR(INDEX(ci_pa_clinico!$C:$C, MATCH(1, (VALUE(LEFT(ci_pa_clinico!$A:$A,6))=VALUE(LEFT(B280,6)))*(ci_pa_clinico!$B:$B=C280), 0)), "")</f>
        <v/>
      </c>
      <c r="K280" cm="1">
        <f t="array" aca="1" ref="K280" ca="1">IFERROR(INDEX(aps_equipes_esf!$C:$C, MATCH(1, (VALUE(LEFT(aps_equipes_esf!$A:$A,6))=VALUE(LEFT(B280,6)))*(aps_equipes_esf!$B:$B=C280), 0)), "")</f>
        <v>46</v>
      </c>
      <c r="L280" cm="1">
        <f t="array" aca="1" ref="L280" ca="1">IFERROR(INDEX(casos!$C:$C, MATCH(1, (VALUE(LEFT(casos!$A:$A,6))=VALUE(LEFT(B280,6)))*(casos!$B:$B=C280), 0)), "")</f>
        <v>1969</v>
      </c>
      <c r="M280" cm="1">
        <f t="array" ref="M280">IFERROR(INDEX(srag!$D:$D, MATCH(1, (VALUE(LEFT(srag!$A:$A,6))=VALUE(LEFT(B280,6)))*(srag!$C:$C=C280), 0)), "")</f>
        <v>106</v>
      </c>
      <c r="N280" cm="1">
        <f t="array" aca="1" ref="N280" ca="1">IFERROR(INDEX(fesp!$E:$E, MATCH(1, (VALUE(LEFT(fesp!$A:$A,6))=VALUE(LEFT(B280,6)))*(fesp!$C:$C=C280), 0)), "")</f>
        <v>202</v>
      </c>
      <c r="O280" cm="1">
        <f t="array" aca="1" ref="O280" ca="1">IFERROR(INDEX(fesp!$F:$F, MATCH(1, (VALUE(LEFT(fesp!$A:$A,6))=VALUE(LEFT(B280,6)))*(fesp!$C:$C=C280), 0)), "")</f>
        <v>7050</v>
      </c>
      <c r="P280" cm="1">
        <f t="array" aca="1" ref="P280" ca="1">IFERROR(INDEX(fesp!$G:$G, MATCH(1, (VALUE(LEFT(fesp!$A:$A,6))=VALUE(LEFT(B280,6)))*(fesp!$C:$C=C280), 0)), "")</f>
        <v>6694153</v>
      </c>
      <c r="Q280" cm="1">
        <f t="array" aca="1" ref="Q280" ca="1">IFERROR(INDEX(fesp!$H:$H, MATCH(1, (VALUE(LEFT(fesp!$A:$A,6))=VALUE(LEFT(B280,6)))*(fesp!$C:$C=C280), 0)), "")</f>
        <v>82</v>
      </c>
      <c r="R280" cm="1">
        <f t="array" aca="1" ref="R280" ca="1">IFERROR(INDEX(fesp!$I:$I, MATCH(1, (VALUE(LEFT(fesp!$A:$A,6))=VALUE(LEFT(B280,6)))*(fesp!$C:$C=C280), 0)), "")</f>
        <v>21066</v>
      </c>
      <c r="S280" cm="1">
        <f t="array" aca="1" ref="S280" ca="1">IFERROR(INDEX(fesp!$J:$J, MATCH(1, (VALUE(LEFT(fesp!$A:$A,6))=VALUE(LEFT(B280,6)))*(fesp!$C:$C=C280), 0)), "")</f>
        <v>178351</v>
      </c>
    </row>
    <row r="281" spans="1:19">
      <c r="A281" s="1" t="s">
        <v>53</v>
      </c>
      <c r="B281" s="3" t="s">
        <v>52</v>
      </c>
      <c r="C281" s="3">
        <v>2019</v>
      </c>
      <c r="D281" cm="1">
        <f t="array" ref="D281">IFERROR(INDEX(fesp!$D:$D, MATCH(1, (VALUE(LEFT(fesp!$A:$A,6))=VALUE(LEFT(B281,6)))*(fesp!$C:$C=C281), 0)), "")</f>
        <v>0</v>
      </c>
      <c r="E281" cm="1">
        <f t="array" aca="1" ref="E281" ca="1">IFERROR(INDEX(ft_medicos_clinicos!$C:$C, MATCH(1, (VALUE(LEFT(ft_medicos_clinicos!$A:$A,6))=VALUE(LEFT(B281,6)))*(ft_medicos_clinicos!$B:$B=C281), 0)), "")</f>
        <v>489</v>
      </c>
      <c r="F281" cm="1">
        <f t="array" aca="1" ref="F281" ca="1">IFERROR(INDEX(ft_enfermeiros!$C:$C, MATCH(1, (VALUE(LEFT(ft_enfermeiros!$A:$A,6))=VALUE(LEFT(B281,6)))*(ft_enfermeiros!$B:$B=C281), 0)), "")</f>
        <v>1080</v>
      </c>
      <c r="G281" cm="1">
        <f t="array" aca="1" ref="G281" ca="1">IFERROR(INDEX(ft_equipes_acs!$C:$C, MATCH(1, (VALUE(LEFT(ft_equipes_acs!$A:$A,6))=VALUE(LEFT(B281,6)))*(ft_equipes_acs!$B:$B=C281), 0)), "")</f>
        <v>1</v>
      </c>
      <c r="H281" cm="1">
        <f t="array" aca="1" ref="H281" ca="1">IFERROR(INDEX(ci_leitos_internacao!$C:$C, MATCH(1, (VALUE(LEFT(ci_leitos_internacao!$A:$A,6))=VALUE(LEFT(B281,6)))*(ci_leitos_internacao!$B:$B=C281), 0)), "")</f>
        <v>1272</v>
      </c>
      <c r="I281" cm="1">
        <f t="array" aca="1" ref="I281" ca="1">IFERROR(INDEX(ci_hospitais_internacao!$C:$C, MATCH(1, (VALUE(LEFT(ci_hospitais_internacao!$A:$A,6))=VALUE(LEFT(B281,6)))*(ci_hospitais_internacao!$B:$B=C281), 0)), "")</f>
        <v>7</v>
      </c>
      <c r="J281" t="str" cm="1">
        <f t="array" aca="1" ref="J281" ca="1">IFERROR(INDEX(ci_pa_clinico!$C:$C, MATCH(1, (VALUE(LEFT(ci_pa_clinico!$A:$A,6))=VALUE(LEFT(B281,6)))*(ci_pa_clinico!$B:$B=C281), 0)), "")</f>
        <v/>
      </c>
      <c r="K281" cm="1">
        <f t="array" aca="1" ref="K281" ca="1">IFERROR(INDEX(aps_equipes_esf!$C:$C, MATCH(1, (VALUE(LEFT(aps_equipes_esf!$A:$A,6))=VALUE(LEFT(B281,6)))*(aps_equipes_esf!$B:$B=C281), 0)), "")</f>
        <v>42</v>
      </c>
      <c r="L281" cm="1">
        <f t="array" aca="1" ref="L281" ca="1">IFERROR(INDEX(casos!$C:$C, MATCH(1, (VALUE(LEFT(casos!$A:$A,6))=VALUE(LEFT(B281,6)))*(casos!$B:$B=C281), 0)), "")</f>
        <v>30950</v>
      </c>
      <c r="M281" cm="1">
        <f t="array" ref="M281">IFERROR(INDEX(srag!$D:$D, MATCH(1, (VALUE(LEFT(srag!$A:$A,6))=VALUE(LEFT(B281,6)))*(srag!$C:$C=C281), 0)), "")</f>
        <v>198</v>
      </c>
      <c r="N281" cm="1">
        <f t="array" aca="1" ref="N281" ca="1">IFERROR(INDEX(fesp!$E:$E, MATCH(1, (VALUE(LEFT(fesp!$A:$A,6))=VALUE(LEFT(B281,6)))*(fesp!$C:$C=C281), 0)), "")</f>
        <v>199</v>
      </c>
      <c r="O281" cm="1">
        <f t="array" aca="1" ref="O281" ca="1">IFERROR(INDEX(fesp!$F:$F, MATCH(1, (VALUE(LEFT(fesp!$A:$A,6))=VALUE(LEFT(B281,6)))*(fesp!$C:$C=C281), 0)), "")</f>
        <v>7929</v>
      </c>
      <c r="P281" cm="1">
        <f t="array" aca="1" ref="P281" ca="1">IFERROR(INDEX(fesp!$G:$G, MATCH(1, (VALUE(LEFT(fesp!$A:$A,6))=VALUE(LEFT(B281,6)))*(fesp!$C:$C=C281), 0)), "")</f>
        <v>7243878</v>
      </c>
      <c r="Q281" cm="1">
        <f t="array" aca="1" ref="Q281" ca="1">IFERROR(INDEX(fesp!$H:$H, MATCH(1, (VALUE(LEFT(fesp!$A:$A,6))=VALUE(LEFT(B281,6)))*(fesp!$C:$C=C281), 0)), "")</f>
        <v>72</v>
      </c>
      <c r="R281" cm="1">
        <f t="array" aca="1" ref="R281" ca="1">IFERROR(INDEX(fesp!$I:$I, MATCH(1, (VALUE(LEFT(fesp!$A:$A,6))=VALUE(LEFT(B281,6)))*(fesp!$C:$C=C281), 0)), "")</f>
        <v>1956</v>
      </c>
      <c r="S281" cm="1">
        <f t="array" aca="1" ref="S281" ca="1">IFERROR(INDEX(fesp!$J:$J, MATCH(1, (VALUE(LEFT(fesp!$A:$A,6))=VALUE(LEFT(B281,6)))*(fesp!$C:$C=C281), 0)), "")</f>
        <v>42607</v>
      </c>
    </row>
    <row r="282" spans="1:19">
      <c r="A282" s="1" t="s">
        <v>53</v>
      </c>
      <c r="B282" s="3" t="s">
        <v>52</v>
      </c>
      <c r="C282" s="3">
        <v>2020</v>
      </c>
      <c r="D282" cm="1">
        <f t="array" ref="D282">IFERROR(INDEX(fesp!$D:$D, MATCH(1, (VALUE(LEFT(fesp!$A:$A,6))=VALUE(LEFT(B282,6)))*(fesp!$C:$C=C282), 0)), "")</f>
        <v>0</v>
      </c>
      <c r="E282" cm="1">
        <f t="array" aca="1" ref="E282" ca="1">IFERROR(INDEX(ft_medicos_clinicos!$C:$C, MATCH(1, (VALUE(LEFT(ft_medicos_clinicos!$A:$A,6))=VALUE(LEFT(B282,6)))*(ft_medicos_clinicos!$B:$B=C282), 0)), "")</f>
        <v>510</v>
      </c>
      <c r="F282" cm="1">
        <f t="array" aca="1" ref="F282" ca="1">IFERROR(INDEX(ft_enfermeiros!$C:$C, MATCH(1, (VALUE(LEFT(ft_enfermeiros!$A:$A,6))=VALUE(LEFT(B282,6)))*(ft_enfermeiros!$B:$B=C282), 0)), "")</f>
        <v>1244</v>
      </c>
      <c r="G282" t="str" cm="1">
        <f t="array" aca="1" ref="G282" ca="1">IFERROR(INDEX(ft_equipes_acs!$C:$C, MATCH(1, (VALUE(LEFT(ft_equipes_acs!$A:$A,6))=VALUE(LEFT(B282,6)))*(ft_equipes_acs!$B:$B=C282), 0)), "")</f>
        <v>-</v>
      </c>
      <c r="H282" cm="1">
        <f t="array" aca="1" ref="H282" ca="1">IFERROR(INDEX(ci_leitos_internacao!$C:$C, MATCH(1, (VALUE(LEFT(ci_leitos_internacao!$A:$A,6))=VALUE(LEFT(B282,6)))*(ci_leitos_internacao!$B:$B=C282), 0)), "")</f>
        <v>1415</v>
      </c>
      <c r="I282" cm="1">
        <f t="array" aca="1" ref="I282" ca="1">IFERROR(INDEX(ci_hospitais_internacao!$C:$C, MATCH(1, (VALUE(LEFT(ci_hospitais_internacao!$A:$A,6))=VALUE(LEFT(B282,6)))*(ci_hospitais_internacao!$B:$B=C282), 0)), "")</f>
        <v>9</v>
      </c>
      <c r="J282" t="str" cm="1">
        <f t="array" aca="1" ref="J282" ca="1">IFERROR(INDEX(ci_pa_clinico!$C:$C, MATCH(1, (VALUE(LEFT(ci_pa_clinico!$A:$A,6))=VALUE(LEFT(B282,6)))*(ci_pa_clinico!$B:$B=C282), 0)), "")</f>
        <v/>
      </c>
      <c r="K282" t="str" cm="1">
        <f t="array" aca="1" ref="K282" ca="1">IFERROR(INDEX(aps_equipes_esf!$C:$C, MATCH(1, (VALUE(LEFT(aps_equipes_esf!$A:$A,6))=VALUE(LEFT(B282,6)))*(aps_equipes_esf!$B:$B=C282), 0)), "")</f>
        <v>-</v>
      </c>
      <c r="L282" cm="1">
        <f t="array" aca="1" ref="L282" ca="1">IFERROR(INDEX(casos!$C:$C, MATCH(1, (VALUE(LEFT(casos!$A:$A,6))=VALUE(LEFT(B282,6)))*(casos!$B:$B=C282), 0)), "")</f>
        <v>1986</v>
      </c>
      <c r="M282" cm="1">
        <f t="array" ref="M282">IFERROR(INDEX(srag!$D:$D, MATCH(1, (VALUE(LEFT(srag!$A:$A,6))=VALUE(LEFT(B282,6)))*(srag!$C:$C=C282), 0)), "")</f>
        <v>6166</v>
      </c>
      <c r="N282" cm="1">
        <f t="array" aca="1" ref="N282" ca="1">IFERROR(INDEX(fesp!$E:$E, MATCH(1, (VALUE(LEFT(fesp!$A:$A,6))=VALUE(LEFT(B282,6)))*(fesp!$C:$C=C282), 0)), "")</f>
        <v>293</v>
      </c>
      <c r="O282" cm="1">
        <f t="array" aca="1" ref="O282" ca="1">IFERROR(INDEX(fesp!$F:$F, MATCH(1, (VALUE(LEFT(fesp!$A:$A,6))=VALUE(LEFT(B282,6)))*(fesp!$C:$C=C282), 0)), "")</f>
        <v>7510</v>
      </c>
      <c r="P282" cm="1">
        <f t="array" aca="1" ref="P282" ca="1">IFERROR(INDEX(fesp!$G:$G, MATCH(1, (VALUE(LEFT(fesp!$A:$A,6))=VALUE(LEFT(B282,6)))*(fesp!$C:$C=C282), 0)), "")</f>
        <v>5183104</v>
      </c>
      <c r="Q282" cm="1">
        <f t="array" aca="1" ref="Q282" ca="1">IFERROR(INDEX(fesp!$H:$H, MATCH(1, (VALUE(LEFT(fesp!$A:$A,6))=VALUE(LEFT(B282,6)))*(fesp!$C:$C=C282), 0)), "")</f>
        <v>88</v>
      </c>
      <c r="R282" cm="1">
        <f t="array" aca="1" ref="R282" ca="1">IFERROR(INDEX(fesp!$I:$I, MATCH(1, (VALUE(LEFT(fesp!$A:$A,6))=VALUE(LEFT(B282,6)))*(fesp!$C:$C=C282), 0)), "")</f>
        <v>2208</v>
      </c>
      <c r="S282" cm="1">
        <f t="array" aca="1" ref="S282" ca="1">IFERROR(INDEX(fesp!$J:$J, MATCH(1, (VALUE(LEFT(fesp!$A:$A,6))=VALUE(LEFT(B282,6)))*(fesp!$C:$C=C282), 0)), "")</f>
        <v>11789</v>
      </c>
    </row>
    <row r="283" spans="1:19">
      <c r="A283" s="1" t="s">
        <v>53</v>
      </c>
      <c r="B283" s="3" t="s">
        <v>52</v>
      </c>
      <c r="C283" s="3">
        <v>2021</v>
      </c>
      <c r="D283" cm="1">
        <f t="array" ref="D283">IFERROR(INDEX(fesp!$D:$D, MATCH(1, (VALUE(LEFT(fesp!$A:$A,6))=VALUE(LEFT(B283,6)))*(fesp!$C:$C=C283), 0)), "")</f>
        <v>0</v>
      </c>
      <c r="E283" cm="1">
        <f t="array" aca="1" ref="E283" ca="1">IFERROR(INDEX(ft_medicos_clinicos!$C:$C, MATCH(1, (VALUE(LEFT(ft_medicos_clinicos!$A:$A,6))=VALUE(LEFT(B283,6)))*(ft_medicos_clinicos!$B:$B=C283), 0)), "")</f>
        <v>590</v>
      </c>
      <c r="F283" cm="1">
        <f t="array" aca="1" ref="F283" ca="1">IFERROR(INDEX(ft_enfermeiros!$C:$C, MATCH(1, (VALUE(LEFT(ft_enfermeiros!$A:$A,6))=VALUE(LEFT(B283,6)))*(ft_enfermeiros!$B:$B=C283), 0)), "")</f>
        <v>1692</v>
      </c>
      <c r="G283" t="str" cm="1">
        <f t="array" aca="1" ref="G283" ca="1">IFERROR(INDEX(ft_equipes_acs!$C:$C, MATCH(1, (VALUE(LEFT(ft_equipes_acs!$A:$A,6))=VALUE(LEFT(B283,6)))*(ft_equipes_acs!$B:$B=C283), 0)), "")</f>
        <v>-</v>
      </c>
      <c r="H283" cm="1">
        <f t="array" aca="1" ref="H283" ca="1">IFERROR(INDEX(ci_leitos_internacao!$C:$C, MATCH(1, (VALUE(LEFT(ci_leitos_internacao!$A:$A,6))=VALUE(LEFT(B283,6)))*(ci_leitos_internacao!$B:$B=C283), 0)), "")</f>
        <v>1507</v>
      </c>
      <c r="I283" cm="1">
        <f t="array" aca="1" ref="I283" ca="1">IFERROR(INDEX(ci_hospitais_internacao!$C:$C, MATCH(1, (VALUE(LEFT(ci_hospitais_internacao!$A:$A,6))=VALUE(LEFT(B283,6)))*(ci_hospitais_internacao!$B:$B=C283), 0)), "")</f>
        <v>8</v>
      </c>
      <c r="J283" t="str" cm="1">
        <f t="array" aca="1" ref="J283" ca="1">IFERROR(INDEX(ci_pa_clinico!$C:$C, MATCH(1, (VALUE(LEFT(ci_pa_clinico!$A:$A,6))=VALUE(LEFT(B283,6)))*(ci_pa_clinico!$B:$B=C283), 0)), "")</f>
        <v/>
      </c>
      <c r="K283" t="str" cm="1">
        <f t="array" aca="1" ref="K283" ca="1">IFERROR(INDEX(aps_equipes_esf!$C:$C, MATCH(1, (VALUE(LEFT(aps_equipes_esf!$A:$A,6))=VALUE(LEFT(B283,6)))*(aps_equipes_esf!$B:$B=C283), 0)), "")</f>
        <v>-</v>
      </c>
      <c r="L283" cm="1">
        <f t="array" aca="1" ref="L283" ca="1">IFERROR(INDEX(casos!$C:$C, MATCH(1, (VALUE(LEFT(casos!$A:$A,6))=VALUE(LEFT(B283,6)))*(casos!$B:$B=C283), 0)), "")</f>
        <v>686</v>
      </c>
      <c r="M283" cm="1">
        <f t="array" ref="M283">IFERROR(INDEX(srag!$D:$D, MATCH(1, (VALUE(LEFT(srag!$A:$A,6))=VALUE(LEFT(B283,6)))*(srag!$C:$C=C283), 0)), "")</f>
        <v>12876</v>
      </c>
      <c r="N283" cm="1">
        <f t="array" aca="1" ref="N283" ca="1">IFERROR(INDEX(fesp!$E:$E, MATCH(1, (VALUE(LEFT(fesp!$A:$A,6))=VALUE(LEFT(B283,6)))*(fesp!$C:$C=C283), 0)), "")</f>
        <v>198</v>
      </c>
      <c r="O283" cm="1">
        <f t="array" aca="1" ref="O283" ca="1">IFERROR(INDEX(fesp!$F:$F, MATCH(1, (VALUE(LEFT(fesp!$A:$A,6))=VALUE(LEFT(B283,6)))*(fesp!$C:$C=C283), 0)), "")</f>
        <v>9246</v>
      </c>
      <c r="P283" cm="1">
        <f t="array" aca="1" ref="P283" ca="1">IFERROR(INDEX(fesp!$G:$G, MATCH(1, (VALUE(LEFT(fesp!$A:$A,6))=VALUE(LEFT(B283,6)))*(fesp!$C:$C=C283), 0)), "")</f>
        <v>6481228</v>
      </c>
      <c r="Q283" cm="1">
        <f t="array" aca="1" ref="Q283" ca="1">IFERROR(INDEX(fesp!$H:$H, MATCH(1, (VALUE(LEFT(fesp!$A:$A,6))=VALUE(LEFT(B283,6)))*(fesp!$C:$C=C283), 0)), "")</f>
        <v>62</v>
      </c>
      <c r="R283" cm="1">
        <f t="array" aca="1" ref="R283" ca="1">IFERROR(INDEX(fesp!$I:$I, MATCH(1, (VALUE(LEFT(fesp!$A:$A,6))=VALUE(LEFT(B283,6)))*(fesp!$C:$C=C283), 0)), "")</f>
        <v>2334</v>
      </c>
      <c r="S283" cm="1">
        <f t="array" aca="1" ref="S283" ca="1">IFERROR(INDEX(fesp!$J:$J, MATCH(1, (VALUE(LEFT(fesp!$A:$A,6))=VALUE(LEFT(B283,6)))*(fesp!$C:$C=C283), 0)), "")</f>
        <v>8364</v>
      </c>
    </row>
    <row r="284" spans="1:19">
      <c r="A284" s="1" t="s">
        <v>53</v>
      </c>
      <c r="B284" s="3" t="s">
        <v>52</v>
      </c>
      <c r="C284" s="3">
        <v>2022</v>
      </c>
      <c r="D284" cm="1">
        <f t="array" ref="D284">IFERROR(INDEX(fesp!$D:$D, MATCH(1, (VALUE(LEFT(fesp!$A:$A,6))=VALUE(LEFT(B284,6)))*(fesp!$C:$C=C284), 0)), "")</f>
        <v>713224</v>
      </c>
      <c r="E284" cm="1">
        <f t="array" aca="1" ref="E284" ca="1">IFERROR(INDEX(ft_medicos_clinicos!$C:$C, MATCH(1, (VALUE(LEFT(ft_medicos_clinicos!$A:$A,6))=VALUE(LEFT(B284,6)))*(ft_medicos_clinicos!$B:$B=C284), 0)), "")</f>
        <v>614</v>
      </c>
      <c r="F284" cm="1">
        <f t="array" aca="1" ref="F284" ca="1">IFERROR(INDEX(ft_enfermeiros!$C:$C, MATCH(1, (VALUE(LEFT(ft_enfermeiros!$A:$A,6))=VALUE(LEFT(B284,6)))*(ft_enfermeiros!$B:$B=C284), 0)), "")</f>
        <v>1794</v>
      </c>
      <c r="G284" t="str" cm="1">
        <f t="array" aca="1" ref="G284" ca="1">IFERROR(INDEX(ft_equipes_acs!$C:$C, MATCH(1, (VALUE(LEFT(ft_equipes_acs!$A:$A,6))=VALUE(LEFT(B284,6)))*(ft_equipes_acs!$B:$B=C284), 0)), "")</f>
        <v>-</v>
      </c>
      <c r="H284" cm="1">
        <f t="array" aca="1" ref="H284" ca="1">IFERROR(INDEX(ci_leitos_internacao!$C:$C, MATCH(1, (VALUE(LEFT(ci_leitos_internacao!$A:$A,6))=VALUE(LEFT(B284,6)))*(ci_leitos_internacao!$B:$B=C284), 0)), "")</f>
        <v>1439</v>
      </c>
      <c r="I284" cm="1">
        <f t="array" aca="1" ref="I284" ca="1">IFERROR(INDEX(ci_hospitais_internacao!$C:$C, MATCH(1, (VALUE(LEFT(ci_hospitais_internacao!$A:$A,6))=VALUE(LEFT(B284,6)))*(ci_hospitais_internacao!$B:$B=C284), 0)), "")</f>
        <v>10</v>
      </c>
      <c r="J284" t="str" cm="1">
        <f t="array" aca="1" ref="J284" ca="1">IFERROR(INDEX(ci_pa_clinico!$C:$C, MATCH(1, (VALUE(LEFT(ci_pa_clinico!$A:$A,6))=VALUE(LEFT(B284,6)))*(ci_pa_clinico!$B:$B=C284), 0)), "")</f>
        <v/>
      </c>
      <c r="K284" t="str" cm="1">
        <f t="array" aca="1" ref="K284" ca="1">IFERROR(INDEX(aps_equipes_esf!$C:$C, MATCH(1, (VALUE(LEFT(aps_equipes_esf!$A:$A,6))=VALUE(LEFT(B284,6)))*(aps_equipes_esf!$B:$B=C284), 0)), "")</f>
        <v>-</v>
      </c>
      <c r="L284" cm="1">
        <f t="array" aca="1" ref="L284" ca="1">IFERROR(INDEX(casos!$C:$C, MATCH(1, (VALUE(LEFT(casos!$A:$A,6))=VALUE(LEFT(B284,6)))*(casos!$B:$B=C284), 0)), "")</f>
        <v>5196</v>
      </c>
      <c r="M284" cm="1">
        <f t="array" ref="M284">IFERROR(INDEX(srag!$D:$D, MATCH(1, (VALUE(LEFT(srag!$A:$A,6))=VALUE(LEFT(B284,6)))*(srag!$C:$C=C284), 0)), "")</f>
        <v>2889</v>
      </c>
      <c r="N284" cm="1">
        <f t="array" aca="1" ref="N284" ca="1">IFERROR(INDEX(fesp!$E:$E, MATCH(1, (VALUE(LEFT(fesp!$A:$A,6))=VALUE(LEFT(B284,6)))*(fesp!$C:$C=C284), 0)), "")</f>
        <v>238</v>
      </c>
      <c r="O284" cm="1">
        <f t="array" aca="1" ref="O284" ca="1">IFERROR(INDEX(fesp!$F:$F, MATCH(1, (VALUE(LEFT(fesp!$A:$A,6))=VALUE(LEFT(B284,6)))*(fesp!$C:$C=C284), 0)), "")</f>
        <v>13591</v>
      </c>
      <c r="P284" cm="1">
        <f t="array" aca="1" ref="P284" ca="1">IFERROR(INDEX(fesp!$G:$G, MATCH(1, (VALUE(LEFT(fesp!$A:$A,6))=VALUE(LEFT(B284,6)))*(fesp!$C:$C=C284), 0)), "")</f>
        <v>7660227</v>
      </c>
      <c r="Q284" cm="1">
        <f t="array" aca="1" ref="Q284" ca="1">IFERROR(INDEX(fesp!$H:$H, MATCH(1, (VALUE(LEFT(fesp!$A:$A,6))=VALUE(LEFT(B284,6)))*(fesp!$C:$C=C284), 0)), "")</f>
        <v>89</v>
      </c>
      <c r="R284" cm="1">
        <f t="array" aca="1" ref="R284" ca="1">IFERROR(INDEX(fesp!$I:$I, MATCH(1, (VALUE(LEFT(fesp!$A:$A,6))=VALUE(LEFT(B284,6)))*(fesp!$C:$C=C284), 0)), "")</f>
        <v>0</v>
      </c>
      <c r="S284" cm="1">
        <f t="array" aca="1" ref="S284" ca="1">IFERROR(INDEX(fesp!$J:$J, MATCH(1, (VALUE(LEFT(fesp!$A:$A,6))=VALUE(LEFT(B284,6)))*(fesp!$C:$C=C284), 0)), "")</f>
        <v>1497</v>
      </c>
    </row>
    <row r="285" spans="1:19">
      <c r="A285" s="1" t="s">
        <v>53</v>
      </c>
      <c r="B285" s="3" t="s">
        <v>52</v>
      </c>
      <c r="C285" s="3">
        <v>2023</v>
      </c>
      <c r="D285" cm="1">
        <f t="array" ref="D285">IFERROR(INDEX(fesp!$D:$D, MATCH(1, (VALUE(LEFT(fesp!$A:$A,6))=VALUE(LEFT(B285,6)))*(fesp!$C:$C=C285), 0)), "")</f>
        <v>0</v>
      </c>
      <c r="E285" cm="1">
        <f t="array" aca="1" ref="E285" ca="1">IFERROR(INDEX(ft_medicos_clinicos!$C:$C, MATCH(1, (VALUE(LEFT(ft_medicos_clinicos!$A:$A,6))=VALUE(LEFT(B285,6)))*(ft_medicos_clinicos!$B:$B=C285), 0)), "")</f>
        <v>649</v>
      </c>
      <c r="F285" cm="1">
        <f t="array" aca="1" ref="F285" ca="1">IFERROR(INDEX(ft_enfermeiros!$C:$C, MATCH(1, (VALUE(LEFT(ft_enfermeiros!$A:$A,6))=VALUE(LEFT(B285,6)))*(ft_enfermeiros!$B:$B=C285), 0)), "")</f>
        <v>1844</v>
      </c>
      <c r="G285" t="str" cm="1">
        <f t="array" aca="1" ref="G285" ca="1">IFERROR(INDEX(ft_equipes_acs!$C:$C, MATCH(1, (VALUE(LEFT(ft_equipes_acs!$A:$A,6))=VALUE(LEFT(B285,6)))*(ft_equipes_acs!$B:$B=C285), 0)), "")</f>
        <v>-</v>
      </c>
      <c r="H285" cm="1">
        <f t="array" aca="1" ref="H285" ca="1">IFERROR(INDEX(ci_leitos_internacao!$C:$C, MATCH(1, (VALUE(LEFT(ci_leitos_internacao!$A:$A,6))=VALUE(LEFT(B285,6)))*(ci_leitos_internacao!$B:$B=C285), 0)), "")</f>
        <v>1442</v>
      </c>
      <c r="I285" cm="1">
        <f t="array" aca="1" ref="I285" ca="1">IFERROR(INDEX(ci_hospitais_internacao!$C:$C, MATCH(1, (VALUE(LEFT(ci_hospitais_internacao!$A:$A,6))=VALUE(LEFT(B285,6)))*(ci_hospitais_internacao!$B:$B=C285), 0)), "")</f>
        <v>9</v>
      </c>
      <c r="J285" t="str" cm="1">
        <f t="array" aca="1" ref="J285" ca="1">IFERROR(INDEX(ci_pa_clinico!$C:$C, MATCH(1, (VALUE(LEFT(ci_pa_clinico!$A:$A,6))=VALUE(LEFT(B285,6)))*(ci_pa_clinico!$B:$B=C285), 0)), "")</f>
        <v/>
      </c>
      <c r="K285" t="str" cm="1">
        <f t="array" aca="1" ref="K285" ca="1">IFERROR(INDEX(aps_equipes_esf!$C:$C, MATCH(1, (VALUE(LEFT(aps_equipes_esf!$A:$A,6))=VALUE(LEFT(B285,6)))*(aps_equipes_esf!$B:$B=C285), 0)), "")</f>
        <v>-</v>
      </c>
      <c r="L285" cm="1">
        <f t="array" aca="1" ref="L285" ca="1">IFERROR(INDEX(casos!$C:$C, MATCH(1, (VALUE(LEFT(casos!$A:$A,6))=VALUE(LEFT(B285,6)))*(casos!$B:$B=C285), 0)), "")</f>
        <v>28106</v>
      </c>
      <c r="M285" cm="1">
        <f t="array" ref="M285">IFERROR(INDEX(srag!$D:$D, MATCH(1, (VALUE(LEFT(srag!$A:$A,6))=VALUE(LEFT(B285,6)))*(srag!$C:$C=C285), 0)), "")</f>
        <v>1145</v>
      </c>
      <c r="N285" cm="1">
        <f t="array" aca="1" ref="N285" ca="1">IFERROR(INDEX(fesp!$E:$E, MATCH(1, (VALUE(LEFT(fesp!$A:$A,6))=VALUE(LEFT(B285,6)))*(fesp!$C:$C=C285), 0)), "")</f>
        <v>326</v>
      </c>
      <c r="O285" cm="1">
        <f t="array" aca="1" ref="O285" ca="1">IFERROR(INDEX(fesp!$F:$F, MATCH(1, (VALUE(LEFT(fesp!$A:$A,6))=VALUE(LEFT(B285,6)))*(fesp!$C:$C=C285), 0)), "")</f>
        <v>15566</v>
      </c>
      <c r="P285" cm="1">
        <f t="array" aca="1" ref="P285" ca="1">IFERROR(INDEX(fesp!$G:$G, MATCH(1, (VALUE(LEFT(fesp!$A:$A,6))=VALUE(LEFT(B285,6)))*(fesp!$C:$C=C285), 0)), "")</f>
        <v>9209773</v>
      </c>
      <c r="Q285" cm="1">
        <f t="array" aca="1" ref="Q285" ca="1">IFERROR(INDEX(fesp!$H:$H, MATCH(1, (VALUE(LEFT(fesp!$A:$A,6))=VALUE(LEFT(B285,6)))*(fesp!$C:$C=C285), 0)), "")</f>
        <v>109</v>
      </c>
      <c r="R285" cm="1">
        <f t="array" aca="1" ref="R285" ca="1">IFERROR(INDEX(fesp!$I:$I, MATCH(1, (VALUE(LEFT(fesp!$A:$A,6))=VALUE(LEFT(B285,6)))*(fesp!$C:$C=C285), 0)), "")</f>
        <v>2</v>
      </c>
      <c r="S285" cm="1">
        <f t="array" aca="1" ref="S285" ca="1">IFERROR(INDEX(fesp!$J:$J, MATCH(1, (VALUE(LEFT(fesp!$A:$A,6))=VALUE(LEFT(B285,6)))*(fesp!$C:$C=C285), 0)), "")</f>
        <v>880</v>
      </c>
    </row>
    <row r="286" spans="1:19">
      <c r="A286" s="1" t="s">
        <v>53</v>
      </c>
      <c r="B286" s="3" t="s">
        <v>52</v>
      </c>
      <c r="C286" s="3">
        <v>2024</v>
      </c>
      <c r="D286" cm="1">
        <f t="array" ref="D286">IFERROR(INDEX(fesp!$D:$D, MATCH(1, (VALUE(LEFT(fesp!$A:$A,6))=VALUE(LEFT(B286,6)))*(fesp!$C:$C=C286), 0)), "")</f>
        <v>0</v>
      </c>
      <c r="E286" cm="1">
        <f t="array" aca="1" ref="E286" ca="1">IFERROR(INDEX(ft_medicos_clinicos!$C:$C, MATCH(1, (VALUE(LEFT(ft_medicos_clinicos!$A:$A,6))=VALUE(LEFT(B286,6)))*(ft_medicos_clinicos!$B:$B=C286), 0)), "")</f>
        <v>780</v>
      </c>
      <c r="F286" cm="1">
        <f t="array" aca="1" ref="F286" ca="1">IFERROR(INDEX(ft_enfermeiros!$C:$C, MATCH(1, (VALUE(LEFT(ft_enfermeiros!$A:$A,6))=VALUE(LEFT(B286,6)))*(ft_enfermeiros!$B:$B=C286), 0)), "")</f>
        <v>1877</v>
      </c>
      <c r="G286" t="str" cm="1">
        <f t="array" aca="1" ref="G286" ca="1">IFERROR(INDEX(ft_equipes_acs!$C:$C, MATCH(1, (VALUE(LEFT(ft_equipes_acs!$A:$A,6))=VALUE(LEFT(B286,6)))*(ft_equipes_acs!$B:$B=C286), 0)), "")</f>
        <v>-</v>
      </c>
      <c r="H286" cm="1">
        <f t="array" aca="1" ref="H286" ca="1">IFERROR(INDEX(ci_leitos_internacao!$C:$C, MATCH(1, (VALUE(LEFT(ci_leitos_internacao!$A:$A,6))=VALUE(LEFT(B286,6)))*(ci_leitos_internacao!$B:$B=C286), 0)), "")</f>
        <v>1489</v>
      </c>
      <c r="I286" cm="1">
        <f t="array" aca="1" ref="I286" ca="1">IFERROR(INDEX(ci_hospitais_internacao!$C:$C, MATCH(1, (VALUE(LEFT(ci_hospitais_internacao!$A:$A,6))=VALUE(LEFT(B286,6)))*(ci_hospitais_internacao!$B:$B=C286), 0)), "")</f>
        <v>7</v>
      </c>
      <c r="J286" t="str" cm="1">
        <f t="array" aca="1" ref="J286" ca="1">IFERROR(INDEX(ci_pa_clinico!$C:$C, MATCH(1, (VALUE(LEFT(ci_pa_clinico!$A:$A,6))=VALUE(LEFT(B286,6)))*(ci_pa_clinico!$B:$B=C286), 0)), "")</f>
        <v/>
      </c>
      <c r="K286" t="str" cm="1">
        <f t="array" aca="1" ref="K286" ca="1">IFERROR(INDEX(aps_equipes_esf!$C:$C, MATCH(1, (VALUE(LEFT(aps_equipes_esf!$A:$A,6))=VALUE(LEFT(B286,6)))*(aps_equipes_esf!$B:$B=C286), 0)), "")</f>
        <v>-</v>
      </c>
      <c r="L286" cm="1">
        <f t="array" aca="1" ref="L286" ca="1">IFERROR(INDEX(casos!$C:$C, MATCH(1, (VALUE(LEFT(casos!$A:$A,6))=VALUE(LEFT(B286,6)))*(casos!$B:$B=C286), 0)), "")</f>
        <v>27118</v>
      </c>
      <c r="M286" cm="1">
        <f t="array" ref="M286">IFERROR(INDEX(srag!$D:$D, MATCH(1, (VALUE(LEFT(srag!$A:$A,6))=VALUE(LEFT(B286,6)))*(srag!$C:$C=C286), 0)), "")</f>
        <v>1286</v>
      </c>
      <c r="N286" cm="1">
        <f t="array" aca="1" ref="N286" ca="1">IFERROR(INDEX(fesp!$E:$E, MATCH(1, (VALUE(LEFT(fesp!$A:$A,6))=VALUE(LEFT(B286,6)))*(fesp!$C:$C=C286), 0)), "")</f>
        <v>421</v>
      </c>
      <c r="O286" cm="1">
        <f t="array" aca="1" ref="O286" ca="1">IFERROR(INDEX(fesp!$F:$F, MATCH(1, (VALUE(LEFT(fesp!$A:$A,6))=VALUE(LEFT(B286,6)))*(fesp!$C:$C=C286), 0)), "")</f>
        <v>15462</v>
      </c>
      <c r="P286" cm="1">
        <f t="array" aca="1" ref="P286" ca="1">IFERROR(INDEX(fesp!$G:$G, MATCH(1, (VALUE(LEFT(fesp!$A:$A,6))=VALUE(LEFT(B286,6)))*(fesp!$C:$C=C286), 0)), "")</f>
        <v>9893718</v>
      </c>
      <c r="Q286" cm="1">
        <f t="array" aca="1" ref="Q286" ca="1">IFERROR(INDEX(fesp!$H:$H, MATCH(1, (VALUE(LEFT(fesp!$A:$A,6))=VALUE(LEFT(B286,6)))*(fesp!$C:$C=C286), 0)), "")</f>
        <v>76</v>
      </c>
      <c r="R286" cm="1">
        <f t="array" aca="1" ref="R286" ca="1">IFERROR(INDEX(fesp!$I:$I, MATCH(1, (VALUE(LEFT(fesp!$A:$A,6))=VALUE(LEFT(B286,6)))*(fesp!$C:$C=C286), 0)), "")</f>
        <v>4</v>
      </c>
      <c r="S286" cm="1">
        <f t="array" aca="1" ref="S286" ca="1">IFERROR(INDEX(fesp!$J:$J, MATCH(1, (VALUE(LEFT(fesp!$A:$A,6))=VALUE(LEFT(B286,6)))*(fesp!$C:$C=C286), 0)), "")</f>
        <v>701</v>
      </c>
    </row>
    <row r="287" spans="1:19">
      <c r="A287" s="1" t="s">
        <v>53</v>
      </c>
      <c r="B287" s="3" t="s">
        <v>52</v>
      </c>
      <c r="C287" s="3">
        <v>2025</v>
      </c>
      <c r="D287" cm="1">
        <f t="array" ref="D287">IFERROR(INDEX(fesp!$D:$D, MATCH(1, (VALUE(LEFT(fesp!$A:$A,6))=VALUE(LEFT(B287,6)))*(fesp!$C:$C=C287), 0)), "")</f>
        <v>0</v>
      </c>
      <c r="E287" cm="1">
        <f t="array" aca="1" ref="E287" ca="1">IFERROR(INDEX(ft_medicos_clinicos!$C:$C, MATCH(1, (VALUE(LEFT(ft_medicos_clinicos!$A:$A,6))=VALUE(LEFT(B287,6)))*(ft_medicos_clinicos!$B:$B=C287), 0)), "")</f>
        <v>901</v>
      </c>
      <c r="F287" cm="1">
        <f t="array" aca="1" ref="F287" ca="1">IFERROR(INDEX(ft_enfermeiros!$C:$C, MATCH(1, (VALUE(LEFT(ft_enfermeiros!$A:$A,6))=VALUE(LEFT(B287,6)))*(ft_enfermeiros!$B:$B=C287), 0)), "")</f>
        <v>1910</v>
      </c>
      <c r="G287" t="str" cm="1">
        <f t="array" aca="1" ref="G287" ca="1">IFERROR(INDEX(ft_equipes_acs!$C:$C, MATCH(1, (VALUE(LEFT(ft_equipes_acs!$A:$A,6))=VALUE(LEFT(B287,6)))*(ft_equipes_acs!$B:$B=C287), 0)), "")</f>
        <v>-</v>
      </c>
      <c r="H287" cm="1">
        <f t="array" aca="1" ref="H287" ca="1">IFERROR(INDEX(ci_leitos_internacao!$C:$C, MATCH(1, (VALUE(LEFT(ci_leitos_internacao!$A:$A,6))=VALUE(LEFT(B287,6)))*(ci_leitos_internacao!$B:$B=C287), 0)), "")</f>
        <v>1487</v>
      </c>
      <c r="I287" cm="1">
        <f t="array" aca="1" ref="I287" ca="1">IFERROR(INDEX(ci_hospitais_internacao!$C:$C, MATCH(1, (VALUE(LEFT(ci_hospitais_internacao!$A:$A,6))=VALUE(LEFT(B287,6)))*(ci_hospitais_internacao!$B:$B=C287), 0)), "")</f>
        <v>7</v>
      </c>
      <c r="J287" t="str" cm="1">
        <f t="array" aca="1" ref="J287" ca="1">IFERROR(INDEX(ci_pa_clinico!$C:$C, MATCH(1, (VALUE(LEFT(ci_pa_clinico!$A:$A,6))=VALUE(LEFT(B287,6)))*(ci_pa_clinico!$B:$B=C287), 0)), "")</f>
        <v/>
      </c>
      <c r="K287" t="str" cm="1">
        <f t="array" aca="1" ref="K287" ca="1">IFERROR(INDEX(aps_equipes_esf!$C:$C, MATCH(1, (VALUE(LEFT(aps_equipes_esf!$A:$A,6))=VALUE(LEFT(B287,6)))*(aps_equipes_esf!$B:$B=C287), 0)), "")</f>
        <v>-</v>
      </c>
      <c r="L287" cm="1">
        <f t="array" aca="1" ref="L287" ca="1">IFERROR(INDEX(casos!$C:$C, MATCH(1, (VALUE(LEFT(casos!$A:$A,6))=VALUE(LEFT(B287,6)))*(casos!$B:$B=C287), 0)), "")</f>
        <v>27007</v>
      </c>
      <c r="M287" cm="1">
        <f t="array" ref="M287">IFERROR(INDEX(srag!$D:$D, MATCH(1, (VALUE(LEFT(srag!$A:$A,6))=VALUE(LEFT(B287,6)))*(srag!$C:$C=C287), 0)), "")</f>
        <v>1952</v>
      </c>
      <c r="N287" cm="1">
        <f t="array" aca="1" ref="N287" ca="1">IFERROR(INDEX(fesp!$E:$E, MATCH(1, (VALUE(LEFT(fesp!$A:$A,6))=VALUE(LEFT(B287,6)))*(fesp!$C:$C=C287), 0)), "")</f>
        <v>377</v>
      </c>
      <c r="O287" cm="1">
        <f t="array" aca="1" ref="O287" ca="1">IFERROR(INDEX(fesp!$F:$F, MATCH(1, (VALUE(LEFT(fesp!$A:$A,6))=VALUE(LEFT(B287,6)))*(fesp!$C:$C=C287), 0)), "")</f>
        <v>14475</v>
      </c>
      <c r="P287" cm="1">
        <f t="array" aca="1" ref="P287" ca="1">IFERROR(INDEX(fesp!$G:$G, MATCH(1, (VALUE(LEFT(fesp!$A:$A,6))=VALUE(LEFT(B287,6)))*(fesp!$C:$C=C287), 0)), "")</f>
        <v>9672252</v>
      </c>
      <c r="Q287" cm="1">
        <f t="array" aca="1" ref="Q287" ca="1">IFERROR(INDEX(fesp!$H:$H, MATCH(1, (VALUE(LEFT(fesp!$A:$A,6))=VALUE(LEFT(B287,6)))*(fesp!$C:$C=C287), 0)), "")</f>
        <v>57</v>
      </c>
      <c r="R287" cm="1">
        <f t="array" aca="1" ref="R287" ca="1">IFERROR(INDEX(fesp!$I:$I, MATCH(1, (VALUE(LEFT(fesp!$A:$A,6))=VALUE(LEFT(B287,6)))*(fesp!$C:$C=C287), 0)), "")</f>
        <v>8</v>
      </c>
      <c r="S287" cm="1">
        <f t="array" aca="1" ref="S287" ca="1">IFERROR(INDEX(fesp!$J:$J, MATCH(1, (VALUE(LEFT(fesp!$A:$A,6))=VALUE(LEFT(B287,6)))*(fesp!$C:$C=C287), 0)), "")</f>
        <v>701</v>
      </c>
    </row>
    <row r="288" spans="1:19">
      <c r="A288" s="1" t="s">
        <v>76</v>
      </c>
      <c r="B288" s="3">
        <v>3205002</v>
      </c>
      <c r="C288" s="3">
        <v>2015</v>
      </c>
      <c r="D288" cm="1">
        <f t="array" ref="D288">IFERROR(INDEX(fesp!$D:$D, MATCH(1, (VALUE(LEFT(fesp!$A:$A,6))=VALUE(LEFT(B288,6)))*(fesp!$C:$C=C288), 0)), "")</f>
        <v>485376</v>
      </c>
      <c r="E288" cm="1">
        <f t="array" aca="1" ref="E288" ca="1">IFERROR(INDEX(ft_medicos_clinicos!$C:$C, MATCH(1, (VALUE(LEFT(ft_medicos_clinicos!$A:$A,6))=VALUE(LEFT(B288,6)))*(ft_medicos_clinicos!$B:$B=C288), 0)), "")</f>
        <v>251</v>
      </c>
      <c r="F288" cm="1">
        <f t="array" aca="1" ref="F288" ca="1">IFERROR(INDEX(ft_enfermeiros!$C:$C, MATCH(1, (VALUE(LEFT(ft_enfermeiros!$A:$A,6))=VALUE(LEFT(B288,6)))*(ft_enfermeiros!$B:$B=C288), 0)), "")</f>
        <v>445</v>
      </c>
      <c r="G288" cm="1">
        <f t="array" aca="1" ref="G288" ca="1">IFERROR(INDEX(ft_equipes_acs!$C:$C, MATCH(1, (VALUE(LEFT(ft_equipes_acs!$A:$A,6))=VALUE(LEFT(B288,6)))*(ft_equipes_acs!$B:$B=C288), 0)), "")</f>
        <v>7</v>
      </c>
      <c r="H288" cm="1">
        <f t="array" aca="1" ref="H288" ca="1">IFERROR(INDEX(ci_leitos_internacao!$C:$C, MATCH(1, (VALUE(LEFT(ci_leitos_internacao!$A:$A,6))=VALUE(LEFT(B288,6)))*(ci_leitos_internacao!$B:$B=C288), 0)), "")</f>
        <v>727</v>
      </c>
      <c r="I288" cm="1">
        <f t="array" aca="1" ref="I288" ca="1">IFERROR(INDEX(ci_hospitais_internacao!$C:$C, MATCH(1, (VALUE(LEFT(ci_hospitais_internacao!$A:$A,6))=VALUE(LEFT(B288,6)))*(ci_hospitais_internacao!$B:$B=C288), 0)), "")</f>
        <v>3</v>
      </c>
      <c r="J288" cm="1">
        <f t="array" aca="1" ref="J288" ca="1">IFERROR(INDEX(ci_pa_clinico!$C:$C, MATCH(1, (VALUE(LEFT(ci_pa_clinico!$A:$A,6))=VALUE(LEFT(B288,6)))*(ci_pa_clinico!$B:$B=C288), 0)), "")</f>
        <v>1</v>
      </c>
      <c r="K288" cm="1">
        <f t="array" aca="1" ref="K288" ca="1">IFERROR(INDEX(aps_equipes_esf!$C:$C, MATCH(1, (VALUE(LEFT(aps_equipes_esf!$A:$A,6))=VALUE(LEFT(B288,6)))*(aps_equipes_esf!$B:$B=C288), 0)), "")</f>
        <v>24</v>
      </c>
      <c r="L288" cm="1">
        <f t="array" aca="1" ref="L288" ca="1">IFERROR(INDEX(casos!$C:$C, MATCH(1, (VALUE(LEFT(casos!$A:$A,6))=VALUE(LEFT(B288,6)))*(casos!$B:$B=C288), 0)), "")</f>
        <v>4218</v>
      </c>
      <c r="M288" cm="1">
        <f t="array" ref="M288">IFERROR(INDEX(srag!$D:$D, MATCH(1, (VALUE(LEFT(srag!$A:$A,6))=VALUE(LEFT(B288,6)))*(srag!$C:$C=C288), 0)), "")</f>
        <v>14</v>
      </c>
      <c r="N288" cm="1">
        <f t="array" aca="1" ref="N288" ca="1">IFERROR(INDEX(fesp!$E:$E, MATCH(1, (VALUE(LEFT(fesp!$A:$A,6))=VALUE(LEFT(B288,6)))*(fesp!$C:$C=C288), 0)), "")</f>
        <v>39</v>
      </c>
      <c r="O288" cm="1">
        <f t="array" aca="1" ref="O288" ca="1">IFERROR(INDEX(fesp!$F:$F, MATCH(1, (VALUE(LEFT(fesp!$A:$A,6))=VALUE(LEFT(B288,6)))*(fesp!$C:$C=C288), 0)), "")</f>
        <v>483</v>
      </c>
      <c r="P288" cm="1">
        <f t="array" aca="1" ref="P288" ca="1">IFERROR(INDEX(fesp!$G:$G, MATCH(1, (VALUE(LEFT(fesp!$A:$A,6))=VALUE(LEFT(B288,6)))*(fesp!$C:$C=C288), 0)), "")</f>
        <v>2611856</v>
      </c>
      <c r="Q288" cm="1">
        <f t="array" aca="1" ref="Q288" ca="1">IFERROR(INDEX(fesp!$H:$H, MATCH(1, (VALUE(LEFT(fesp!$A:$A,6))=VALUE(LEFT(B288,6)))*(fesp!$C:$C=C288), 0)), "")</f>
        <v>28</v>
      </c>
      <c r="R288" cm="1">
        <f t="array" aca="1" ref="R288" ca="1">IFERROR(INDEX(fesp!$I:$I, MATCH(1, (VALUE(LEFT(fesp!$A:$A,6))=VALUE(LEFT(B288,6)))*(fesp!$C:$C=C288), 0)), "")</f>
        <v>44787</v>
      </c>
      <c r="S288" cm="1">
        <f t="array" aca="1" ref="S288" ca="1">IFERROR(INDEX(fesp!$J:$J, MATCH(1, (VALUE(LEFT(fesp!$A:$A,6))=VALUE(LEFT(B288,6)))*(fesp!$C:$C=C288), 0)), "")</f>
        <v>547265</v>
      </c>
    </row>
    <row r="289" spans="1:19">
      <c r="A289" s="1" t="s">
        <v>76</v>
      </c>
      <c r="B289" s="3">
        <v>3205002</v>
      </c>
      <c r="C289" s="3">
        <v>2016</v>
      </c>
      <c r="D289" cm="1">
        <f t="array" ref="D289">IFERROR(INDEX(fesp!$D:$D, MATCH(1, (VALUE(LEFT(fesp!$A:$A,6))=VALUE(LEFT(B289,6)))*(fesp!$C:$C=C289), 0)), "")</f>
        <v>0</v>
      </c>
      <c r="E289" cm="1">
        <f t="array" aca="1" ref="E289" ca="1">IFERROR(INDEX(ft_medicos_clinicos!$C:$C, MATCH(1, (VALUE(LEFT(ft_medicos_clinicos!$A:$A,6))=VALUE(LEFT(B289,6)))*(ft_medicos_clinicos!$B:$B=C289), 0)), "")</f>
        <v>269</v>
      </c>
      <c r="F289" cm="1">
        <f t="array" aca="1" ref="F289" ca="1">IFERROR(INDEX(ft_enfermeiros!$C:$C, MATCH(1, (VALUE(LEFT(ft_enfermeiros!$A:$A,6))=VALUE(LEFT(B289,6)))*(ft_enfermeiros!$B:$B=C289), 0)), "")</f>
        <v>461</v>
      </c>
      <c r="G289" cm="1">
        <f t="array" aca="1" ref="G289" ca="1">IFERROR(INDEX(ft_equipes_acs!$C:$C, MATCH(1, (VALUE(LEFT(ft_equipes_acs!$A:$A,6))=VALUE(LEFT(B289,6)))*(ft_equipes_acs!$B:$B=C289), 0)), "")</f>
        <v>5</v>
      </c>
      <c r="H289" cm="1">
        <f t="array" aca="1" ref="H289" ca="1">IFERROR(INDEX(ci_leitos_internacao!$C:$C, MATCH(1, (VALUE(LEFT(ci_leitos_internacao!$A:$A,6))=VALUE(LEFT(B289,6)))*(ci_leitos_internacao!$B:$B=C289), 0)), "")</f>
        <v>759</v>
      </c>
      <c r="I289" cm="1">
        <f t="array" aca="1" ref="I289" ca="1">IFERROR(INDEX(ci_hospitais_internacao!$C:$C, MATCH(1, (VALUE(LEFT(ci_hospitais_internacao!$A:$A,6))=VALUE(LEFT(B289,6)))*(ci_hospitais_internacao!$B:$B=C289), 0)), "")</f>
        <v>3</v>
      </c>
      <c r="J289" cm="1">
        <f t="array" aca="1" ref="J289" ca="1">IFERROR(INDEX(ci_pa_clinico!$C:$C, MATCH(1, (VALUE(LEFT(ci_pa_clinico!$A:$A,6))=VALUE(LEFT(B289,6)))*(ci_pa_clinico!$B:$B=C289), 0)), "")</f>
        <v>1</v>
      </c>
      <c r="K289" cm="1">
        <f t="array" aca="1" ref="K289" ca="1">IFERROR(INDEX(aps_equipes_esf!$C:$C, MATCH(1, (VALUE(LEFT(aps_equipes_esf!$A:$A,6))=VALUE(LEFT(B289,6)))*(aps_equipes_esf!$B:$B=C289), 0)), "")</f>
        <v>25</v>
      </c>
      <c r="L289" cm="1">
        <f t="array" aca="1" ref="L289" ca="1">IFERROR(INDEX(casos!$C:$C, MATCH(1, (VALUE(LEFT(casos!$A:$A,6))=VALUE(LEFT(B289,6)))*(casos!$B:$B=C289), 0)), "")</f>
        <v>4694</v>
      </c>
      <c r="M289" cm="1">
        <f t="array" ref="M289">IFERROR(INDEX(srag!$D:$D, MATCH(1, (VALUE(LEFT(srag!$A:$A,6))=VALUE(LEFT(B289,6)))*(srag!$C:$C=C289), 0)), "")</f>
        <v>159</v>
      </c>
      <c r="N289" cm="1">
        <f t="array" aca="1" ref="N289" ca="1">IFERROR(INDEX(fesp!$E:$E, MATCH(1, (VALUE(LEFT(fesp!$A:$A,6))=VALUE(LEFT(B289,6)))*(fesp!$C:$C=C289), 0)), "")</f>
        <v>59</v>
      </c>
      <c r="O289" cm="1">
        <f t="array" aca="1" ref="O289" ca="1">IFERROR(INDEX(fesp!$F:$F, MATCH(1, (VALUE(LEFT(fesp!$A:$A,6))=VALUE(LEFT(B289,6)))*(fesp!$C:$C=C289), 0)), "")</f>
        <v>467</v>
      </c>
      <c r="P289" cm="1">
        <f t="array" aca="1" ref="P289" ca="1">IFERROR(INDEX(fesp!$G:$G, MATCH(1, (VALUE(LEFT(fesp!$A:$A,6))=VALUE(LEFT(B289,6)))*(fesp!$C:$C=C289), 0)), "")</f>
        <v>3695873</v>
      </c>
      <c r="Q289" cm="1">
        <f t="array" aca="1" ref="Q289" ca="1">IFERROR(INDEX(fesp!$H:$H, MATCH(1, (VALUE(LEFT(fesp!$A:$A,6))=VALUE(LEFT(B289,6)))*(fesp!$C:$C=C289), 0)), "")</f>
        <v>49</v>
      </c>
      <c r="R289" cm="1">
        <f t="array" aca="1" ref="R289" ca="1">IFERROR(INDEX(fesp!$I:$I, MATCH(1, (VALUE(LEFT(fesp!$A:$A,6))=VALUE(LEFT(B289,6)))*(fesp!$C:$C=C289), 0)), "")</f>
        <v>48654</v>
      </c>
      <c r="S289" cm="1">
        <f t="array" aca="1" ref="S289" ca="1">IFERROR(INDEX(fesp!$J:$J, MATCH(1, (VALUE(LEFT(fesp!$A:$A,6))=VALUE(LEFT(B289,6)))*(fesp!$C:$C=C289), 0)), "")</f>
        <v>559104</v>
      </c>
    </row>
    <row r="290" spans="1:19">
      <c r="A290" s="1" t="s">
        <v>76</v>
      </c>
      <c r="B290" s="3">
        <v>3205002</v>
      </c>
      <c r="C290" s="3">
        <v>2017</v>
      </c>
      <c r="D290" cm="1">
        <f t="array" ref="D290">IFERROR(INDEX(fesp!$D:$D, MATCH(1, (VALUE(LEFT(fesp!$A:$A,6))=VALUE(LEFT(B290,6)))*(fesp!$C:$C=C290), 0)), "")</f>
        <v>0</v>
      </c>
      <c r="E290" cm="1">
        <f t="array" aca="1" ref="E290" ca="1">IFERROR(INDEX(ft_medicos_clinicos!$C:$C, MATCH(1, (VALUE(LEFT(ft_medicos_clinicos!$A:$A,6))=VALUE(LEFT(B290,6)))*(ft_medicos_clinicos!$B:$B=C290), 0)), "")</f>
        <v>283</v>
      </c>
      <c r="F290" cm="1">
        <f t="array" aca="1" ref="F290" ca="1">IFERROR(INDEX(ft_enfermeiros!$C:$C, MATCH(1, (VALUE(LEFT(ft_enfermeiros!$A:$A,6))=VALUE(LEFT(B290,6)))*(ft_enfermeiros!$B:$B=C290), 0)), "")</f>
        <v>501</v>
      </c>
      <c r="G290" cm="1">
        <f t="array" aca="1" ref="G290" ca="1">IFERROR(INDEX(ft_equipes_acs!$C:$C, MATCH(1, (VALUE(LEFT(ft_equipes_acs!$A:$A,6))=VALUE(LEFT(B290,6)))*(ft_equipes_acs!$B:$B=C290), 0)), "")</f>
        <v>5</v>
      </c>
      <c r="H290" cm="1">
        <f t="array" aca="1" ref="H290" ca="1">IFERROR(INDEX(ci_leitos_internacao!$C:$C, MATCH(1, (VALUE(LEFT(ci_leitos_internacao!$A:$A,6))=VALUE(LEFT(B290,6)))*(ci_leitos_internacao!$B:$B=C290), 0)), "")</f>
        <v>755</v>
      </c>
      <c r="I290" cm="1">
        <f t="array" aca="1" ref="I290" ca="1">IFERROR(INDEX(ci_hospitais_internacao!$C:$C, MATCH(1, (VALUE(LEFT(ci_hospitais_internacao!$A:$A,6))=VALUE(LEFT(B290,6)))*(ci_hospitais_internacao!$B:$B=C290), 0)), "")</f>
        <v>3</v>
      </c>
      <c r="J290" cm="1">
        <f t="array" aca="1" ref="J290" ca="1">IFERROR(INDEX(ci_pa_clinico!$C:$C, MATCH(1, (VALUE(LEFT(ci_pa_clinico!$A:$A,6))=VALUE(LEFT(B290,6)))*(ci_pa_clinico!$B:$B=C290), 0)), "")</f>
        <v>1</v>
      </c>
      <c r="K290" cm="1">
        <f t="array" aca="1" ref="K290" ca="1">IFERROR(INDEX(aps_equipes_esf!$C:$C, MATCH(1, (VALUE(LEFT(aps_equipes_esf!$A:$A,6))=VALUE(LEFT(B290,6)))*(aps_equipes_esf!$B:$B=C290), 0)), "")</f>
        <v>25</v>
      </c>
      <c r="L290" cm="1">
        <f t="array" aca="1" ref="L290" ca="1">IFERROR(INDEX(casos!$C:$C, MATCH(1, (VALUE(LEFT(casos!$A:$A,6))=VALUE(LEFT(B290,6)))*(casos!$B:$B=C290), 0)), "")</f>
        <v>702</v>
      </c>
      <c r="M290" cm="1">
        <f t="array" ref="M290">IFERROR(INDEX(srag!$D:$D, MATCH(1, (VALUE(LEFT(srag!$A:$A,6))=VALUE(LEFT(B290,6)))*(srag!$C:$C=C290), 0)), "")</f>
        <v>82</v>
      </c>
      <c r="N290" cm="1">
        <f t="array" aca="1" ref="N290" ca="1">IFERROR(INDEX(fesp!$E:$E, MATCH(1, (VALUE(LEFT(fesp!$A:$A,6))=VALUE(LEFT(B290,6)))*(fesp!$C:$C=C290), 0)), "")</f>
        <v>60</v>
      </c>
      <c r="O290" cm="1">
        <f t="array" aca="1" ref="O290" ca="1">IFERROR(INDEX(fesp!$F:$F, MATCH(1, (VALUE(LEFT(fesp!$A:$A,6))=VALUE(LEFT(B290,6)))*(fesp!$C:$C=C290), 0)), "")</f>
        <v>566</v>
      </c>
      <c r="P290" cm="1">
        <f t="array" aca="1" ref="P290" ca="1">IFERROR(INDEX(fesp!$G:$G, MATCH(1, (VALUE(LEFT(fesp!$A:$A,6))=VALUE(LEFT(B290,6)))*(fesp!$C:$C=C290), 0)), "")</f>
        <v>2392321</v>
      </c>
      <c r="Q290" cm="1">
        <f t="array" aca="1" ref="Q290" ca="1">IFERROR(INDEX(fesp!$H:$H, MATCH(1, (VALUE(LEFT(fesp!$A:$A,6))=VALUE(LEFT(B290,6)))*(fesp!$C:$C=C290), 0)), "")</f>
        <v>40</v>
      </c>
      <c r="R290" cm="1">
        <f t="array" aca="1" ref="R290" ca="1">IFERROR(INDEX(fesp!$I:$I, MATCH(1, (VALUE(LEFT(fesp!$A:$A,6))=VALUE(LEFT(B290,6)))*(fesp!$C:$C=C290), 0)), "")</f>
        <v>43872</v>
      </c>
      <c r="S290" cm="1">
        <f t="array" aca="1" ref="S290" ca="1">IFERROR(INDEX(fesp!$J:$J, MATCH(1, (VALUE(LEFT(fesp!$A:$A,6))=VALUE(LEFT(B290,6)))*(fesp!$C:$C=C290), 0)), "")</f>
        <v>456710</v>
      </c>
    </row>
    <row r="291" spans="1:19">
      <c r="A291" s="1" t="s">
        <v>76</v>
      </c>
      <c r="B291" s="3" t="s">
        <v>77</v>
      </c>
      <c r="C291" s="3">
        <v>2018</v>
      </c>
      <c r="D291" cm="1">
        <f t="array" ref="D291">IFERROR(INDEX(fesp!$D:$D, MATCH(1, (VALUE(LEFT(fesp!$A:$A,6))=VALUE(LEFT(B291,6)))*(fesp!$C:$C=C291), 0)), "")</f>
        <v>0</v>
      </c>
      <c r="E291" cm="1">
        <f t="array" aca="1" ref="E291" ca="1">IFERROR(INDEX(ft_medicos_clinicos!$C:$C, MATCH(1, (VALUE(LEFT(ft_medicos_clinicos!$A:$A,6))=VALUE(LEFT(B291,6)))*(ft_medicos_clinicos!$B:$B=C291), 0)), "")</f>
        <v>292</v>
      </c>
      <c r="F291" cm="1">
        <f t="array" aca="1" ref="F291" ca="1">IFERROR(INDEX(ft_enfermeiros!$C:$C, MATCH(1, (VALUE(LEFT(ft_enfermeiros!$A:$A,6))=VALUE(LEFT(B291,6)))*(ft_enfermeiros!$B:$B=C291), 0)), "")</f>
        <v>574</v>
      </c>
      <c r="G291" cm="1">
        <f t="array" aca="1" ref="G291" ca="1">IFERROR(INDEX(ft_equipes_acs!$C:$C, MATCH(1, (VALUE(LEFT(ft_equipes_acs!$A:$A,6))=VALUE(LEFT(B291,6)))*(ft_equipes_acs!$B:$B=C291), 0)), "")</f>
        <v>5</v>
      </c>
      <c r="H291" cm="1">
        <f t="array" aca="1" ref="H291" ca="1">IFERROR(INDEX(ci_leitos_internacao!$C:$C, MATCH(1, (VALUE(LEFT(ci_leitos_internacao!$A:$A,6))=VALUE(LEFT(B291,6)))*(ci_leitos_internacao!$B:$B=C291), 0)), "")</f>
        <v>699</v>
      </c>
      <c r="I291" cm="1">
        <f t="array" aca="1" ref="I291" ca="1">IFERROR(INDEX(ci_hospitais_internacao!$C:$C, MATCH(1, (VALUE(LEFT(ci_hospitais_internacao!$A:$A,6))=VALUE(LEFT(B291,6)))*(ci_hospitais_internacao!$B:$B=C291), 0)), "")</f>
        <v>3</v>
      </c>
      <c r="J291" cm="1">
        <f t="array" aca="1" ref="J291" ca="1">IFERROR(INDEX(ci_pa_clinico!$C:$C, MATCH(1, (VALUE(LEFT(ci_pa_clinico!$A:$A,6))=VALUE(LEFT(B291,6)))*(ci_pa_clinico!$B:$B=C291), 0)), "")</f>
        <v>1</v>
      </c>
      <c r="K291" cm="1">
        <f t="array" aca="1" ref="K291" ca="1">IFERROR(INDEX(aps_equipes_esf!$C:$C, MATCH(1, (VALUE(LEFT(aps_equipes_esf!$A:$A,6))=VALUE(LEFT(B291,6)))*(aps_equipes_esf!$B:$B=C291), 0)), "")</f>
        <v>25</v>
      </c>
      <c r="L291" cm="1">
        <f t="array" aca="1" ref="L291" ca="1">IFERROR(INDEX(casos!$C:$C, MATCH(1, (VALUE(LEFT(casos!$A:$A,6))=VALUE(LEFT(B291,6)))*(casos!$B:$B=C291), 0)), "")</f>
        <v>1176</v>
      </c>
      <c r="M291" cm="1">
        <f t="array" ref="M291">IFERROR(INDEX(srag!$D:$D, MATCH(1, (VALUE(LEFT(srag!$A:$A,6))=VALUE(LEFT(B291,6)))*(srag!$C:$C=C291), 0)), "")</f>
        <v>128</v>
      </c>
      <c r="N291" cm="1">
        <f t="array" aca="1" ref="N291" ca="1">IFERROR(INDEX(fesp!$E:$E, MATCH(1, (VALUE(LEFT(fesp!$A:$A,6))=VALUE(LEFT(B291,6)))*(fesp!$C:$C=C291), 0)), "")</f>
        <v>46</v>
      </c>
      <c r="O291" cm="1">
        <f t="array" aca="1" ref="O291" ca="1">IFERROR(INDEX(fesp!$F:$F, MATCH(1, (VALUE(LEFT(fesp!$A:$A,6))=VALUE(LEFT(B291,6)))*(fesp!$C:$C=C291), 0)), "")</f>
        <v>832</v>
      </c>
      <c r="P291" cm="1">
        <f t="array" aca="1" ref="P291" ca="1">IFERROR(INDEX(fesp!$G:$G, MATCH(1, (VALUE(LEFT(fesp!$A:$A,6))=VALUE(LEFT(B291,6)))*(fesp!$C:$C=C291), 0)), "")</f>
        <v>2791110</v>
      </c>
      <c r="Q291" cm="1">
        <f t="array" aca="1" ref="Q291" ca="1">IFERROR(INDEX(fesp!$H:$H, MATCH(1, (VALUE(LEFT(fesp!$A:$A,6))=VALUE(LEFT(B291,6)))*(fesp!$C:$C=C291), 0)), "")</f>
        <v>28</v>
      </c>
      <c r="R291" cm="1">
        <f t="array" aca="1" ref="R291" ca="1">IFERROR(INDEX(fesp!$I:$I, MATCH(1, (VALUE(LEFT(fesp!$A:$A,6))=VALUE(LEFT(B291,6)))*(fesp!$C:$C=C291), 0)), "")</f>
        <v>52891</v>
      </c>
      <c r="S291" cm="1">
        <f t="array" aca="1" ref="S291" ca="1">IFERROR(INDEX(fesp!$J:$J, MATCH(1, (VALUE(LEFT(fesp!$A:$A,6))=VALUE(LEFT(B291,6)))*(fesp!$C:$C=C291), 0)), "")</f>
        <v>459502</v>
      </c>
    </row>
    <row r="292" spans="1:19">
      <c r="A292" s="1" t="s">
        <v>76</v>
      </c>
      <c r="B292" s="3" t="s">
        <v>77</v>
      </c>
      <c r="C292" s="3">
        <v>2019</v>
      </c>
      <c r="D292" cm="1">
        <f t="array" ref="D292">IFERROR(INDEX(fesp!$D:$D, MATCH(1, (VALUE(LEFT(fesp!$A:$A,6))=VALUE(LEFT(B292,6)))*(fesp!$C:$C=C292), 0)), "")</f>
        <v>0</v>
      </c>
      <c r="E292" cm="1">
        <f t="array" aca="1" ref="E292" ca="1">IFERROR(INDEX(ft_medicos_clinicos!$C:$C, MATCH(1, (VALUE(LEFT(ft_medicos_clinicos!$A:$A,6))=VALUE(LEFT(B292,6)))*(ft_medicos_clinicos!$B:$B=C292), 0)), "")</f>
        <v>264</v>
      </c>
      <c r="F292" cm="1">
        <f t="array" aca="1" ref="F292" ca="1">IFERROR(INDEX(ft_enfermeiros!$C:$C, MATCH(1, (VALUE(LEFT(ft_enfermeiros!$A:$A,6))=VALUE(LEFT(B292,6)))*(ft_enfermeiros!$B:$B=C292), 0)), "")</f>
        <v>563</v>
      </c>
      <c r="G292" t="str" cm="1">
        <f t="array" aca="1" ref="G292" ca="1">IFERROR(INDEX(ft_equipes_acs!$C:$C, MATCH(1, (VALUE(LEFT(ft_equipes_acs!$A:$A,6))=VALUE(LEFT(B292,6)))*(ft_equipes_acs!$B:$B=C292), 0)), "")</f>
        <v>-</v>
      </c>
      <c r="H292" cm="1">
        <f t="array" aca="1" ref="H292" ca="1">IFERROR(INDEX(ci_leitos_internacao!$C:$C, MATCH(1, (VALUE(LEFT(ci_leitos_internacao!$A:$A,6))=VALUE(LEFT(B292,6)))*(ci_leitos_internacao!$B:$B=C292), 0)), "")</f>
        <v>755</v>
      </c>
      <c r="I292" cm="1">
        <f t="array" aca="1" ref="I292" ca="1">IFERROR(INDEX(ci_hospitais_internacao!$C:$C, MATCH(1, (VALUE(LEFT(ci_hospitais_internacao!$A:$A,6))=VALUE(LEFT(B292,6)))*(ci_hospitais_internacao!$B:$B=C292), 0)), "")</f>
        <v>3</v>
      </c>
      <c r="J292" cm="1">
        <f t="array" aca="1" ref="J292" ca="1">IFERROR(INDEX(ci_pa_clinico!$C:$C, MATCH(1, (VALUE(LEFT(ci_pa_clinico!$A:$A,6))=VALUE(LEFT(B292,6)))*(ci_pa_clinico!$B:$B=C292), 0)), "")</f>
        <v>1</v>
      </c>
      <c r="K292" cm="1">
        <f t="array" aca="1" ref="K292" ca="1">IFERROR(INDEX(aps_equipes_esf!$C:$C, MATCH(1, (VALUE(LEFT(aps_equipes_esf!$A:$A,6))=VALUE(LEFT(B292,6)))*(aps_equipes_esf!$B:$B=C292), 0)), "")</f>
        <v>28</v>
      </c>
      <c r="L292" cm="1">
        <f t="array" aca="1" ref="L292" ca="1">IFERROR(INDEX(casos!$C:$C, MATCH(1, (VALUE(LEFT(casos!$A:$A,6))=VALUE(LEFT(B292,6)))*(casos!$B:$B=C292), 0)), "")</f>
        <v>16645</v>
      </c>
      <c r="M292" cm="1">
        <f t="array" ref="M292">IFERROR(INDEX(srag!$D:$D, MATCH(1, (VALUE(LEFT(srag!$A:$A,6))=VALUE(LEFT(B292,6)))*(srag!$C:$C=C292), 0)), "")</f>
        <v>104</v>
      </c>
      <c r="N292" cm="1">
        <f t="array" aca="1" ref="N292" ca="1">IFERROR(INDEX(fesp!$E:$E, MATCH(1, (VALUE(LEFT(fesp!$A:$A,6))=VALUE(LEFT(B292,6)))*(fesp!$C:$C=C292), 0)), "")</f>
        <v>36</v>
      </c>
      <c r="O292" cm="1">
        <f t="array" aca="1" ref="O292" ca="1">IFERROR(INDEX(fesp!$F:$F, MATCH(1, (VALUE(LEFT(fesp!$A:$A,6))=VALUE(LEFT(B292,6)))*(fesp!$C:$C=C292), 0)), "")</f>
        <v>945</v>
      </c>
      <c r="P292" cm="1">
        <f t="array" aca="1" ref="P292" ca="1">IFERROR(INDEX(fesp!$G:$G, MATCH(1, (VALUE(LEFT(fesp!$A:$A,6))=VALUE(LEFT(B292,6)))*(fesp!$C:$C=C292), 0)), "")</f>
        <v>3087157</v>
      </c>
      <c r="Q292" cm="1">
        <f t="array" aca="1" ref="Q292" ca="1">IFERROR(INDEX(fesp!$H:$H, MATCH(1, (VALUE(LEFT(fesp!$A:$A,6))=VALUE(LEFT(B292,6)))*(fesp!$C:$C=C292), 0)), "")</f>
        <v>14</v>
      </c>
      <c r="R292" cm="1">
        <f t="array" aca="1" ref="R292" ca="1">IFERROR(INDEX(fesp!$I:$I, MATCH(1, (VALUE(LEFT(fesp!$A:$A,6))=VALUE(LEFT(B292,6)))*(fesp!$C:$C=C292), 0)), "")</f>
        <v>32367</v>
      </c>
      <c r="S292" cm="1">
        <f t="array" aca="1" ref="S292" ca="1">IFERROR(INDEX(fesp!$J:$J, MATCH(1, (VALUE(LEFT(fesp!$A:$A,6))=VALUE(LEFT(B292,6)))*(fesp!$C:$C=C292), 0)), "")</f>
        <v>1072345</v>
      </c>
    </row>
    <row r="293" spans="1:19">
      <c r="A293" s="1" t="s">
        <v>76</v>
      </c>
      <c r="B293" s="3" t="s">
        <v>77</v>
      </c>
      <c r="C293" s="3">
        <v>2020</v>
      </c>
      <c r="D293" cm="1">
        <f t="array" ref="D293">IFERROR(INDEX(fesp!$D:$D, MATCH(1, (VALUE(LEFT(fesp!$A:$A,6))=VALUE(LEFT(B293,6)))*(fesp!$C:$C=C293), 0)), "")</f>
        <v>0</v>
      </c>
      <c r="E293" cm="1">
        <f t="array" aca="1" ref="E293" ca="1">IFERROR(INDEX(ft_medicos_clinicos!$C:$C, MATCH(1, (VALUE(LEFT(ft_medicos_clinicos!$A:$A,6))=VALUE(LEFT(B293,6)))*(ft_medicos_clinicos!$B:$B=C293), 0)), "")</f>
        <v>326</v>
      </c>
      <c r="F293" cm="1">
        <f t="array" aca="1" ref="F293" ca="1">IFERROR(INDEX(ft_enfermeiros!$C:$C, MATCH(1, (VALUE(LEFT(ft_enfermeiros!$A:$A,6))=VALUE(LEFT(B293,6)))*(ft_enfermeiros!$B:$B=C293), 0)), "")</f>
        <v>782</v>
      </c>
      <c r="G293" t="str" cm="1">
        <f t="array" aca="1" ref="G293" ca="1">IFERROR(INDEX(ft_equipes_acs!$C:$C, MATCH(1, (VALUE(LEFT(ft_equipes_acs!$A:$A,6))=VALUE(LEFT(B293,6)))*(ft_equipes_acs!$B:$B=C293), 0)), "")</f>
        <v>-</v>
      </c>
      <c r="H293" cm="1">
        <f t="array" aca="1" ref="H293" ca="1">IFERROR(INDEX(ci_leitos_internacao!$C:$C, MATCH(1, (VALUE(LEFT(ci_leitos_internacao!$A:$A,6))=VALUE(LEFT(B293,6)))*(ci_leitos_internacao!$B:$B=C293), 0)), "")</f>
        <v>586</v>
      </c>
      <c r="I293" cm="1">
        <f t="array" aca="1" ref="I293" ca="1">IFERROR(INDEX(ci_hospitais_internacao!$C:$C, MATCH(1, (VALUE(LEFT(ci_hospitais_internacao!$A:$A,6))=VALUE(LEFT(B293,6)))*(ci_hospitais_internacao!$B:$B=C293), 0)), "")</f>
        <v>3</v>
      </c>
      <c r="J293" cm="1">
        <f t="array" aca="1" ref="J293" ca="1">IFERROR(INDEX(ci_pa_clinico!$C:$C, MATCH(1, (VALUE(LEFT(ci_pa_clinico!$A:$A,6))=VALUE(LEFT(B293,6)))*(ci_pa_clinico!$B:$B=C293), 0)), "")</f>
        <v>2</v>
      </c>
      <c r="K293" t="str" cm="1">
        <f t="array" aca="1" ref="K293" ca="1">IFERROR(INDEX(aps_equipes_esf!$C:$C, MATCH(1, (VALUE(LEFT(aps_equipes_esf!$A:$A,6))=VALUE(LEFT(B293,6)))*(aps_equipes_esf!$B:$B=C293), 0)), "")</f>
        <v>-</v>
      </c>
      <c r="L293" cm="1">
        <f t="array" aca="1" ref="L293" ca="1">IFERROR(INDEX(casos!$C:$C, MATCH(1, (VALUE(LEFT(casos!$A:$A,6))=VALUE(LEFT(B293,6)))*(casos!$B:$B=C293), 0)), "")</f>
        <v>38</v>
      </c>
      <c r="M293" cm="1">
        <f t="array" ref="M293">IFERROR(INDEX(srag!$D:$D, MATCH(1, (VALUE(LEFT(srag!$A:$A,6))=VALUE(LEFT(B293,6)))*(srag!$C:$C=C293), 0)), "")</f>
        <v>2232</v>
      </c>
      <c r="N293" cm="1">
        <f t="array" aca="1" ref="N293" ca="1">IFERROR(INDEX(fesp!$E:$E, MATCH(1, (VALUE(LEFT(fesp!$A:$A,6))=VALUE(LEFT(B293,6)))*(fesp!$C:$C=C293), 0)), "")</f>
        <v>51</v>
      </c>
      <c r="O293" cm="1">
        <f t="array" aca="1" ref="O293" ca="1">IFERROR(INDEX(fesp!$F:$F, MATCH(1, (VALUE(LEFT(fesp!$A:$A,6))=VALUE(LEFT(B293,6)))*(fesp!$C:$C=C293), 0)), "")</f>
        <v>548</v>
      </c>
      <c r="P293" cm="1">
        <f t="array" aca="1" ref="P293" ca="1">IFERROR(INDEX(fesp!$G:$G, MATCH(1, (VALUE(LEFT(fesp!$A:$A,6))=VALUE(LEFT(B293,6)))*(fesp!$C:$C=C293), 0)), "")</f>
        <v>1776182</v>
      </c>
      <c r="Q293" cm="1">
        <f t="array" aca="1" ref="Q293" ca="1">IFERROR(INDEX(fesp!$H:$H, MATCH(1, (VALUE(LEFT(fesp!$A:$A,6))=VALUE(LEFT(B293,6)))*(fesp!$C:$C=C293), 0)), "")</f>
        <v>17</v>
      </c>
      <c r="R293" cm="1">
        <f t="array" aca="1" ref="R293" ca="1">IFERROR(INDEX(fesp!$I:$I, MATCH(1, (VALUE(LEFT(fesp!$A:$A,6))=VALUE(LEFT(B293,6)))*(fesp!$C:$C=C293), 0)), "")</f>
        <v>119205</v>
      </c>
      <c r="S293" cm="1">
        <f t="array" aca="1" ref="S293" ca="1">IFERROR(INDEX(fesp!$J:$J, MATCH(1, (VALUE(LEFT(fesp!$A:$A,6))=VALUE(LEFT(B293,6)))*(fesp!$C:$C=C293), 0)), "")</f>
        <v>173907</v>
      </c>
    </row>
    <row r="294" spans="1:19">
      <c r="A294" s="1" t="s">
        <v>76</v>
      </c>
      <c r="B294" s="3" t="s">
        <v>77</v>
      </c>
      <c r="C294" s="3">
        <v>2021</v>
      </c>
      <c r="D294" cm="1">
        <f t="array" ref="D294">IFERROR(INDEX(fesp!$D:$D, MATCH(1, (VALUE(LEFT(fesp!$A:$A,6))=VALUE(LEFT(B294,6)))*(fesp!$C:$C=C294), 0)), "")</f>
        <v>0</v>
      </c>
      <c r="E294" cm="1">
        <f t="array" aca="1" ref="E294" ca="1">IFERROR(INDEX(ft_medicos_clinicos!$C:$C, MATCH(1, (VALUE(LEFT(ft_medicos_clinicos!$A:$A,6))=VALUE(LEFT(B294,6)))*(ft_medicos_clinicos!$B:$B=C294), 0)), "")</f>
        <v>448</v>
      </c>
      <c r="F294" cm="1">
        <f t="array" aca="1" ref="F294" ca="1">IFERROR(INDEX(ft_enfermeiros!$C:$C, MATCH(1, (VALUE(LEFT(ft_enfermeiros!$A:$A,6))=VALUE(LEFT(B294,6)))*(ft_enfermeiros!$B:$B=C294), 0)), "")</f>
        <v>877</v>
      </c>
      <c r="G294" t="str" cm="1">
        <f t="array" aca="1" ref="G294" ca="1">IFERROR(INDEX(ft_equipes_acs!$C:$C, MATCH(1, (VALUE(LEFT(ft_equipes_acs!$A:$A,6))=VALUE(LEFT(B294,6)))*(ft_equipes_acs!$B:$B=C294), 0)), "")</f>
        <v>-</v>
      </c>
      <c r="H294" cm="1">
        <f t="array" aca="1" ref="H294" ca="1">IFERROR(INDEX(ci_leitos_internacao!$C:$C, MATCH(1, (VALUE(LEFT(ci_leitos_internacao!$A:$A,6))=VALUE(LEFT(B294,6)))*(ci_leitos_internacao!$B:$B=C294), 0)), "")</f>
        <v>651</v>
      </c>
      <c r="I294" cm="1">
        <f t="array" aca="1" ref="I294" ca="1">IFERROR(INDEX(ci_hospitais_internacao!$C:$C, MATCH(1, (VALUE(LEFT(ci_hospitais_internacao!$A:$A,6))=VALUE(LEFT(B294,6)))*(ci_hospitais_internacao!$B:$B=C294), 0)), "")</f>
        <v>3</v>
      </c>
      <c r="J294" cm="1">
        <f t="array" aca="1" ref="J294" ca="1">IFERROR(INDEX(ci_pa_clinico!$C:$C, MATCH(1, (VALUE(LEFT(ci_pa_clinico!$A:$A,6))=VALUE(LEFT(B294,6)))*(ci_pa_clinico!$B:$B=C294), 0)), "")</f>
        <v>2</v>
      </c>
      <c r="K294" t="str" cm="1">
        <f t="array" aca="1" ref="K294" ca="1">IFERROR(INDEX(aps_equipes_esf!$C:$C, MATCH(1, (VALUE(LEFT(aps_equipes_esf!$A:$A,6))=VALUE(LEFT(B294,6)))*(aps_equipes_esf!$B:$B=C294), 0)), "")</f>
        <v>-</v>
      </c>
      <c r="L294" t="str" cm="1">
        <f t="array" aca="1" ref="L294" ca="1">IFERROR(INDEX(casos!$C:$C, MATCH(1, (VALUE(LEFT(casos!$A:$A,6))=VALUE(LEFT(B294,6)))*(casos!$B:$B=C294), 0)), "")</f>
        <v>-</v>
      </c>
      <c r="M294" cm="1">
        <f t="array" ref="M294">IFERROR(INDEX(srag!$D:$D, MATCH(1, (VALUE(LEFT(srag!$A:$A,6))=VALUE(LEFT(B294,6)))*(srag!$C:$C=C294), 0)), "")</f>
        <v>2451</v>
      </c>
      <c r="N294" cm="1">
        <f t="array" aca="1" ref="N294" ca="1">IFERROR(INDEX(fesp!$E:$E, MATCH(1, (VALUE(LEFT(fesp!$A:$A,6))=VALUE(LEFT(B294,6)))*(fesp!$C:$C=C294), 0)), "")</f>
        <v>39</v>
      </c>
      <c r="O294" cm="1">
        <f t="array" aca="1" ref="O294" ca="1">IFERROR(INDEX(fesp!$F:$F, MATCH(1, (VALUE(LEFT(fesp!$A:$A,6))=VALUE(LEFT(B294,6)))*(fesp!$C:$C=C294), 0)), "")</f>
        <v>642</v>
      </c>
      <c r="P294" cm="1">
        <f t="array" aca="1" ref="P294" ca="1">IFERROR(INDEX(fesp!$G:$G, MATCH(1, (VALUE(LEFT(fesp!$A:$A,6))=VALUE(LEFT(B294,6)))*(fesp!$C:$C=C294), 0)), "")</f>
        <v>2138620</v>
      </c>
      <c r="Q294" cm="1">
        <f t="array" aca="1" ref="Q294" ca="1">IFERROR(INDEX(fesp!$H:$H, MATCH(1, (VALUE(LEFT(fesp!$A:$A,6))=VALUE(LEFT(B294,6)))*(fesp!$C:$C=C294), 0)), "")</f>
        <v>38</v>
      </c>
      <c r="R294" cm="1">
        <f t="array" aca="1" ref="R294" ca="1">IFERROR(INDEX(fesp!$I:$I, MATCH(1, (VALUE(LEFT(fesp!$A:$A,6))=VALUE(LEFT(B294,6)))*(fesp!$C:$C=C294), 0)), "")</f>
        <v>1185</v>
      </c>
      <c r="S294" cm="1">
        <f t="array" aca="1" ref="S294" ca="1">IFERROR(INDEX(fesp!$J:$J, MATCH(1, (VALUE(LEFT(fesp!$A:$A,6))=VALUE(LEFT(B294,6)))*(fesp!$C:$C=C294), 0)), "")</f>
        <v>4629</v>
      </c>
    </row>
    <row r="295" spans="1:19">
      <c r="A295" s="1" t="s">
        <v>76</v>
      </c>
      <c r="B295" s="3" t="s">
        <v>77</v>
      </c>
      <c r="C295" s="3">
        <v>2022</v>
      </c>
      <c r="D295" cm="1">
        <f t="array" ref="D295">IFERROR(INDEX(fesp!$D:$D, MATCH(1, (VALUE(LEFT(fesp!$A:$A,6))=VALUE(LEFT(B295,6)))*(fesp!$C:$C=C295), 0)), "")</f>
        <v>520653</v>
      </c>
      <c r="E295" cm="1">
        <f t="array" aca="1" ref="E295" ca="1">IFERROR(INDEX(ft_medicos_clinicos!$C:$C, MATCH(1, (VALUE(LEFT(ft_medicos_clinicos!$A:$A,6))=VALUE(LEFT(B295,6)))*(ft_medicos_clinicos!$B:$B=C295), 0)), "")</f>
        <v>528</v>
      </c>
      <c r="F295" cm="1">
        <f t="array" aca="1" ref="F295" ca="1">IFERROR(INDEX(ft_enfermeiros!$C:$C, MATCH(1, (VALUE(LEFT(ft_enfermeiros!$A:$A,6))=VALUE(LEFT(B295,6)))*(ft_enfermeiros!$B:$B=C295), 0)), "")</f>
        <v>778</v>
      </c>
      <c r="G295" t="str" cm="1">
        <f t="array" aca="1" ref="G295" ca="1">IFERROR(INDEX(ft_equipes_acs!$C:$C, MATCH(1, (VALUE(LEFT(ft_equipes_acs!$A:$A,6))=VALUE(LEFT(B295,6)))*(ft_equipes_acs!$B:$B=C295), 0)), "")</f>
        <v>-</v>
      </c>
      <c r="H295" cm="1">
        <f t="array" aca="1" ref="H295" ca="1">IFERROR(INDEX(ci_leitos_internacao!$C:$C, MATCH(1, (VALUE(LEFT(ci_leitos_internacao!$A:$A,6))=VALUE(LEFT(B295,6)))*(ci_leitos_internacao!$B:$B=C295), 0)), "")</f>
        <v>767</v>
      </c>
      <c r="I295" cm="1">
        <f t="array" aca="1" ref="I295" ca="1">IFERROR(INDEX(ci_hospitais_internacao!$C:$C, MATCH(1, (VALUE(LEFT(ci_hospitais_internacao!$A:$A,6))=VALUE(LEFT(B295,6)))*(ci_hospitais_internacao!$B:$B=C295), 0)), "")</f>
        <v>3</v>
      </c>
      <c r="J295" cm="1">
        <f t="array" aca="1" ref="J295" ca="1">IFERROR(INDEX(ci_pa_clinico!$C:$C, MATCH(1, (VALUE(LEFT(ci_pa_clinico!$A:$A,6))=VALUE(LEFT(B295,6)))*(ci_pa_clinico!$B:$B=C295), 0)), "")</f>
        <v>2</v>
      </c>
      <c r="K295" t="str" cm="1">
        <f t="array" aca="1" ref="K295" ca="1">IFERROR(INDEX(aps_equipes_esf!$C:$C, MATCH(1, (VALUE(LEFT(aps_equipes_esf!$A:$A,6))=VALUE(LEFT(B295,6)))*(aps_equipes_esf!$B:$B=C295), 0)), "")</f>
        <v>-</v>
      </c>
      <c r="L295" t="str" cm="1">
        <f t="array" aca="1" ref="L295" ca="1">IFERROR(INDEX(casos!$C:$C, MATCH(1, (VALUE(LEFT(casos!$A:$A,6))=VALUE(LEFT(B295,6)))*(casos!$B:$B=C295), 0)), "")</f>
        <v>-</v>
      </c>
      <c r="M295" cm="1">
        <f t="array" ref="M295">IFERROR(INDEX(srag!$D:$D, MATCH(1, (VALUE(LEFT(srag!$A:$A,6))=VALUE(LEFT(B295,6)))*(srag!$C:$C=C295), 0)), "")</f>
        <v>1030</v>
      </c>
      <c r="N295" cm="1">
        <f t="array" aca="1" ref="N295" ca="1">IFERROR(INDEX(fesp!$E:$E, MATCH(1, (VALUE(LEFT(fesp!$A:$A,6))=VALUE(LEFT(B295,6)))*(fesp!$C:$C=C295), 0)), "")</f>
        <v>61</v>
      </c>
      <c r="O295" cm="1">
        <f t="array" aca="1" ref="O295" ca="1">IFERROR(INDEX(fesp!$F:$F, MATCH(1, (VALUE(LEFT(fesp!$A:$A,6))=VALUE(LEFT(B295,6)))*(fesp!$C:$C=C295), 0)), "")</f>
        <v>612</v>
      </c>
      <c r="P295" cm="1">
        <f t="array" aca="1" ref="P295" ca="1">IFERROR(INDEX(fesp!$G:$G, MATCH(1, (VALUE(LEFT(fesp!$A:$A,6))=VALUE(LEFT(B295,6)))*(fesp!$C:$C=C295), 0)), "")</f>
        <v>2792051</v>
      </c>
      <c r="Q295" cm="1">
        <f t="array" aca="1" ref="Q295" ca="1">IFERROR(INDEX(fesp!$H:$H, MATCH(1, (VALUE(LEFT(fesp!$A:$A,6))=VALUE(LEFT(B295,6)))*(fesp!$C:$C=C295), 0)), "")</f>
        <v>38</v>
      </c>
      <c r="R295" cm="1">
        <f t="array" aca="1" ref="R295" ca="1">IFERROR(INDEX(fesp!$I:$I, MATCH(1, (VALUE(LEFT(fesp!$A:$A,6))=VALUE(LEFT(B295,6)))*(fesp!$C:$C=C295), 0)), "")</f>
        <v>1158</v>
      </c>
      <c r="S295" cm="1">
        <f t="array" aca="1" ref="S295" ca="1">IFERROR(INDEX(fesp!$J:$J, MATCH(1, (VALUE(LEFT(fesp!$A:$A,6))=VALUE(LEFT(B295,6)))*(fesp!$C:$C=C295), 0)), "")</f>
        <v>34</v>
      </c>
    </row>
    <row r="296" spans="1:19">
      <c r="A296" s="1" t="s">
        <v>76</v>
      </c>
      <c r="B296" s="3" t="s">
        <v>77</v>
      </c>
      <c r="C296" s="3">
        <v>2023</v>
      </c>
      <c r="D296" cm="1">
        <f t="array" ref="D296">IFERROR(INDEX(fesp!$D:$D, MATCH(1, (VALUE(LEFT(fesp!$A:$A,6))=VALUE(LEFT(B296,6)))*(fesp!$C:$C=C296), 0)), "")</f>
        <v>0</v>
      </c>
      <c r="E296" cm="1">
        <f t="array" aca="1" ref="E296" ca="1">IFERROR(INDEX(ft_medicos_clinicos!$C:$C, MATCH(1, (VALUE(LEFT(ft_medicos_clinicos!$A:$A,6))=VALUE(LEFT(B296,6)))*(ft_medicos_clinicos!$B:$B=C296), 0)), "")</f>
        <v>560</v>
      </c>
      <c r="F296" cm="1">
        <f t="array" aca="1" ref="F296" ca="1">IFERROR(INDEX(ft_enfermeiros!$C:$C, MATCH(1, (VALUE(LEFT(ft_enfermeiros!$A:$A,6))=VALUE(LEFT(B296,6)))*(ft_enfermeiros!$B:$B=C296), 0)), "")</f>
        <v>839</v>
      </c>
      <c r="G296" t="str" cm="1">
        <f t="array" aca="1" ref="G296" ca="1">IFERROR(INDEX(ft_equipes_acs!$C:$C, MATCH(1, (VALUE(LEFT(ft_equipes_acs!$A:$A,6))=VALUE(LEFT(B296,6)))*(ft_equipes_acs!$B:$B=C296), 0)), "")</f>
        <v>-</v>
      </c>
      <c r="H296" cm="1">
        <f t="array" aca="1" ref="H296" ca="1">IFERROR(INDEX(ci_leitos_internacao!$C:$C, MATCH(1, (VALUE(LEFT(ci_leitos_internacao!$A:$A,6))=VALUE(LEFT(B296,6)))*(ci_leitos_internacao!$B:$B=C296), 0)), "")</f>
        <v>900</v>
      </c>
      <c r="I296" cm="1">
        <f t="array" aca="1" ref="I296" ca="1">IFERROR(INDEX(ci_hospitais_internacao!$C:$C, MATCH(1, (VALUE(LEFT(ci_hospitais_internacao!$A:$A,6))=VALUE(LEFT(B296,6)))*(ci_hospitais_internacao!$B:$B=C296), 0)), "")</f>
        <v>4</v>
      </c>
      <c r="J296" cm="1">
        <f t="array" aca="1" ref="J296" ca="1">IFERROR(INDEX(ci_pa_clinico!$C:$C, MATCH(1, (VALUE(LEFT(ci_pa_clinico!$A:$A,6))=VALUE(LEFT(B296,6)))*(ci_pa_clinico!$B:$B=C296), 0)), "")</f>
        <v>2</v>
      </c>
      <c r="K296" t="str" cm="1">
        <f t="array" aca="1" ref="K296" ca="1">IFERROR(INDEX(aps_equipes_esf!$C:$C, MATCH(1, (VALUE(LEFT(aps_equipes_esf!$A:$A,6))=VALUE(LEFT(B296,6)))*(aps_equipes_esf!$B:$B=C296), 0)), "")</f>
        <v>-</v>
      </c>
      <c r="L296" cm="1">
        <f t="array" aca="1" ref="L296" ca="1">IFERROR(INDEX(casos!$C:$C, MATCH(1, (VALUE(LEFT(casos!$A:$A,6))=VALUE(LEFT(B296,6)))*(casos!$B:$B=C296), 0)), "")</f>
        <v>25194</v>
      </c>
      <c r="M296" cm="1">
        <f t="array" ref="M296">IFERROR(INDEX(srag!$D:$D, MATCH(1, (VALUE(LEFT(srag!$A:$A,6))=VALUE(LEFT(B296,6)))*(srag!$C:$C=C296), 0)), "")</f>
        <v>706</v>
      </c>
      <c r="N296" cm="1">
        <f t="array" aca="1" ref="N296" ca="1">IFERROR(INDEX(fesp!$E:$E, MATCH(1, (VALUE(LEFT(fesp!$A:$A,6))=VALUE(LEFT(B296,6)))*(fesp!$C:$C=C296), 0)), "")</f>
        <v>37</v>
      </c>
      <c r="O296" cm="1">
        <f t="array" aca="1" ref="O296" ca="1">IFERROR(INDEX(fesp!$F:$F, MATCH(1, (VALUE(LEFT(fesp!$A:$A,6))=VALUE(LEFT(B296,6)))*(fesp!$C:$C=C296), 0)), "")</f>
        <v>747</v>
      </c>
      <c r="P296" cm="1">
        <f t="array" aca="1" ref="P296" ca="1">IFERROR(INDEX(fesp!$G:$G, MATCH(1, (VALUE(LEFT(fesp!$A:$A,6))=VALUE(LEFT(B296,6)))*(fesp!$C:$C=C296), 0)), "")</f>
        <v>3199656</v>
      </c>
      <c r="Q296" cm="1">
        <f t="array" aca="1" ref="Q296" ca="1">IFERROR(INDEX(fesp!$H:$H, MATCH(1, (VALUE(LEFT(fesp!$A:$A,6))=VALUE(LEFT(B296,6)))*(fesp!$C:$C=C296), 0)), "")</f>
        <v>41</v>
      </c>
      <c r="R296" cm="1">
        <f t="array" aca="1" ref="R296" ca="1">IFERROR(INDEX(fesp!$I:$I, MATCH(1, (VALUE(LEFT(fesp!$A:$A,6))=VALUE(LEFT(B296,6)))*(fesp!$C:$C=C296), 0)), "")</f>
        <v>1835</v>
      </c>
      <c r="S296" cm="1">
        <f t="array" aca="1" ref="S296" ca="1">IFERROR(INDEX(fesp!$J:$J, MATCH(1, (VALUE(LEFT(fesp!$A:$A,6))=VALUE(LEFT(B296,6)))*(fesp!$C:$C=C296), 0)), "")</f>
        <v>0</v>
      </c>
    </row>
    <row r="297" spans="1:19">
      <c r="A297" s="1" t="s">
        <v>76</v>
      </c>
      <c r="B297" s="3" t="s">
        <v>77</v>
      </c>
      <c r="C297" s="3">
        <v>2024</v>
      </c>
      <c r="D297" cm="1">
        <f t="array" ref="D297">IFERROR(INDEX(fesp!$D:$D, MATCH(1, (VALUE(LEFT(fesp!$A:$A,6))=VALUE(LEFT(B297,6)))*(fesp!$C:$C=C297), 0)), "")</f>
        <v>0</v>
      </c>
      <c r="E297" cm="1">
        <f t="array" aca="1" ref="E297" ca="1">IFERROR(INDEX(ft_medicos_clinicos!$C:$C, MATCH(1, (VALUE(LEFT(ft_medicos_clinicos!$A:$A,6))=VALUE(LEFT(B297,6)))*(ft_medicos_clinicos!$B:$B=C297), 0)), "")</f>
        <v>712</v>
      </c>
      <c r="F297" cm="1">
        <f t="array" aca="1" ref="F297" ca="1">IFERROR(INDEX(ft_enfermeiros!$C:$C, MATCH(1, (VALUE(LEFT(ft_enfermeiros!$A:$A,6))=VALUE(LEFT(B297,6)))*(ft_enfermeiros!$B:$B=C297), 0)), "")</f>
        <v>937</v>
      </c>
      <c r="G297" t="str" cm="1">
        <f t="array" aca="1" ref="G297" ca="1">IFERROR(INDEX(ft_equipes_acs!$C:$C, MATCH(1, (VALUE(LEFT(ft_equipes_acs!$A:$A,6))=VALUE(LEFT(B297,6)))*(ft_equipes_acs!$B:$B=C297), 0)), "")</f>
        <v>-</v>
      </c>
      <c r="H297" cm="1">
        <f t="array" aca="1" ref="H297" ca="1">IFERROR(INDEX(ci_leitos_internacao!$C:$C, MATCH(1, (VALUE(LEFT(ci_leitos_internacao!$A:$A,6))=VALUE(LEFT(B297,6)))*(ci_leitos_internacao!$B:$B=C297), 0)), "")</f>
        <v>1056</v>
      </c>
      <c r="I297" cm="1">
        <f t="array" aca="1" ref="I297" ca="1">IFERROR(INDEX(ci_hospitais_internacao!$C:$C, MATCH(1, (VALUE(LEFT(ci_hospitais_internacao!$A:$A,6))=VALUE(LEFT(B297,6)))*(ci_hospitais_internacao!$B:$B=C297), 0)), "")</f>
        <v>4</v>
      </c>
      <c r="J297" cm="1">
        <f t="array" aca="1" ref="J297" ca="1">IFERROR(INDEX(ci_pa_clinico!$C:$C, MATCH(1, (VALUE(LEFT(ci_pa_clinico!$A:$A,6))=VALUE(LEFT(B297,6)))*(ci_pa_clinico!$B:$B=C297), 0)), "")</f>
        <v>2</v>
      </c>
      <c r="K297" t="str" cm="1">
        <f t="array" aca="1" ref="K297" ca="1">IFERROR(INDEX(aps_equipes_esf!$C:$C, MATCH(1, (VALUE(LEFT(aps_equipes_esf!$A:$A,6))=VALUE(LEFT(B297,6)))*(aps_equipes_esf!$B:$B=C297), 0)), "")</f>
        <v>-</v>
      </c>
      <c r="L297" cm="1">
        <f t="array" aca="1" ref="L297" ca="1">IFERROR(INDEX(casos!$C:$C, MATCH(1, (VALUE(LEFT(casos!$A:$A,6))=VALUE(LEFT(B297,6)))*(casos!$B:$B=C297), 0)), "")</f>
        <v>20168</v>
      </c>
      <c r="M297" cm="1">
        <f t="array" ref="M297">IFERROR(INDEX(srag!$D:$D, MATCH(1, (VALUE(LEFT(srag!$A:$A,6))=VALUE(LEFT(B297,6)))*(srag!$C:$C=C297), 0)), "")</f>
        <v>645</v>
      </c>
      <c r="N297" cm="1">
        <f t="array" aca="1" ref="N297" ca="1">IFERROR(INDEX(fesp!$E:$E, MATCH(1, (VALUE(LEFT(fesp!$A:$A,6))=VALUE(LEFT(B297,6)))*(fesp!$C:$C=C297), 0)), "")</f>
        <v>35</v>
      </c>
      <c r="O297" cm="1">
        <f t="array" aca="1" ref="O297" ca="1">IFERROR(INDEX(fesp!$F:$F, MATCH(1, (VALUE(LEFT(fesp!$A:$A,6))=VALUE(LEFT(B297,6)))*(fesp!$C:$C=C297), 0)), "")</f>
        <v>1046</v>
      </c>
      <c r="P297" cm="1">
        <f t="array" aca="1" ref="P297" ca="1">IFERROR(INDEX(fesp!$G:$G, MATCH(1, (VALUE(LEFT(fesp!$A:$A,6))=VALUE(LEFT(B297,6)))*(fesp!$C:$C=C297), 0)), "")</f>
        <v>3119985</v>
      </c>
      <c r="Q297" cm="1">
        <f t="array" aca="1" ref="Q297" ca="1">IFERROR(INDEX(fesp!$H:$H, MATCH(1, (VALUE(LEFT(fesp!$A:$A,6))=VALUE(LEFT(B297,6)))*(fesp!$C:$C=C297), 0)), "")</f>
        <v>31</v>
      </c>
      <c r="R297" cm="1">
        <f t="array" aca="1" ref="R297" ca="1">IFERROR(INDEX(fesp!$I:$I, MATCH(1, (VALUE(LEFT(fesp!$A:$A,6))=VALUE(LEFT(B297,6)))*(fesp!$C:$C=C297), 0)), "")</f>
        <v>558</v>
      </c>
      <c r="S297" cm="1">
        <f t="array" aca="1" ref="S297" ca="1">IFERROR(INDEX(fesp!$J:$J, MATCH(1, (VALUE(LEFT(fesp!$A:$A,6))=VALUE(LEFT(B297,6)))*(fesp!$C:$C=C297), 0)), "")</f>
        <v>0</v>
      </c>
    </row>
    <row r="298" spans="1:19">
      <c r="A298" s="1" t="s">
        <v>76</v>
      </c>
      <c r="B298" s="3">
        <v>3205002</v>
      </c>
      <c r="C298" s="3">
        <v>2025</v>
      </c>
      <c r="D298" cm="1">
        <f t="array" ref="D298">IFERROR(INDEX(fesp!$D:$D, MATCH(1, (VALUE(LEFT(fesp!$A:$A,6))=VALUE(LEFT(B298,6)))*(fesp!$C:$C=C298), 0)), "")</f>
        <v>0</v>
      </c>
      <c r="E298" cm="1">
        <f t="array" aca="1" ref="E298" ca="1">IFERROR(INDEX(ft_medicos_clinicos!$C:$C, MATCH(1, (VALUE(LEFT(ft_medicos_clinicos!$A:$A,6))=VALUE(LEFT(B298,6)))*(ft_medicos_clinicos!$B:$B=C298), 0)), "")</f>
        <v>731</v>
      </c>
      <c r="F298" cm="1">
        <f t="array" aca="1" ref="F298" ca="1">IFERROR(INDEX(ft_enfermeiros!$C:$C, MATCH(1, (VALUE(LEFT(ft_enfermeiros!$A:$A,6))=VALUE(LEFT(B298,6)))*(ft_enfermeiros!$B:$B=C298), 0)), "")</f>
        <v>1000</v>
      </c>
      <c r="G298" t="str" cm="1">
        <f t="array" aca="1" ref="G298" ca="1">IFERROR(INDEX(ft_equipes_acs!$C:$C, MATCH(1, (VALUE(LEFT(ft_equipes_acs!$A:$A,6))=VALUE(LEFT(B298,6)))*(ft_equipes_acs!$B:$B=C298), 0)), "")</f>
        <v>-</v>
      </c>
      <c r="H298" cm="1">
        <f t="array" aca="1" ref="H298" ca="1">IFERROR(INDEX(ci_leitos_internacao!$C:$C, MATCH(1, (VALUE(LEFT(ci_leitos_internacao!$A:$A,6))=VALUE(LEFT(B298,6)))*(ci_leitos_internacao!$B:$B=C298), 0)), "")</f>
        <v>1046</v>
      </c>
      <c r="I298" cm="1">
        <f t="array" aca="1" ref="I298" ca="1">IFERROR(INDEX(ci_hospitais_internacao!$C:$C, MATCH(1, (VALUE(LEFT(ci_hospitais_internacao!$A:$A,6))=VALUE(LEFT(B298,6)))*(ci_hospitais_internacao!$B:$B=C298), 0)), "")</f>
        <v>4</v>
      </c>
      <c r="J298" cm="1">
        <f t="array" aca="1" ref="J298" ca="1">IFERROR(INDEX(ci_pa_clinico!$C:$C, MATCH(1, (VALUE(LEFT(ci_pa_clinico!$A:$A,6))=VALUE(LEFT(B298,6)))*(ci_pa_clinico!$B:$B=C298), 0)), "")</f>
        <v>2</v>
      </c>
      <c r="K298" t="str" cm="1">
        <f t="array" aca="1" ref="K298" ca="1">IFERROR(INDEX(aps_equipes_esf!$C:$C, MATCH(1, (VALUE(LEFT(aps_equipes_esf!$A:$A,6))=VALUE(LEFT(B298,6)))*(aps_equipes_esf!$B:$B=C298), 0)), "")</f>
        <v>-</v>
      </c>
      <c r="L298" cm="1">
        <f t="array" aca="1" ref="L298" ca="1">IFERROR(INDEX(casos!$C:$C, MATCH(1, (VALUE(LEFT(casos!$A:$A,6))=VALUE(LEFT(B298,6)))*(casos!$B:$B=C298), 0)), "")</f>
        <v>8345</v>
      </c>
      <c r="M298" cm="1">
        <f t="array" ref="M298">IFERROR(INDEX(srag!$D:$D, MATCH(1, (VALUE(LEFT(srag!$A:$A,6))=VALUE(LEFT(B298,6)))*(srag!$C:$C=C298), 0)), "")</f>
        <v>697</v>
      </c>
      <c r="N298" cm="1">
        <f t="array" aca="1" ref="N298" ca="1">IFERROR(INDEX(fesp!$E:$E, MATCH(1, (VALUE(LEFT(fesp!$A:$A,6))=VALUE(LEFT(B298,6)))*(fesp!$C:$C=C298), 0)), "")</f>
        <v>54</v>
      </c>
      <c r="O298" cm="1">
        <f t="array" aca="1" ref="O298" ca="1">IFERROR(INDEX(fesp!$F:$F, MATCH(1, (VALUE(LEFT(fesp!$A:$A,6))=VALUE(LEFT(B298,6)))*(fesp!$C:$C=C298), 0)), "")</f>
        <v>824</v>
      </c>
      <c r="P298" cm="1">
        <f t="array" aca="1" ref="P298" ca="1">IFERROR(INDEX(fesp!$G:$G, MATCH(1, (VALUE(LEFT(fesp!$A:$A,6))=VALUE(LEFT(B298,6)))*(fesp!$C:$C=C298), 0)), "")</f>
        <v>2732619</v>
      </c>
      <c r="Q298" cm="1">
        <f t="array" aca="1" ref="Q298" ca="1">IFERROR(INDEX(fesp!$H:$H, MATCH(1, (VALUE(LEFT(fesp!$A:$A,6))=VALUE(LEFT(B298,6)))*(fesp!$C:$C=C298), 0)), "")</f>
        <v>33</v>
      </c>
      <c r="R298" cm="1">
        <f t="array" aca="1" ref="R298" ca="1">IFERROR(INDEX(fesp!$I:$I, MATCH(1, (VALUE(LEFT(fesp!$A:$A,6))=VALUE(LEFT(B298,6)))*(fesp!$C:$C=C298), 0)), "")</f>
        <v>979</v>
      </c>
      <c r="S298" cm="1">
        <f t="array" aca="1" ref="S298" ca="1">IFERROR(INDEX(fesp!$J:$J, MATCH(1, (VALUE(LEFT(fesp!$A:$A,6))=VALUE(LEFT(B298,6)))*(fesp!$C:$C=C298), 0)), "")</f>
        <v>0</v>
      </c>
    </row>
    <row r="299" spans="1:19">
      <c r="A299" s="1" t="s">
        <v>93</v>
      </c>
      <c r="B299" s="3">
        <v>3205200</v>
      </c>
      <c r="C299" s="3">
        <v>2015</v>
      </c>
      <c r="D299" cm="1">
        <f t="array" ref="D299">IFERROR(INDEX(fesp!$D:$D, MATCH(1, (VALUE(LEFT(fesp!$A:$A,6))=VALUE(LEFT(B299,6)))*(fesp!$C:$C=C299), 0)), "")</f>
        <v>472762</v>
      </c>
      <c r="E299" t="str" cm="1">
        <f t="array" aca="1" ref="E299" ca="1">IFERROR(INDEX(ft_medicos_clinicos!$C:$C, MATCH(1, (VALUE(LEFT(ft_medicos_clinicos!$A:$A,6))=VALUE(LEFT(B299,6)))*(ft_medicos_clinicos!$B:$B=C299), 0)), "")</f>
        <v/>
      </c>
      <c r="F299" t="str" cm="1">
        <f t="array" aca="1" ref="F299" ca="1">IFERROR(INDEX(ft_enfermeiros!$C:$C, MATCH(1, (VALUE(LEFT(ft_enfermeiros!$A:$A,6))=VALUE(LEFT(B299,6)))*(ft_enfermeiros!$B:$B=C299), 0)), "")</f>
        <v/>
      </c>
      <c r="G299" cm="1">
        <f t="array" aca="1" ref="G299" ca="1">IFERROR(INDEX(ft_equipes_acs!$C:$C, MATCH(1, (VALUE(LEFT(ft_equipes_acs!$A:$A,6))=VALUE(LEFT(B299,6)))*(ft_equipes_acs!$B:$B=C299), 0)), "")</f>
        <v>3</v>
      </c>
      <c r="H299" cm="1">
        <f t="array" aca="1" ref="H299" ca="1">IFERROR(INDEX(ci_leitos_internacao!$C:$C, MATCH(1, (VALUE(LEFT(ci_leitos_internacao!$A:$A,6))=VALUE(LEFT(B299,6)))*(ci_leitos_internacao!$B:$B=C299), 0)), "")</f>
        <v>780</v>
      </c>
      <c r="I299" cm="1">
        <f t="array" aca="1" ref="I299" ca="1">IFERROR(INDEX(ci_hospitais_internacao!$C:$C, MATCH(1, (VALUE(LEFT(ci_hospitais_internacao!$A:$A,6))=VALUE(LEFT(B299,6)))*(ci_hospitais_internacao!$B:$B=C299), 0)), "")</f>
        <v>5</v>
      </c>
      <c r="J299" cm="1">
        <f t="array" aca="1" ref="J299" ca="1">IFERROR(INDEX(ci_pa_clinico!$C:$C, MATCH(1, (VALUE(LEFT(ci_pa_clinico!$A:$A,6))=VALUE(LEFT(B299,6)))*(ci_pa_clinico!$B:$B=C299), 0)), "")</f>
        <v>3</v>
      </c>
      <c r="K299" cm="1">
        <f t="array" aca="1" ref="K299" ca="1">IFERROR(INDEX(aps_equipes_esf!$C:$C, MATCH(1, (VALUE(LEFT(aps_equipes_esf!$A:$A,6))=VALUE(LEFT(B299,6)))*(aps_equipes_esf!$B:$B=C299), 0)), "")</f>
        <v>15</v>
      </c>
      <c r="L299" cm="1">
        <f t="array" aca="1" ref="L299" ca="1">IFERROR(INDEX(casos!$C:$C, MATCH(1, (VALUE(LEFT(casos!$A:$A,6))=VALUE(LEFT(B299,6)))*(casos!$B:$B=C299), 0)), "")</f>
        <v>3152</v>
      </c>
      <c r="M299" cm="1">
        <f t="array" ref="M299">IFERROR(INDEX(srag!$D:$D, MATCH(1, (VALUE(LEFT(srag!$A:$A,6))=VALUE(LEFT(B299,6)))*(srag!$C:$C=C299), 0)), "")</f>
        <v>7</v>
      </c>
      <c r="N299" cm="1">
        <f t="array" aca="1" ref="N299" ca="1">IFERROR(INDEX(fesp!$E:$E, MATCH(1, (VALUE(LEFT(fesp!$A:$A,6))=VALUE(LEFT(B299,6)))*(fesp!$C:$C=C299), 0)), "")</f>
        <v>119</v>
      </c>
      <c r="O299" cm="1">
        <f t="array" aca="1" ref="O299" ca="1">IFERROR(INDEX(fesp!$F:$F, MATCH(1, (VALUE(LEFT(fesp!$A:$A,6))=VALUE(LEFT(B299,6)))*(fesp!$C:$C=C299), 0)), "")</f>
        <v>10707</v>
      </c>
      <c r="P299" cm="1">
        <f t="array" aca="1" ref="P299" ca="1">IFERROR(INDEX(fesp!$G:$G, MATCH(1, (VALUE(LEFT(fesp!$A:$A,6))=VALUE(LEFT(B299,6)))*(fesp!$C:$C=C299), 0)), "")</f>
        <v>1793667</v>
      </c>
      <c r="Q299" cm="1">
        <f t="array" aca="1" ref="Q299" ca="1">IFERROR(INDEX(fesp!$H:$H, MATCH(1, (VALUE(LEFT(fesp!$A:$A,6))=VALUE(LEFT(B299,6)))*(fesp!$C:$C=C299), 0)), "")</f>
        <v>67</v>
      </c>
      <c r="R299" cm="1">
        <f t="array" aca="1" ref="R299" ca="1">IFERROR(INDEX(fesp!$I:$I, MATCH(1, (VALUE(LEFT(fesp!$A:$A,6))=VALUE(LEFT(B299,6)))*(fesp!$C:$C=C299), 0)), "")</f>
        <v>19994</v>
      </c>
      <c r="S299" cm="1">
        <f t="array" aca="1" ref="S299" ca="1">IFERROR(INDEX(fesp!$J:$J, MATCH(1, (VALUE(LEFT(fesp!$A:$A,6))=VALUE(LEFT(B299,6)))*(fesp!$C:$C=C299), 0)), "")</f>
        <v>204970</v>
      </c>
    </row>
    <row r="300" spans="1:19">
      <c r="A300" s="1" t="s">
        <v>93</v>
      </c>
      <c r="B300" s="3" t="s">
        <v>92</v>
      </c>
      <c r="C300" s="3">
        <v>2016</v>
      </c>
      <c r="D300" cm="1">
        <f t="array" ref="D300">IFERROR(INDEX(fesp!$D:$D, MATCH(1, (VALUE(LEFT(fesp!$A:$A,6))=VALUE(LEFT(B300,6)))*(fesp!$C:$C=C300), 0)), "")</f>
        <v>0</v>
      </c>
      <c r="E300" t="str" cm="1">
        <f t="array" aca="1" ref="E300" ca="1">IFERROR(INDEX(ft_medicos_clinicos!$C:$C, MATCH(1, (VALUE(LEFT(ft_medicos_clinicos!$A:$A,6))=VALUE(LEFT(B300,6)))*(ft_medicos_clinicos!$B:$B=C300), 0)), "")</f>
        <v/>
      </c>
      <c r="F300" t="str" cm="1">
        <f t="array" aca="1" ref="F300" ca="1">IFERROR(INDEX(ft_enfermeiros!$C:$C, MATCH(1, (VALUE(LEFT(ft_enfermeiros!$A:$A,6))=VALUE(LEFT(B300,6)))*(ft_enfermeiros!$B:$B=C300), 0)), "")</f>
        <v/>
      </c>
      <c r="G300" cm="1">
        <f t="array" aca="1" ref="G300" ca="1">IFERROR(INDEX(ft_equipes_acs!$C:$C, MATCH(1, (VALUE(LEFT(ft_equipes_acs!$A:$A,6))=VALUE(LEFT(B300,6)))*(ft_equipes_acs!$B:$B=C300), 0)), "")</f>
        <v>3</v>
      </c>
      <c r="H300" cm="1">
        <f t="array" aca="1" ref="H300" ca="1">IFERROR(INDEX(ci_leitos_internacao!$C:$C, MATCH(1, (VALUE(LEFT(ci_leitos_internacao!$A:$A,6))=VALUE(LEFT(B300,6)))*(ci_leitos_internacao!$B:$B=C300), 0)), "")</f>
        <v>803</v>
      </c>
      <c r="I300" cm="1">
        <f t="array" aca="1" ref="I300" ca="1">IFERROR(INDEX(ci_hospitais_internacao!$C:$C, MATCH(1, (VALUE(LEFT(ci_hospitais_internacao!$A:$A,6))=VALUE(LEFT(B300,6)))*(ci_hospitais_internacao!$B:$B=C300), 0)), "")</f>
        <v>5</v>
      </c>
      <c r="J300" cm="1">
        <f t="array" aca="1" ref="J300" ca="1">IFERROR(INDEX(ci_pa_clinico!$C:$C, MATCH(1, (VALUE(LEFT(ci_pa_clinico!$A:$A,6))=VALUE(LEFT(B300,6)))*(ci_pa_clinico!$B:$B=C300), 0)), "")</f>
        <v>3</v>
      </c>
      <c r="K300" cm="1">
        <f t="array" aca="1" ref="K300" ca="1">IFERROR(INDEX(aps_equipes_esf!$C:$C, MATCH(1, (VALUE(LEFT(aps_equipes_esf!$A:$A,6))=VALUE(LEFT(B300,6)))*(aps_equipes_esf!$B:$B=C300), 0)), "")</f>
        <v>8</v>
      </c>
      <c r="L300" cm="1">
        <f t="array" aca="1" ref="L300" ca="1">IFERROR(INDEX(casos!$C:$C, MATCH(1, (VALUE(LEFT(casos!$A:$A,6))=VALUE(LEFT(B300,6)))*(casos!$B:$B=C300), 0)), "")</f>
        <v>2721</v>
      </c>
      <c r="M300" cm="1">
        <f t="array" ref="M300">IFERROR(INDEX(srag!$D:$D, MATCH(1, (VALUE(LEFT(srag!$A:$A,6))=VALUE(LEFT(B300,6)))*(srag!$C:$C=C300), 0)), "")</f>
        <v>119</v>
      </c>
      <c r="N300" cm="1">
        <f t="array" aca="1" ref="N300" ca="1">IFERROR(INDEX(fesp!$E:$E, MATCH(1, (VALUE(LEFT(fesp!$A:$A,6))=VALUE(LEFT(B300,6)))*(fesp!$C:$C=C300), 0)), "")</f>
        <v>95</v>
      </c>
      <c r="O300" cm="1">
        <f t="array" aca="1" ref="O300" ca="1">IFERROR(INDEX(fesp!$F:$F, MATCH(1, (VALUE(LEFT(fesp!$A:$A,6))=VALUE(LEFT(B300,6)))*(fesp!$C:$C=C300), 0)), "")</f>
        <v>10553</v>
      </c>
      <c r="P300" cm="1">
        <f t="array" aca="1" ref="P300" ca="1">IFERROR(INDEX(fesp!$G:$G, MATCH(1, (VALUE(LEFT(fesp!$A:$A,6))=VALUE(LEFT(B300,6)))*(fesp!$C:$C=C300), 0)), "")</f>
        <v>1953643</v>
      </c>
      <c r="Q300" cm="1">
        <f t="array" aca="1" ref="Q300" ca="1">IFERROR(INDEX(fesp!$H:$H, MATCH(1, (VALUE(LEFT(fesp!$A:$A,6))=VALUE(LEFT(B300,6)))*(fesp!$C:$C=C300), 0)), "")</f>
        <v>39</v>
      </c>
      <c r="R300" cm="1">
        <f t="array" aca="1" ref="R300" ca="1">IFERROR(INDEX(fesp!$I:$I, MATCH(1, (VALUE(LEFT(fesp!$A:$A,6))=VALUE(LEFT(B300,6)))*(fesp!$C:$C=C300), 0)), "")</f>
        <v>23571</v>
      </c>
      <c r="S300" cm="1">
        <f t="array" aca="1" ref="S300" ca="1">IFERROR(INDEX(fesp!$J:$J, MATCH(1, (VALUE(LEFT(fesp!$A:$A,6))=VALUE(LEFT(B300,6)))*(fesp!$C:$C=C300), 0)), "")</f>
        <v>217989</v>
      </c>
    </row>
    <row r="301" spans="1:19">
      <c r="A301" s="1" t="s">
        <v>93</v>
      </c>
      <c r="B301" s="3">
        <v>3205200</v>
      </c>
      <c r="C301" s="3">
        <v>2017</v>
      </c>
      <c r="D301" cm="1">
        <f t="array" ref="D301">IFERROR(INDEX(fesp!$D:$D, MATCH(1, (VALUE(LEFT(fesp!$A:$A,6))=VALUE(LEFT(B301,6)))*(fesp!$C:$C=C301), 0)), "")</f>
        <v>0</v>
      </c>
      <c r="E301" t="str" cm="1">
        <f t="array" aca="1" ref="E301" ca="1">IFERROR(INDEX(ft_medicos_clinicos!$C:$C, MATCH(1, (VALUE(LEFT(ft_medicos_clinicos!$A:$A,6))=VALUE(LEFT(B301,6)))*(ft_medicos_clinicos!$B:$B=C301), 0)), "")</f>
        <v/>
      </c>
      <c r="F301" t="str" cm="1">
        <f t="array" aca="1" ref="F301" ca="1">IFERROR(INDEX(ft_enfermeiros!$C:$C, MATCH(1, (VALUE(LEFT(ft_enfermeiros!$A:$A,6))=VALUE(LEFT(B301,6)))*(ft_enfermeiros!$B:$B=C301), 0)), "")</f>
        <v/>
      </c>
      <c r="G301" t="str" cm="1">
        <f t="array" aca="1" ref="G301" ca="1">IFERROR(INDEX(ft_equipes_acs!$C:$C, MATCH(1, (VALUE(LEFT(ft_equipes_acs!$A:$A,6))=VALUE(LEFT(B301,6)))*(ft_equipes_acs!$B:$B=C301), 0)), "")</f>
        <v>-</v>
      </c>
      <c r="H301" cm="1">
        <f t="array" aca="1" ref="H301" ca="1">IFERROR(INDEX(ci_leitos_internacao!$C:$C, MATCH(1, (VALUE(LEFT(ci_leitos_internacao!$A:$A,6))=VALUE(LEFT(B301,6)))*(ci_leitos_internacao!$B:$B=C301), 0)), "")</f>
        <v>794</v>
      </c>
      <c r="I301" cm="1">
        <f t="array" aca="1" ref="I301" ca="1">IFERROR(INDEX(ci_hospitais_internacao!$C:$C, MATCH(1, (VALUE(LEFT(ci_hospitais_internacao!$A:$A,6))=VALUE(LEFT(B301,6)))*(ci_hospitais_internacao!$B:$B=C301), 0)), "")</f>
        <v>5</v>
      </c>
      <c r="J301" cm="1">
        <f t="array" aca="1" ref="J301" ca="1">IFERROR(INDEX(ci_pa_clinico!$C:$C, MATCH(1, (VALUE(LEFT(ci_pa_clinico!$A:$A,6))=VALUE(LEFT(B301,6)))*(ci_pa_clinico!$B:$B=C301), 0)), "")</f>
        <v>3</v>
      </c>
      <c r="K301" cm="1">
        <f t="array" aca="1" ref="K301" ca="1">IFERROR(INDEX(aps_equipes_esf!$C:$C, MATCH(1, (VALUE(LEFT(aps_equipes_esf!$A:$A,6))=VALUE(LEFT(B301,6)))*(aps_equipes_esf!$B:$B=C301), 0)), "")</f>
        <v>6</v>
      </c>
      <c r="L301" cm="1">
        <f t="array" aca="1" ref="L301" ca="1">IFERROR(INDEX(casos!$C:$C, MATCH(1, (VALUE(LEFT(casos!$A:$A,6))=VALUE(LEFT(B301,6)))*(casos!$B:$B=C301), 0)), "")</f>
        <v>1628</v>
      </c>
      <c r="M301" cm="1">
        <f t="array" ref="M301">IFERROR(INDEX(srag!$D:$D, MATCH(1, (VALUE(LEFT(srag!$A:$A,6))=VALUE(LEFT(B301,6)))*(srag!$C:$C=C301), 0)), "")</f>
        <v>78</v>
      </c>
      <c r="N301" cm="1">
        <f t="array" aca="1" ref="N301" ca="1">IFERROR(INDEX(fesp!$E:$E, MATCH(1, (VALUE(LEFT(fesp!$A:$A,6))=VALUE(LEFT(B301,6)))*(fesp!$C:$C=C301), 0)), "")</f>
        <v>90</v>
      </c>
      <c r="O301" cm="1">
        <f t="array" aca="1" ref="O301" ca="1">IFERROR(INDEX(fesp!$F:$F, MATCH(1, (VALUE(LEFT(fesp!$A:$A,6))=VALUE(LEFT(B301,6)))*(fesp!$C:$C=C301), 0)), "")</f>
        <v>12490</v>
      </c>
      <c r="P301" cm="1">
        <f t="array" aca="1" ref="P301" ca="1">IFERROR(INDEX(fesp!$G:$G, MATCH(1, (VALUE(LEFT(fesp!$A:$A,6))=VALUE(LEFT(B301,6)))*(fesp!$C:$C=C301), 0)), "")</f>
        <v>1907521</v>
      </c>
      <c r="Q301" cm="1">
        <f t="array" aca="1" ref="Q301" ca="1">IFERROR(INDEX(fesp!$H:$H, MATCH(1, (VALUE(LEFT(fesp!$A:$A,6))=VALUE(LEFT(B301,6)))*(fesp!$C:$C=C301), 0)), "")</f>
        <v>47</v>
      </c>
      <c r="R301" cm="1">
        <f t="array" aca="1" ref="R301" ca="1">IFERROR(INDEX(fesp!$I:$I, MATCH(1, (VALUE(LEFT(fesp!$A:$A,6))=VALUE(LEFT(B301,6)))*(fesp!$C:$C=C301), 0)), "")</f>
        <v>23203</v>
      </c>
      <c r="S301" cm="1">
        <f t="array" aca="1" ref="S301" ca="1">IFERROR(INDEX(fesp!$J:$J, MATCH(1, (VALUE(LEFT(fesp!$A:$A,6))=VALUE(LEFT(B301,6)))*(fesp!$C:$C=C301), 0)), "")</f>
        <v>228477</v>
      </c>
    </row>
    <row r="302" spans="1:19">
      <c r="A302" s="1" t="s">
        <v>93</v>
      </c>
      <c r="B302" s="3" t="s">
        <v>92</v>
      </c>
      <c r="C302" s="3">
        <v>2018</v>
      </c>
      <c r="D302" cm="1">
        <f t="array" ref="D302">IFERROR(INDEX(fesp!$D:$D, MATCH(1, (VALUE(LEFT(fesp!$A:$A,6))=VALUE(LEFT(B302,6)))*(fesp!$C:$C=C302), 0)), "")</f>
        <v>0</v>
      </c>
      <c r="E302" t="str" cm="1">
        <f t="array" aca="1" ref="E302" ca="1">IFERROR(INDEX(ft_medicos_clinicos!$C:$C, MATCH(1, (VALUE(LEFT(ft_medicos_clinicos!$A:$A,6))=VALUE(LEFT(B302,6)))*(ft_medicos_clinicos!$B:$B=C302), 0)), "")</f>
        <v/>
      </c>
      <c r="F302" t="str" cm="1">
        <f t="array" aca="1" ref="F302" ca="1">IFERROR(INDEX(ft_enfermeiros!$C:$C, MATCH(1, (VALUE(LEFT(ft_enfermeiros!$A:$A,6))=VALUE(LEFT(B302,6)))*(ft_enfermeiros!$B:$B=C302), 0)), "")</f>
        <v/>
      </c>
      <c r="G302" t="str" cm="1">
        <f t="array" aca="1" ref="G302" ca="1">IFERROR(INDEX(ft_equipes_acs!$C:$C, MATCH(1, (VALUE(LEFT(ft_equipes_acs!$A:$A,6))=VALUE(LEFT(B302,6)))*(ft_equipes_acs!$B:$B=C302), 0)), "")</f>
        <v>-</v>
      </c>
      <c r="H302" cm="1">
        <f t="array" aca="1" ref="H302" ca="1">IFERROR(INDEX(ci_leitos_internacao!$C:$C, MATCH(1, (VALUE(LEFT(ci_leitos_internacao!$A:$A,6))=VALUE(LEFT(B302,6)))*(ci_leitos_internacao!$B:$B=C302), 0)), "")</f>
        <v>865</v>
      </c>
      <c r="I302" cm="1">
        <f t="array" aca="1" ref="I302" ca="1">IFERROR(INDEX(ci_hospitais_internacao!$C:$C, MATCH(1, (VALUE(LEFT(ci_hospitais_internacao!$A:$A,6))=VALUE(LEFT(B302,6)))*(ci_hospitais_internacao!$B:$B=C302), 0)), "")</f>
        <v>6</v>
      </c>
      <c r="J302" cm="1">
        <f t="array" aca="1" ref="J302" ca="1">IFERROR(INDEX(ci_pa_clinico!$C:$C, MATCH(1, (VALUE(LEFT(ci_pa_clinico!$A:$A,6))=VALUE(LEFT(B302,6)))*(ci_pa_clinico!$B:$B=C302), 0)), "")</f>
        <v>3</v>
      </c>
      <c r="K302" cm="1">
        <f t="array" aca="1" ref="K302" ca="1">IFERROR(INDEX(aps_equipes_esf!$C:$C, MATCH(1, (VALUE(LEFT(aps_equipes_esf!$A:$A,6))=VALUE(LEFT(B302,6)))*(aps_equipes_esf!$B:$B=C302), 0)), "")</f>
        <v>6</v>
      </c>
      <c r="L302" cm="1">
        <f t="array" aca="1" ref="L302" ca="1">IFERROR(INDEX(casos!$C:$C, MATCH(1, (VALUE(LEFT(casos!$A:$A,6))=VALUE(LEFT(B302,6)))*(casos!$B:$B=C302), 0)), "")</f>
        <v>1307</v>
      </c>
      <c r="M302" cm="1">
        <f t="array" ref="M302">IFERROR(INDEX(srag!$D:$D, MATCH(1, (VALUE(LEFT(srag!$A:$A,6))=VALUE(LEFT(B302,6)))*(srag!$C:$C=C302), 0)), "")</f>
        <v>139</v>
      </c>
      <c r="N302" cm="1">
        <f t="array" aca="1" ref="N302" ca="1">IFERROR(INDEX(fesp!$E:$E, MATCH(1, (VALUE(LEFT(fesp!$A:$A,6))=VALUE(LEFT(B302,6)))*(fesp!$C:$C=C302), 0)), "")</f>
        <v>89</v>
      </c>
      <c r="O302" cm="1">
        <f t="array" aca="1" ref="O302" ca="1">IFERROR(INDEX(fesp!$F:$F, MATCH(1, (VALUE(LEFT(fesp!$A:$A,6))=VALUE(LEFT(B302,6)))*(fesp!$C:$C=C302), 0)), "")</f>
        <v>15761</v>
      </c>
      <c r="P302" cm="1">
        <f t="array" aca="1" ref="P302" ca="1">IFERROR(INDEX(fesp!$G:$G, MATCH(1, (VALUE(LEFT(fesp!$A:$A,6))=VALUE(LEFT(B302,6)))*(fesp!$C:$C=C302), 0)), "")</f>
        <v>2128736</v>
      </c>
      <c r="Q302" cm="1">
        <f t="array" aca="1" ref="Q302" ca="1">IFERROR(INDEX(fesp!$H:$H, MATCH(1, (VALUE(LEFT(fesp!$A:$A,6))=VALUE(LEFT(B302,6)))*(fesp!$C:$C=C302), 0)), "")</f>
        <v>40</v>
      </c>
      <c r="R302" cm="1">
        <f t="array" aca="1" ref="R302" ca="1">IFERROR(INDEX(fesp!$I:$I, MATCH(1, (VALUE(LEFT(fesp!$A:$A,6))=VALUE(LEFT(B302,6)))*(fesp!$C:$C=C302), 0)), "")</f>
        <v>22460</v>
      </c>
      <c r="S302" cm="1">
        <f t="array" aca="1" ref="S302" ca="1">IFERROR(INDEX(fesp!$J:$J, MATCH(1, (VALUE(LEFT(fesp!$A:$A,6))=VALUE(LEFT(B302,6)))*(fesp!$C:$C=C302), 0)), "")</f>
        <v>243501</v>
      </c>
    </row>
    <row r="303" spans="1:19">
      <c r="A303" s="1" t="s">
        <v>93</v>
      </c>
      <c r="B303" s="3" t="s">
        <v>92</v>
      </c>
      <c r="C303" s="3">
        <v>2019</v>
      </c>
      <c r="D303" cm="1">
        <f t="array" ref="D303">IFERROR(INDEX(fesp!$D:$D, MATCH(1, (VALUE(LEFT(fesp!$A:$A,6))=VALUE(LEFT(B303,6)))*(fesp!$C:$C=C303), 0)), "")</f>
        <v>0</v>
      </c>
      <c r="E303" t="str" cm="1">
        <f t="array" aca="1" ref="E303" ca="1">IFERROR(INDEX(ft_medicos_clinicos!$C:$C, MATCH(1, (VALUE(LEFT(ft_medicos_clinicos!$A:$A,6))=VALUE(LEFT(B303,6)))*(ft_medicos_clinicos!$B:$B=C303), 0)), "")</f>
        <v/>
      </c>
      <c r="F303" t="str" cm="1">
        <f t="array" aca="1" ref="F303" ca="1">IFERROR(INDEX(ft_enfermeiros!$C:$C, MATCH(1, (VALUE(LEFT(ft_enfermeiros!$A:$A,6))=VALUE(LEFT(B303,6)))*(ft_enfermeiros!$B:$B=C303), 0)), "")</f>
        <v/>
      </c>
      <c r="G303" t="str" cm="1">
        <f t="array" aca="1" ref="G303" ca="1">IFERROR(INDEX(ft_equipes_acs!$C:$C, MATCH(1, (VALUE(LEFT(ft_equipes_acs!$A:$A,6))=VALUE(LEFT(B303,6)))*(ft_equipes_acs!$B:$B=C303), 0)), "")</f>
        <v>-</v>
      </c>
      <c r="H303" cm="1">
        <f t="array" aca="1" ref="H303" ca="1">IFERROR(INDEX(ci_leitos_internacao!$C:$C, MATCH(1, (VALUE(LEFT(ci_leitos_internacao!$A:$A,6))=VALUE(LEFT(B303,6)))*(ci_leitos_internacao!$B:$B=C303), 0)), "")</f>
        <v>876</v>
      </c>
      <c r="I303" cm="1">
        <f t="array" aca="1" ref="I303" ca="1">IFERROR(INDEX(ci_hospitais_internacao!$C:$C, MATCH(1, (VALUE(LEFT(ci_hospitais_internacao!$A:$A,6))=VALUE(LEFT(B303,6)))*(ci_hospitais_internacao!$B:$B=C303), 0)), "")</f>
        <v>5</v>
      </c>
      <c r="J303" cm="1">
        <f t="array" aca="1" ref="J303" ca="1">IFERROR(INDEX(ci_pa_clinico!$C:$C, MATCH(1, (VALUE(LEFT(ci_pa_clinico!$A:$A,6))=VALUE(LEFT(B303,6)))*(ci_pa_clinico!$B:$B=C303), 0)), "")</f>
        <v>3</v>
      </c>
      <c r="K303" cm="1">
        <f t="array" aca="1" ref="K303" ca="1">IFERROR(INDEX(aps_equipes_esf!$C:$C, MATCH(1, (VALUE(LEFT(aps_equipes_esf!$A:$A,6))=VALUE(LEFT(B303,6)))*(aps_equipes_esf!$B:$B=C303), 0)), "")</f>
        <v>8</v>
      </c>
      <c r="L303" cm="1">
        <f t="array" aca="1" ref="L303" ca="1">IFERROR(INDEX(casos!$C:$C, MATCH(1, (VALUE(LEFT(casos!$A:$A,6))=VALUE(LEFT(B303,6)))*(casos!$B:$B=C303), 0)), "")</f>
        <v>6951</v>
      </c>
      <c r="M303" cm="1">
        <f t="array" ref="M303">IFERROR(INDEX(srag!$D:$D, MATCH(1, (VALUE(LEFT(srag!$A:$A,6))=VALUE(LEFT(B303,6)))*(srag!$C:$C=C303), 0)), "")</f>
        <v>148</v>
      </c>
      <c r="N303" cm="1">
        <f t="array" aca="1" ref="N303" ca="1">IFERROR(INDEX(fesp!$E:$E, MATCH(1, (VALUE(LEFT(fesp!$A:$A,6))=VALUE(LEFT(B303,6)))*(fesp!$C:$C=C303), 0)), "")</f>
        <v>79</v>
      </c>
      <c r="O303" cm="1">
        <f t="array" aca="1" ref="O303" ca="1">IFERROR(INDEX(fesp!$F:$F, MATCH(1, (VALUE(LEFT(fesp!$A:$A,6))=VALUE(LEFT(B303,6)))*(fesp!$C:$C=C303), 0)), "")</f>
        <v>14592</v>
      </c>
      <c r="P303" cm="1">
        <f t="array" aca="1" ref="P303" ca="1">IFERROR(INDEX(fesp!$G:$G, MATCH(1, (VALUE(LEFT(fesp!$A:$A,6))=VALUE(LEFT(B303,6)))*(fesp!$C:$C=C303), 0)), "")</f>
        <v>2335024</v>
      </c>
      <c r="Q303" cm="1">
        <f t="array" aca="1" ref="Q303" ca="1">IFERROR(INDEX(fesp!$H:$H, MATCH(1, (VALUE(LEFT(fesp!$A:$A,6))=VALUE(LEFT(B303,6)))*(fesp!$C:$C=C303), 0)), "")</f>
        <v>50</v>
      </c>
      <c r="R303" cm="1">
        <f t="array" aca="1" ref="R303" ca="1">IFERROR(INDEX(fesp!$I:$I, MATCH(1, (VALUE(LEFT(fesp!$A:$A,6))=VALUE(LEFT(B303,6)))*(fesp!$C:$C=C303), 0)), "")</f>
        <v>20814</v>
      </c>
      <c r="S303" cm="1">
        <f t="array" aca="1" ref="S303" ca="1">IFERROR(INDEX(fesp!$J:$J, MATCH(1, (VALUE(LEFT(fesp!$A:$A,6))=VALUE(LEFT(B303,6)))*(fesp!$C:$C=C303), 0)), "")</f>
        <v>231517</v>
      </c>
    </row>
    <row r="304" spans="1:19">
      <c r="A304" s="1" t="s">
        <v>93</v>
      </c>
      <c r="B304" s="3" t="s">
        <v>92</v>
      </c>
      <c r="C304" s="3">
        <v>2020</v>
      </c>
      <c r="D304" cm="1">
        <f t="array" ref="D304">IFERROR(INDEX(fesp!$D:$D, MATCH(1, (VALUE(LEFT(fesp!$A:$A,6))=VALUE(LEFT(B304,6)))*(fesp!$C:$C=C304), 0)), "")</f>
        <v>0</v>
      </c>
      <c r="E304" t="str" cm="1">
        <f t="array" aca="1" ref="E304" ca="1">IFERROR(INDEX(ft_medicos_clinicos!$C:$C, MATCH(1, (VALUE(LEFT(ft_medicos_clinicos!$A:$A,6))=VALUE(LEFT(B304,6)))*(ft_medicos_clinicos!$B:$B=C304), 0)), "")</f>
        <v/>
      </c>
      <c r="F304" t="str" cm="1">
        <f t="array" aca="1" ref="F304" ca="1">IFERROR(INDEX(ft_enfermeiros!$C:$C, MATCH(1, (VALUE(LEFT(ft_enfermeiros!$A:$A,6))=VALUE(LEFT(B304,6)))*(ft_enfermeiros!$B:$B=C304), 0)), "")</f>
        <v/>
      </c>
      <c r="G304" t="str" cm="1">
        <f t="array" aca="1" ref="G304" ca="1">IFERROR(INDEX(ft_equipes_acs!$C:$C, MATCH(1, (VALUE(LEFT(ft_equipes_acs!$A:$A,6))=VALUE(LEFT(B304,6)))*(ft_equipes_acs!$B:$B=C304), 0)), "")</f>
        <v>-</v>
      </c>
      <c r="H304" cm="1">
        <f t="array" aca="1" ref="H304" ca="1">IFERROR(INDEX(ci_leitos_internacao!$C:$C, MATCH(1, (VALUE(LEFT(ci_leitos_internacao!$A:$A,6))=VALUE(LEFT(B304,6)))*(ci_leitos_internacao!$B:$B=C304), 0)), "")</f>
        <v>1016</v>
      </c>
      <c r="I304" cm="1">
        <f t="array" aca="1" ref="I304" ca="1">IFERROR(INDEX(ci_hospitais_internacao!$C:$C, MATCH(1, (VALUE(LEFT(ci_hospitais_internacao!$A:$A,6))=VALUE(LEFT(B304,6)))*(ci_hospitais_internacao!$B:$B=C304), 0)), "")</f>
        <v>8</v>
      </c>
      <c r="J304" cm="1">
        <f t="array" aca="1" ref="J304" ca="1">IFERROR(INDEX(ci_pa_clinico!$C:$C, MATCH(1, (VALUE(LEFT(ci_pa_clinico!$A:$A,6))=VALUE(LEFT(B304,6)))*(ci_pa_clinico!$B:$B=C304), 0)), "")</f>
        <v>3</v>
      </c>
      <c r="K304" t="str" cm="1">
        <f t="array" aca="1" ref="K304" ca="1">IFERROR(INDEX(aps_equipes_esf!$C:$C, MATCH(1, (VALUE(LEFT(aps_equipes_esf!$A:$A,6))=VALUE(LEFT(B304,6)))*(aps_equipes_esf!$B:$B=C304), 0)), "")</f>
        <v>-</v>
      </c>
      <c r="L304" t="str" cm="1">
        <f t="array" aca="1" ref="L304" ca="1">IFERROR(INDEX(casos!$C:$C, MATCH(1, (VALUE(LEFT(casos!$A:$A,6))=VALUE(LEFT(B304,6)))*(casos!$B:$B=C304), 0)), "")</f>
        <v>-</v>
      </c>
      <c r="M304" cm="1">
        <f t="array" ref="M304">IFERROR(INDEX(srag!$D:$D, MATCH(1, (VALUE(LEFT(srag!$A:$A,6))=VALUE(LEFT(B304,6)))*(srag!$C:$C=C304), 0)), "")</f>
        <v>1915</v>
      </c>
      <c r="N304" cm="1">
        <f t="array" aca="1" ref="N304" ca="1">IFERROR(INDEX(fesp!$E:$E, MATCH(1, (VALUE(LEFT(fesp!$A:$A,6))=VALUE(LEFT(B304,6)))*(fesp!$C:$C=C304), 0)), "")</f>
        <v>94</v>
      </c>
      <c r="O304" cm="1">
        <f t="array" aca="1" ref="O304" ca="1">IFERROR(INDEX(fesp!$F:$F, MATCH(1, (VALUE(LEFT(fesp!$A:$A,6))=VALUE(LEFT(B304,6)))*(fesp!$C:$C=C304), 0)), "")</f>
        <v>5571</v>
      </c>
      <c r="P304" cm="1">
        <f t="array" aca="1" ref="P304" ca="1">IFERROR(INDEX(fesp!$G:$G, MATCH(1, (VALUE(LEFT(fesp!$A:$A,6))=VALUE(LEFT(B304,6)))*(fesp!$C:$C=C304), 0)), "")</f>
        <v>1697315</v>
      </c>
      <c r="Q304" cm="1">
        <f t="array" aca="1" ref="Q304" ca="1">IFERROR(INDEX(fesp!$H:$H, MATCH(1, (VALUE(LEFT(fesp!$A:$A,6))=VALUE(LEFT(B304,6)))*(fesp!$C:$C=C304), 0)), "")</f>
        <v>36</v>
      </c>
      <c r="R304" cm="1">
        <f t="array" aca="1" ref="R304" ca="1">IFERROR(INDEX(fesp!$I:$I, MATCH(1, (VALUE(LEFT(fesp!$A:$A,6))=VALUE(LEFT(B304,6)))*(fesp!$C:$C=C304), 0)), "")</f>
        <v>1997</v>
      </c>
      <c r="S304" cm="1">
        <f t="array" aca="1" ref="S304" ca="1">IFERROR(INDEX(fesp!$J:$J, MATCH(1, (VALUE(LEFT(fesp!$A:$A,6))=VALUE(LEFT(B304,6)))*(fesp!$C:$C=C304), 0)), "")</f>
        <v>4933</v>
      </c>
    </row>
    <row r="305" spans="1:19">
      <c r="A305" s="1" t="s">
        <v>93</v>
      </c>
      <c r="B305" s="3" t="s">
        <v>92</v>
      </c>
      <c r="C305" s="3">
        <v>2021</v>
      </c>
      <c r="D305" cm="1">
        <f t="array" ref="D305">IFERROR(INDEX(fesp!$D:$D, MATCH(1, (VALUE(LEFT(fesp!$A:$A,6))=VALUE(LEFT(B305,6)))*(fesp!$C:$C=C305), 0)), "")</f>
        <v>0</v>
      </c>
      <c r="E305" t="str" cm="1">
        <f t="array" aca="1" ref="E305" ca="1">IFERROR(INDEX(ft_medicos_clinicos!$C:$C, MATCH(1, (VALUE(LEFT(ft_medicos_clinicos!$A:$A,6))=VALUE(LEFT(B305,6)))*(ft_medicos_clinicos!$B:$B=C305), 0)), "")</f>
        <v/>
      </c>
      <c r="F305" t="str" cm="1">
        <f t="array" aca="1" ref="F305" ca="1">IFERROR(INDEX(ft_enfermeiros!$C:$C, MATCH(1, (VALUE(LEFT(ft_enfermeiros!$A:$A,6))=VALUE(LEFT(B305,6)))*(ft_enfermeiros!$B:$B=C305), 0)), "")</f>
        <v/>
      </c>
      <c r="G305" t="str" cm="1">
        <f t="array" aca="1" ref="G305" ca="1">IFERROR(INDEX(ft_equipes_acs!$C:$C, MATCH(1, (VALUE(LEFT(ft_equipes_acs!$A:$A,6))=VALUE(LEFT(B305,6)))*(ft_equipes_acs!$B:$B=C305), 0)), "")</f>
        <v>-</v>
      </c>
      <c r="H305" cm="1">
        <f t="array" aca="1" ref="H305" ca="1">IFERROR(INDEX(ci_leitos_internacao!$C:$C, MATCH(1, (VALUE(LEFT(ci_leitos_internacao!$A:$A,6))=VALUE(LEFT(B305,6)))*(ci_leitos_internacao!$B:$B=C305), 0)), "")</f>
        <v>1035</v>
      </c>
      <c r="I305" cm="1">
        <f t="array" aca="1" ref="I305" ca="1">IFERROR(INDEX(ci_hospitais_internacao!$C:$C, MATCH(1, (VALUE(LEFT(ci_hospitais_internacao!$A:$A,6))=VALUE(LEFT(B305,6)))*(ci_hospitais_internacao!$B:$B=C305), 0)), "")</f>
        <v>8</v>
      </c>
      <c r="J305" cm="1">
        <f t="array" aca="1" ref="J305" ca="1">IFERROR(INDEX(ci_pa_clinico!$C:$C, MATCH(1, (VALUE(LEFT(ci_pa_clinico!$A:$A,6))=VALUE(LEFT(B305,6)))*(ci_pa_clinico!$B:$B=C305), 0)), "")</f>
        <v>3</v>
      </c>
      <c r="K305" t="str" cm="1">
        <f t="array" aca="1" ref="K305" ca="1">IFERROR(INDEX(aps_equipes_esf!$C:$C, MATCH(1, (VALUE(LEFT(aps_equipes_esf!$A:$A,6))=VALUE(LEFT(B305,6)))*(aps_equipes_esf!$B:$B=C305), 0)), "")</f>
        <v>-</v>
      </c>
      <c r="L305" t="str" cm="1">
        <f t="array" aca="1" ref="L305" ca="1">IFERROR(INDEX(casos!$C:$C, MATCH(1, (VALUE(LEFT(casos!$A:$A,6))=VALUE(LEFT(B305,6)))*(casos!$B:$B=C305), 0)), "")</f>
        <v>-</v>
      </c>
      <c r="M305" cm="1">
        <f t="array" ref="M305">IFERROR(INDEX(srag!$D:$D, MATCH(1, (VALUE(LEFT(srag!$A:$A,6))=VALUE(LEFT(B305,6)))*(srag!$C:$C=C305), 0)), "")</f>
        <v>1708</v>
      </c>
      <c r="N305" cm="1">
        <f t="array" aca="1" ref="N305" ca="1">IFERROR(INDEX(fesp!$E:$E, MATCH(1, (VALUE(LEFT(fesp!$A:$A,6))=VALUE(LEFT(B305,6)))*(fesp!$C:$C=C305), 0)), "")</f>
        <v>106</v>
      </c>
      <c r="O305" cm="1">
        <f t="array" aca="1" ref="O305" ca="1">IFERROR(INDEX(fesp!$F:$F, MATCH(1, (VALUE(LEFT(fesp!$A:$A,6))=VALUE(LEFT(B305,6)))*(fesp!$C:$C=C305), 0)), "")</f>
        <v>10930</v>
      </c>
      <c r="P305" cm="1">
        <f t="array" aca="1" ref="P305" ca="1">IFERROR(INDEX(fesp!$G:$G, MATCH(1, (VALUE(LEFT(fesp!$A:$A,6))=VALUE(LEFT(B305,6)))*(fesp!$C:$C=C305), 0)), "")</f>
        <v>2200525</v>
      </c>
      <c r="Q305" cm="1">
        <f t="array" aca="1" ref="Q305" ca="1">IFERROR(INDEX(fesp!$H:$H, MATCH(1, (VALUE(LEFT(fesp!$A:$A,6))=VALUE(LEFT(B305,6)))*(fesp!$C:$C=C305), 0)), "")</f>
        <v>41</v>
      </c>
      <c r="R305" cm="1">
        <f t="array" aca="1" ref="R305" ca="1">IFERROR(INDEX(fesp!$I:$I, MATCH(1, (VALUE(LEFT(fesp!$A:$A,6))=VALUE(LEFT(B305,6)))*(fesp!$C:$C=C305), 0)), "")</f>
        <v>876</v>
      </c>
      <c r="S305" cm="1">
        <f t="array" aca="1" ref="S305" ca="1">IFERROR(INDEX(fesp!$J:$J, MATCH(1, (VALUE(LEFT(fesp!$A:$A,6))=VALUE(LEFT(B305,6)))*(fesp!$C:$C=C305), 0)), "")</f>
        <v>532</v>
      </c>
    </row>
    <row r="306" spans="1:19">
      <c r="A306" s="1" t="s">
        <v>93</v>
      </c>
      <c r="B306" s="3" t="s">
        <v>92</v>
      </c>
      <c r="C306" s="3">
        <v>2022</v>
      </c>
      <c r="D306" cm="1">
        <f t="array" ref="D306">IFERROR(INDEX(fesp!$D:$D, MATCH(1, (VALUE(LEFT(fesp!$A:$A,6))=VALUE(LEFT(B306,6)))*(fesp!$C:$C=C306), 0)), "")</f>
        <v>467722</v>
      </c>
      <c r="E306" t="str" cm="1">
        <f t="array" aca="1" ref="E306" ca="1">IFERROR(INDEX(ft_medicos_clinicos!$C:$C, MATCH(1, (VALUE(LEFT(ft_medicos_clinicos!$A:$A,6))=VALUE(LEFT(B306,6)))*(ft_medicos_clinicos!$B:$B=C306), 0)), "")</f>
        <v/>
      </c>
      <c r="F306" t="str" cm="1">
        <f t="array" aca="1" ref="F306" ca="1">IFERROR(INDEX(ft_enfermeiros!$C:$C, MATCH(1, (VALUE(LEFT(ft_enfermeiros!$A:$A,6))=VALUE(LEFT(B306,6)))*(ft_enfermeiros!$B:$B=C306), 0)), "")</f>
        <v/>
      </c>
      <c r="G306" t="str" cm="1">
        <f t="array" aca="1" ref="G306" ca="1">IFERROR(INDEX(ft_equipes_acs!$C:$C, MATCH(1, (VALUE(LEFT(ft_equipes_acs!$A:$A,6))=VALUE(LEFT(B306,6)))*(ft_equipes_acs!$B:$B=C306), 0)), "")</f>
        <v>-</v>
      </c>
      <c r="H306" cm="1">
        <f t="array" aca="1" ref="H306" ca="1">IFERROR(INDEX(ci_leitos_internacao!$C:$C, MATCH(1, (VALUE(LEFT(ci_leitos_internacao!$A:$A,6))=VALUE(LEFT(B306,6)))*(ci_leitos_internacao!$B:$B=C306), 0)), "")</f>
        <v>1046</v>
      </c>
      <c r="I306" cm="1">
        <f t="array" aca="1" ref="I306" ca="1">IFERROR(INDEX(ci_hospitais_internacao!$C:$C, MATCH(1, (VALUE(LEFT(ci_hospitais_internacao!$A:$A,6))=VALUE(LEFT(B306,6)))*(ci_hospitais_internacao!$B:$B=C306), 0)), "")</f>
        <v>6</v>
      </c>
      <c r="J306" cm="1">
        <f t="array" aca="1" ref="J306" ca="1">IFERROR(INDEX(ci_pa_clinico!$C:$C, MATCH(1, (VALUE(LEFT(ci_pa_clinico!$A:$A,6))=VALUE(LEFT(B306,6)))*(ci_pa_clinico!$B:$B=C306), 0)), "")</f>
        <v>3</v>
      </c>
      <c r="K306" t="str" cm="1">
        <f t="array" aca="1" ref="K306" ca="1">IFERROR(INDEX(aps_equipes_esf!$C:$C, MATCH(1, (VALUE(LEFT(aps_equipes_esf!$A:$A,6))=VALUE(LEFT(B306,6)))*(aps_equipes_esf!$B:$B=C306), 0)), "")</f>
        <v>-</v>
      </c>
      <c r="L306" t="str" cm="1">
        <f t="array" aca="1" ref="L306" ca="1">IFERROR(INDEX(casos!$C:$C, MATCH(1, (VALUE(LEFT(casos!$A:$A,6))=VALUE(LEFT(B306,6)))*(casos!$B:$B=C306), 0)), "")</f>
        <v>-</v>
      </c>
      <c r="M306" cm="1">
        <f t="array" ref="M306">IFERROR(INDEX(srag!$D:$D, MATCH(1, (VALUE(LEFT(srag!$A:$A,6))=VALUE(LEFT(B306,6)))*(srag!$C:$C=C306), 0)), "")</f>
        <v>612</v>
      </c>
      <c r="N306" cm="1">
        <f t="array" aca="1" ref="N306" ca="1">IFERROR(INDEX(fesp!$E:$E, MATCH(1, (VALUE(LEFT(fesp!$A:$A,6))=VALUE(LEFT(B306,6)))*(fesp!$C:$C=C306), 0)), "")</f>
        <v>112</v>
      </c>
      <c r="O306" cm="1">
        <f t="array" aca="1" ref="O306" ca="1">IFERROR(INDEX(fesp!$F:$F, MATCH(1, (VALUE(LEFT(fesp!$A:$A,6))=VALUE(LEFT(B306,6)))*(fesp!$C:$C=C306), 0)), "")</f>
        <v>15575</v>
      </c>
      <c r="P306" cm="1">
        <f t="array" aca="1" ref="P306" ca="1">IFERROR(INDEX(fesp!$G:$G, MATCH(1, (VALUE(LEFT(fesp!$A:$A,6))=VALUE(LEFT(B306,6)))*(fesp!$C:$C=C306), 0)), "")</f>
        <v>2784011</v>
      </c>
      <c r="Q306" cm="1">
        <f t="array" aca="1" ref="Q306" ca="1">IFERROR(INDEX(fesp!$H:$H, MATCH(1, (VALUE(LEFT(fesp!$A:$A,6))=VALUE(LEFT(B306,6)))*(fesp!$C:$C=C306), 0)), "")</f>
        <v>50</v>
      </c>
      <c r="R306" cm="1">
        <f t="array" aca="1" ref="R306" ca="1">IFERROR(INDEX(fesp!$I:$I, MATCH(1, (VALUE(LEFT(fesp!$A:$A,6))=VALUE(LEFT(B306,6)))*(fesp!$C:$C=C306), 0)), "")</f>
        <v>1214</v>
      </c>
      <c r="S306" cm="1">
        <f t="array" aca="1" ref="S306" ca="1">IFERROR(INDEX(fesp!$J:$J, MATCH(1, (VALUE(LEFT(fesp!$A:$A,6))=VALUE(LEFT(B306,6)))*(fesp!$C:$C=C306), 0)), "")</f>
        <v>332</v>
      </c>
    </row>
    <row r="307" spans="1:19">
      <c r="A307" s="1" t="s">
        <v>93</v>
      </c>
      <c r="B307" s="3" t="s">
        <v>92</v>
      </c>
      <c r="C307" s="3">
        <v>2023</v>
      </c>
      <c r="D307" cm="1">
        <f t="array" ref="D307">IFERROR(INDEX(fesp!$D:$D, MATCH(1, (VALUE(LEFT(fesp!$A:$A,6))=VALUE(LEFT(B307,6)))*(fesp!$C:$C=C307), 0)), "")</f>
        <v>0</v>
      </c>
      <c r="E307" t="str" cm="1">
        <f t="array" aca="1" ref="E307" ca="1">IFERROR(INDEX(ft_medicos_clinicos!$C:$C, MATCH(1, (VALUE(LEFT(ft_medicos_clinicos!$A:$A,6))=VALUE(LEFT(B307,6)))*(ft_medicos_clinicos!$B:$B=C307), 0)), "")</f>
        <v/>
      </c>
      <c r="F307" t="str" cm="1">
        <f t="array" aca="1" ref="F307" ca="1">IFERROR(INDEX(ft_enfermeiros!$C:$C, MATCH(1, (VALUE(LEFT(ft_enfermeiros!$A:$A,6))=VALUE(LEFT(B307,6)))*(ft_enfermeiros!$B:$B=C307), 0)), "")</f>
        <v/>
      </c>
      <c r="G307" t="str" cm="1">
        <f t="array" aca="1" ref="G307" ca="1">IFERROR(INDEX(ft_equipes_acs!$C:$C, MATCH(1, (VALUE(LEFT(ft_equipes_acs!$A:$A,6))=VALUE(LEFT(B307,6)))*(ft_equipes_acs!$B:$B=C307), 0)), "")</f>
        <v>-</v>
      </c>
      <c r="H307" cm="1">
        <f t="array" aca="1" ref="H307" ca="1">IFERROR(INDEX(ci_leitos_internacao!$C:$C, MATCH(1, (VALUE(LEFT(ci_leitos_internacao!$A:$A,6))=VALUE(LEFT(B307,6)))*(ci_leitos_internacao!$B:$B=C307), 0)), "")</f>
        <v>1102</v>
      </c>
      <c r="I307" cm="1">
        <f t="array" aca="1" ref="I307" ca="1">IFERROR(INDEX(ci_hospitais_internacao!$C:$C, MATCH(1, (VALUE(LEFT(ci_hospitais_internacao!$A:$A,6))=VALUE(LEFT(B307,6)))*(ci_hospitais_internacao!$B:$B=C307), 0)), "")</f>
        <v>6</v>
      </c>
      <c r="J307" cm="1">
        <f t="array" aca="1" ref="J307" ca="1">IFERROR(INDEX(ci_pa_clinico!$C:$C, MATCH(1, (VALUE(LEFT(ci_pa_clinico!$A:$A,6))=VALUE(LEFT(B307,6)))*(ci_pa_clinico!$B:$B=C307), 0)), "")</f>
        <v>3</v>
      </c>
      <c r="K307" t="str" cm="1">
        <f t="array" aca="1" ref="K307" ca="1">IFERROR(INDEX(aps_equipes_esf!$C:$C, MATCH(1, (VALUE(LEFT(aps_equipes_esf!$A:$A,6))=VALUE(LEFT(B307,6)))*(aps_equipes_esf!$B:$B=C307), 0)), "")</f>
        <v>-</v>
      </c>
      <c r="L307" cm="1">
        <f t="array" aca="1" ref="L307" ca="1">IFERROR(INDEX(casos!$C:$C, MATCH(1, (VALUE(LEFT(casos!$A:$A,6))=VALUE(LEFT(B307,6)))*(casos!$B:$B=C307), 0)), "")</f>
        <v>16549</v>
      </c>
      <c r="M307" cm="1">
        <f t="array" ref="M307">IFERROR(INDEX(srag!$D:$D, MATCH(1, (VALUE(LEFT(srag!$A:$A,6))=VALUE(LEFT(B307,6)))*(srag!$C:$C=C307), 0)), "")</f>
        <v>693</v>
      </c>
      <c r="N307" cm="1">
        <f t="array" aca="1" ref="N307" ca="1">IFERROR(INDEX(fesp!$E:$E, MATCH(1, (VALUE(LEFT(fesp!$A:$A,6))=VALUE(LEFT(B307,6)))*(fesp!$C:$C=C307), 0)), "")</f>
        <v>119</v>
      </c>
      <c r="O307" cm="1">
        <f t="array" aca="1" ref="O307" ca="1">IFERROR(INDEX(fesp!$F:$F, MATCH(1, (VALUE(LEFT(fesp!$A:$A,6))=VALUE(LEFT(B307,6)))*(fesp!$C:$C=C307), 0)), "")</f>
        <v>21292</v>
      </c>
      <c r="P307" cm="1">
        <f t="array" aca="1" ref="P307" ca="1">IFERROR(INDEX(fesp!$G:$G, MATCH(1, (VALUE(LEFT(fesp!$A:$A,6))=VALUE(LEFT(B307,6)))*(fesp!$C:$C=C307), 0)), "")</f>
        <v>3026815</v>
      </c>
      <c r="Q307" cm="1">
        <f t="array" aca="1" ref="Q307" ca="1">IFERROR(INDEX(fesp!$H:$H, MATCH(1, (VALUE(LEFT(fesp!$A:$A,6))=VALUE(LEFT(B307,6)))*(fesp!$C:$C=C307), 0)), "")</f>
        <v>34</v>
      </c>
      <c r="R307" cm="1">
        <f t="array" aca="1" ref="R307" ca="1">IFERROR(INDEX(fesp!$I:$I, MATCH(1, (VALUE(LEFT(fesp!$A:$A,6))=VALUE(LEFT(B307,6)))*(fesp!$C:$C=C307), 0)), "")</f>
        <v>1186</v>
      </c>
      <c r="S307" cm="1">
        <f t="array" aca="1" ref="S307" ca="1">IFERROR(INDEX(fesp!$J:$J, MATCH(1, (VALUE(LEFT(fesp!$A:$A,6))=VALUE(LEFT(B307,6)))*(fesp!$C:$C=C307), 0)), "")</f>
        <v>148</v>
      </c>
    </row>
    <row r="308" spans="1:19">
      <c r="A308" s="1" t="s">
        <v>93</v>
      </c>
      <c r="B308" s="3" t="s">
        <v>92</v>
      </c>
      <c r="C308" s="3">
        <v>2024</v>
      </c>
      <c r="D308" cm="1">
        <f t="array" ref="D308">IFERROR(INDEX(fesp!$D:$D, MATCH(1, (VALUE(LEFT(fesp!$A:$A,6))=VALUE(LEFT(B308,6)))*(fesp!$C:$C=C308), 0)), "")</f>
        <v>0</v>
      </c>
      <c r="E308" t="str" cm="1">
        <f t="array" aca="1" ref="E308" ca="1">IFERROR(INDEX(ft_medicos_clinicos!$C:$C, MATCH(1, (VALUE(LEFT(ft_medicos_clinicos!$A:$A,6))=VALUE(LEFT(B308,6)))*(ft_medicos_clinicos!$B:$B=C308), 0)), "")</f>
        <v/>
      </c>
      <c r="F308" t="str" cm="1">
        <f t="array" aca="1" ref="F308" ca="1">IFERROR(INDEX(ft_enfermeiros!$C:$C, MATCH(1, (VALUE(LEFT(ft_enfermeiros!$A:$A,6))=VALUE(LEFT(B308,6)))*(ft_enfermeiros!$B:$B=C308), 0)), "")</f>
        <v/>
      </c>
      <c r="G308" t="str" cm="1">
        <f t="array" aca="1" ref="G308" ca="1">IFERROR(INDEX(ft_equipes_acs!$C:$C, MATCH(1, (VALUE(LEFT(ft_equipes_acs!$A:$A,6))=VALUE(LEFT(B308,6)))*(ft_equipes_acs!$B:$B=C308), 0)), "")</f>
        <v>-</v>
      </c>
      <c r="H308" cm="1">
        <f t="array" aca="1" ref="H308" ca="1">IFERROR(INDEX(ci_leitos_internacao!$C:$C, MATCH(1, (VALUE(LEFT(ci_leitos_internacao!$A:$A,6))=VALUE(LEFT(B308,6)))*(ci_leitos_internacao!$B:$B=C308), 0)), "")</f>
        <v>1132</v>
      </c>
      <c r="I308" cm="1">
        <f t="array" aca="1" ref="I308" ca="1">IFERROR(INDEX(ci_hospitais_internacao!$C:$C, MATCH(1, (VALUE(LEFT(ci_hospitais_internacao!$A:$A,6))=VALUE(LEFT(B308,6)))*(ci_hospitais_internacao!$B:$B=C308), 0)), "")</f>
        <v>6</v>
      </c>
      <c r="J308" cm="1">
        <f t="array" aca="1" ref="J308" ca="1">IFERROR(INDEX(ci_pa_clinico!$C:$C, MATCH(1, (VALUE(LEFT(ci_pa_clinico!$A:$A,6))=VALUE(LEFT(B308,6)))*(ci_pa_clinico!$B:$B=C308), 0)), "")</f>
        <v>4</v>
      </c>
      <c r="K308" t="str" cm="1">
        <f t="array" aca="1" ref="K308" ca="1">IFERROR(INDEX(aps_equipes_esf!$C:$C, MATCH(1, (VALUE(LEFT(aps_equipes_esf!$A:$A,6))=VALUE(LEFT(B308,6)))*(aps_equipes_esf!$B:$B=C308), 0)), "")</f>
        <v>-</v>
      </c>
      <c r="L308" cm="1">
        <f t="array" aca="1" ref="L308" ca="1">IFERROR(INDEX(casos!$C:$C, MATCH(1, (VALUE(LEFT(casos!$A:$A,6))=VALUE(LEFT(B308,6)))*(casos!$B:$B=C308), 0)), "")</f>
        <v>16623</v>
      </c>
      <c r="M308" cm="1">
        <f t="array" ref="M308">IFERROR(INDEX(srag!$D:$D, MATCH(1, (VALUE(LEFT(srag!$A:$A,6))=VALUE(LEFT(B308,6)))*(srag!$C:$C=C308), 0)), "")</f>
        <v>1202</v>
      </c>
      <c r="N308" cm="1">
        <f t="array" aca="1" ref="N308" ca="1">IFERROR(INDEX(fesp!$E:$E, MATCH(1, (VALUE(LEFT(fesp!$A:$A,6))=VALUE(LEFT(B308,6)))*(fesp!$C:$C=C308), 0)), "")</f>
        <v>118</v>
      </c>
      <c r="O308" cm="1">
        <f t="array" aca="1" ref="O308" ca="1">IFERROR(INDEX(fesp!$F:$F, MATCH(1, (VALUE(LEFT(fesp!$A:$A,6))=VALUE(LEFT(B308,6)))*(fesp!$C:$C=C308), 0)), "")</f>
        <v>25670</v>
      </c>
      <c r="P308" cm="1">
        <f t="array" aca="1" ref="P308" ca="1">IFERROR(INDEX(fesp!$G:$G, MATCH(1, (VALUE(LEFT(fesp!$A:$A,6))=VALUE(LEFT(B308,6)))*(fesp!$C:$C=C308), 0)), "")</f>
        <v>3702722</v>
      </c>
      <c r="Q308" cm="1">
        <f t="array" aca="1" ref="Q308" ca="1">IFERROR(INDEX(fesp!$H:$H, MATCH(1, (VALUE(LEFT(fesp!$A:$A,6))=VALUE(LEFT(B308,6)))*(fesp!$C:$C=C308), 0)), "")</f>
        <v>39</v>
      </c>
      <c r="R308" cm="1">
        <f t="array" aca="1" ref="R308" ca="1">IFERROR(INDEX(fesp!$I:$I, MATCH(1, (VALUE(LEFT(fesp!$A:$A,6))=VALUE(LEFT(B308,6)))*(fesp!$C:$C=C308), 0)), "")</f>
        <v>2215</v>
      </c>
      <c r="S308" cm="1">
        <f t="array" aca="1" ref="S308" ca="1">IFERROR(INDEX(fesp!$J:$J, MATCH(1, (VALUE(LEFT(fesp!$A:$A,6))=VALUE(LEFT(B308,6)))*(fesp!$C:$C=C308), 0)), "")</f>
        <v>951</v>
      </c>
    </row>
    <row r="309" spans="1:19">
      <c r="A309" s="1" t="s">
        <v>93</v>
      </c>
      <c r="B309" s="3">
        <v>3205200</v>
      </c>
      <c r="C309" s="3">
        <v>2025</v>
      </c>
      <c r="D309" cm="1">
        <f t="array" ref="D309">IFERROR(INDEX(fesp!$D:$D, MATCH(1, (VALUE(LEFT(fesp!$A:$A,6))=VALUE(LEFT(B309,6)))*(fesp!$C:$C=C309), 0)), "")</f>
        <v>0</v>
      </c>
      <c r="E309" t="str" cm="1">
        <f t="array" aca="1" ref="E309" ca="1">IFERROR(INDEX(ft_medicos_clinicos!$C:$C, MATCH(1, (VALUE(LEFT(ft_medicos_clinicos!$A:$A,6))=VALUE(LEFT(B309,6)))*(ft_medicos_clinicos!$B:$B=C309), 0)), "")</f>
        <v/>
      </c>
      <c r="F309" t="str" cm="1">
        <f t="array" aca="1" ref="F309" ca="1">IFERROR(INDEX(ft_enfermeiros!$C:$C, MATCH(1, (VALUE(LEFT(ft_enfermeiros!$A:$A,6))=VALUE(LEFT(B309,6)))*(ft_enfermeiros!$B:$B=C309), 0)), "")</f>
        <v/>
      </c>
      <c r="G309" t="str" cm="1">
        <f t="array" aca="1" ref="G309" ca="1">IFERROR(INDEX(ft_equipes_acs!$C:$C, MATCH(1, (VALUE(LEFT(ft_equipes_acs!$A:$A,6))=VALUE(LEFT(B309,6)))*(ft_equipes_acs!$B:$B=C309), 0)), "")</f>
        <v>-</v>
      </c>
      <c r="H309" cm="1">
        <f t="array" aca="1" ref="H309" ca="1">IFERROR(INDEX(ci_leitos_internacao!$C:$C, MATCH(1, (VALUE(LEFT(ci_leitos_internacao!$A:$A,6))=VALUE(LEFT(B309,6)))*(ci_leitos_internacao!$B:$B=C309), 0)), "")</f>
        <v>1126</v>
      </c>
      <c r="I309" cm="1">
        <f t="array" aca="1" ref="I309" ca="1">IFERROR(INDEX(ci_hospitais_internacao!$C:$C, MATCH(1, (VALUE(LEFT(ci_hospitais_internacao!$A:$A,6))=VALUE(LEFT(B309,6)))*(ci_hospitais_internacao!$B:$B=C309), 0)), "")</f>
        <v>6</v>
      </c>
      <c r="J309" cm="1">
        <f t="array" aca="1" ref="J309" ca="1">IFERROR(INDEX(ci_pa_clinico!$C:$C, MATCH(1, (VALUE(LEFT(ci_pa_clinico!$A:$A,6))=VALUE(LEFT(B309,6)))*(ci_pa_clinico!$B:$B=C309), 0)), "")</f>
        <v>3</v>
      </c>
      <c r="K309" t="str" cm="1">
        <f t="array" aca="1" ref="K309" ca="1">IFERROR(INDEX(aps_equipes_esf!$C:$C, MATCH(1, (VALUE(LEFT(aps_equipes_esf!$A:$A,6))=VALUE(LEFT(B309,6)))*(aps_equipes_esf!$B:$B=C309), 0)), "")</f>
        <v>-</v>
      </c>
      <c r="L309" cm="1">
        <f t="array" aca="1" ref="L309" ca="1">IFERROR(INDEX(casos!$C:$C, MATCH(1, (VALUE(LEFT(casos!$A:$A,6))=VALUE(LEFT(B309,6)))*(casos!$B:$B=C309), 0)), "")</f>
        <v>4181</v>
      </c>
      <c r="M309" cm="1">
        <f t="array" ref="M309">IFERROR(INDEX(srag!$D:$D, MATCH(1, (VALUE(LEFT(srag!$A:$A,6))=VALUE(LEFT(B309,6)))*(srag!$C:$C=C309), 0)), "")</f>
        <v>597</v>
      </c>
      <c r="N309" cm="1">
        <f t="array" aca="1" ref="N309" ca="1">IFERROR(INDEX(fesp!$E:$E, MATCH(1, (VALUE(LEFT(fesp!$A:$A,6))=VALUE(LEFT(B309,6)))*(fesp!$C:$C=C309), 0)), "")</f>
        <v>120</v>
      </c>
      <c r="O309" cm="1">
        <f t="array" aca="1" ref="O309" ca="1">IFERROR(INDEX(fesp!$F:$F, MATCH(1, (VALUE(LEFT(fesp!$A:$A,6))=VALUE(LEFT(B309,6)))*(fesp!$C:$C=C309), 0)), "")</f>
        <v>22677</v>
      </c>
      <c r="P309" cm="1">
        <f t="array" aca="1" ref="P309" ca="1">IFERROR(INDEX(fesp!$G:$G, MATCH(1, (VALUE(LEFT(fesp!$A:$A,6))=VALUE(LEFT(B309,6)))*(fesp!$C:$C=C309), 0)), "")</f>
        <v>2978591</v>
      </c>
      <c r="Q309" cm="1">
        <f t="array" aca="1" ref="Q309" ca="1">IFERROR(INDEX(fesp!$H:$H, MATCH(1, (VALUE(LEFT(fesp!$A:$A,6))=VALUE(LEFT(B309,6)))*(fesp!$C:$C=C309), 0)), "")</f>
        <v>50</v>
      </c>
      <c r="R309" cm="1">
        <f t="array" aca="1" ref="R309" ca="1">IFERROR(INDEX(fesp!$I:$I, MATCH(1, (VALUE(LEFT(fesp!$A:$A,6))=VALUE(LEFT(B309,6)))*(fesp!$C:$C=C309), 0)), "")</f>
        <v>428</v>
      </c>
      <c r="S309" cm="1">
        <f t="array" aca="1" ref="S309" ca="1">IFERROR(INDEX(fesp!$J:$J, MATCH(1, (VALUE(LEFT(fesp!$A:$A,6))=VALUE(LEFT(B309,6)))*(fesp!$C:$C=C309), 0)), "")</f>
        <v>1563</v>
      </c>
    </row>
    <row r="310" spans="1:19">
      <c r="A310" s="1" t="s">
        <v>85</v>
      </c>
      <c r="B310" s="3">
        <v>3300456</v>
      </c>
      <c r="C310" s="3">
        <v>2015</v>
      </c>
      <c r="D310" cm="1">
        <f t="array" ref="D310">IFERROR(INDEX(fesp!$D:$D, MATCH(1, (VALUE(LEFT(fesp!$A:$A,6))=VALUE(LEFT(B310,6)))*(fesp!$C:$C=C310), 0)), "")</f>
        <v>481127</v>
      </c>
      <c r="E310" cm="1">
        <f t="array" aca="1" ref="E310" ca="1">IFERROR(INDEX(ft_medicos_clinicos!$C:$C, MATCH(1, (VALUE(LEFT(ft_medicos_clinicos!$A:$A,6))=VALUE(LEFT(B310,6)))*(ft_medicos_clinicos!$B:$B=C310), 0)), "")</f>
        <v>162</v>
      </c>
      <c r="F310" cm="1">
        <f t="array" aca="1" ref="F310" ca="1">IFERROR(INDEX(ft_enfermeiros!$C:$C, MATCH(1, (VALUE(LEFT(ft_enfermeiros!$A:$A,6))=VALUE(LEFT(B310,6)))*(ft_enfermeiros!$B:$B=C310), 0)), "")</f>
        <v>136</v>
      </c>
      <c r="G310" cm="1">
        <f t="array" aca="1" ref="G310" ca="1">IFERROR(INDEX(ft_equipes_acs!$C:$C, MATCH(1, (VALUE(LEFT(ft_equipes_acs!$A:$A,6))=VALUE(LEFT(B310,6)))*(ft_equipes_acs!$B:$B=C310), 0)), "")</f>
        <v>5</v>
      </c>
      <c r="H310" cm="1">
        <f t="array" aca="1" ref="H310" ca="1">IFERROR(INDEX(ci_leitos_internacao!$C:$C, MATCH(1, (VALUE(LEFT(ci_leitos_internacao!$A:$A,6))=VALUE(LEFT(B310,6)))*(ci_leitos_internacao!$B:$B=C310), 0)), "")</f>
        <v>402</v>
      </c>
      <c r="I310" cm="1">
        <f t="array" aca="1" ref="I310" ca="1">IFERROR(INDEX(ci_hospitais_internacao!$C:$C, MATCH(1, (VALUE(LEFT(ci_hospitais_internacao!$A:$A,6))=VALUE(LEFT(B310,6)))*(ci_hospitais_internacao!$B:$B=C310), 0)), "")</f>
        <v>2</v>
      </c>
      <c r="J310" t="str" cm="1">
        <f t="array" aca="1" ref="J310" ca="1">IFERROR(INDEX(ci_pa_clinico!$C:$C, MATCH(1, (VALUE(LEFT(ci_pa_clinico!$A:$A,6))=VALUE(LEFT(B310,6)))*(ci_pa_clinico!$B:$B=C310), 0)), "")</f>
        <v>-</v>
      </c>
      <c r="K310" cm="1">
        <f t="array" aca="1" ref="K310" ca="1">IFERROR(INDEX(aps_equipes_esf!$C:$C, MATCH(1, (VALUE(LEFT(aps_equipes_esf!$A:$A,6))=VALUE(LEFT(B310,6)))*(aps_equipes_esf!$B:$B=C310), 0)), "")</f>
        <v>34</v>
      </c>
      <c r="L310" cm="1">
        <f t="array" aca="1" ref="L310" ca="1">IFERROR(INDEX(casos!$C:$C, MATCH(1, (VALUE(LEFT(casos!$A:$A,6))=VALUE(LEFT(B310,6)))*(casos!$B:$B=C310), 0)), "")</f>
        <v>83</v>
      </c>
      <c r="M310" cm="1">
        <f t="array" ref="M310">IFERROR(INDEX(srag!$D:$D, MATCH(1, (VALUE(LEFT(srag!$A:$A,6))=VALUE(LEFT(B310,6)))*(srag!$C:$C=C310), 0)), "")</f>
        <v>18</v>
      </c>
      <c r="N310" cm="1">
        <f t="array" aca="1" ref="N310" ca="1">IFERROR(INDEX(fesp!$E:$E, MATCH(1, (VALUE(LEFT(fesp!$A:$A,6))=VALUE(LEFT(B310,6)))*(fesp!$C:$C=C310), 0)), "")</f>
        <v>0</v>
      </c>
      <c r="O310" cm="1">
        <f t="array" aca="1" ref="O310" ca="1">IFERROR(INDEX(fesp!$F:$F, MATCH(1, (VALUE(LEFT(fesp!$A:$A,6))=VALUE(LEFT(B310,6)))*(fesp!$C:$C=C310), 0)), "")</f>
        <v>1993</v>
      </c>
      <c r="P310" cm="1">
        <f t="array" aca="1" ref="P310" ca="1">IFERROR(INDEX(fesp!$G:$G, MATCH(1, (VALUE(LEFT(fesp!$A:$A,6))=VALUE(LEFT(B310,6)))*(fesp!$C:$C=C310), 0)), "")</f>
        <v>1912375</v>
      </c>
      <c r="Q310" cm="1">
        <f t="array" aca="1" ref="Q310" ca="1">IFERROR(INDEX(fesp!$H:$H, MATCH(1, (VALUE(LEFT(fesp!$A:$A,6))=VALUE(LEFT(B310,6)))*(fesp!$C:$C=C310), 0)), "")</f>
        <v>0</v>
      </c>
      <c r="R310" cm="1">
        <f t="array" aca="1" ref="R310" ca="1">IFERROR(INDEX(fesp!$I:$I, MATCH(1, (VALUE(LEFT(fesp!$A:$A,6))=VALUE(LEFT(B310,6)))*(fesp!$C:$C=C310), 0)), "")</f>
        <v>21130</v>
      </c>
      <c r="S310" cm="1">
        <f t="array" aca="1" ref="S310" ca="1">IFERROR(INDEX(fesp!$J:$J, MATCH(1, (VALUE(LEFT(fesp!$A:$A,6))=VALUE(LEFT(B310,6)))*(fesp!$C:$C=C310), 0)), "")</f>
        <v>484354</v>
      </c>
    </row>
    <row r="311" spans="1:19">
      <c r="A311" s="1" t="s">
        <v>85</v>
      </c>
      <c r="B311" s="3">
        <v>3300456</v>
      </c>
      <c r="C311" s="3">
        <v>2016</v>
      </c>
      <c r="D311" cm="1">
        <f t="array" ref="D311">IFERROR(INDEX(fesp!$D:$D, MATCH(1, (VALUE(LEFT(fesp!$A:$A,6))=VALUE(LEFT(B311,6)))*(fesp!$C:$C=C311), 0)), "")</f>
        <v>0</v>
      </c>
      <c r="E311" cm="1">
        <f t="array" aca="1" ref="E311" ca="1">IFERROR(INDEX(ft_medicos_clinicos!$C:$C, MATCH(1, (VALUE(LEFT(ft_medicos_clinicos!$A:$A,6))=VALUE(LEFT(B311,6)))*(ft_medicos_clinicos!$B:$B=C311), 0)), "")</f>
        <v>159</v>
      </c>
      <c r="F311" cm="1">
        <f t="array" aca="1" ref="F311" ca="1">IFERROR(INDEX(ft_enfermeiros!$C:$C, MATCH(1, (VALUE(LEFT(ft_enfermeiros!$A:$A,6))=VALUE(LEFT(B311,6)))*(ft_enfermeiros!$B:$B=C311), 0)), "")</f>
        <v>150</v>
      </c>
      <c r="G311" cm="1">
        <f t="array" aca="1" ref="G311" ca="1">IFERROR(INDEX(ft_equipes_acs!$C:$C, MATCH(1, (VALUE(LEFT(ft_equipes_acs!$A:$A,6))=VALUE(LEFT(B311,6)))*(ft_equipes_acs!$B:$B=C311), 0)), "")</f>
        <v>5</v>
      </c>
      <c r="H311" cm="1">
        <f t="array" aca="1" ref="H311" ca="1">IFERROR(INDEX(ci_leitos_internacao!$C:$C, MATCH(1, (VALUE(LEFT(ci_leitos_internacao!$A:$A,6))=VALUE(LEFT(B311,6)))*(ci_leitos_internacao!$B:$B=C311), 0)), "")</f>
        <v>348</v>
      </c>
      <c r="I311" cm="1">
        <f t="array" aca="1" ref="I311" ca="1">IFERROR(INDEX(ci_hospitais_internacao!$C:$C, MATCH(1, (VALUE(LEFT(ci_hospitais_internacao!$A:$A,6))=VALUE(LEFT(B311,6)))*(ci_hospitais_internacao!$B:$B=C311), 0)), "")</f>
        <v>2</v>
      </c>
      <c r="J311" t="str" cm="1">
        <f t="array" aca="1" ref="J311" ca="1">IFERROR(INDEX(ci_pa_clinico!$C:$C, MATCH(1, (VALUE(LEFT(ci_pa_clinico!$A:$A,6))=VALUE(LEFT(B311,6)))*(ci_pa_clinico!$B:$B=C311), 0)), "")</f>
        <v>-</v>
      </c>
      <c r="K311" cm="1">
        <f t="array" aca="1" ref="K311" ca="1">IFERROR(INDEX(aps_equipes_esf!$C:$C, MATCH(1, (VALUE(LEFT(aps_equipes_esf!$A:$A,6))=VALUE(LEFT(B311,6)))*(aps_equipes_esf!$B:$B=C311), 0)), "")</f>
        <v>37</v>
      </c>
      <c r="L311" cm="1">
        <f t="array" aca="1" ref="L311" ca="1">IFERROR(INDEX(casos!$C:$C, MATCH(1, (VALUE(LEFT(casos!$A:$A,6))=VALUE(LEFT(B311,6)))*(casos!$B:$B=C311), 0)), "")</f>
        <v>31</v>
      </c>
      <c r="M311" cm="1">
        <f t="array" ref="M311">IFERROR(INDEX(srag!$D:$D, MATCH(1, (VALUE(LEFT(srag!$A:$A,6))=VALUE(LEFT(B311,6)))*(srag!$C:$C=C311), 0)), "")</f>
        <v>44</v>
      </c>
      <c r="N311" cm="1">
        <f t="array" aca="1" ref="N311" ca="1">IFERROR(INDEX(fesp!$E:$E, MATCH(1, (VALUE(LEFT(fesp!$A:$A,6))=VALUE(LEFT(B311,6)))*(fesp!$C:$C=C311), 0)), "")</f>
        <v>42</v>
      </c>
      <c r="O311" cm="1">
        <f t="array" aca="1" ref="O311" ca="1">IFERROR(INDEX(fesp!$F:$F, MATCH(1, (VALUE(LEFT(fesp!$A:$A,6))=VALUE(LEFT(B311,6)))*(fesp!$C:$C=C311), 0)), "")</f>
        <v>726</v>
      </c>
      <c r="P311" cm="1">
        <f t="array" aca="1" ref="P311" ca="1">IFERROR(INDEX(fesp!$G:$G, MATCH(1, (VALUE(LEFT(fesp!$A:$A,6))=VALUE(LEFT(B311,6)))*(fesp!$C:$C=C311), 0)), "")</f>
        <v>1139534</v>
      </c>
      <c r="Q311" cm="1">
        <f t="array" aca="1" ref="Q311" ca="1">IFERROR(INDEX(fesp!$H:$H, MATCH(1, (VALUE(LEFT(fesp!$A:$A,6))=VALUE(LEFT(B311,6)))*(fesp!$C:$C=C311), 0)), "")</f>
        <v>16</v>
      </c>
      <c r="R311" cm="1">
        <f t="array" aca="1" ref="R311" ca="1">IFERROR(INDEX(fesp!$I:$I, MATCH(1, (VALUE(LEFT(fesp!$A:$A,6))=VALUE(LEFT(B311,6)))*(fesp!$C:$C=C311), 0)), "")</f>
        <v>18221</v>
      </c>
      <c r="S311" cm="1">
        <f t="array" aca="1" ref="S311" ca="1">IFERROR(INDEX(fesp!$J:$J, MATCH(1, (VALUE(LEFT(fesp!$A:$A,6))=VALUE(LEFT(B311,6)))*(fesp!$C:$C=C311), 0)), "")</f>
        <v>173567</v>
      </c>
    </row>
    <row r="312" spans="1:19">
      <c r="A312" s="1" t="s">
        <v>85</v>
      </c>
      <c r="B312" s="3">
        <v>3300456</v>
      </c>
      <c r="C312" s="3">
        <v>2017</v>
      </c>
      <c r="D312" cm="1">
        <f t="array" ref="D312">IFERROR(INDEX(fesp!$D:$D, MATCH(1, (VALUE(LEFT(fesp!$A:$A,6))=VALUE(LEFT(B312,6)))*(fesp!$C:$C=C312), 0)), "")</f>
        <v>0</v>
      </c>
      <c r="E312" cm="1">
        <f t="array" aca="1" ref="E312" ca="1">IFERROR(INDEX(ft_medicos_clinicos!$C:$C, MATCH(1, (VALUE(LEFT(ft_medicos_clinicos!$A:$A,6))=VALUE(LEFT(B312,6)))*(ft_medicos_clinicos!$B:$B=C312), 0)), "")</f>
        <v>66</v>
      </c>
      <c r="F312" cm="1">
        <f t="array" aca="1" ref="F312" ca="1">IFERROR(INDEX(ft_enfermeiros!$C:$C, MATCH(1, (VALUE(LEFT(ft_enfermeiros!$A:$A,6))=VALUE(LEFT(B312,6)))*(ft_enfermeiros!$B:$B=C312), 0)), "")</f>
        <v>111</v>
      </c>
      <c r="G312" cm="1">
        <f t="array" aca="1" ref="G312" ca="1">IFERROR(INDEX(ft_equipes_acs!$C:$C, MATCH(1, (VALUE(LEFT(ft_equipes_acs!$A:$A,6))=VALUE(LEFT(B312,6)))*(ft_equipes_acs!$B:$B=C312), 0)), "")</f>
        <v>5</v>
      </c>
      <c r="H312" cm="1">
        <f t="array" aca="1" ref="H312" ca="1">IFERROR(INDEX(ci_leitos_internacao!$C:$C, MATCH(1, (VALUE(LEFT(ci_leitos_internacao!$A:$A,6))=VALUE(LEFT(B312,6)))*(ci_leitos_internacao!$B:$B=C312), 0)), "")</f>
        <v>331</v>
      </c>
      <c r="I312" cm="1">
        <f t="array" aca="1" ref="I312" ca="1">IFERROR(INDEX(ci_hospitais_internacao!$C:$C, MATCH(1, (VALUE(LEFT(ci_hospitais_internacao!$A:$A,6))=VALUE(LEFT(B312,6)))*(ci_hospitais_internacao!$B:$B=C312), 0)), "")</f>
        <v>1</v>
      </c>
      <c r="J312" t="str" cm="1">
        <f t="array" aca="1" ref="J312" ca="1">IFERROR(INDEX(ci_pa_clinico!$C:$C, MATCH(1, (VALUE(LEFT(ci_pa_clinico!$A:$A,6))=VALUE(LEFT(B312,6)))*(ci_pa_clinico!$B:$B=C312), 0)), "")</f>
        <v>-</v>
      </c>
      <c r="K312" cm="1">
        <f t="array" aca="1" ref="K312" ca="1">IFERROR(INDEX(aps_equipes_esf!$C:$C, MATCH(1, (VALUE(LEFT(aps_equipes_esf!$A:$A,6))=VALUE(LEFT(B312,6)))*(aps_equipes_esf!$B:$B=C312), 0)), "")</f>
        <v>37</v>
      </c>
      <c r="L312" cm="1">
        <f t="array" aca="1" ref="L312" ca="1">IFERROR(INDEX(casos!$C:$C, MATCH(1, (VALUE(LEFT(casos!$A:$A,6))=VALUE(LEFT(B312,6)))*(casos!$B:$B=C312), 0)), "")</f>
        <v>1</v>
      </c>
      <c r="M312" cm="1">
        <f t="array" ref="M312">IFERROR(INDEX(srag!$D:$D, MATCH(1, (VALUE(LEFT(srag!$A:$A,6))=VALUE(LEFT(B312,6)))*(srag!$C:$C=C312), 0)), "")</f>
        <v>22</v>
      </c>
      <c r="N312" cm="1">
        <f t="array" aca="1" ref="N312" ca="1">IFERROR(INDEX(fesp!$E:$E, MATCH(1, (VALUE(LEFT(fesp!$A:$A,6))=VALUE(LEFT(B312,6)))*(fesp!$C:$C=C312), 0)), "")</f>
        <v>3</v>
      </c>
      <c r="O312" cm="1">
        <f t="array" aca="1" ref="O312" ca="1">IFERROR(INDEX(fesp!$F:$F, MATCH(1, (VALUE(LEFT(fesp!$A:$A,6))=VALUE(LEFT(B312,6)))*(fesp!$C:$C=C312), 0)), "")</f>
        <v>126</v>
      </c>
      <c r="P312" cm="1">
        <f t="array" aca="1" ref="P312" ca="1">IFERROR(INDEX(fesp!$G:$G, MATCH(1, (VALUE(LEFT(fesp!$A:$A,6))=VALUE(LEFT(B312,6)))*(fesp!$C:$C=C312), 0)), "")</f>
        <v>1292231</v>
      </c>
      <c r="Q312" cm="1">
        <f t="array" aca="1" ref="Q312" ca="1">IFERROR(INDEX(fesp!$H:$H, MATCH(1, (VALUE(LEFT(fesp!$A:$A,6))=VALUE(LEFT(B312,6)))*(fesp!$C:$C=C312), 0)), "")</f>
        <v>0</v>
      </c>
      <c r="R312" cm="1">
        <f t="array" aca="1" ref="R312" ca="1">IFERROR(INDEX(fesp!$I:$I, MATCH(1, (VALUE(LEFT(fesp!$A:$A,6))=VALUE(LEFT(B312,6)))*(fesp!$C:$C=C312), 0)), "")</f>
        <v>15473</v>
      </c>
      <c r="S312" cm="1">
        <f t="array" aca="1" ref="S312" ca="1">IFERROR(INDEX(fesp!$J:$J, MATCH(1, (VALUE(LEFT(fesp!$A:$A,6))=VALUE(LEFT(B312,6)))*(fesp!$C:$C=C312), 0)), "")</f>
        <v>114128</v>
      </c>
    </row>
    <row r="313" spans="1:19">
      <c r="A313" s="1" t="s">
        <v>85</v>
      </c>
      <c r="B313" s="3" t="s">
        <v>84</v>
      </c>
      <c r="C313" s="3">
        <v>2018</v>
      </c>
      <c r="D313" cm="1">
        <f t="array" ref="D313">IFERROR(INDEX(fesp!$D:$D, MATCH(1, (VALUE(LEFT(fesp!$A:$A,6))=VALUE(LEFT(B313,6)))*(fesp!$C:$C=C313), 0)), "")</f>
        <v>0</v>
      </c>
      <c r="E313" cm="1">
        <f t="array" aca="1" ref="E313" ca="1">IFERROR(INDEX(ft_medicos_clinicos!$C:$C, MATCH(1, (VALUE(LEFT(ft_medicos_clinicos!$A:$A,6))=VALUE(LEFT(B313,6)))*(ft_medicos_clinicos!$B:$B=C313), 0)), "")</f>
        <v>86</v>
      </c>
      <c r="F313" cm="1">
        <f t="array" aca="1" ref="F313" ca="1">IFERROR(INDEX(ft_enfermeiros!$C:$C, MATCH(1, (VALUE(LEFT(ft_enfermeiros!$A:$A,6))=VALUE(LEFT(B313,6)))*(ft_enfermeiros!$B:$B=C313), 0)), "")</f>
        <v>119</v>
      </c>
      <c r="G313" cm="1">
        <f t="array" aca="1" ref="G313" ca="1">IFERROR(INDEX(ft_equipes_acs!$C:$C, MATCH(1, (VALUE(LEFT(ft_equipes_acs!$A:$A,6))=VALUE(LEFT(B313,6)))*(ft_equipes_acs!$B:$B=C313), 0)), "")</f>
        <v>5</v>
      </c>
      <c r="H313" cm="1">
        <f t="array" aca="1" ref="H313" ca="1">IFERROR(INDEX(ci_leitos_internacao!$C:$C, MATCH(1, (VALUE(LEFT(ci_leitos_internacao!$A:$A,6))=VALUE(LEFT(B313,6)))*(ci_leitos_internacao!$B:$B=C313), 0)), "")</f>
        <v>285</v>
      </c>
      <c r="I313" cm="1">
        <f t="array" aca="1" ref="I313" ca="1">IFERROR(INDEX(ci_hospitais_internacao!$C:$C, MATCH(1, (VALUE(LEFT(ci_hospitais_internacao!$A:$A,6))=VALUE(LEFT(B313,6)))*(ci_hospitais_internacao!$B:$B=C313), 0)), "")</f>
        <v>1</v>
      </c>
      <c r="J313" t="str" cm="1">
        <f t="array" aca="1" ref="J313" ca="1">IFERROR(INDEX(ci_pa_clinico!$C:$C, MATCH(1, (VALUE(LEFT(ci_pa_clinico!$A:$A,6))=VALUE(LEFT(B313,6)))*(ci_pa_clinico!$B:$B=C313), 0)), "")</f>
        <v>-</v>
      </c>
      <c r="K313" cm="1">
        <f t="array" aca="1" ref="K313" ca="1">IFERROR(INDEX(aps_equipes_esf!$C:$C, MATCH(1, (VALUE(LEFT(aps_equipes_esf!$A:$A,6))=VALUE(LEFT(B313,6)))*(aps_equipes_esf!$B:$B=C313), 0)), "")</f>
        <v>39</v>
      </c>
      <c r="L313" cm="1">
        <f t="array" aca="1" ref="L313" ca="1">IFERROR(INDEX(casos!$C:$C, MATCH(1, (VALUE(LEFT(casos!$A:$A,6))=VALUE(LEFT(B313,6)))*(casos!$B:$B=C313), 0)), "")</f>
        <v>49</v>
      </c>
      <c r="M313" cm="1">
        <f t="array" ref="M313">IFERROR(INDEX(srag!$D:$D, MATCH(1, (VALUE(LEFT(srag!$A:$A,6))=VALUE(LEFT(B313,6)))*(srag!$C:$C=C313), 0)), "")</f>
        <v>47</v>
      </c>
      <c r="N313" cm="1">
        <f t="array" aca="1" ref="N313" ca="1">IFERROR(INDEX(fesp!$E:$E, MATCH(1, (VALUE(LEFT(fesp!$A:$A,6))=VALUE(LEFT(B313,6)))*(fesp!$C:$C=C313), 0)), "")</f>
        <v>45</v>
      </c>
      <c r="O313" cm="1">
        <f t="array" aca="1" ref="O313" ca="1">IFERROR(INDEX(fesp!$F:$F, MATCH(1, (VALUE(LEFT(fesp!$A:$A,6))=VALUE(LEFT(B313,6)))*(fesp!$C:$C=C313), 0)), "")</f>
        <v>144</v>
      </c>
      <c r="P313" cm="1">
        <f t="array" aca="1" ref="P313" ca="1">IFERROR(INDEX(fesp!$G:$G, MATCH(1, (VALUE(LEFT(fesp!$A:$A,6))=VALUE(LEFT(B313,6)))*(fesp!$C:$C=C313), 0)), "")</f>
        <v>4630829</v>
      </c>
      <c r="Q313" cm="1">
        <f t="array" aca="1" ref="Q313" ca="1">IFERROR(INDEX(fesp!$H:$H, MATCH(1, (VALUE(LEFT(fesp!$A:$A,6))=VALUE(LEFT(B313,6)))*(fesp!$C:$C=C313), 0)), "")</f>
        <v>89</v>
      </c>
      <c r="R313" cm="1">
        <f t="array" aca="1" ref="R313" ca="1">IFERROR(INDEX(fesp!$I:$I, MATCH(1, (VALUE(LEFT(fesp!$A:$A,6))=VALUE(LEFT(B313,6)))*(fesp!$C:$C=C313), 0)), "")</f>
        <v>7897</v>
      </c>
      <c r="S313" cm="1">
        <f t="array" aca="1" ref="S313" ca="1">IFERROR(INDEX(fesp!$J:$J, MATCH(1, (VALUE(LEFT(fesp!$A:$A,6))=VALUE(LEFT(B313,6)))*(fesp!$C:$C=C313), 0)), "")</f>
        <v>48230</v>
      </c>
    </row>
    <row r="314" spans="1:19">
      <c r="A314" s="1" t="s">
        <v>85</v>
      </c>
      <c r="B314" s="3" t="s">
        <v>84</v>
      </c>
      <c r="C314" s="3">
        <v>2019</v>
      </c>
      <c r="D314" cm="1">
        <f t="array" ref="D314">IFERROR(INDEX(fesp!$D:$D, MATCH(1, (VALUE(LEFT(fesp!$A:$A,6))=VALUE(LEFT(B314,6)))*(fesp!$C:$C=C314), 0)), "")</f>
        <v>0</v>
      </c>
      <c r="E314" cm="1">
        <f t="array" aca="1" ref="E314" ca="1">IFERROR(INDEX(ft_medicos_clinicos!$C:$C, MATCH(1, (VALUE(LEFT(ft_medicos_clinicos!$A:$A,6))=VALUE(LEFT(B314,6)))*(ft_medicos_clinicos!$B:$B=C314), 0)), "")</f>
        <v>62</v>
      </c>
      <c r="F314" cm="1">
        <f t="array" aca="1" ref="F314" ca="1">IFERROR(INDEX(ft_enfermeiros!$C:$C, MATCH(1, (VALUE(LEFT(ft_enfermeiros!$A:$A,6))=VALUE(LEFT(B314,6)))*(ft_enfermeiros!$B:$B=C314), 0)), "")</f>
        <v>105</v>
      </c>
      <c r="G314" cm="1">
        <f t="array" aca="1" ref="G314" ca="1">IFERROR(INDEX(ft_equipes_acs!$C:$C, MATCH(1, (VALUE(LEFT(ft_equipes_acs!$A:$A,6))=VALUE(LEFT(B314,6)))*(ft_equipes_acs!$B:$B=C314), 0)), "")</f>
        <v>5</v>
      </c>
      <c r="H314" cm="1">
        <f t="array" aca="1" ref="H314" ca="1">IFERROR(INDEX(ci_leitos_internacao!$C:$C, MATCH(1, (VALUE(LEFT(ci_leitos_internacao!$A:$A,6))=VALUE(LEFT(B314,6)))*(ci_leitos_internacao!$B:$B=C314), 0)), "")</f>
        <v>285</v>
      </c>
      <c r="I314" cm="1">
        <f t="array" aca="1" ref="I314" ca="1">IFERROR(INDEX(ci_hospitais_internacao!$C:$C, MATCH(1, (VALUE(LEFT(ci_hospitais_internacao!$A:$A,6))=VALUE(LEFT(B314,6)))*(ci_hospitais_internacao!$B:$B=C314), 0)), "")</f>
        <v>1</v>
      </c>
      <c r="J314" t="str" cm="1">
        <f t="array" aca="1" ref="J314" ca="1">IFERROR(INDEX(ci_pa_clinico!$C:$C, MATCH(1, (VALUE(LEFT(ci_pa_clinico!$A:$A,6))=VALUE(LEFT(B314,6)))*(ci_pa_clinico!$B:$B=C314), 0)), "")</f>
        <v>-</v>
      </c>
      <c r="K314" cm="1">
        <f t="array" aca="1" ref="K314" ca="1">IFERROR(INDEX(aps_equipes_esf!$C:$C, MATCH(1, (VALUE(LEFT(aps_equipes_esf!$A:$A,6))=VALUE(LEFT(B314,6)))*(aps_equipes_esf!$B:$B=C314), 0)), "")</f>
        <v>39</v>
      </c>
      <c r="L314" cm="1">
        <f t="array" aca="1" ref="L314" ca="1">IFERROR(INDEX(casos!$C:$C, MATCH(1, (VALUE(LEFT(casos!$A:$A,6))=VALUE(LEFT(B314,6)))*(casos!$B:$B=C314), 0)), "")</f>
        <v>353</v>
      </c>
      <c r="M314" cm="1">
        <f t="array" ref="M314">IFERROR(INDEX(srag!$D:$D, MATCH(1, (VALUE(LEFT(srag!$A:$A,6))=VALUE(LEFT(B314,6)))*(srag!$C:$C=C314), 0)), "")</f>
        <v>46</v>
      </c>
      <c r="N314" cm="1">
        <f t="array" aca="1" ref="N314" ca="1">IFERROR(INDEX(fesp!$E:$E, MATCH(1, (VALUE(LEFT(fesp!$A:$A,6))=VALUE(LEFT(B314,6)))*(fesp!$C:$C=C314), 0)), "")</f>
        <v>45</v>
      </c>
      <c r="O314" cm="1">
        <f t="array" aca="1" ref="O314" ca="1">IFERROR(INDEX(fesp!$F:$F, MATCH(1, (VALUE(LEFT(fesp!$A:$A,6))=VALUE(LEFT(B314,6)))*(fesp!$C:$C=C314), 0)), "")</f>
        <v>162</v>
      </c>
      <c r="P314" cm="1">
        <f t="array" aca="1" ref="P314" ca="1">IFERROR(INDEX(fesp!$G:$G, MATCH(1, (VALUE(LEFT(fesp!$A:$A,6))=VALUE(LEFT(B314,6)))*(fesp!$C:$C=C314), 0)), "")</f>
        <v>3731015</v>
      </c>
      <c r="Q314" cm="1">
        <f t="array" aca="1" ref="Q314" ca="1">IFERROR(INDEX(fesp!$H:$H, MATCH(1, (VALUE(LEFT(fesp!$A:$A,6))=VALUE(LEFT(B314,6)))*(fesp!$C:$C=C314), 0)), "")</f>
        <v>80</v>
      </c>
      <c r="R314" cm="1">
        <f t="array" aca="1" ref="R314" ca="1">IFERROR(INDEX(fesp!$I:$I, MATCH(1, (VALUE(LEFT(fesp!$A:$A,6))=VALUE(LEFT(B314,6)))*(fesp!$C:$C=C314), 0)), "")</f>
        <v>8174</v>
      </c>
      <c r="S314" cm="1">
        <f t="array" aca="1" ref="S314" ca="1">IFERROR(INDEX(fesp!$J:$J, MATCH(1, (VALUE(LEFT(fesp!$A:$A,6))=VALUE(LEFT(B314,6)))*(fesp!$C:$C=C314), 0)), "")</f>
        <v>51390</v>
      </c>
    </row>
    <row r="315" spans="1:19">
      <c r="A315" s="1" t="s">
        <v>85</v>
      </c>
      <c r="B315" s="3" t="s">
        <v>84</v>
      </c>
      <c r="C315" s="3">
        <v>2020</v>
      </c>
      <c r="D315" cm="1">
        <f t="array" ref="D315">IFERROR(INDEX(fesp!$D:$D, MATCH(1, (VALUE(LEFT(fesp!$A:$A,6))=VALUE(LEFT(B315,6)))*(fesp!$C:$C=C315), 0)), "")</f>
        <v>0</v>
      </c>
      <c r="E315" cm="1">
        <f t="array" aca="1" ref="E315" ca="1">IFERROR(INDEX(ft_medicos_clinicos!$C:$C, MATCH(1, (VALUE(LEFT(ft_medicos_clinicos!$A:$A,6))=VALUE(LEFT(B315,6)))*(ft_medicos_clinicos!$B:$B=C315), 0)), "")</f>
        <v>91</v>
      </c>
      <c r="F315" cm="1">
        <f t="array" aca="1" ref="F315" ca="1">IFERROR(INDEX(ft_enfermeiros!$C:$C, MATCH(1, (VALUE(LEFT(ft_enfermeiros!$A:$A,6))=VALUE(LEFT(B315,6)))*(ft_enfermeiros!$B:$B=C315), 0)), "")</f>
        <v>122</v>
      </c>
      <c r="G315" t="str" cm="1">
        <f t="array" aca="1" ref="G315" ca="1">IFERROR(INDEX(ft_equipes_acs!$C:$C, MATCH(1, (VALUE(LEFT(ft_equipes_acs!$A:$A,6))=VALUE(LEFT(B315,6)))*(ft_equipes_acs!$B:$B=C315), 0)), "")</f>
        <v>-</v>
      </c>
      <c r="H315" cm="1">
        <f t="array" aca="1" ref="H315" ca="1">IFERROR(INDEX(ci_leitos_internacao!$C:$C, MATCH(1, (VALUE(LEFT(ci_leitos_internacao!$A:$A,6))=VALUE(LEFT(B315,6)))*(ci_leitos_internacao!$B:$B=C315), 0)), "")</f>
        <v>405</v>
      </c>
      <c r="I315" cm="1">
        <f t="array" aca="1" ref="I315" ca="1">IFERROR(INDEX(ci_hospitais_internacao!$C:$C, MATCH(1, (VALUE(LEFT(ci_hospitais_internacao!$A:$A,6))=VALUE(LEFT(B315,6)))*(ci_hospitais_internacao!$B:$B=C315), 0)), "")</f>
        <v>3</v>
      </c>
      <c r="J315" t="str" cm="1">
        <f t="array" aca="1" ref="J315" ca="1">IFERROR(INDEX(ci_pa_clinico!$C:$C, MATCH(1, (VALUE(LEFT(ci_pa_clinico!$A:$A,6))=VALUE(LEFT(B315,6)))*(ci_pa_clinico!$B:$B=C315), 0)), "")</f>
        <v>-</v>
      </c>
      <c r="K315" t="str" cm="1">
        <f t="array" aca="1" ref="K315" ca="1">IFERROR(INDEX(aps_equipes_esf!$C:$C, MATCH(1, (VALUE(LEFT(aps_equipes_esf!$A:$A,6))=VALUE(LEFT(B315,6)))*(aps_equipes_esf!$B:$B=C315), 0)), "")</f>
        <v>-</v>
      </c>
      <c r="L315" cm="1">
        <f t="array" aca="1" ref="L315" ca="1">IFERROR(INDEX(casos!$C:$C, MATCH(1, (VALUE(LEFT(casos!$A:$A,6))=VALUE(LEFT(B315,6)))*(casos!$B:$B=C315), 0)), "")</f>
        <v>35</v>
      </c>
      <c r="M315" cm="1">
        <f t="array" ref="M315">IFERROR(INDEX(srag!$D:$D, MATCH(1, (VALUE(LEFT(srag!$A:$A,6))=VALUE(LEFT(B315,6)))*(srag!$C:$C=C315), 0)), "")</f>
        <v>1705</v>
      </c>
      <c r="N315" cm="1">
        <f t="array" aca="1" ref="N315" ca="1">IFERROR(INDEX(fesp!$E:$E, MATCH(1, (VALUE(LEFT(fesp!$A:$A,6))=VALUE(LEFT(B315,6)))*(fesp!$C:$C=C315), 0)), "")</f>
        <v>67</v>
      </c>
      <c r="O315" cm="1">
        <f t="array" aca="1" ref="O315" ca="1">IFERROR(INDEX(fesp!$F:$F, MATCH(1, (VALUE(LEFT(fesp!$A:$A,6))=VALUE(LEFT(B315,6)))*(fesp!$C:$C=C315), 0)), "")</f>
        <v>1745</v>
      </c>
      <c r="P315" cm="1">
        <f t="array" aca="1" ref="P315" ca="1">IFERROR(INDEX(fesp!$G:$G, MATCH(1, (VALUE(LEFT(fesp!$A:$A,6))=VALUE(LEFT(B315,6)))*(fesp!$C:$C=C315), 0)), "")</f>
        <v>4649855</v>
      </c>
      <c r="Q315" cm="1">
        <f t="array" aca="1" ref="Q315" ca="1">IFERROR(INDEX(fesp!$H:$H, MATCH(1, (VALUE(LEFT(fesp!$A:$A,6))=VALUE(LEFT(B315,6)))*(fesp!$C:$C=C315), 0)), "")</f>
        <v>74</v>
      </c>
      <c r="R315" cm="1">
        <f t="array" aca="1" ref="R315" ca="1">IFERROR(INDEX(fesp!$I:$I, MATCH(1, (VALUE(LEFT(fesp!$A:$A,6))=VALUE(LEFT(B315,6)))*(fesp!$C:$C=C315), 0)), "")</f>
        <v>12040</v>
      </c>
      <c r="S315" cm="1">
        <f t="array" aca="1" ref="S315" ca="1">IFERROR(INDEX(fesp!$J:$J, MATCH(1, (VALUE(LEFT(fesp!$A:$A,6))=VALUE(LEFT(B315,6)))*(fesp!$C:$C=C315), 0)), "")</f>
        <v>57711</v>
      </c>
    </row>
    <row r="316" spans="1:19">
      <c r="A316" s="1" t="s">
        <v>85</v>
      </c>
      <c r="B316" s="3" t="s">
        <v>84</v>
      </c>
      <c r="C316" s="3">
        <v>2021</v>
      </c>
      <c r="D316" cm="1">
        <f t="array" ref="D316">IFERROR(INDEX(fesp!$D:$D, MATCH(1, (VALUE(LEFT(fesp!$A:$A,6))=VALUE(LEFT(B316,6)))*(fesp!$C:$C=C316), 0)), "")</f>
        <v>0</v>
      </c>
      <c r="E316" cm="1">
        <f t="array" aca="1" ref="E316" ca="1">IFERROR(INDEX(ft_medicos_clinicos!$C:$C, MATCH(1, (VALUE(LEFT(ft_medicos_clinicos!$A:$A,6))=VALUE(LEFT(B316,6)))*(ft_medicos_clinicos!$B:$B=C316), 0)), "")</f>
        <v>86</v>
      </c>
      <c r="F316" cm="1">
        <f t="array" aca="1" ref="F316" ca="1">IFERROR(INDEX(ft_enfermeiros!$C:$C, MATCH(1, (VALUE(LEFT(ft_enfermeiros!$A:$A,6))=VALUE(LEFT(B316,6)))*(ft_enfermeiros!$B:$B=C316), 0)), "")</f>
        <v>177</v>
      </c>
      <c r="G316" t="str" cm="1">
        <f t="array" aca="1" ref="G316" ca="1">IFERROR(INDEX(ft_equipes_acs!$C:$C, MATCH(1, (VALUE(LEFT(ft_equipes_acs!$A:$A,6))=VALUE(LEFT(B316,6)))*(ft_equipes_acs!$B:$B=C316), 0)), "")</f>
        <v>-</v>
      </c>
      <c r="H316" cm="1">
        <f t="array" aca="1" ref="H316" ca="1">IFERROR(INDEX(ci_leitos_internacao!$C:$C, MATCH(1, (VALUE(LEFT(ci_leitos_internacao!$A:$A,6))=VALUE(LEFT(B316,6)))*(ci_leitos_internacao!$B:$B=C316), 0)), "")</f>
        <v>432</v>
      </c>
      <c r="I316" cm="1">
        <f t="array" aca="1" ref="I316" ca="1">IFERROR(INDEX(ci_hospitais_internacao!$C:$C, MATCH(1, (VALUE(LEFT(ci_hospitais_internacao!$A:$A,6))=VALUE(LEFT(B316,6)))*(ci_hospitais_internacao!$B:$B=C316), 0)), "")</f>
        <v>2</v>
      </c>
      <c r="J316" t="str" cm="1">
        <f t="array" aca="1" ref="J316" ca="1">IFERROR(INDEX(ci_pa_clinico!$C:$C, MATCH(1, (VALUE(LEFT(ci_pa_clinico!$A:$A,6))=VALUE(LEFT(B316,6)))*(ci_pa_clinico!$B:$B=C316), 0)), "")</f>
        <v>-</v>
      </c>
      <c r="K316" t="str" cm="1">
        <f t="array" aca="1" ref="K316" ca="1">IFERROR(INDEX(aps_equipes_esf!$C:$C, MATCH(1, (VALUE(LEFT(aps_equipes_esf!$A:$A,6))=VALUE(LEFT(B316,6)))*(aps_equipes_esf!$B:$B=C316), 0)), "")</f>
        <v>-</v>
      </c>
      <c r="L316" cm="1">
        <f t="array" aca="1" ref="L316" ca="1">IFERROR(INDEX(casos!$C:$C, MATCH(1, (VALUE(LEFT(casos!$A:$A,6))=VALUE(LEFT(B316,6)))*(casos!$B:$B=C316), 0)), "")</f>
        <v>7</v>
      </c>
      <c r="M316" cm="1">
        <f t="array" ref="M316">IFERROR(INDEX(srag!$D:$D, MATCH(1, (VALUE(LEFT(srag!$A:$A,6))=VALUE(LEFT(B316,6)))*(srag!$C:$C=C316), 0)), "")</f>
        <v>2246</v>
      </c>
      <c r="N316" cm="1">
        <f t="array" aca="1" ref="N316" ca="1">IFERROR(INDEX(fesp!$E:$E, MATCH(1, (VALUE(LEFT(fesp!$A:$A,6))=VALUE(LEFT(B316,6)))*(fesp!$C:$C=C316), 0)), "")</f>
        <v>135</v>
      </c>
      <c r="O316" cm="1">
        <f t="array" aca="1" ref="O316" ca="1">IFERROR(INDEX(fesp!$F:$F, MATCH(1, (VALUE(LEFT(fesp!$A:$A,6))=VALUE(LEFT(B316,6)))*(fesp!$C:$C=C316), 0)), "")</f>
        <v>7063</v>
      </c>
      <c r="P316" cm="1">
        <f t="array" aca="1" ref="P316" ca="1">IFERROR(INDEX(fesp!$G:$G, MATCH(1, (VALUE(LEFT(fesp!$A:$A,6))=VALUE(LEFT(B316,6)))*(fesp!$C:$C=C316), 0)), "")</f>
        <v>6202124</v>
      </c>
      <c r="Q316" cm="1">
        <f t="array" aca="1" ref="Q316" ca="1">IFERROR(INDEX(fesp!$H:$H, MATCH(1, (VALUE(LEFT(fesp!$A:$A,6))=VALUE(LEFT(B316,6)))*(fesp!$C:$C=C316), 0)), "")</f>
        <v>137</v>
      </c>
      <c r="R316" cm="1">
        <f t="array" aca="1" ref="R316" ca="1">IFERROR(INDEX(fesp!$I:$I, MATCH(1, (VALUE(LEFT(fesp!$A:$A,6))=VALUE(LEFT(B316,6)))*(fesp!$C:$C=C316), 0)), "")</f>
        <v>12651</v>
      </c>
      <c r="S316" cm="1">
        <f t="array" aca="1" ref="S316" ca="1">IFERROR(INDEX(fesp!$J:$J, MATCH(1, (VALUE(LEFT(fesp!$A:$A,6))=VALUE(LEFT(B316,6)))*(fesp!$C:$C=C316), 0)), "")</f>
        <v>4040</v>
      </c>
    </row>
    <row r="317" spans="1:19">
      <c r="A317" s="1" t="s">
        <v>85</v>
      </c>
      <c r="B317" s="3" t="s">
        <v>84</v>
      </c>
      <c r="C317" s="3">
        <v>2022</v>
      </c>
      <c r="D317" cm="1">
        <f t="array" ref="D317">IFERROR(INDEX(fesp!$D:$D, MATCH(1, (VALUE(LEFT(fesp!$A:$A,6))=VALUE(LEFT(B317,6)))*(fesp!$C:$C=C317), 0)), "")</f>
        <v>483087</v>
      </c>
      <c r="E317" cm="1">
        <f t="array" aca="1" ref="E317" ca="1">IFERROR(INDEX(ft_medicos_clinicos!$C:$C, MATCH(1, (VALUE(LEFT(ft_medicos_clinicos!$A:$A,6))=VALUE(LEFT(B317,6)))*(ft_medicos_clinicos!$B:$B=C317), 0)), "")</f>
        <v>83</v>
      </c>
      <c r="F317" cm="1">
        <f t="array" aca="1" ref="F317" ca="1">IFERROR(INDEX(ft_enfermeiros!$C:$C, MATCH(1, (VALUE(LEFT(ft_enfermeiros!$A:$A,6))=VALUE(LEFT(B317,6)))*(ft_enfermeiros!$B:$B=C317), 0)), "")</f>
        <v>193</v>
      </c>
      <c r="G317" t="str" cm="1">
        <f t="array" aca="1" ref="G317" ca="1">IFERROR(INDEX(ft_equipes_acs!$C:$C, MATCH(1, (VALUE(LEFT(ft_equipes_acs!$A:$A,6))=VALUE(LEFT(B317,6)))*(ft_equipes_acs!$B:$B=C317), 0)), "")</f>
        <v>-</v>
      </c>
      <c r="H317" cm="1">
        <f t="array" aca="1" ref="H317" ca="1">IFERROR(INDEX(ci_leitos_internacao!$C:$C, MATCH(1, (VALUE(LEFT(ci_leitos_internacao!$A:$A,6))=VALUE(LEFT(B317,6)))*(ci_leitos_internacao!$B:$B=C317), 0)), "")</f>
        <v>535</v>
      </c>
      <c r="I317" cm="1">
        <f t="array" aca="1" ref="I317" ca="1">IFERROR(INDEX(ci_hospitais_internacao!$C:$C, MATCH(1, (VALUE(LEFT(ci_hospitais_internacao!$A:$A,6))=VALUE(LEFT(B317,6)))*(ci_hospitais_internacao!$B:$B=C317), 0)), "")</f>
        <v>3</v>
      </c>
      <c r="J317" t="str" cm="1">
        <f t="array" aca="1" ref="J317" ca="1">IFERROR(INDEX(ci_pa_clinico!$C:$C, MATCH(1, (VALUE(LEFT(ci_pa_clinico!$A:$A,6))=VALUE(LEFT(B317,6)))*(ci_pa_clinico!$B:$B=C317), 0)), "")</f>
        <v>-</v>
      </c>
      <c r="K317" t="str" cm="1">
        <f t="array" aca="1" ref="K317" ca="1">IFERROR(INDEX(aps_equipes_esf!$C:$C, MATCH(1, (VALUE(LEFT(aps_equipes_esf!$A:$A,6))=VALUE(LEFT(B317,6)))*(aps_equipes_esf!$B:$B=C317), 0)), "")</f>
        <v>-</v>
      </c>
      <c r="L317" cm="1">
        <f t="array" aca="1" ref="L317" ca="1">IFERROR(INDEX(casos!$C:$C, MATCH(1, (VALUE(LEFT(casos!$A:$A,6))=VALUE(LEFT(B317,6)))*(casos!$B:$B=C317), 0)), "")</f>
        <v>166</v>
      </c>
      <c r="M317" cm="1">
        <f t="array" ref="M317">IFERROR(INDEX(srag!$D:$D, MATCH(1, (VALUE(LEFT(srag!$A:$A,6))=VALUE(LEFT(B317,6)))*(srag!$C:$C=C317), 0)), "")</f>
        <v>423</v>
      </c>
      <c r="N317" cm="1">
        <f t="array" aca="1" ref="N317" ca="1">IFERROR(INDEX(fesp!$E:$E, MATCH(1, (VALUE(LEFT(fesp!$A:$A,6))=VALUE(LEFT(B317,6)))*(fesp!$C:$C=C317), 0)), "")</f>
        <v>248</v>
      </c>
      <c r="O317" cm="1">
        <f t="array" aca="1" ref="O317" ca="1">IFERROR(INDEX(fesp!$F:$F, MATCH(1, (VALUE(LEFT(fesp!$A:$A,6))=VALUE(LEFT(B317,6)))*(fesp!$C:$C=C317), 0)), "")</f>
        <v>13309</v>
      </c>
      <c r="P317" cm="1">
        <f t="array" aca="1" ref="P317" ca="1">IFERROR(INDEX(fesp!$G:$G, MATCH(1, (VALUE(LEFT(fesp!$A:$A,6))=VALUE(LEFT(B317,6)))*(fesp!$C:$C=C317), 0)), "")</f>
        <v>12625900</v>
      </c>
      <c r="Q317" cm="1">
        <f t="array" aca="1" ref="Q317" ca="1">IFERROR(INDEX(fesp!$H:$H, MATCH(1, (VALUE(LEFT(fesp!$A:$A,6))=VALUE(LEFT(B317,6)))*(fesp!$C:$C=C317), 0)), "")</f>
        <v>228</v>
      </c>
      <c r="R317" cm="1">
        <f t="array" aca="1" ref="R317" ca="1">IFERROR(INDEX(fesp!$I:$I, MATCH(1, (VALUE(LEFT(fesp!$A:$A,6))=VALUE(LEFT(B317,6)))*(fesp!$C:$C=C317), 0)), "")</f>
        <v>14098</v>
      </c>
      <c r="S317" cm="1">
        <f t="array" aca="1" ref="S317" ca="1">IFERROR(INDEX(fesp!$J:$J, MATCH(1, (VALUE(LEFT(fesp!$A:$A,6))=VALUE(LEFT(B317,6)))*(fesp!$C:$C=C317), 0)), "")</f>
        <v>457</v>
      </c>
    </row>
    <row r="318" spans="1:19">
      <c r="A318" s="1" t="s">
        <v>85</v>
      </c>
      <c r="B318" s="3" t="s">
        <v>84</v>
      </c>
      <c r="C318" s="3">
        <v>2023</v>
      </c>
      <c r="D318" cm="1">
        <f t="array" ref="D318">IFERROR(INDEX(fesp!$D:$D, MATCH(1, (VALUE(LEFT(fesp!$A:$A,6))=VALUE(LEFT(B318,6)))*(fesp!$C:$C=C318), 0)), "")</f>
        <v>0</v>
      </c>
      <c r="E318" cm="1">
        <f t="array" aca="1" ref="E318" ca="1">IFERROR(INDEX(ft_medicos_clinicos!$C:$C, MATCH(1, (VALUE(LEFT(ft_medicos_clinicos!$A:$A,6))=VALUE(LEFT(B318,6)))*(ft_medicos_clinicos!$B:$B=C318), 0)), "")</f>
        <v>68</v>
      </c>
      <c r="F318" cm="1">
        <f t="array" aca="1" ref="F318" ca="1">IFERROR(INDEX(ft_enfermeiros!$C:$C, MATCH(1, (VALUE(LEFT(ft_enfermeiros!$A:$A,6))=VALUE(LEFT(B318,6)))*(ft_enfermeiros!$B:$B=C318), 0)), "")</f>
        <v>222</v>
      </c>
      <c r="G318" t="str" cm="1">
        <f t="array" aca="1" ref="G318" ca="1">IFERROR(INDEX(ft_equipes_acs!$C:$C, MATCH(1, (VALUE(LEFT(ft_equipes_acs!$A:$A,6))=VALUE(LEFT(B318,6)))*(ft_equipes_acs!$B:$B=C318), 0)), "")</f>
        <v>-</v>
      </c>
      <c r="H318" cm="1">
        <f t="array" aca="1" ref="H318" ca="1">IFERROR(INDEX(ci_leitos_internacao!$C:$C, MATCH(1, (VALUE(LEFT(ci_leitos_internacao!$A:$A,6))=VALUE(LEFT(B318,6)))*(ci_leitos_internacao!$B:$B=C318), 0)), "")</f>
        <v>360</v>
      </c>
      <c r="I318" cm="1">
        <f t="array" aca="1" ref="I318" ca="1">IFERROR(INDEX(ci_hospitais_internacao!$C:$C, MATCH(1, (VALUE(LEFT(ci_hospitais_internacao!$A:$A,6))=VALUE(LEFT(B318,6)))*(ci_hospitais_internacao!$B:$B=C318), 0)), "")</f>
        <v>2</v>
      </c>
      <c r="J318" t="str" cm="1">
        <f t="array" aca="1" ref="J318" ca="1">IFERROR(INDEX(ci_pa_clinico!$C:$C, MATCH(1, (VALUE(LEFT(ci_pa_clinico!$A:$A,6))=VALUE(LEFT(B318,6)))*(ci_pa_clinico!$B:$B=C318), 0)), "")</f>
        <v>-</v>
      </c>
      <c r="K318" t="str" cm="1">
        <f t="array" aca="1" ref="K318" ca="1">IFERROR(INDEX(aps_equipes_esf!$C:$C, MATCH(1, (VALUE(LEFT(aps_equipes_esf!$A:$A,6))=VALUE(LEFT(B318,6)))*(aps_equipes_esf!$B:$B=C318), 0)), "")</f>
        <v>-</v>
      </c>
      <c r="L318" cm="1">
        <f t="array" aca="1" ref="L318" ca="1">IFERROR(INDEX(casos!$C:$C, MATCH(1, (VALUE(LEFT(casos!$A:$A,6))=VALUE(LEFT(B318,6)))*(casos!$B:$B=C318), 0)), "")</f>
        <v>172</v>
      </c>
      <c r="M318" cm="1">
        <f t="array" ref="M318">IFERROR(INDEX(srag!$D:$D, MATCH(1, (VALUE(LEFT(srag!$A:$A,6))=VALUE(LEFT(B318,6)))*(srag!$C:$C=C318), 0)), "")</f>
        <v>159</v>
      </c>
      <c r="N318" cm="1">
        <f t="array" aca="1" ref="N318" ca="1">IFERROR(INDEX(fesp!$E:$E, MATCH(1, (VALUE(LEFT(fesp!$A:$A,6))=VALUE(LEFT(B318,6)))*(fesp!$C:$C=C318), 0)), "")</f>
        <v>123</v>
      </c>
      <c r="O318" cm="1">
        <f t="array" aca="1" ref="O318" ca="1">IFERROR(INDEX(fesp!$F:$F, MATCH(1, (VALUE(LEFT(fesp!$A:$A,6))=VALUE(LEFT(B318,6)))*(fesp!$C:$C=C318), 0)), "")</f>
        <v>10678</v>
      </c>
      <c r="P318" cm="1">
        <f t="array" aca="1" ref="P318" ca="1">IFERROR(INDEX(fesp!$G:$G, MATCH(1, (VALUE(LEFT(fesp!$A:$A,6))=VALUE(LEFT(B318,6)))*(fesp!$C:$C=C318), 0)), "")</f>
        <v>43914514</v>
      </c>
      <c r="Q318" cm="1">
        <f t="array" aca="1" ref="Q318" ca="1">IFERROR(INDEX(fesp!$H:$H, MATCH(1, (VALUE(LEFT(fesp!$A:$A,6))=VALUE(LEFT(B318,6)))*(fesp!$C:$C=C318), 0)), "")</f>
        <v>82</v>
      </c>
      <c r="R318" cm="1">
        <f t="array" aca="1" ref="R318" ca="1">IFERROR(INDEX(fesp!$I:$I, MATCH(1, (VALUE(LEFT(fesp!$A:$A,6))=VALUE(LEFT(B318,6)))*(fesp!$C:$C=C318), 0)), "")</f>
        <v>11726</v>
      </c>
      <c r="S318" cm="1">
        <f t="array" aca="1" ref="S318" ca="1">IFERROR(INDEX(fesp!$J:$J, MATCH(1, (VALUE(LEFT(fesp!$A:$A,6))=VALUE(LEFT(B318,6)))*(fesp!$C:$C=C318), 0)), "")</f>
        <v>8</v>
      </c>
    </row>
    <row r="319" spans="1:19">
      <c r="A319" s="1" t="s">
        <v>85</v>
      </c>
      <c r="B319" s="3" t="s">
        <v>84</v>
      </c>
      <c r="C319" s="3">
        <v>2024</v>
      </c>
      <c r="D319" cm="1">
        <f t="array" ref="D319">IFERROR(INDEX(fesp!$D:$D, MATCH(1, (VALUE(LEFT(fesp!$A:$A,6))=VALUE(LEFT(B319,6)))*(fesp!$C:$C=C319), 0)), "")</f>
        <v>0</v>
      </c>
      <c r="E319" cm="1">
        <f t="array" aca="1" ref="E319" ca="1">IFERROR(INDEX(ft_medicos_clinicos!$C:$C, MATCH(1, (VALUE(LEFT(ft_medicos_clinicos!$A:$A,6))=VALUE(LEFT(B319,6)))*(ft_medicos_clinicos!$B:$B=C319), 0)), "")</f>
        <v>79</v>
      </c>
      <c r="F319" cm="1">
        <f t="array" aca="1" ref="F319" ca="1">IFERROR(INDEX(ft_enfermeiros!$C:$C, MATCH(1, (VALUE(LEFT(ft_enfermeiros!$A:$A,6))=VALUE(LEFT(B319,6)))*(ft_enfermeiros!$B:$B=C319), 0)), "")</f>
        <v>206</v>
      </c>
      <c r="G319" t="str" cm="1">
        <f t="array" aca="1" ref="G319" ca="1">IFERROR(INDEX(ft_equipes_acs!$C:$C, MATCH(1, (VALUE(LEFT(ft_equipes_acs!$A:$A,6))=VALUE(LEFT(B319,6)))*(ft_equipes_acs!$B:$B=C319), 0)), "")</f>
        <v>-</v>
      </c>
      <c r="H319" cm="1">
        <f t="array" aca="1" ref="H319" ca="1">IFERROR(INDEX(ci_leitos_internacao!$C:$C, MATCH(1, (VALUE(LEFT(ci_leitos_internacao!$A:$A,6))=VALUE(LEFT(B319,6)))*(ci_leitos_internacao!$B:$B=C319), 0)), "")</f>
        <v>417</v>
      </c>
      <c r="I319" cm="1">
        <f t="array" aca="1" ref="I319" ca="1">IFERROR(INDEX(ci_hospitais_internacao!$C:$C, MATCH(1, (VALUE(LEFT(ci_hospitais_internacao!$A:$A,6))=VALUE(LEFT(B319,6)))*(ci_hospitais_internacao!$B:$B=C319), 0)), "")</f>
        <v>3</v>
      </c>
      <c r="J319" t="str" cm="1">
        <f t="array" aca="1" ref="J319" ca="1">IFERROR(INDEX(ci_pa_clinico!$C:$C, MATCH(1, (VALUE(LEFT(ci_pa_clinico!$A:$A,6))=VALUE(LEFT(B319,6)))*(ci_pa_clinico!$B:$B=C319), 0)), "")</f>
        <v>-</v>
      </c>
      <c r="K319" t="str" cm="1">
        <f t="array" aca="1" ref="K319" ca="1">IFERROR(INDEX(aps_equipes_esf!$C:$C, MATCH(1, (VALUE(LEFT(aps_equipes_esf!$A:$A,6))=VALUE(LEFT(B319,6)))*(aps_equipes_esf!$B:$B=C319), 0)), "")</f>
        <v>-</v>
      </c>
      <c r="L319" cm="1">
        <f t="array" aca="1" ref="L319" ca="1">IFERROR(INDEX(casos!$C:$C, MATCH(1, (VALUE(LEFT(casos!$A:$A,6))=VALUE(LEFT(B319,6)))*(casos!$B:$B=C319), 0)), "")</f>
        <v>175</v>
      </c>
      <c r="M319" cm="1">
        <f t="array" ref="M319">IFERROR(INDEX(srag!$D:$D, MATCH(1, (VALUE(LEFT(srag!$A:$A,6))=VALUE(LEFT(B319,6)))*(srag!$C:$C=C319), 0)), "")</f>
        <v>175</v>
      </c>
      <c r="N319" cm="1">
        <f t="array" aca="1" ref="N319" ca="1">IFERROR(INDEX(fesp!$E:$E, MATCH(1, (VALUE(LEFT(fesp!$A:$A,6))=VALUE(LEFT(B319,6)))*(fesp!$C:$C=C319), 0)), "")</f>
        <v>85</v>
      </c>
      <c r="O319" cm="1">
        <f t="array" aca="1" ref="O319" ca="1">IFERROR(INDEX(fesp!$F:$F, MATCH(1, (VALUE(LEFT(fesp!$A:$A,6))=VALUE(LEFT(B319,6)))*(fesp!$C:$C=C319), 0)), "")</f>
        <v>7972</v>
      </c>
      <c r="P319" cm="1">
        <f t="array" aca="1" ref="P319" ca="1">IFERROR(INDEX(fesp!$G:$G, MATCH(1, (VALUE(LEFT(fesp!$A:$A,6))=VALUE(LEFT(B319,6)))*(fesp!$C:$C=C319), 0)), "")</f>
        <v>39168288</v>
      </c>
      <c r="Q319" cm="1">
        <f t="array" aca="1" ref="Q319" ca="1">IFERROR(INDEX(fesp!$H:$H, MATCH(1, (VALUE(LEFT(fesp!$A:$A,6))=VALUE(LEFT(B319,6)))*(fesp!$C:$C=C319), 0)), "")</f>
        <v>79</v>
      </c>
      <c r="R319" cm="1">
        <f t="array" aca="1" ref="R319" ca="1">IFERROR(INDEX(fesp!$I:$I, MATCH(1, (VALUE(LEFT(fesp!$A:$A,6))=VALUE(LEFT(B319,6)))*(fesp!$C:$C=C319), 0)), "")</f>
        <v>22233</v>
      </c>
      <c r="S319" cm="1">
        <f t="array" aca="1" ref="S319" ca="1">IFERROR(INDEX(fesp!$J:$J, MATCH(1, (VALUE(LEFT(fesp!$A:$A,6))=VALUE(LEFT(B319,6)))*(fesp!$C:$C=C319), 0)), "")</f>
        <v>0</v>
      </c>
    </row>
    <row r="320" spans="1:19">
      <c r="A320" s="1" t="s">
        <v>85</v>
      </c>
      <c r="B320" s="3">
        <v>3300456</v>
      </c>
      <c r="C320" s="3">
        <v>2025</v>
      </c>
      <c r="D320" cm="1">
        <f t="array" ref="D320">IFERROR(INDEX(fesp!$D:$D, MATCH(1, (VALUE(LEFT(fesp!$A:$A,6))=VALUE(LEFT(B320,6)))*(fesp!$C:$C=C320), 0)), "")</f>
        <v>0</v>
      </c>
      <c r="E320" cm="1">
        <f t="array" aca="1" ref="E320" ca="1">IFERROR(INDEX(ft_medicos_clinicos!$C:$C, MATCH(1, (VALUE(LEFT(ft_medicos_clinicos!$A:$A,6))=VALUE(LEFT(B320,6)))*(ft_medicos_clinicos!$B:$B=C320), 0)), "")</f>
        <v>89</v>
      </c>
      <c r="F320" cm="1">
        <f t="array" aca="1" ref="F320" ca="1">IFERROR(INDEX(ft_enfermeiros!$C:$C, MATCH(1, (VALUE(LEFT(ft_enfermeiros!$A:$A,6))=VALUE(LEFT(B320,6)))*(ft_enfermeiros!$B:$B=C320), 0)), "")</f>
        <v>222</v>
      </c>
      <c r="G320" t="str" cm="1">
        <f t="array" aca="1" ref="G320" ca="1">IFERROR(INDEX(ft_equipes_acs!$C:$C, MATCH(1, (VALUE(LEFT(ft_equipes_acs!$A:$A,6))=VALUE(LEFT(B320,6)))*(ft_equipes_acs!$B:$B=C320), 0)), "")</f>
        <v>-</v>
      </c>
      <c r="H320" cm="1">
        <f t="array" aca="1" ref="H320" ca="1">IFERROR(INDEX(ci_leitos_internacao!$C:$C, MATCH(1, (VALUE(LEFT(ci_leitos_internacao!$A:$A,6))=VALUE(LEFT(B320,6)))*(ci_leitos_internacao!$B:$B=C320), 0)), "")</f>
        <v>433</v>
      </c>
      <c r="I320" cm="1">
        <f t="array" aca="1" ref="I320" ca="1">IFERROR(INDEX(ci_hospitais_internacao!$C:$C, MATCH(1, (VALUE(LEFT(ci_hospitais_internacao!$A:$A,6))=VALUE(LEFT(B320,6)))*(ci_hospitais_internacao!$B:$B=C320), 0)), "")</f>
        <v>3</v>
      </c>
      <c r="J320" t="str" cm="1">
        <f t="array" aca="1" ref="J320" ca="1">IFERROR(INDEX(ci_pa_clinico!$C:$C, MATCH(1, (VALUE(LEFT(ci_pa_clinico!$A:$A,6))=VALUE(LEFT(B320,6)))*(ci_pa_clinico!$B:$B=C320), 0)), "")</f>
        <v>-</v>
      </c>
      <c r="K320" t="str" cm="1">
        <f t="array" aca="1" ref="K320" ca="1">IFERROR(INDEX(aps_equipes_esf!$C:$C, MATCH(1, (VALUE(LEFT(aps_equipes_esf!$A:$A,6))=VALUE(LEFT(B320,6)))*(aps_equipes_esf!$B:$B=C320), 0)), "")</f>
        <v>-</v>
      </c>
      <c r="L320" cm="1">
        <f t="array" aca="1" ref="L320" ca="1">IFERROR(INDEX(casos!$C:$C, MATCH(1, (VALUE(LEFT(casos!$A:$A,6))=VALUE(LEFT(B320,6)))*(casos!$B:$B=C320), 0)), "")</f>
        <v>33</v>
      </c>
      <c r="M320" cm="1">
        <f t="array" ref="M320">IFERROR(INDEX(srag!$D:$D, MATCH(1, (VALUE(LEFT(srag!$A:$A,6))=VALUE(LEFT(B320,6)))*(srag!$C:$C=C320), 0)), "")</f>
        <v>258</v>
      </c>
      <c r="N320" cm="1">
        <f t="array" aca="1" ref="N320" ca="1">IFERROR(INDEX(fesp!$E:$E, MATCH(1, (VALUE(LEFT(fesp!$A:$A,6))=VALUE(LEFT(B320,6)))*(fesp!$C:$C=C320), 0)), "")</f>
        <v>22</v>
      </c>
      <c r="O320" cm="1">
        <f t="array" aca="1" ref="O320" ca="1">IFERROR(INDEX(fesp!$F:$F, MATCH(1, (VALUE(LEFT(fesp!$A:$A,6))=VALUE(LEFT(B320,6)))*(fesp!$C:$C=C320), 0)), "")</f>
        <v>1639</v>
      </c>
      <c r="P320" cm="1">
        <f t="array" aca="1" ref="P320" ca="1">IFERROR(INDEX(fesp!$G:$G, MATCH(1, (VALUE(LEFT(fesp!$A:$A,6))=VALUE(LEFT(B320,6)))*(fesp!$C:$C=C320), 0)), "")</f>
        <v>6279946</v>
      </c>
      <c r="Q320" cm="1">
        <f t="array" aca="1" ref="Q320" ca="1">IFERROR(INDEX(fesp!$H:$H, MATCH(1, (VALUE(LEFT(fesp!$A:$A,6))=VALUE(LEFT(B320,6)))*(fesp!$C:$C=C320), 0)), "")</f>
        <v>32</v>
      </c>
      <c r="R320" cm="1">
        <f t="array" aca="1" ref="R320" ca="1">IFERROR(INDEX(fesp!$I:$I, MATCH(1, (VALUE(LEFT(fesp!$A:$A,6))=VALUE(LEFT(B320,6)))*(fesp!$C:$C=C320), 0)), "")</f>
        <v>3505</v>
      </c>
      <c r="S320" cm="1">
        <f t="array" aca="1" ref="S320" ca="1">IFERROR(INDEX(fesp!$J:$J, MATCH(1, (VALUE(LEFT(fesp!$A:$A,6))=VALUE(LEFT(B320,6)))*(fesp!$C:$C=C320), 0)), "")</f>
        <v>0</v>
      </c>
    </row>
    <row r="321" spans="1:19">
      <c r="A321" s="1" t="s">
        <v>83</v>
      </c>
      <c r="B321" s="3">
        <v>3301009</v>
      </c>
      <c r="C321" s="3">
        <v>2015</v>
      </c>
      <c r="D321" cm="1">
        <f t="array" ref="D321">IFERROR(INDEX(fesp!$D:$D, MATCH(1, (VALUE(LEFT(fesp!$A:$A,6))=VALUE(LEFT(B321,6)))*(fesp!$C:$C=C321), 0)), "")</f>
        <v>483970</v>
      </c>
      <c r="E321" cm="1">
        <f t="array" aca="1" ref="E321" ca="1">IFERROR(INDEX(ft_medicos_clinicos!$C:$C, MATCH(1, (VALUE(LEFT(ft_medicos_clinicos!$A:$A,6))=VALUE(LEFT(B321,6)))*(ft_medicos_clinicos!$B:$B=C321), 0)), "")</f>
        <v>321</v>
      </c>
      <c r="F321" cm="1">
        <f t="array" aca="1" ref="F321" ca="1">IFERROR(INDEX(ft_enfermeiros!$C:$C, MATCH(1, (VALUE(LEFT(ft_enfermeiros!$A:$A,6))=VALUE(LEFT(B321,6)))*(ft_enfermeiros!$B:$B=C321), 0)), "")</f>
        <v>648</v>
      </c>
      <c r="G321" cm="1">
        <f t="array" aca="1" ref="G321" ca="1">IFERROR(INDEX(ft_equipes_acs!$C:$C, MATCH(1, (VALUE(LEFT(ft_equipes_acs!$A:$A,6))=VALUE(LEFT(B321,6)))*(ft_equipes_acs!$B:$B=C321), 0)), "")</f>
        <v>14</v>
      </c>
      <c r="H321" cm="1">
        <f t="array" aca="1" ref="H321" ca="1">IFERROR(INDEX(ci_leitos_internacao!$C:$C, MATCH(1, (VALUE(LEFT(ci_leitos_internacao!$A:$A,6))=VALUE(LEFT(B321,6)))*(ci_leitos_internacao!$B:$B=C321), 0)), "")</f>
        <v>1812</v>
      </c>
      <c r="I321" cm="1">
        <f t="array" aca="1" ref="I321" ca="1">IFERROR(INDEX(ci_hospitais_internacao!$C:$C, MATCH(1, (VALUE(LEFT(ci_hospitais_internacao!$A:$A,6))=VALUE(LEFT(B321,6)))*(ci_hospitais_internacao!$B:$B=C321), 0)), "")</f>
        <v>7</v>
      </c>
      <c r="J321" cm="1">
        <f t="array" aca="1" ref="J321" ca="1">IFERROR(INDEX(ci_pa_clinico!$C:$C, MATCH(1, (VALUE(LEFT(ci_pa_clinico!$A:$A,6))=VALUE(LEFT(B321,6)))*(ci_pa_clinico!$B:$B=C321), 0)), "")</f>
        <v>12</v>
      </c>
      <c r="K321" cm="1">
        <f t="array" aca="1" ref="K321" ca="1">IFERROR(INDEX(aps_equipes_esf!$C:$C, MATCH(1, (VALUE(LEFT(aps_equipes_esf!$A:$A,6))=VALUE(LEFT(B321,6)))*(aps_equipes_esf!$B:$B=C321), 0)), "")</f>
        <v>3</v>
      </c>
      <c r="L321" cm="1">
        <f t="array" aca="1" ref="L321" ca="1">IFERROR(INDEX(casos!$C:$C, MATCH(1, (VALUE(LEFT(casos!$A:$A,6))=VALUE(LEFT(B321,6)))*(casos!$B:$B=C321), 0)), "")</f>
        <v>4672</v>
      </c>
      <c r="M321" cm="1">
        <f t="array" ref="M321">IFERROR(INDEX(srag!$D:$D, MATCH(1, (VALUE(LEFT(srag!$A:$A,6))=VALUE(LEFT(B321,6)))*(srag!$C:$C=C321), 0)), "")</f>
        <v>3</v>
      </c>
      <c r="N321" cm="1">
        <f t="array" aca="1" ref="N321" ca="1">IFERROR(INDEX(fesp!$E:$E, MATCH(1, (VALUE(LEFT(fesp!$A:$A,6))=VALUE(LEFT(B321,6)))*(fesp!$C:$C=C321), 0)), "")</f>
        <v>206</v>
      </c>
      <c r="O321" cm="1">
        <f t="array" aca="1" ref="O321" ca="1">IFERROR(INDEX(fesp!$F:$F, MATCH(1, (VALUE(LEFT(fesp!$A:$A,6))=VALUE(LEFT(B321,6)))*(fesp!$C:$C=C321), 0)), "")</f>
        <v>3968</v>
      </c>
      <c r="P321" cm="1">
        <f t="array" aca="1" ref="P321" ca="1">IFERROR(INDEX(fesp!$G:$G, MATCH(1, (VALUE(LEFT(fesp!$A:$A,6))=VALUE(LEFT(B321,6)))*(fesp!$C:$C=C321), 0)), "")</f>
        <v>2920876</v>
      </c>
      <c r="Q321" cm="1">
        <f t="array" aca="1" ref="Q321" ca="1">IFERROR(INDEX(fesp!$H:$H, MATCH(1, (VALUE(LEFT(fesp!$A:$A,6))=VALUE(LEFT(B321,6)))*(fesp!$C:$C=C321), 0)), "")</f>
        <v>80</v>
      </c>
      <c r="R321" cm="1">
        <f t="array" aca="1" ref="R321" ca="1">IFERROR(INDEX(fesp!$I:$I, MATCH(1, (VALUE(LEFT(fesp!$A:$A,6))=VALUE(LEFT(B321,6)))*(fesp!$C:$C=C321), 0)), "")</f>
        <v>21251</v>
      </c>
      <c r="S321" cm="1">
        <f t="array" aca="1" ref="S321" ca="1">IFERROR(INDEX(fesp!$J:$J, MATCH(1, (VALUE(LEFT(fesp!$A:$A,6))=VALUE(LEFT(B321,6)))*(fesp!$C:$C=C321), 0)), "")</f>
        <v>288044</v>
      </c>
    </row>
    <row r="322" spans="1:19">
      <c r="A322" s="1" t="s">
        <v>83</v>
      </c>
      <c r="B322" s="3">
        <v>3301009</v>
      </c>
      <c r="C322" s="3">
        <v>2016</v>
      </c>
      <c r="D322" cm="1">
        <f t="array" ref="D322">IFERROR(INDEX(fesp!$D:$D, MATCH(1, (VALUE(LEFT(fesp!$A:$A,6))=VALUE(LEFT(B322,6)))*(fesp!$C:$C=C322), 0)), "")</f>
        <v>0</v>
      </c>
      <c r="E322" cm="1">
        <f t="array" aca="1" ref="E322" ca="1">IFERROR(INDEX(ft_medicos_clinicos!$C:$C, MATCH(1, (VALUE(LEFT(ft_medicos_clinicos!$A:$A,6))=VALUE(LEFT(B322,6)))*(ft_medicos_clinicos!$B:$B=C322), 0)), "")</f>
        <v>318</v>
      </c>
      <c r="F322" cm="1">
        <f t="array" aca="1" ref="F322" ca="1">IFERROR(INDEX(ft_enfermeiros!$C:$C, MATCH(1, (VALUE(LEFT(ft_enfermeiros!$A:$A,6))=VALUE(LEFT(B322,6)))*(ft_enfermeiros!$B:$B=C322), 0)), "")</f>
        <v>669</v>
      </c>
      <c r="G322" cm="1">
        <f t="array" aca="1" ref="G322" ca="1">IFERROR(INDEX(ft_equipes_acs!$C:$C, MATCH(1, (VALUE(LEFT(ft_equipes_acs!$A:$A,6))=VALUE(LEFT(B322,6)))*(ft_equipes_acs!$B:$B=C322), 0)), "")</f>
        <v>14</v>
      </c>
      <c r="H322" cm="1">
        <f t="array" aca="1" ref="H322" ca="1">IFERROR(INDEX(ci_leitos_internacao!$C:$C, MATCH(1, (VALUE(LEFT(ci_leitos_internacao!$A:$A,6))=VALUE(LEFT(B322,6)))*(ci_leitos_internacao!$B:$B=C322), 0)), "")</f>
        <v>1753</v>
      </c>
      <c r="I322" cm="1">
        <f t="array" aca="1" ref="I322" ca="1">IFERROR(INDEX(ci_hospitais_internacao!$C:$C, MATCH(1, (VALUE(LEFT(ci_hospitais_internacao!$A:$A,6))=VALUE(LEFT(B322,6)))*(ci_hospitais_internacao!$B:$B=C322), 0)), "")</f>
        <v>7</v>
      </c>
      <c r="J322" cm="1">
        <f t="array" aca="1" ref="J322" ca="1">IFERROR(INDEX(ci_pa_clinico!$C:$C, MATCH(1, (VALUE(LEFT(ci_pa_clinico!$A:$A,6))=VALUE(LEFT(B322,6)))*(ci_pa_clinico!$B:$B=C322), 0)), "")</f>
        <v>12</v>
      </c>
      <c r="K322" cm="1">
        <f t="array" aca="1" ref="K322" ca="1">IFERROR(INDEX(aps_equipes_esf!$C:$C, MATCH(1, (VALUE(LEFT(aps_equipes_esf!$A:$A,6))=VALUE(LEFT(B322,6)))*(aps_equipes_esf!$B:$B=C322), 0)), "")</f>
        <v>6</v>
      </c>
      <c r="L322" cm="1">
        <f t="array" aca="1" ref="L322" ca="1">IFERROR(INDEX(casos!$C:$C, MATCH(1, (VALUE(LEFT(casos!$A:$A,6))=VALUE(LEFT(B322,6)))*(casos!$B:$B=C322), 0)), "")</f>
        <v>1705</v>
      </c>
      <c r="M322" cm="1">
        <f t="array" ref="M322">IFERROR(INDEX(srag!$D:$D, MATCH(1, (VALUE(LEFT(srag!$A:$A,6))=VALUE(LEFT(B322,6)))*(srag!$C:$C=C322), 0)), "")</f>
        <v>55</v>
      </c>
      <c r="N322" cm="1">
        <f t="array" aca="1" ref="N322" ca="1">IFERROR(INDEX(fesp!$E:$E, MATCH(1, (VALUE(LEFT(fesp!$A:$A,6))=VALUE(LEFT(B322,6)))*(fesp!$C:$C=C322), 0)), "")</f>
        <v>149</v>
      </c>
      <c r="O322" cm="1">
        <f t="array" aca="1" ref="O322" ca="1">IFERROR(INDEX(fesp!$F:$F, MATCH(1, (VALUE(LEFT(fesp!$A:$A,6))=VALUE(LEFT(B322,6)))*(fesp!$C:$C=C322), 0)), "")</f>
        <v>1354</v>
      </c>
      <c r="P322" cm="1">
        <f t="array" aca="1" ref="P322" ca="1">IFERROR(INDEX(fesp!$G:$G, MATCH(1, (VALUE(LEFT(fesp!$A:$A,6))=VALUE(LEFT(B322,6)))*(fesp!$C:$C=C322), 0)), "")</f>
        <v>2407925</v>
      </c>
      <c r="Q322" cm="1">
        <f t="array" aca="1" ref="Q322" ca="1">IFERROR(INDEX(fesp!$H:$H, MATCH(1, (VALUE(LEFT(fesp!$A:$A,6))=VALUE(LEFT(B322,6)))*(fesp!$C:$C=C322), 0)), "")</f>
        <v>74</v>
      </c>
      <c r="R322" cm="1">
        <f t="array" aca="1" ref="R322" ca="1">IFERROR(INDEX(fesp!$I:$I, MATCH(1, (VALUE(LEFT(fesp!$A:$A,6))=VALUE(LEFT(B322,6)))*(fesp!$C:$C=C322), 0)), "")</f>
        <v>15797</v>
      </c>
      <c r="S322" cm="1">
        <f t="array" aca="1" ref="S322" ca="1">IFERROR(INDEX(fesp!$J:$J, MATCH(1, (VALUE(LEFT(fesp!$A:$A,6))=VALUE(LEFT(B322,6)))*(fesp!$C:$C=C322), 0)), "")</f>
        <v>343455</v>
      </c>
    </row>
    <row r="323" spans="1:19">
      <c r="A323" s="1" t="s">
        <v>83</v>
      </c>
      <c r="B323" s="3">
        <v>3301009</v>
      </c>
      <c r="C323" s="3">
        <v>2017</v>
      </c>
      <c r="D323" cm="1">
        <f t="array" ref="D323">IFERROR(INDEX(fesp!$D:$D, MATCH(1, (VALUE(LEFT(fesp!$A:$A,6))=VALUE(LEFT(B323,6)))*(fesp!$C:$C=C323), 0)), "")</f>
        <v>0</v>
      </c>
      <c r="E323" cm="1">
        <f t="array" aca="1" ref="E323" ca="1">IFERROR(INDEX(ft_medicos_clinicos!$C:$C, MATCH(1, (VALUE(LEFT(ft_medicos_clinicos!$A:$A,6))=VALUE(LEFT(B323,6)))*(ft_medicos_clinicos!$B:$B=C323), 0)), "")</f>
        <v>367</v>
      </c>
      <c r="F323" cm="1">
        <f t="array" aca="1" ref="F323" ca="1">IFERROR(INDEX(ft_enfermeiros!$C:$C, MATCH(1, (VALUE(LEFT(ft_enfermeiros!$A:$A,6))=VALUE(LEFT(B323,6)))*(ft_enfermeiros!$B:$B=C323), 0)), "")</f>
        <v>699</v>
      </c>
      <c r="G323" cm="1">
        <f t="array" aca="1" ref="G323" ca="1">IFERROR(INDEX(ft_equipes_acs!$C:$C, MATCH(1, (VALUE(LEFT(ft_equipes_acs!$A:$A,6))=VALUE(LEFT(B323,6)))*(ft_equipes_acs!$B:$B=C323), 0)), "")</f>
        <v>10</v>
      </c>
      <c r="H323" cm="1">
        <f t="array" aca="1" ref="H323" ca="1">IFERROR(INDEX(ci_leitos_internacao!$C:$C, MATCH(1, (VALUE(LEFT(ci_leitos_internacao!$A:$A,6))=VALUE(LEFT(B323,6)))*(ci_leitos_internacao!$B:$B=C323), 0)), "")</f>
        <v>1799</v>
      </c>
      <c r="I323" cm="1">
        <f t="array" aca="1" ref="I323" ca="1">IFERROR(INDEX(ci_hospitais_internacao!$C:$C, MATCH(1, (VALUE(LEFT(ci_hospitais_internacao!$A:$A,6))=VALUE(LEFT(B323,6)))*(ci_hospitais_internacao!$B:$B=C323), 0)), "")</f>
        <v>7</v>
      </c>
      <c r="J323" cm="1">
        <f t="array" aca="1" ref="J323" ca="1">IFERROR(INDEX(ci_pa_clinico!$C:$C, MATCH(1, (VALUE(LEFT(ci_pa_clinico!$A:$A,6))=VALUE(LEFT(B323,6)))*(ci_pa_clinico!$B:$B=C323), 0)), "")</f>
        <v>12</v>
      </c>
      <c r="K323" cm="1">
        <f t="array" aca="1" ref="K323" ca="1">IFERROR(INDEX(aps_equipes_esf!$C:$C, MATCH(1, (VALUE(LEFT(aps_equipes_esf!$A:$A,6))=VALUE(LEFT(B323,6)))*(aps_equipes_esf!$B:$B=C323), 0)), "")</f>
        <v>13</v>
      </c>
      <c r="L323" cm="1">
        <f t="array" aca="1" ref="L323" ca="1">IFERROR(INDEX(casos!$C:$C, MATCH(1, (VALUE(LEFT(casos!$A:$A,6))=VALUE(LEFT(B323,6)))*(casos!$B:$B=C323), 0)), "")</f>
        <v>63</v>
      </c>
      <c r="M323" cm="1">
        <f t="array" ref="M323">IFERROR(INDEX(srag!$D:$D, MATCH(1, (VALUE(LEFT(srag!$A:$A,6))=VALUE(LEFT(B323,6)))*(srag!$C:$C=C323), 0)), "")</f>
        <v>11</v>
      </c>
      <c r="N323" cm="1">
        <f t="array" aca="1" ref="N323" ca="1">IFERROR(INDEX(fesp!$E:$E, MATCH(1, (VALUE(LEFT(fesp!$A:$A,6))=VALUE(LEFT(B323,6)))*(fesp!$C:$C=C323), 0)), "")</f>
        <v>141</v>
      </c>
      <c r="O323" cm="1">
        <f t="array" aca="1" ref="O323" ca="1">IFERROR(INDEX(fesp!$F:$F, MATCH(1, (VALUE(LEFT(fesp!$A:$A,6))=VALUE(LEFT(B323,6)))*(fesp!$C:$C=C323), 0)), "")</f>
        <v>1355</v>
      </c>
      <c r="P323" cm="1">
        <f t="array" aca="1" ref="P323" ca="1">IFERROR(INDEX(fesp!$G:$G, MATCH(1, (VALUE(LEFT(fesp!$A:$A,6))=VALUE(LEFT(B323,6)))*(fesp!$C:$C=C323), 0)), "")</f>
        <v>2476974</v>
      </c>
      <c r="Q323" cm="1">
        <f t="array" aca="1" ref="Q323" ca="1">IFERROR(INDEX(fesp!$H:$H, MATCH(1, (VALUE(LEFT(fesp!$A:$A,6))=VALUE(LEFT(B323,6)))*(fesp!$C:$C=C323), 0)), "")</f>
        <v>44</v>
      </c>
      <c r="R323" cm="1">
        <f t="array" aca="1" ref="R323" ca="1">IFERROR(INDEX(fesp!$I:$I, MATCH(1, (VALUE(LEFT(fesp!$A:$A,6))=VALUE(LEFT(B323,6)))*(fesp!$C:$C=C323), 0)), "")</f>
        <v>25563</v>
      </c>
      <c r="S323" cm="1">
        <f t="array" aca="1" ref="S323" ca="1">IFERROR(INDEX(fesp!$J:$J, MATCH(1, (VALUE(LEFT(fesp!$A:$A,6))=VALUE(LEFT(B323,6)))*(fesp!$C:$C=C323), 0)), "")</f>
        <v>268253</v>
      </c>
    </row>
    <row r="324" spans="1:19">
      <c r="A324" s="1" t="s">
        <v>83</v>
      </c>
      <c r="B324" s="3" t="s">
        <v>82</v>
      </c>
      <c r="C324" s="3">
        <v>2018</v>
      </c>
      <c r="D324" cm="1">
        <f t="array" ref="D324">IFERROR(INDEX(fesp!$D:$D, MATCH(1, (VALUE(LEFT(fesp!$A:$A,6))=VALUE(LEFT(B324,6)))*(fesp!$C:$C=C324), 0)), "")</f>
        <v>0</v>
      </c>
      <c r="E324" cm="1">
        <f t="array" aca="1" ref="E324" ca="1">IFERROR(INDEX(ft_medicos_clinicos!$C:$C, MATCH(1, (VALUE(LEFT(ft_medicos_clinicos!$A:$A,6))=VALUE(LEFT(B324,6)))*(ft_medicos_clinicos!$B:$B=C324), 0)), "")</f>
        <v>376</v>
      </c>
      <c r="F324" cm="1">
        <f t="array" aca="1" ref="F324" ca="1">IFERROR(INDEX(ft_enfermeiros!$C:$C, MATCH(1, (VALUE(LEFT(ft_enfermeiros!$A:$A,6))=VALUE(LEFT(B324,6)))*(ft_enfermeiros!$B:$B=C324), 0)), "")</f>
        <v>732</v>
      </c>
      <c r="G324" cm="1">
        <f t="array" aca="1" ref="G324" ca="1">IFERROR(INDEX(ft_equipes_acs!$C:$C, MATCH(1, (VALUE(LEFT(ft_equipes_acs!$A:$A,6))=VALUE(LEFT(B324,6)))*(ft_equipes_acs!$B:$B=C324), 0)), "")</f>
        <v>11</v>
      </c>
      <c r="H324" cm="1">
        <f t="array" aca="1" ref="H324" ca="1">IFERROR(INDEX(ci_leitos_internacao!$C:$C, MATCH(1, (VALUE(LEFT(ci_leitos_internacao!$A:$A,6))=VALUE(LEFT(B324,6)))*(ci_leitos_internacao!$B:$B=C324), 0)), "")</f>
        <v>1666</v>
      </c>
      <c r="I324" cm="1">
        <f t="array" aca="1" ref="I324" ca="1">IFERROR(INDEX(ci_hospitais_internacao!$C:$C, MATCH(1, (VALUE(LEFT(ci_hospitais_internacao!$A:$A,6))=VALUE(LEFT(B324,6)))*(ci_hospitais_internacao!$B:$B=C324), 0)), "")</f>
        <v>7</v>
      </c>
      <c r="J324" cm="1">
        <f t="array" aca="1" ref="J324" ca="1">IFERROR(INDEX(ci_pa_clinico!$C:$C, MATCH(1, (VALUE(LEFT(ci_pa_clinico!$A:$A,6))=VALUE(LEFT(B324,6)))*(ci_pa_clinico!$B:$B=C324), 0)), "")</f>
        <v>12</v>
      </c>
      <c r="K324" cm="1">
        <f t="array" aca="1" ref="K324" ca="1">IFERROR(INDEX(aps_equipes_esf!$C:$C, MATCH(1, (VALUE(LEFT(aps_equipes_esf!$A:$A,6))=VALUE(LEFT(B324,6)))*(aps_equipes_esf!$B:$B=C324), 0)), "")</f>
        <v>21</v>
      </c>
      <c r="L324" cm="1">
        <f t="array" aca="1" ref="L324" ca="1">IFERROR(INDEX(casos!$C:$C, MATCH(1, (VALUE(LEFT(casos!$A:$A,6))=VALUE(LEFT(B324,6)))*(casos!$B:$B=C324), 0)), "")</f>
        <v>150</v>
      </c>
      <c r="M324" cm="1">
        <f t="array" ref="M324">IFERROR(INDEX(srag!$D:$D, MATCH(1, (VALUE(LEFT(srag!$A:$A,6))=VALUE(LEFT(B324,6)))*(srag!$C:$C=C324), 0)), "")</f>
        <v>35</v>
      </c>
      <c r="N324" cm="1">
        <f t="array" aca="1" ref="N324" ca="1">IFERROR(INDEX(fesp!$E:$E, MATCH(1, (VALUE(LEFT(fesp!$A:$A,6))=VALUE(LEFT(B324,6)))*(fesp!$C:$C=C324), 0)), "")</f>
        <v>128</v>
      </c>
      <c r="O324" cm="1">
        <f t="array" aca="1" ref="O324" ca="1">IFERROR(INDEX(fesp!$F:$F, MATCH(1, (VALUE(LEFT(fesp!$A:$A,6))=VALUE(LEFT(B324,6)))*(fesp!$C:$C=C324), 0)), "")</f>
        <v>1975</v>
      </c>
      <c r="P324" cm="1">
        <f t="array" aca="1" ref="P324" ca="1">IFERROR(INDEX(fesp!$G:$G, MATCH(1, (VALUE(LEFT(fesp!$A:$A,6))=VALUE(LEFT(B324,6)))*(fesp!$C:$C=C324), 0)), "")</f>
        <v>4348778</v>
      </c>
      <c r="Q324" cm="1">
        <f t="array" aca="1" ref="Q324" ca="1">IFERROR(INDEX(fesp!$H:$H, MATCH(1, (VALUE(LEFT(fesp!$A:$A,6))=VALUE(LEFT(B324,6)))*(fesp!$C:$C=C324), 0)), "")</f>
        <v>42</v>
      </c>
      <c r="R324" cm="1">
        <f t="array" aca="1" ref="R324" ca="1">IFERROR(INDEX(fesp!$I:$I, MATCH(1, (VALUE(LEFT(fesp!$A:$A,6))=VALUE(LEFT(B324,6)))*(fesp!$C:$C=C324), 0)), "")</f>
        <v>23002</v>
      </c>
      <c r="S324" cm="1">
        <f t="array" aca="1" ref="S324" ca="1">IFERROR(INDEX(fesp!$J:$J, MATCH(1, (VALUE(LEFT(fesp!$A:$A,6))=VALUE(LEFT(B324,6)))*(fesp!$C:$C=C324), 0)), "")</f>
        <v>357900</v>
      </c>
    </row>
    <row r="325" spans="1:19">
      <c r="A325" s="1" t="s">
        <v>83</v>
      </c>
      <c r="B325" s="3" t="s">
        <v>82</v>
      </c>
      <c r="C325" s="3">
        <v>2019</v>
      </c>
      <c r="D325" cm="1">
        <f t="array" ref="D325">IFERROR(INDEX(fesp!$D:$D, MATCH(1, (VALUE(LEFT(fesp!$A:$A,6))=VALUE(LEFT(B325,6)))*(fesp!$C:$C=C325), 0)), "")</f>
        <v>0</v>
      </c>
      <c r="E325" cm="1">
        <f t="array" aca="1" ref="E325" ca="1">IFERROR(INDEX(ft_medicos_clinicos!$C:$C, MATCH(1, (VALUE(LEFT(ft_medicos_clinicos!$A:$A,6))=VALUE(LEFT(B325,6)))*(ft_medicos_clinicos!$B:$B=C325), 0)), "")</f>
        <v>378</v>
      </c>
      <c r="F325" cm="1">
        <f t="array" aca="1" ref="F325" ca="1">IFERROR(INDEX(ft_enfermeiros!$C:$C, MATCH(1, (VALUE(LEFT(ft_enfermeiros!$A:$A,6))=VALUE(LEFT(B325,6)))*(ft_enfermeiros!$B:$B=C325), 0)), "")</f>
        <v>729</v>
      </c>
      <c r="G325" cm="1">
        <f t="array" aca="1" ref="G325" ca="1">IFERROR(INDEX(ft_equipes_acs!$C:$C, MATCH(1, (VALUE(LEFT(ft_equipes_acs!$A:$A,6))=VALUE(LEFT(B325,6)))*(ft_equipes_acs!$B:$B=C325), 0)), "")</f>
        <v>10</v>
      </c>
      <c r="H325" cm="1">
        <f t="array" aca="1" ref="H325" ca="1">IFERROR(INDEX(ci_leitos_internacao!$C:$C, MATCH(1, (VALUE(LEFT(ci_leitos_internacao!$A:$A,6))=VALUE(LEFT(B325,6)))*(ci_leitos_internacao!$B:$B=C325), 0)), "")</f>
        <v>1664</v>
      </c>
      <c r="I325" cm="1">
        <f t="array" aca="1" ref="I325" ca="1">IFERROR(INDEX(ci_hospitais_internacao!$C:$C, MATCH(1, (VALUE(LEFT(ci_hospitais_internacao!$A:$A,6))=VALUE(LEFT(B325,6)))*(ci_hospitais_internacao!$B:$B=C325), 0)), "")</f>
        <v>7</v>
      </c>
      <c r="J325" cm="1">
        <f t="array" aca="1" ref="J325" ca="1">IFERROR(INDEX(ci_pa_clinico!$C:$C, MATCH(1, (VALUE(LEFT(ci_pa_clinico!$A:$A,6))=VALUE(LEFT(B325,6)))*(ci_pa_clinico!$B:$B=C325), 0)), "")</f>
        <v>12</v>
      </c>
      <c r="K325" cm="1">
        <f t="array" aca="1" ref="K325" ca="1">IFERROR(INDEX(aps_equipes_esf!$C:$C, MATCH(1, (VALUE(LEFT(aps_equipes_esf!$A:$A,6))=VALUE(LEFT(B325,6)))*(aps_equipes_esf!$B:$B=C325), 0)), "")</f>
        <v>19</v>
      </c>
      <c r="L325" cm="1">
        <f t="array" aca="1" ref="L325" ca="1">IFERROR(INDEX(casos!$C:$C, MATCH(1, (VALUE(LEFT(casos!$A:$A,6))=VALUE(LEFT(B325,6)))*(casos!$B:$B=C325), 0)), "")</f>
        <v>77</v>
      </c>
      <c r="M325" cm="1">
        <f t="array" ref="M325">IFERROR(INDEX(srag!$D:$D, MATCH(1, (VALUE(LEFT(srag!$A:$A,6))=VALUE(LEFT(B325,6)))*(srag!$C:$C=C325), 0)), "")</f>
        <v>65</v>
      </c>
      <c r="N325" cm="1">
        <f t="array" aca="1" ref="N325" ca="1">IFERROR(INDEX(fesp!$E:$E, MATCH(1, (VALUE(LEFT(fesp!$A:$A,6))=VALUE(LEFT(B325,6)))*(fesp!$C:$C=C325), 0)), "")</f>
        <v>126</v>
      </c>
      <c r="O325" cm="1">
        <f t="array" aca="1" ref="O325" ca="1">IFERROR(INDEX(fesp!$F:$F, MATCH(1, (VALUE(LEFT(fesp!$A:$A,6))=VALUE(LEFT(B325,6)))*(fesp!$C:$C=C325), 0)), "")</f>
        <v>3462</v>
      </c>
      <c r="P325" cm="1">
        <f t="array" aca="1" ref="P325" ca="1">IFERROR(INDEX(fesp!$G:$G, MATCH(1, (VALUE(LEFT(fesp!$A:$A,6))=VALUE(LEFT(B325,6)))*(fesp!$C:$C=C325), 0)), "")</f>
        <v>3936706</v>
      </c>
      <c r="Q325" cm="1">
        <f t="array" aca="1" ref="Q325" ca="1">IFERROR(INDEX(fesp!$H:$H, MATCH(1, (VALUE(LEFT(fesp!$A:$A,6))=VALUE(LEFT(B325,6)))*(fesp!$C:$C=C325), 0)), "")</f>
        <v>58</v>
      </c>
      <c r="R325" cm="1">
        <f t="array" aca="1" ref="R325" ca="1">IFERROR(INDEX(fesp!$I:$I, MATCH(1, (VALUE(LEFT(fesp!$A:$A,6))=VALUE(LEFT(B325,6)))*(fesp!$C:$C=C325), 0)), "")</f>
        <v>26351</v>
      </c>
      <c r="S325" cm="1">
        <f t="array" aca="1" ref="S325" ca="1">IFERROR(INDEX(fesp!$J:$J, MATCH(1, (VALUE(LEFT(fesp!$A:$A,6))=VALUE(LEFT(B325,6)))*(fesp!$C:$C=C325), 0)), "")</f>
        <v>223102</v>
      </c>
    </row>
    <row r="326" spans="1:19">
      <c r="A326" s="1" t="s">
        <v>83</v>
      </c>
      <c r="B326" s="3" t="s">
        <v>82</v>
      </c>
      <c r="C326" s="3">
        <v>2020</v>
      </c>
      <c r="D326" cm="1">
        <f t="array" ref="D326">IFERROR(INDEX(fesp!$D:$D, MATCH(1, (VALUE(LEFT(fesp!$A:$A,6))=VALUE(LEFT(B326,6)))*(fesp!$C:$C=C326), 0)), "")</f>
        <v>0</v>
      </c>
      <c r="E326" cm="1">
        <f t="array" aca="1" ref="E326" ca="1">IFERROR(INDEX(ft_medicos_clinicos!$C:$C, MATCH(1, (VALUE(LEFT(ft_medicos_clinicos!$A:$A,6))=VALUE(LEFT(B326,6)))*(ft_medicos_clinicos!$B:$B=C326), 0)), "")</f>
        <v>393</v>
      </c>
      <c r="F326" cm="1">
        <f t="array" aca="1" ref="F326" ca="1">IFERROR(INDEX(ft_enfermeiros!$C:$C, MATCH(1, (VALUE(LEFT(ft_enfermeiros!$A:$A,6))=VALUE(LEFT(B326,6)))*(ft_enfermeiros!$B:$B=C326), 0)), "")</f>
        <v>737</v>
      </c>
      <c r="G326" cm="1">
        <f t="array" aca="1" ref="G326" ca="1">IFERROR(INDEX(ft_equipes_acs!$C:$C, MATCH(1, (VALUE(LEFT(ft_equipes_acs!$A:$A,6))=VALUE(LEFT(B326,6)))*(ft_equipes_acs!$B:$B=C326), 0)), "")</f>
        <v>11</v>
      </c>
      <c r="H326" cm="1">
        <f t="array" aca="1" ref="H326" ca="1">IFERROR(INDEX(ci_leitos_internacao!$C:$C, MATCH(1, (VALUE(LEFT(ci_leitos_internacao!$A:$A,6))=VALUE(LEFT(B326,6)))*(ci_leitos_internacao!$B:$B=C326), 0)), "")</f>
        <v>1709</v>
      </c>
      <c r="I326" cm="1">
        <f t="array" aca="1" ref="I326" ca="1">IFERROR(INDEX(ci_hospitais_internacao!$C:$C, MATCH(1, (VALUE(LEFT(ci_hospitais_internacao!$A:$A,6))=VALUE(LEFT(B326,6)))*(ci_hospitais_internacao!$B:$B=C326), 0)), "")</f>
        <v>7</v>
      </c>
      <c r="J326" cm="1">
        <f t="array" aca="1" ref="J326" ca="1">IFERROR(INDEX(ci_pa_clinico!$C:$C, MATCH(1, (VALUE(LEFT(ci_pa_clinico!$A:$A,6))=VALUE(LEFT(B326,6)))*(ci_pa_clinico!$B:$B=C326), 0)), "")</f>
        <v>12</v>
      </c>
      <c r="K326" cm="1">
        <f t="array" aca="1" ref="K326" ca="1">IFERROR(INDEX(aps_equipes_esf!$C:$C, MATCH(1, (VALUE(LEFT(aps_equipes_esf!$A:$A,6))=VALUE(LEFT(B326,6)))*(aps_equipes_esf!$B:$B=C326), 0)), "")</f>
        <v>4</v>
      </c>
      <c r="L326" cm="1">
        <f t="array" aca="1" ref="L326" ca="1">IFERROR(INDEX(casos!$C:$C, MATCH(1, (VALUE(LEFT(casos!$A:$A,6))=VALUE(LEFT(B326,6)))*(casos!$B:$B=C326), 0)), "")</f>
        <v>8</v>
      </c>
      <c r="M326" cm="1">
        <f t="array" ref="M326">IFERROR(INDEX(srag!$D:$D, MATCH(1, (VALUE(LEFT(srag!$A:$A,6))=VALUE(LEFT(B326,6)))*(srag!$C:$C=C326), 0)), "")</f>
        <v>2703</v>
      </c>
      <c r="N326" cm="1">
        <f t="array" aca="1" ref="N326" ca="1">IFERROR(INDEX(fesp!$E:$E, MATCH(1, (VALUE(LEFT(fesp!$A:$A,6))=VALUE(LEFT(B326,6)))*(fesp!$C:$C=C326), 0)), "")</f>
        <v>92</v>
      </c>
      <c r="O326" cm="1">
        <f t="array" aca="1" ref="O326" ca="1">IFERROR(INDEX(fesp!$F:$F, MATCH(1, (VALUE(LEFT(fesp!$A:$A,6))=VALUE(LEFT(B326,6)))*(fesp!$C:$C=C326), 0)), "")</f>
        <v>1808</v>
      </c>
      <c r="P326" cm="1">
        <f t="array" aca="1" ref="P326" ca="1">IFERROR(INDEX(fesp!$G:$G, MATCH(1, (VALUE(LEFT(fesp!$A:$A,6))=VALUE(LEFT(B326,6)))*(fesp!$C:$C=C326), 0)), "")</f>
        <v>1549868</v>
      </c>
      <c r="Q326" cm="1">
        <f t="array" aca="1" ref="Q326" ca="1">IFERROR(INDEX(fesp!$H:$H, MATCH(1, (VALUE(LEFT(fesp!$A:$A,6))=VALUE(LEFT(B326,6)))*(fesp!$C:$C=C326), 0)), "")</f>
        <v>53</v>
      </c>
      <c r="R326" cm="1">
        <f t="array" aca="1" ref="R326" ca="1">IFERROR(INDEX(fesp!$I:$I, MATCH(1, (VALUE(LEFT(fesp!$A:$A,6))=VALUE(LEFT(B326,6)))*(fesp!$C:$C=C326), 0)), "")</f>
        <v>7863</v>
      </c>
      <c r="S326" cm="1">
        <f t="array" aca="1" ref="S326" ca="1">IFERROR(INDEX(fesp!$J:$J, MATCH(1, (VALUE(LEFT(fesp!$A:$A,6))=VALUE(LEFT(B326,6)))*(fesp!$C:$C=C326), 0)), "")</f>
        <v>39670</v>
      </c>
    </row>
    <row r="327" spans="1:19">
      <c r="A327" s="1" t="s">
        <v>83</v>
      </c>
      <c r="B327" s="3" t="s">
        <v>82</v>
      </c>
      <c r="C327" s="3">
        <v>2021</v>
      </c>
      <c r="D327" cm="1">
        <f t="array" ref="D327">IFERROR(INDEX(fesp!$D:$D, MATCH(1, (VALUE(LEFT(fesp!$A:$A,6))=VALUE(LEFT(B327,6)))*(fesp!$C:$C=C327), 0)), "")</f>
        <v>0</v>
      </c>
      <c r="E327" cm="1">
        <f t="array" aca="1" ref="E327" ca="1">IFERROR(INDEX(ft_medicos_clinicos!$C:$C, MATCH(1, (VALUE(LEFT(ft_medicos_clinicos!$A:$A,6))=VALUE(LEFT(B327,6)))*(ft_medicos_clinicos!$B:$B=C327), 0)), "")</f>
        <v>433</v>
      </c>
      <c r="F327" cm="1">
        <f t="array" aca="1" ref="F327" ca="1">IFERROR(INDEX(ft_enfermeiros!$C:$C, MATCH(1, (VALUE(LEFT(ft_enfermeiros!$A:$A,6))=VALUE(LEFT(B327,6)))*(ft_enfermeiros!$B:$B=C327), 0)), "")</f>
        <v>740</v>
      </c>
      <c r="G327" cm="1">
        <f t="array" aca="1" ref="G327" ca="1">IFERROR(INDEX(ft_equipes_acs!$C:$C, MATCH(1, (VALUE(LEFT(ft_equipes_acs!$A:$A,6))=VALUE(LEFT(B327,6)))*(ft_equipes_acs!$B:$B=C327), 0)), "")</f>
        <v>10</v>
      </c>
      <c r="H327" cm="1">
        <f t="array" aca="1" ref="H327" ca="1">IFERROR(INDEX(ci_leitos_internacao!$C:$C, MATCH(1, (VALUE(LEFT(ci_leitos_internacao!$A:$A,6))=VALUE(LEFT(B327,6)))*(ci_leitos_internacao!$B:$B=C327), 0)), "")</f>
        <v>1732</v>
      </c>
      <c r="I327" cm="1">
        <f t="array" aca="1" ref="I327" ca="1">IFERROR(INDEX(ci_hospitais_internacao!$C:$C, MATCH(1, (VALUE(LEFT(ci_hospitais_internacao!$A:$A,6))=VALUE(LEFT(B327,6)))*(ci_hospitais_internacao!$B:$B=C327), 0)), "")</f>
        <v>8</v>
      </c>
      <c r="J327" cm="1">
        <f t="array" aca="1" ref="J327" ca="1">IFERROR(INDEX(ci_pa_clinico!$C:$C, MATCH(1, (VALUE(LEFT(ci_pa_clinico!$A:$A,6))=VALUE(LEFT(B327,6)))*(ci_pa_clinico!$B:$B=C327), 0)), "")</f>
        <v>12</v>
      </c>
      <c r="K327" cm="1">
        <f t="array" aca="1" ref="K327" ca="1">IFERROR(INDEX(aps_equipes_esf!$C:$C, MATCH(1, (VALUE(LEFT(aps_equipes_esf!$A:$A,6))=VALUE(LEFT(B327,6)))*(aps_equipes_esf!$B:$B=C327), 0)), "")</f>
        <v>2</v>
      </c>
      <c r="L327" cm="1">
        <f t="array" aca="1" ref="L327" ca="1">IFERROR(INDEX(casos!$C:$C, MATCH(1, (VALUE(LEFT(casos!$A:$A,6))=VALUE(LEFT(B327,6)))*(casos!$B:$B=C327), 0)), "")</f>
        <v>34</v>
      </c>
      <c r="M327" cm="1">
        <f t="array" ref="M327">IFERROR(INDEX(srag!$D:$D, MATCH(1, (VALUE(LEFT(srag!$A:$A,6))=VALUE(LEFT(B327,6)))*(srag!$C:$C=C327), 0)), "")</f>
        <v>3246</v>
      </c>
      <c r="N327" cm="1">
        <f t="array" aca="1" ref="N327" ca="1">IFERROR(INDEX(fesp!$E:$E, MATCH(1, (VALUE(LEFT(fesp!$A:$A,6))=VALUE(LEFT(B327,6)))*(fesp!$C:$C=C327), 0)), "")</f>
        <v>135</v>
      </c>
      <c r="O327" cm="1">
        <f t="array" aca="1" ref="O327" ca="1">IFERROR(INDEX(fesp!$F:$F, MATCH(1, (VALUE(LEFT(fesp!$A:$A,6))=VALUE(LEFT(B327,6)))*(fesp!$C:$C=C327), 0)), "")</f>
        <v>3186</v>
      </c>
      <c r="P327" cm="1">
        <f t="array" aca="1" ref="P327" ca="1">IFERROR(INDEX(fesp!$G:$G, MATCH(1, (VALUE(LEFT(fesp!$A:$A,6))=VALUE(LEFT(B327,6)))*(fesp!$C:$C=C327), 0)), "")</f>
        <v>2768104</v>
      </c>
      <c r="Q327" cm="1">
        <f t="array" aca="1" ref="Q327" ca="1">IFERROR(INDEX(fesp!$H:$H, MATCH(1, (VALUE(LEFT(fesp!$A:$A,6))=VALUE(LEFT(B327,6)))*(fesp!$C:$C=C327), 0)), "")</f>
        <v>72</v>
      </c>
      <c r="R327" cm="1">
        <f t="array" aca="1" ref="R327" ca="1">IFERROR(INDEX(fesp!$I:$I, MATCH(1, (VALUE(LEFT(fesp!$A:$A,6))=VALUE(LEFT(B327,6)))*(fesp!$C:$C=C327), 0)), "")</f>
        <v>12128</v>
      </c>
      <c r="S327" cm="1">
        <f t="array" aca="1" ref="S327" ca="1">IFERROR(INDEX(fesp!$J:$J, MATCH(1, (VALUE(LEFT(fesp!$A:$A,6))=VALUE(LEFT(B327,6)))*(fesp!$C:$C=C327), 0)), "")</f>
        <v>56488</v>
      </c>
    </row>
    <row r="328" spans="1:19">
      <c r="A328" s="1" t="s">
        <v>83</v>
      </c>
      <c r="B328" s="3" t="s">
        <v>82</v>
      </c>
      <c r="C328" s="3">
        <v>2022</v>
      </c>
      <c r="D328" cm="1">
        <f t="array" ref="D328">IFERROR(INDEX(fesp!$D:$D, MATCH(1, (VALUE(LEFT(fesp!$A:$A,6))=VALUE(LEFT(B328,6)))*(fesp!$C:$C=C328), 0)), "")</f>
        <v>483540</v>
      </c>
      <c r="E328" cm="1">
        <f t="array" aca="1" ref="E328" ca="1">IFERROR(INDEX(ft_medicos_clinicos!$C:$C, MATCH(1, (VALUE(LEFT(ft_medicos_clinicos!$A:$A,6))=VALUE(LEFT(B328,6)))*(ft_medicos_clinicos!$B:$B=C328), 0)), "")</f>
        <v>442</v>
      </c>
      <c r="F328" cm="1">
        <f t="array" aca="1" ref="F328" ca="1">IFERROR(INDEX(ft_enfermeiros!$C:$C, MATCH(1, (VALUE(LEFT(ft_enfermeiros!$A:$A,6))=VALUE(LEFT(B328,6)))*(ft_enfermeiros!$B:$B=C328), 0)), "")</f>
        <v>766</v>
      </c>
      <c r="G328" cm="1">
        <f t="array" aca="1" ref="G328" ca="1">IFERROR(INDEX(ft_equipes_acs!$C:$C, MATCH(1, (VALUE(LEFT(ft_equipes_acs!$A:$A,6))=VALUE(LEFT(B328,6)))*(ft_equipes_acs!$B:$B=C328), 0)), "")</f>
        <v>10</v>
      </c>
      <c r="H328" cm="1">
        <f t="array" aca="1" ref="H328" ca="1">IFERROR(INDEX(ci_leitos_internacao!$C:$C, MATCH(1, (VALUE(LEFT(ci_leitos_internacao!$A:$A,6))=VALUE(LEFT(B328,6)))*(ci_leitos_internacao!$B:$B=C328), 0)), "")</f>
        <v>1568</v>
      </c>
      <c r="I328" cm="1">
        <f t="array" aca="1" ref="I328" ca="1">IFERROR(INDEX(ci_hospitais_internacao!$C:$C, MATCH(1, (VALUE(LEFT(ci_hospitais_internacao!$A:$A,6))=VALUE(LEFT(B328,6)))*(ci_hospitais_internacao!$B:$B=C328), 0)), "")</f>
        <v>8</v>
      </c>
      <c r="J328" cm="1">
        <f t="array" aca="1" ref="J328" ca="1">IFERROR(INDEX(ci_pa_clinico!$C:$C, MATCH(1, (VALUE(LEFT(ci_pa_clinico!$A:$A,6))=VALUE(LEFT(B328,6)))*(ci_pa_clinico!$B:$B=C328), 0)), "")</f>
        <v>12</v>
      </c>
      <c r="K328" cm="1">
        <f t="array" aca="1" ref="K328" ca="1">IFERROR(INDEX(aps_equipes_esf!$C:$C, MATCH(1, (VALUE(LEFT(aps_equipes_esf!$A:$A,6))=VALUE(LEFT(B328,6)))*(aps_equipes_esf!$B:$B=C328), 0)), "")</f>
        <v>2</v>
      </c>
      <c r="L328" cm="1">
        <f t="array" aca="1" ref="L328" ca="1">IFERROR(INDEX(casos!$C:$C, MATCH(1, (VALUE(LEFT(casos!$A:$A,6))=VALUE(LEFT(B328,6)))*(casos!$B:$B=C328), 0)), "")</f>
        <v>224</v>
      </c>
      <c r="M328" cm="1">
        <f t="array" ref="M328">IFERROR(INDEX(srag!$D:$D, MATCH(1, (VALUE(LEFT(srag!$A:$A,6))=VALUE(LEFT(B328,6)))*(srag!$C:$C=C328), 0)), "")</f>
        <v>693</v>
      </c>
      <c r="N328" cm="1">
        <f t="array" aca="1" ref="N328" ca="1">IFERROR(INDEX(fesp!$E:$E, MATCH(1, (VALUE(LEFT(fesp!$A:$A,6))=VALUE(LEFT(B328,6)))*(fesp!$C:$C=C328), 0)), "")</f>
        <v>216</v>
      </c>
      <c r="O328" cm="1">
        <f t="array" aca="1" ref="O328" ca="1">IFERROR(INDEX(fesp!$F:$F, MATCH(1, (VALUE(LEFT(fesp!$A:$A,6))=VALUE(LEFT(B328,6)))*(fesp!$C:$C=C328), 0)), "")</f>
        <v>4279</v>
      </c>
      <c r="P328" cm="1">
        <f t="array" aca="1" ref="P328" ca="1">IFERROR(INDEX(fesp!$G:$G, MATCH(1, (VALUE(LEFT(fesp!$A:$A,6))=VALUE(LEFT(B328,6)))*(fesp!$C:$C=C328), 0)), "")</f>
        <v>3228896</v>
      </c>
      <c r="Q328" cm="1">
        <f t="array" aca="1" ref="Q328" ca="1">IFERROR(INDEX(fesp!$H:$H, MATCH(1, (VALUE(LEFT(fesp!$A:$A,6))=VALUE(LEFT(B328,6)))*(fesp!$C:$C=C328), 0)), "")</f>
        <v>95</v>
      </c>
      <c r="R328" cm="1">
        <f t="array" aca="1" ref="R328" ca="1">IFERROR(INDEX(fesp!$I:$I, MATCH(1, (VALUE(LEFT(fesp!$A:$A,6))=VALUE(LEFT(B328,6)))*(fesp!$C:$C=C328), 0)), "")</f>
        <v>8235</v>
      </c>
      <c r="S328" cm="1">
        <f t="array" aca="1" ref="S328" ca="1">IFERROR(INDEX(fesp!$J:$J, MATCH(1, (VALUE(LEFT(fesp!$A:$A,6))=VALUE(LEFT(B328,6)))*(fesp!$C:$C=C328), 0)), "")</f>
        <v>45099</v>
      </c>
    </row>
    <row r="329" spans="1:19">
      <c r="A329" s="1" t="s">
        <v>83</v>
      </c>
      <c r="B329" s="3" t="s">
        <v>82</v>
      </c>
      <c r="C329" s="3">
        <v>2023</v>
      </c>
      <c r="D329" cm="1">
        <f t="array" ref="D329">IFERROR(INDEX(fesp!$D:$D, MATCH(1, (VALUE(LEFT(fesp!$A:$A,6))=VALUE(LEFT(B329,6)))*(fesp!$C:$C=C329), 0)), "")</f>
        <v>0</v>
      </c>
      <c r="E329" cm="1">
        <f t="array" aca="1" ref="E329" ca="1">IFERROR(INDEX(ft_medicos_clinicos!$C:$C, MATCH(1, (VALUE(LEFT(ft_medicos_clinicos!$A:$A,6))=VALUE(LEFT(B329,6)))*(ft_medicos_clinicos!$B:$B=C329), 0)), "")</f>
        <v>429</v>
      </c>
      <c r="F329" cm="1">
        <f t="array" aca="1" ref="F329" ca="1">IFERROR(INDEX(ft_enfermeiros!$C:$C, MATCH(1, (VALUE(LEFT(ft_enfermeiros!$A:$A,6))=VALUE(LEFT(B329,6)))*(ft_enfermeiros!$B:$B=C329), 0)), "")</f>
        <v>946</v>
      </c>
      <c r="G329" cm="1">
        <f t="array" aca="1" ref="G329" ca="1">IFERROR(INDEX(ft_equipes_acs!$C:$C, MATCH(1, (VALUE(LEFT(ft_equipes_acs!$A:$A,6))=VALUE(LEFT(B329,6)))*(ft_equipes_acs!$B:$B=C329), 0)), "")</f>
        <v>10</v>
      </c>
      <c r="H329" cm="1">
        <f t="array" aca="1" ref="H329" ca="1">IFERROR(INDEX(ci_leitos_internacao!$C:$C, MATCH(1, (VALUE(LEFT(ci_leitos_internacao!$A:$A,6))=VALUE(LEFT(B329,6)))*(ci_leitos_internacao!$B:$B=C329), 0)), "")</f>
        <v>1671</v>
      </c>
      <c r="I329" cm="1">
        <f t="array" aca="1" ref="I329" ca="1">IFERROR(INDEX(ci_hospitais_internacao!$C:$C, MATCH(1, (VALUE(LEFT(ci_hospitais_internacao!$A:$A,6))=VALUE(LEFT(B329,6)))*(ci_hospitais_internacao!$B:$B=C329), 0)), "")</f>
        <v>8</v>
      </c>
      <c r="J329" cm="1">
        <f t="array" aca="1" ref="J329" ca="1">IFERROR(INDEX(ci_pa_clinico!$C:$C, MATCH(1, (VALUE(LEFT(ci_pa_clinico!$A:$A,6))=VALUE(LEFT(B329,6)))*(ci_pa_clinico!$B:$B=C329), 0)), "")</f>
        <v>11</v>
      </c>
      <c r="K329" cm="1">
        <f t="array" aca="1" ref="K329" ca="1">IFERROR(INDEX(aps_equipes_esf!$C:$C, MATCH(1, (VALUE(LEFT(aps_equipes_esf!$A:$A,6))=VALUE(LEFT(B329,6)))*(aps_equipes_esf!$B:$B=C329), 0)), "")</f>
        <v>2</v>
      </c>
      <c r="L329" cm="1">
        <f t="array" aca="1" ref="L329" ca="1">IFERROR(INDEX(casos!$C:$C, MATCH(1, (VALUE(LEFT(casos!$A:$A,6))=VALUE(LEFT(B329,6)))*(casos!$B:$B=C329), 0)), "")</f>
        <v>3644</v>
      </c>
      <c r="M329" cm="1">
        <f t="array" ref="M329">IFERROR(INDEX(srag!$D:$D, MATCH(1, (VALUE(LEFT(srag!$A:$A,6))=VALUE(LEFT(B329,6)))*(srag!$C:$C=C329), 0)), "")</f>
        <v>769</v>
      </c>
      <c r="N329" cm="1">
        <f t="array" aca="1" ref="N329" ca="1">IFERROR(INDEX(fesp!$E:$E, MATCH(1, (VALUE(LEFT(fesp!$A:$A,6))=VALUE(LEFT(B329,6)))*(fesp!$C:$C=C329), 0)), "")</f>
        <v>182</v>
      </c>
      <c r="O329" cm="1">
        <f t="array" aca="1" ref="O329" ca="1">IFERROR(INDEX(fesp!$F:$F, MATCH(1, (VALUE(LEFT(fesp!$A:$A,6))=VALUE(LEFT(B329,6)))*(fesp!$C:$C=C329), 0)), "")</f>
        <v>6672</v>
      </c>
      <c r="P329" cm="1">
        <f t="array" aca="1" ref="P329" ca="1">IFERROR(INDEX(fesp!$G:$G, MATCH(1, (VALUE(LEFT(fesp!$A:$A,6))=VALUE(LEFT(B329,6)))*(fesp!$C:$C=C329), 0)), "")</f>
        <v>3827236</v>
      </c>
      <c r="Q329" cm="1">
        <f t="array" aca="1" ref="Q329" ca="1">IFERROR(INDEX(fesp!$H:$H, MATCH(1, (VALUE(LEFT(fesp!$A:$A,6))=VALUE(LEFT(B329,6)))*(fesp!$C:$C=C329), 0)), "")</f>
        <v>116</v>
      </c>
      <c r="R329" cm="1">
        <f t="array" aca="1" ref="R329" ca="1">IFERROR(INDEX(fesp!$I:$I, MATCH(1, (VALUE(LEFT(fesp!$A:$A,6))=VALUE(LEFT(B329,6)))*(fesp!$C:$C=C329), 0)), "")</f>
        <v>4861</v>
      </c>
      <c r="S329" cm="1">
        <f t="array" aca="1" ref="S329" ca="1">IFERROR(INDEX(fesp!$J:$J, MATCH(1, (VALUE(LEFT(fesp!$A:$A,6))=VALUE(LEFT(B329,6)))*(fesp!$C:$C=C329), 0)), "")</f>
        <v>53196</v>
      </c>
    </row>
    <row r="330" spans="1:19">
      <c r="A330" s="1" t="s">
        <v>83</v>
      </c>
      <c r="B330" s="3" t="s">
        <v>82</v>
      </c>
      <c r="C330" s="3">
        <v>2024</v>
      </c>
      <c r="D330" cm="1">
        <f t="array" ref="D330">IFERROR(INDEX(fesp!$D:$D, MATCH(1, (VALUE(LEFT(fesp!$A:$A,6))=VALUE(LEFT(B330,6)))*(fesp!$C:$C=C330), 0)), "")</f>
        <v>0</v>
      </c>
      <c r="E330" cm="1">
        <f t="array" aca="1" ref="E330" ca="1">IFERROR(INDEX(ft_medicos_clinicos!$C:$C, MATCH(1, (VALUE(LEFT(ft_medicos_clinicos!$A:$A,6))=VALUE(LEFT(B330,6)))*(ft_medicos_clinicos!$B:$B=C330), 0)), "")</f>
        <v>457</v>
      </c>
      <c r="F330" cm="1">
        <f t="array" aca="1" ref="F330" ca="1">IFERROR(INDEX(ft_enfermeiros!$C:$C, MATCH(1, (VALUE(LEFT(ft_enfermeiros!$A:$A,6))=VALUE(LEFT(B330,6)))*(ft_enfermeiros!$B:$B=C330), 0)), "")</f>
        <v>1030</v>
      </c>
      <c r="G330" cm="1">
        <f t="array" aca="1" ref="G330" ca="1">IFERROR(INDEX(ft_equipes_acs!$C:$C, MATCH(1, (VALUE(LEFT(ft_equipes_acs!$A:$A,6))=VALUE(LEFT(B330,6)))*(ft_equipes_acs!$B:$B=C330), 0)), "")</f>
        <v>10</v>
      </c>
      <c r="H330" cm="1">
        <f t="array" aca="1" ref="H330" ca="1">IFERROR(INDEX(ci_leitos_internacao!$C:$C, MATCH(1, (VALUE(LEFT(ci_leitos_internacao!$A:$A,6))=VALUE(LEFT(B330,6)))*(ci_leitos_internacao!$B:$B=C330), 0)), "")</f>
        <v>1610</v>
      </c>
      <c r="I330" cm="1">
        <f t="array" aca="1" ref="I330" ca="1">IFERROR(INDEX(ci_hospitais_internacao!$C:$C, MATCH(1, (VALUE(LEFT(ci_hospitais_internacao!$A:$A,6))=VALUE(LEFT(B330,6)))*(ci_hospitais_internacao!$B:$B=C330), 0)), "")</f>
        <v>8</v>
      </c>
      <c r="J330" cm="1">
        <f t="array" aca="1" ref="J330" ca="1">IFERROR(INDEX(ci_pa_clinico!$C:$C, MATCH(1, (VALUE(LEFT(ci_pa_clinico!$A:$A,6))=VALUE(LEFT(B330,6)))*(ci_pa_clinico!$B:$B=C330), 0)), "")</f>
        <v>12</v>
      </c>
      <c r="K330" cm="1">
        <f t="array" aca="1" ref="K330" ca="1">IFERROR(INDEX(aps_equipes_esf!$C:$C, MATCH(1, (VALUE(LEFT(aps_equipes_esf!$A:$A,6))=VALUE(LEFT(B330,6)))*(aps_equipes_esf!$B:$B=C330), 0)), "")</f>
        <v>2</v>
      </c>
      <c r="L330" cm="1">
        <f t="array" aca="1" ref="L330" ca="1">IFERROR(INDEX(casos!$C:$C, MATCH(1, (VALUE(LEFT(casos!$A:$A,6))=VALUE(LEFT(B330,6)))*(casos!$B:$B=C330), 0)), "")</f>
        <v>19797</v>
      </c>
      <c r="M330" cm="1">
        <f t="array" ref="M330">IFERROR(INDEX(srag!$D:$D, MATCH(1, (VALUE(LEFT(srag!$A:$A,6))=VALUE(LEFT(B330,6)))*(srag!$C:$C=C330), 0)), "")</f>
        <v>316</v>
      </c>
      <c r="N330" cm="1">
        <f t="array" aca="1" ref="N330" ca="1">IFERROR(INDEX(fesp!$E:$E, MATCH(1, (VALUE(LEFT(fesp!$A:$A,6))=VALUE(LEFT(B330,6)))*(fesp!$C:$C=C330), 0)), "")</f>
        <v>185</v>
      </c>
      <c r="O330" cm="1">
        <f t="array" aca="1" ref="O330" ca="1">IFERROR(INDEX(fesp!$F:$F, MATCH(1, (VALUE(LEFT(fesp!$A:$A,6))=VALUE(LEFT(B330,6)))*(fesp!$C:$C=C330), 0)), "")</f>
        <v>6756</v>
      </c>
      <c r="P330" cm="1">
        <f t="array" aca="1" ref="P330" ca="1">IFERROR(INDEX(fesp!$G:$G, MATCH(1, (VALUE(LEFT(fesp!$A:$A,6))=VALUE(LEFT(B330,6)))*(fesp!$C:$C=C330), 0)), "")</f>
        <v>4770492</v>
      </c>
      <c r="Q330" cm="1">
        <f t="array" aca="1" ref="Q330" ca="1">IFERROR(INDEX(fesp!$H:$H, MATCH(1, (VALUE(LEFT(fesp!$A:$A,6))=VALUE(LEFT(B330,6)))*(fesp!$C:$C=C330), 0)), "")</f>
        <v>135</v>
      </c>
      <c r="R330" cm="1">
        <f t="array" aca="1" ref="R330" ca="1">IFERROR(INDEX(fesp!$I:$I, MATCH(1, (VALUE(LEFT(fesp!$A:$A,6))=VALUE(LEFT(B330,6)))*(fesp!$C:$C=C330), 0)), "")</f>
        <v>4510</v>
      </c>
      <c r="S330" cm="1">
        <f t="array" aca="1" ref="S330" ca="1">IFERROR(INDEX(fesp!$J:$J, MATCH(1, (VALUE(LEFT(fesp!$A:$A,6))=VALUE(LEFT(B330,6)))*(fesp!$C:$C=C330), 0)), "")</f>
        <v>93597</v>
      </c>
    </row>
    <row r="331" spans="1:19">
      <c r="A331" s="1" t="s">
        <v>83</v>
      </c>
      <c r="B331" s="3" t="s">
        <v>82</v>
      </c>
      <c r="C331" s="3">
        <v>2025</v>
      </c>
      <c r="D331" cm="1">
        <f t="array" ref="D331">IFERROR(INDEX(fesp!$D:$D, MATCH(1, (VALUE(LEFT(fesp!$A:$A,6))=VALUE(LEFT(B331,6)))*(fesp!$C:$C=C331), 0)), "")</f>
        <v>0</v>
      </c>
      <c r="E331" cm="1">
        <f t="array" aca="1" ref="E331" ca="1">IFERROR(INDEX(ft_medicos_clinicos!$C:$C, MATCH(1, (VALUE(LEFT(ft_medicos_clinicos!$A:$A,6))=VALUE(LEFT(B331,6)))*(ft_medicos_clinicos!$B:$B=C331), 0)), "")</f>
        <v>508</v>
      </c>
      <c r="F331" cm="1">
        <f t="array" aca="1" ref="F331" ca="1">IFERROR(INDEX(ft_enfermeiros!$C:$C, MATCH(1, (VALUE(LEFT(ft_enfermeiros!$A:$A,6))=VALUE(LEFT(B331,6)))*(ft_enfermeiros!$B:$B=C331), 0)), "")</f>
        <v>1018</v>
      </c>
      <c r="G331" cm="1">
        <f t="array" aca="1" ref="G331" ca="1">IFERROR(INDEX(ft_equipes_acs!$C:$C, MATCH(1, (VALUE(LEFT(ft_equipes_acs!$A:$A,6))=VALUE(LEFT(B331,6)))*(ft_equipes_acs!$B:$B=C331), 0)), "")</f>
        <v>10</v>
      </c>
      <c r="H331" cm="1">
        <f t="array" aca="1" ref="H331" ca="1">IFERROR(INDEX(ci_leitos_internacao!$C:$C, MATCH(1, (VALUE(LEFT(ci_leitos_internacao!$A:$A,6))=VALUE(LEFT(B331,6)))*(ci_leitos_internacao!$B:$B=C331), 0)), "")</f>
        <v>1566</v>
      </c>
      <c r="I331" cm="1">
        <f t="array" aca="1" ref="I331" ca="1">IFERROR(INDEX(ci_hospitais_internacao!$C:$C, MATCH(1, (VALUE(LEFT(ci_hospitais_internacao!$A:$A,6))=VALUE(LEFT(B331,6)))*(ci_hospitais_internacao!$B:$B=C331), 0)), "")</f>
        <v>8</v>
      </c>
      <c r="J331" cm="1">
        <f t="array" aca="1" ref="J331" ca="1">IFERROR(INDEX(ci_pa_clinico!$C:$C, MATCH(1, (VALUE(LEFT(ci_pa_clinico!$A:$A,6))=VALUE(LEFT(B331,6)))*(ci_pa_clinico!$B:$B=C331), 0)), "")</f>
        <v>12</v>
      </c>
      <c r="K331" cm="1">
        <f t="array" aca="1" ref="K331" ca="1">IFERROR(INDEX(aps_equipes_esf!$C:$C, MATCH(1, (VALUE(LEFT(aps_equipes_esf!$A:$A,6))=VALUE(LEFT(B331,6)))*(aps_equipes_esf!$B:$B=C331), 0)), "")</f>
        <v>2</v>
      </c>
      <c r="L331" cm="1">
        <f t="array" aca="1" ref="L331" ca="1">IFERROR(INDEX(casos!$C:$C, MATCH(1, (VALUE(LEFT(casos!$A:$A,6))=VALUE(LEFT(B331,6)))*(casos!$B:$B=C331), 0)), "")</f>
        <v>318</v>
      </c>
      <c r="M331" cm="1">
        <f t="array" ref="M331">IFERROR(INDEX(srag!$D:$D, MATCH(1, (VALUE(LEFT(srag!$A:$A,6))=VALUE(LEFT(B331,6)))*(srag!$C:$C=C331), 0)), "")</f>
        <v>300</v>
      </c>
      <c r="N331" cm="1">
        <f t="array" aca="1" ref="N331" ca="1">IFERROR(INDEX(fesp!$E:$E, MATCH(1, (VALUE(LEFT(fesp!$A:$A,6))=VALUE(LEFT(B331,6)))*(fesp!$C:$C=C331), 0)), "")</f>
        <v>136</v>
      </c>
      <c r="O331" cm="1">
        <f t="array" aca="1" ref="O331" ca="1">IFERROR(INDEX(fesp!$F:$F, MATCH(1, (VALUE(LEFT(fesp!$A:$A,6))=VALUE(LEFT(B331,6)))*(fesp!$C:$C=C331), 0)), "")</f>
        <v>4978</v>
      </c>
      <c r="P331" cm="1">
        <f t="array" aca="1" ref="P331" ca="1">IFERROR(INDEX(fesp!$G:$G, MATCH(1, (VALUE(LEFT(fesp!$A:$A,6))=VALUE(LEFT(B331,6)))*(fesp!$C:$C=C331), 0)), "")</f>
        <v>3904019</v>
      </c>
      <c r="Q331" cm="1">
        <f t="array" aca="1" ref="Q331" ca="1">IFERROR(INDEX(fesp!$H:$H, MATCH(1, (VALUE(LEFT(fesp!$A:$A,6))=VALUE(LEFT(B331,6)))*(fesp!$C:$C=C331), 0)), "")</f>
        <v>85</v>
      </c>
      <c r="R331" cm="1">
        <f t="array" aca="1" ref="R331" ca="1">IFERROR(INDEX(fesp!$I:$I, MATCH(1, (VALUE(LEFT(fesp!$A:$A,6))=VALUE(LEFT(B331,6)))*(fesp!$C:$C=C331), 0)), "")</f>
        <v>7099</v>
      </c>
      <c r="S331" cm="1">
        <f t="array" aca="1" ref="S331" ca="1">IFERROR(INDEX(fesp!$J:$J, MATCH(1, (VALUE(LEFT(fesp!$A:$A,6))=VALUE(LEFT(B331,6)))*(fesp!$C:$C=C331), 0)), "")</f>
        <v>148574</v>
      </c>
    </row>
    <row r="332" spans="1:19">
      <c r="A332" s="1" t="s">
        <v>41</v>
      </c>
      <c r="B332" s="3">
        <v>3301702</v>
      </c>
      <c r="C332" s="3">
        <v>2015</v>
      </c>
      <c r="D332" cm="1">
        <f t="array" ref="D332">IFERROR(INDEX(fesp!$D:$D, MATCH(1, (VALUE(LEFT(fesp!$A:$A,6))=VALUE(LEFT(B332,6)))*(fesp!$C:$C=C332), 0)), "")</f>
        <v>882729</v>
      </c>
      <c r="E332" cm="1">
        <f t="array" aca="1" ref="E332" ca="1">IFERROR(INDEX(ft_medicos_clinicos!$C:$C, MATCH(1, (VALUE(LEFT(ft_medicos_clinicos!$A:$A,6))=VALUE(LEFT(B332,6)))*(ft_medicos_clinicos!$B:$B=C332), 0)), "")</f>
        <v>470</v>
      </c>
      <c r="F332" cm="1">
        <f t="array" aca="1" ref="F332" ca="1">IFERROR(INDEX(ft_enfermeiros!$C:$C, MATCH(1, (VALUE(LEFT(ft_enfermeiros!$A:$A,6))=VALUE(LEFT(B332,6)))*(ft_enfermeiros!$B:$B=C332), 0)), "")</f>
        <v>784</v>
      </c>
      <c r="G332" t="str" cm="1">
        <f t="array" aca="1" ref="G332" ca="1">IFERROR(INDEX(ft_equipes_acs!$C:$C, MATCH(1, (VALUE(LEFT(ft_equipes_acs!$A:$A,6))=VALUE(LEFT(B332,6)))*(ft_equipes_acs!$B:$B=C332), 0)), "")</f>
        <v>-</v>
      </c>
      <c r="H332" cm="1">
        <f t="array" aca="1" ref="H332" ca="1">IFERROR(INDEX(ci_leitos_internacao!$C:$C, MATCH(1, (VALUE(LEFT(ci_leitos_internacao!$A:$A,6))=VALUE(LEFT(B332,6)))*(ci_leitos_internacao!$B:$B=C332), 0)), "")</f>
        <v>1168</v>
      </c>
      <c r="I332" cm="1">
        <f t="array" aca="1" ref="I332" ca="1">IFERROR(INDEX(ci_hospitais_internacao!$C:$C, MATCH(1, (VALUE(LEFT(ci_hospitais_internacao!$A:$A,6))=VALUE(LEFT(B332,6)))*(ci_hospitais_internacao!$B:$B=C332), 0)), "")</f>
        <v>4</v>
      </c>
      <c r="J332" t="str" cm="1">
        <f t="array" aca="1" ref="J332" ca="1">IFERROR(INDEX(ci_pa_clinico!$C:$C, MATCH(1, (VALUE(LEFT(ci_pa_clinico!$A:$A,6))=VALUE(LEFT(B332,6)))*(ci_pa_clinico!$B:$B=C332), 0)), "")</f>
        <v/>
      </c>
      <c r="K332" cm="1">
        <f t="array" aca="1" ref="K332" ca="1">IFERROR(INDEX(aps_equipes_esf!$C:$C, MATCH(1, (VALUE(LEFT(aps_equipes_esf!$A:$A,6))=VALUE(LEFT(B332,6)))*(aps_equipes_esf!$B:$B=C332), 0)), "")</f>
        <v>41</v>
      </c>
      <c r="L332" cm="1">
        <f t="array" aca="1" ref="L332" ca="1">IFERROR(INDEX(casos!$C:$C, MATCH(1, (VALUE(LEFT(casos!$A:$A,6))=VALUE(LEFT(B332,6)))*(casos!$B:$B=C332), 0)), "")</f>
        <v>295</v>
      </c>
      <c r="M332" cm="1">
        <f t="array" ref="M332">IFERROR(INDEX(srag!$D:$D, MATCH(1, (VALUE(LEFT(srag!$A:$A,6))=VALUE(LEFT(B332,6)))*(srag!$C:$C=C332), 0)), "")</f>
        <v>23</v>
      </c>
      <c r="N332" cm="1">
        <f t="array" aca="1" ref="N332" ca="1">IFERROR(INDEX(fesp!$E:$E, MATCH(1, (VALUE(LEFT(fesp!$A:$A,6))=VALUE(LEFT(B332,6)))*(fesp!$C:$C=C332), 0)), "")</f>
        <v>130</v>
      </c>
      <c r="O332" cm="1">
        <f t="array" aca="1" ref="O332" ca="1">IFERROR(INDEX(fesp!$F:$F, MATCH(1, (VALUE(LEFT(fesp!$A:$A,6))=VALUE(LEFT(B332,6)))*(fesp!$C:$C=C332), 0)), "")</f>
        <v>1157</v>
      </c>
      <c r="P332" cm="1">
        <f t="array" aca="1" ref="P332" ca="1">IFERROR(INDEX(fesp!$G:$G, MATCH(1, (VALUE(LEFT(fesp!$A:$A,6))=VALUE(LEFT(B332,6)))*(fesp!$C:$C=C332), 0)), "")</f>
        <v>5083766</v>
      </c>
      <c r="Q332" cm="1">
        <f t="array" aca="1" ref="Q332" ca="1">IFERROR(INDEX(fesp!$H:$H, MATCH(1, (VALUE(LEFT(fesp!$A:$A,6))=VALUE(LEFT(B332,6)))*(fesp!$C:$C=C332), 0)), "")</f>
        <v>67</v>
      </c>
      <c r="R332" cm="1">
        <f t="array" aca="1" ref="R332" ca="1">IFERROR(INDEX(fesp!$I:$I, MATCH(1, (VALUE(LEFT(fesp!$A:$A,6))=VALUE(LEFT(B332,6)))*(fesp!$C:$C=C332), 0)), "")</f>
        <v>56979</v>
      </c>
      <c r="S332" cm="1">
        <f t="array" aca="1" ref="S332" ca="1">IFERROR(INDEX(fesp!$J:$J, MATCH(1, (VALUE(LEFT(fesp!$A:$A,6))=VALUE(LEFT(B332,6)))*(fesp!$C:$C=C332), 0)), "")</f>
        <v>237206</v>
      </c>
    </row>
    <row r="333" spans="1:19">
      <c r="A333" s="1" t="s">
        <v>41</v>
      </c>
      <c r="B333" s="3">
        <v>3301702</v>
      </c>
      <c r="C333" s="3">
        <v>2016</v>
      </c>
      <c r="D333" cm="1">
        <f t="array" ref="D333">IFERROR(INDEX(fesp!$D:$D, MATCH(1, (VALUE(LEFT(fesp!$A:$A,6))=VALUE(LEFT(B333,6)))*(fesp!$C:$C=C333), 0)), "")</f>
        <v>0</v>
      </c>
      <c r="E333" cm="1">
        <f t="array" aca="1" ref="E333" ca="1">IFERROR(INDEX(ft_medicos_clinicos!$C:$C, MATCH(1, (VALUE(LEFT(ft_medicos_clinicos!$A:$A,6))=VALUE(LEFT(B333,6)))*(ft_medicos_clinicos!$B:$B=C333), 0)), "")</f>
        <v>457</v>
      </c>
      <c r="F333" cm="1">
        <f t="array" aca="1" ref="F333" ca="1">IFERROR(INDEX(ft_enfermeiros!$C:$C, MATCH(1, (VALUE(LEFT(ft_enfermeiros!$A:$A,6))=VALUE(LEFT(B333,6)))*(ft_enfermeiros!$B:$B=C333), 0)), "")</f>
        <v>834</v>
      </c>
      <c r="G333" cm="1">
        <f t="array" aca="1" ref="G333" ca="1">IFERROR(INDEX(ft_equipes_acs!$C:$C, MATCH(1, (VALUE(LEFT(ft_equipes_acs!$A:$A,6))=VALUE(LEFT(B333,6)))*(ft_equipes_acs!$B:$B=C333), 0)), "")</f>
        <v>2</v>
      </c>
      <c r="H333" cm="1">
        <f t="array" aca="1" ref="H333" ca="1">IFERROR(INDEX(ci_leitos_internacao!$C:$C, MATCH(1, (VALUE(LEFT(ci_leitos_internacao!$A:$A,6))=VALUE(LEFT(B333,6)))*(ci_leitos_internacao!$B:$B=C333), 0)), "")</f>
        <v>1136</v>
      </c>
      <c r="I333" cm="1">
        <f t="array" aca="1" ref="I333" ca="1">IFERROR(INDEX(ci_hospitais_internacao!$C:$C, MATCH(1, (VALUE(LEFT(ci_hospitais_internacao!$A:$A,6))=VALUE(LEFT(B333,6)))*(ci_hospitais_internacao!$B:$B=C333), 0)), "")</f>
        <v>4</v>
      </c>
      <c r="J333" t="str" cm="1">
        <f t="array" aca="1" ref="J333" ca="1">IFERROR(INDEX(ci_pa_clinico!$C:$C, MATCH(1, (VALUE(LEFT(ci_pa_clinico!$A:$A,6))=VALUE(LEFT(B333,6)))*(ci_pa_clinico!$B:$B=C333), 0)), "")</f>
        <v/>
      </c>
      <c r="K333" cm="1">
        <f t="array" aca="1" ref="K333" ca="1">IFERROR(INDEX(aps_equipes_esf!$C:$C, MATCH(1, (VALUE(LEFT(aps_equipes_esf!$A:$A,6))=VALUE(LEFT(B333,6)))*(aps_equipes_esf!$B:$B=C333), 0)), "")</f>
        <v>39</v>
      </c>
      <c r="L333" cm="1">
        <f t="array" aca="1" ref="L333" ca="1">IFERROR(INDEX(casos!$C:$C, MATCH(1, (VALUE(LEFT(casos!$A:$A,6))=VALUE(LEFT(B333,6)))*(casos!$B:$B=C333), 0)), "")</f>
        <v>1764</v>
      </c>
      <c r="M333" cm="1">
        <f t="array" ref="M333">IFERROR(INDEX(srag!$D:$D, MATCH(1, (VALUE(LEFT(srag!$A:$A,6))=VALUE(LEFT(B333,6)))*(srag!$C:$C=C333), 0)), "")</f>
        <v>141</v>
      </c>
      <c r="N333" cm="1">
        <f t="array" aca="1" ref="N333" ca="1">IFERROR(INDEX(fesp!$E:$E, MATCH(1, (VALUE(LEFT(fesp!$A:$A,6))=VALUE(LEFT(B333,6)))*(fesp!$C:$C=C333), 0)), "")</f>
        <v>225</v>
      </c>
      <c r="O333" cm="1">
        <f t="array" aca="1" ref="O333" ca="1">IFERROR(INDEX(fesp!$F:$F, MATCH(1, (VALUE(LEFT(fesp!$A:$A,6))=VALUE(LEFT(B333,6)))*(fesp!$C:$C=C333), 0)), "")</f>
        <v>687</v>
      </c>
      <c r="P333" cm="1">
        <f t="array" aca="1" ref="P333" ca="1">IFERROR(INDEX(fesp!$G:$G, MATCH(1, (VALUE(LEFT(fesp!$A:$A,6))=VALUE(LEFT(B333,6)))*(fesp!$C:$C=C333), 0)), "")</f>
        <v>4570164</v>
      </c>
      <c r="Q333" cm="1">
        <f t="array" aca="1" ref="Q333" ca="1">IFERROR(INDEX(fesp!$H:$H, MATCH(1, (VALUE(LEFT(fesp!$A:$A,6))=VALUE(LEFT(B333,6)))*(fesp!$C:$C=C333), 0)), "")</f>
        <v>394</v>
      </c>
      <c r="R333" cm="1">
        <f t="array" aca="1" ref="R333" ca="1">IFERROR(INDEX(fesp!$I:$I, MATCH(1, (VALUE(LEFT(fesp!$A:$A,6))=VALUE(LEFT(B333,6)))*(fesp!$C:$C=C333), 0)), "")</f>
        <v>51069</v>
      </c>
      <c r="S333" cm="1">
        <f t="array" aca="1" ref="S333" ca="1">IFERROR(INDEX(fesp!$J:$J, MATCH(1, (VALUE(LEFT(fesp!$A:$A,6))=VALUE(LEFT(B333,6)))*(fesp!$C:$C=C333), 0)), "")</f>
        <v>216951</v>
      </c>
    </row>
    <row r="334" spans="1:19">
      <c r="A334" s="1" t="s">
        <v>41</v>
      </c>
      <c r="B334" s="3" t="s">
        <v>40</v>
      </c>
      <c r="C334" s="3">
        <v>2017</v>
      </c>
      <c r="D334" cm="1">
        <f t="array" ref="D334">IFERROR(INDEX(fesp!$D:$D, MATCH(1, (VALUE(LEFT(fesp!$A:$A,6))=VALUE(LEFT(B334,6)))*(fesp!$C:$C=C334), 0)), "")</f>
        <v>0</v>
      </c>
      <c r="E334" cm="1">
        <f t="array" aca="1" ref="E334" ca="1">IFERROR(INDEX(ft_medicos_clinicos!$C:$C, MATCH(1, (VALUE(LEFT(ft_medicos_clinicos!$A:$A,6))=VALUE(LEFT(B334,6)))*(ft_medicos_clinicos!$B:$B=C334), 0)), "")</f>
        <v>427</v>
      </c>
      <c r="F334" cm="1">
        <f t="array" aca="1" ref="F334" ca="1">IFERROR(INDEX(ft_enfermeiros!$C:$C, MATCH(1, (VALUE(LEFT(ft_enfermeiros!$A:$A,6))=VALUE(LEFT(B334,6)))*(ft_enfermeiros!$B:$B=C334), 0)), "")</f>
        <v>886</v>
      </c>
      <c r="G334" cm="1">
        <f t="array" aca="1" ref="G334" ca="1">IFERROR(INDEX(ft_equipes_acs!$C:$C, MATCH(1, (VALUE(LEFT(ft_equipes_acs!$A:$A,6))=VALUE(LEFT(B334,6)))*(ft_equipes_acs!$B:$B=C334), 0)), "")</f>
        <v>5</v>
      </c>
      <c r="H334" cm="1">
        <f t="array" aca="1" ref="H334" ca="1">IFERROR(INDEX(ci_leitos_internacao!$C:$C, MATCH(1, (VALUE(LEFT(ci_leitos_internacao!$A:$A,6))=VALUE(LEFT(B334,6)))*(ci_leitos_internacao!$B:$B=C334), 0)), "")</f>
        <v>1042</v>
      </c>
      <c r="I334" cm="1">
        <f t="array" aca="1" ref="I334" ca="1">IFERROR(INDEX(ci_hospitais_internacao!$C:$C, MATCH(1, (VALUE(LEFT(ci_hospitais_internacao!$A:$A,6))=VALUE(LEFT(B334,6)))*(ci_hospitais_internacao!$B:$B=C334), 0)), "")</f>
        <v>3</v>
      </c>
      <c r="J334" t="str" cm="1">
        <f t="array" aca="1" ref="J334" ca="1">IFERROR(INDEX(ci_pa_clinico!$C:$C, MATCH(1, (VALUE(LEFT(ci_pa_clinico!$A:$A,6))=VALUE(LEFT(B334,6)))*(ci_pa_clinico!$B:$B=C334), 0)), "")</f>
        <v/>
      </c>
      <c r="K334" cm="1">
        <f t="array" aca="1" ref="K334" ca="1">IFERROR(INDEX(aps_equipes_esf!$C:$C, MATCH(1, (VALUE(LEFT(aps_equipes_esf!$A:$A,6))=VALUE(LEFT(B334,6)))*(aps_equipes_esf!$B:$B=C334), 0)), "")</f>
        <v>36</v>
      </c>
      <c r="L334" cm="1">
        <f t="array" aca="1" ref="L334" ca="1">IFERROR(INDEX(casos!$C:$C, MATCH(1, (VALUE(LEFT(casos!$A:$A,6))=VALUE(LEFT(B334,6)))*(casos!$B:$B=C334), 0)), "")</f>
        <v>400</v>
      </c>
      <c r="M334" cm="1">
        <f t="array" ref="M334">IFERROR(INDEX(srag!$D:$D, MATCH(1, (VALUE(LEFT(srag!$A:$A,6))=VALUE(LEFT(B334,6)))*(srag!$C:$C=C334), 0)), "")</f>
        <v>45</v>
      </c>
      <c r="N334" cm="1">
        <f t="array" aca="1" ref="N334" ca="1">IFERROR(INDEX(fesp!$E:$E, MATCH(1, (VALUE(LEFT(fesp!$A:$A,6))=VALUE(LEFT(B334,6)))*(fesp!$C:$C=C334), 0)), "")</f>
        <v>205</v>
      </c>
      <c r="O334" cm="1">
        <f t="array" aca="1" ref="O334" ca="1">IFERROR(INDEX(fesp!$F:$F, MATCH(1, (VALUE(LEFT(fesp!$A:$A,6))=VALUE(LEFT(B334,6)))*(fesp!$C:$C=C334), 0)), "")</f>
        <v>347</v>
      </c>
      <c r="P334" cm="1">
        <f t="array" aca="1" ref="P334" ca="1">IFERROR(INDEX(fesp!$G:$G, MATCH(1, (VALUE(LEFT(fesp!$A:$A,6))=VALUE(LEFT(B334,6)))*(fesp!$C:$C=C334), 0)), "")</f>
        <v>4019423</v>
      </c>
      <c r="Q334" cm="1">
        <f t="array" aca="1" ref="Q334" ca="1">IFERROR(INDEX(fesp!$H:$H, MATCH(1, (VALUE(LEFT(fesp!$A:$A,6))=VALUE(LEFT(B334,6)))*(fesp!$C:$C=C334), 0)), "")</f>
        <v>523</v>
      </c>
      <c r="R334" cm="1">
        <f t="array" aca="1" ref="R334" ca="1">IFERROR(INDEX(fesp!$I:$I, MATCH(1, (VALUE(LEFT(fesp!$A:$A,6))=VALUE(LEFT(B334,6)))*(fesp!$C:$C=C334), 0)), "")</f>
        <v>45711</v>
      </c>
      <c r="S334" cm="1">
        <f t="array" aca="1" ref="S334" ca="1">IFERROR(INDEX(fesp!$J:$J, MATCH(1, (VALUE(LEFT(fesp!$A:$A,6))=VALUE(LEFT(B334,6)))*(fesp!$C:$C=C334), 0)), "")</f>
        <v>149050</v>
      </c>
    </row>
    <row r="335" spans="1:19">
      <c r="A335" s="1" t="s">
        <v>41</v>
      </c>
      <c r="B335" s="3" t="s">
        <v>40</v>
      </c>
      <c r="C335" s="3">
        <v>2018</v>
      </c>
      <c r="D335" cm="1">
        <f t="array" ref="D335">IFERROR(INDEX(fesp!$D:$D, MATCH(1, (VALUE(LEFT(fesp!$A:$A,6))=VALUE(LEFT(B335,6)))*(fesp!$C:$C=C335), 0)), "")</f>
        <v>0</v>
      </c>
      <c r="E335" cm="1">
        <f t="array" aca="1" ref="E335" ca="1">IFERROR(INDEX(ft_medicos_clinicos!$C:$C, MATCH(1, (VALUE(LEFT(ft_medicos_clinicos!$A:$A,6))=VALUE(LEFT(B335,6)))*(ft_medicos_clinicos!$B:$B=C335), 0)), "")</f>
        <v>407</v>
      </c>
      <c r="F335" cm="1">
        <f t="array" aca="1" ref="F335" ca="1">IFERROR(INDEX(ft_enfermeiros!$C:$C, MATCH(1, (VALUE(LEFT(ft_enfermeiros!$A:$A,6))=VALUE(LEFT(B335,6)))*(ft_enfermeiros!$B:$B=C335), 0)), "")</f>
        <v>1025</v>
      </c>
      <c r="G335" cm="1">
        <f t="array" aca="1" ref="G335" ca="1">IFERROR(INDEX(ft_equipes_acs!$C:$C, MATCH(1, (VALUE(LEFT(ft_equipes_acs!$A:$A,6))=VALUE(LEFT(B335,6)))*(ft_equipes_acs!$B:$B=C335), 0)), "")</f>
        <v>5</v>
      </c>
      <c r="H335" cm="1">
        <f t="array" aca="1" ref="H335" ca="1">IFERROR(INDEX(ci_leitos_internacao!$C:$C, MATCH(1, (VALUE(LEFT(ci_leitos_internacao!$A:$A,6))=VALUE(LEFT(B335,6)))*(ci_leitos_internacao!$B:$B=C335), 0)), "")</f>
        <v>1064</v>
      </c>
      <c r="I335" cm="1">
        <f t="array" aca="1" ref="I335" ca="1">IFERROR(INDEX(ci_hospitais_internacao!$C:$C, MATCH(1, (VALUE(LEFT(ci_hospitais_internacao!$A:$A,6))=VALUE(LEFT(B335,6)))*(ci_hospitais_internacao!$B:$B=C335), 0)), "")</f>
        <v>3</v>
      </c>
      <c r="J335" t="str" cm="1">
        <f t="array" aca="1" ref="J335" ca="1">IFERROR(INDEX(ci_pa_clinico!$C:$C, MATCH(1, (VALUE(LEFT(ci_pa_clinico!$A:$A,6))=VALUE(LEFT(B335,6)))*(ci_pa_clinico!$B:$B=C335), 0)), "")</f>
        <v/>
      </c>
      <c r="K335" cm="1">
        <f t="array" aca="1" ref="K335" ca="1">IFERROR(INDEX(aps_equipes_esf!$C:$C, MATCH(1, (VALUE(LEFT(aps_equipes_esf!$A:$A,6))=VALUE(LEFT(B335,6)))*(aps_equipes_esf!$B:$B=C335), 0)), "")</f>
        <v>38</v>
      </c>
      <c r="L335" cm="1">
        <f t="array" aca="1" ref="L335" ca="1">IFERROR(INDEX(casos!$C:$C, MATCH(1, (VALUE(LEFT(casos!$A:$A,6))=VALUE(LEFT(B335,6)))*(casos!$B:$B=C335), 0)), "")</f>
        <v>309</v>
      </c>
      <c r="M335" cm="1">
        <f t="array" ref="M335">IFERROR(INDEX(srag!$D:$D, MATCH(1, (VALUE(LEFT(srag!$A:$A,6))=VALUE(LEFT(B335,6)))*(srag!$C:$C=C335), 0)), "")</f>
        <v>139</v>
      </c>
      <c r="N335" cm="1">
        <f t="array" aca="1" ref="N335" ca="1">IFERROR(INDEX(fesp!$E:$E, MATCH(1, (VALUE(LEFT(fesp!$A:$A,6))=VALUE(LEFT(B335,6)))*(fesp!$C:$C=C335), 0)), "")</f>
        <v>243</v>
      </c>
      <c r="O335" cm="1">
        <f t="array" aca="1" ref="O335" ca="1">IFERROR(INDEX(fesp!$F:$F, MATCH(1, (VALUE(LEFT(fesp!$A:$A,6))=VALUE(LEFT(B335,6)))*(fesp!$C:$C=C335), 0)), "")</f>
        <v>14451</v>
      </c>
      <c r="P335" cm="1">
        <f t="array" aca="1" ref="P335" ca="1">IFERROR(INDEX(fesp!$G:$G, MATCH(1, (VALUE(LEFT(fesp!$A:$A,6))=VALUE(LEFT(B335,6)))*(fesp!$C:$C=C335), 0)), "")</f>
        <v>6084685</v>
      </c>
      <c r="Q335" cm="1">
        <f t="array" aca="1" ref="Q335" ca="1">IFERROR(INDEX(fesp!$H:$H, MATCH(1, (VALUE(LEFT(fesp!$A:$A,6))=VALUE(LEFT(B335,6)))*(fesp!$C:$C=C335), 0)), "")</f>
        <v>786</v>
      </c>
      <c r="R335" cm="1">
        <f t="array" aca="1" ref="R335" ca="1">IFERROR(INDEX(fesp!$I:$I, MATCH(1, (VALUE(LEFT(fesp!$A:$A,6))=VALUE(LEFT(B335,6)))*(fesp!$C:$C=C335), 0)), "")</f>
        <v>37597</v>
      </c>
      <c r="S335" cm="1">
        <f t="array" aca="1" ref="S335" ca="1">IFERROR(INDEX(fesp!$J:$J, MATCH(1, (VALUE(LEFT(fesp!$A:$A,6))=VALUE(LEFT(B335,6)))*(fesp!$C:$C=C335), 0)), "")</f>
        <v>59005</v>
      </c>
    </row>
    <row r="336" spans="1:19">
      <c r="A336" s="1" t="s">
        <v>41</v>
      </c>
      <c r="B336" s="3" t="s">
        <v>40</v>
      </c>
      <c r="C336" s="3">
        <v>2019</v>
      </c>
      <c r="D336" cm="1">
        <f t="array" ref="D336">IFERROR(INDEX(fesp!$D:$D, MATCH(1, (VALUE(LEFT(fesp!$A:$A,6))=VALUE(LEFT(B336,6)))*(fesp!$C:$C=C336), 0)), "")</f>
        <v>0</v>
      </c>
      <c r="E336" cm="1">
        <f t="array" aca="1" ref="E336" ca="1">IFERROR(INDEX(ft_medicos_clinicos!$C:$C, MATCH(1, (VALUE(LEFT(ft_medicos_clinicos!$A:$A,6))=VALUE(LEFT(B336,6)))*(ft_medicos_clinicos!$B:$B=C336), 0)), "")</f>
        <v>398</v>
      </c>
      <c r="F336" cm="1">
        <f t="array" aca="1" ref="F336" ca="1">IFERROR(INDEX(ft_enfermeiros!$C:$C, MATCH(1, (VALUE(LEFT(ft_enfermeiros!$A:$A,6))=VALUE(LEFT(B336,6)))*(ft_enfermeiros!$B:$B=C336), 0)), "")</f>
        <v>919</v>
      </c>
      <c r="G336" cm="1">
        <f t="array" aca="1" ref="G336" ca="1">IFERROR(INDEX(ft_equipes_acs!$C:$C, MATCH(1, (VALUE(LEFT(ft_equipes_acs!$A:$A,6))=VALUE(LEFT(B336,6)))*(ft_equipes_acs!$B:$B=C336), 0)), "")</f>
        <v>2</v>
      </c>
      <c r="H336" cm="1">
        <f t="array" aca="1" ref="H336" ca="1">IFERROR(INDEX(ci_leitos_internacao!$C:$C, MATCH(1, (VALUE(LEFT(ci_leitos_internacao!$A:$A,6))=VALUE(LEFT(B336,6)))*(ci_leitos_internacao!$B:$B=C336), 0)), "")</f>
        <v>868</v>
      </c>
      <c r="I336" cm="1">
        <f t="array" aca="1" ref="I336" ca="1">IFERROR(INDEX(ci_hospitais_internacao!$C:$C, MATCH(1, (VALUE(LEFT(ci_hospitais_internacao!$A:$A,6))=VALUE(LEFT(B336,6)))*(ci_hospitais_internacao!$B:$B=C336), 0)), "")</f>
        <v>3</v>
      </c>
      <c r="J336" t="str" cm="1">
        <f t="array" aca="1" ref="J336" ca="1">IFERROR(INDEX(ci_pa_clinico!$C:$C, MATCH(1, (VALUE(LEFT(ci_pa_clinico!$A:$A,6))=VALUE(LEFT(B336,6)))*(ci_pa_clinico!$B:$B=C336), 0)), "")</f>
        <v/>
      </c>
      <c r="K336" cm="1">
        <f t="array" aca="1" ref="K336" ca="1">IFERROR(INDEX(aps_equipes_esf!$C:$C, MATCH(1, (VALUE(LEFT(aps_equipes_esf!$A:$A,6))=VALUE(LEFT(B336,6)))*(aps_equipes_esf!$B:$B=C336), 0)), "")</f>
        <v>37</v>
      </c>
      <c r="L336" cm="1">
        <f t="array" aca="1" ref="L336" ca="1">IFERROR(INDEX(casos!$C:$C, MATCH(1, (VALUE(LEFT(casos!$A:$A,6))=VALUE(LEFT(B336,6)))*(casos!$B:$B=C336), 0)), "")</f>
        <v>736</v>
      </c>
      <c r="M336" cm="1">
        <f t="array" ref="M336">IFERROR(INDEX(srag!$D:$D, MATCH(1, (VALUE(LEFT(srag!$A:$A,6))=VALUE(LEFT(B336,6)))*(srag!$C:$C=C336), 0)), "")</f>
        <v>143</v>
      </c>
      <c r="N336" cm="1">
        <f t="array" aca="1" ref="N336" ca="1">IFERROR(INDEX(fesp!$E:$E, MATCH(1, (VALUE(LEFT(fesp!$A:$A,6))=VALUE(LEFT(B336,6)))*(fesp!$C:$C=C336), 0)), "")</f>
        <v>309</v>
      </c>
      <c r="O336" cm="1">
        <f t="array" aca="1" ref="O336" ca="1">IFERROR(INDEX(fesp!$F:$F, MATCH(1, (VALUE(LEFT(fesp!$A:$A,6))=VALUE(LEFT(B336,6)))*(fesp!$C:$C=C336), 0)), "")</f>
        <v>28393</v>
      </c>
      <c r="P336" cm="1">
        <f t="array" aca="1" ref="P336" ca="1">IFERROR(INDEX(fesp!$G:$G, MATCH(1, (VALUE(LEFT(fesp!$A:$A,6))=VALUE(LEFT(B336,6)))*(fesp!$C:$C=C336), 0)), "")</f>
        <v>7698733</v>
      </c>
      <c r="Q336" cm="1">
        <f t="array" aca="1" ref="Q336" ca="1">IFERROR(INDEX(fesp!$H:$H, MATCH(1, (VALUE(LEFT(fesp!$A:$A,6))=VALUE(LEFT(B336,6)))*(fesp!$C:$C=C336), 0)), "")</f>
        <v>1201</v>
      </c>
      <c r="R336" cm="1">
        <f t="array" aca="1" ref="R336" ca="1">IFERROR(INDEX(fesp!$I:$I, MATCH(1, (VALUE(LEFT(fesp!$A:$A,6))=VALUE(LEFT(B336,6)))*(fesp!$C:$C=C336), 0)), "")</f>
        <v>38800</v>
      </c>
      <c r="S336" cm="1">
        <f t="array" aca="1" ref="S336" ca="1">IFERROR(INDEX(fesp!$J:$J, MATCH(1, (VALUE(LEFT(fesp!$A:$A,6))=VALUE(LEFT(B336,6)))*(fesp!$C:$C=C336), 0)), "")</f>
        <v>90823</v>
      </c>
    </row>
    <row r="337" spans="1:19">
      <c r="A337" s="1" t="s">
        <v>41</v>
      </c>
      <c r="B337" s="3" t="s">
        <v>40</v>
      </c>
      <c r="C337" s="3">
        <v>2020</v>
      </c>
      <c r="D337" cm="1">
        <f t="array" ref="D337">IFERROR(INDEX(fesp!$D:$D, MATCH(1, (VALUE(LEFT(fesp!$A:$A,6))=VALUE(LEFT(B337,6)))*(fesp!$C:$C=C337), 0)), "")</f>
        <v>0</v>
      </c>
      <c r="E337" cm="1">
        <f t="array" aca="1" ref="E337" ca="1">IFERROR(INDEX(ft_medicos_clinicos!$C:$C, MATCH(1, (VALUE(LEFT(ft_medicos_clinicos!$A:$A,6))=VALUE(LEFT(B337,6)))*(ft_medicos_clinicos!$B:$B=C337), 0)), "")</f>
        <v>518</v>
      </c>
      <c r="F337" cm="1">
        <f t="array" aca="1" ref="F337" ca="1">IFERROR(INDEX(ft_enfermeiros!$C:$C, MATCH(1, (VALUE(LEFT(ft_enfermeiros!$A:$A,6))=VALUE(LEFT(B337,6)))*(ft_enfermeiros!$B:$B=C337), 0)), "")</f>
        <v>1139</v>
      </c>
      <c r="G337" t="str" cm="1">
        <f t="array" aca="1" ref="G337" ca="1">IFERROR(INDEX(ft_equipes_acs!$C:$C, MATCH(1, (VALUE(LEFT(ft_equipes_acs!$A:$A,6))=VALUE(LEFT(B337,6)))*(ft_equipes_acs!$B:$B=C337), 0)), "")</f>
        <v>-</v>
      </c>
      <c r="H337" cm="1">
        <f t="array" aca="1" ref="H337" ca="1">IFERROR(INDEX(ci_leitos_internacao!$C:$C, MATCH(1, (VALUE(LEFT(ci_leitos_internacao!$A:$A,6))=VALUE(LEFT(B337,6)))*(ci_leitos_internacao!$B:$B=C337), 0)), "")</f>
        <v>1098</v>
      </c>
      <c r="I337" cm="1">
        <f t="array" aca="1" ref="I337" ca="1">IFERROR(INDEX(ci_hospitais_internacao!$C:$C, MATCH(1, (VALUE(LEFT(ci_hospitais_internacao!$A:$A,6))=VALUE(LEFT(B337,6)))*(ci_hospitais_internacao!$B:$B=C337), 0)), "")</f>
        <v>4</v>
      </c>
      <c r="J337" t="str" cm="1">
        <f t="array" aca="1" ref="J337" ca="1">IFERROR(INDEX(ci_pa_clinico!$C:$C, MATCH(1, (VALUE(LEFT(ci_pa_clinico!$A:$A,6))=VALUE(LEFT(B337,6)))*(ci_pa_clinico!$B:$B=C337), 0)), "")</f>
        <v/>
      </c>
      <c r="K337" t="str" cm="1">
        <f t="array" aca="1" ref="K337" ca="1">IFERROR(INDEX(aps_equipes_esf!$C:$C, MATCH(1, (VALUE(LEFT(aps_equipes_esf!$A:$A,6))=VALUE(LEFT(B337,6)))*(aps_equipes_esf!$B:$B=C337), 0)), "")</f>
        <v>-</v>
      </c>
      <c r="L337" cm="1">
        <f t="array" aca="1" ref="L337" ca="1">IFERROR(INDEX(casos!$C:$C, MATCH(1, (VALUE(LEFT(casos!$A:$A,6))=VALUE(LEFT(B337,6)))*(casos!$B:$B=C337), 0)), "")</f>
        <v>49</v>
      </c>
      <c r="M337" cm="1">
        <f t="array" ref="M337">IFERROR(INDEX(srag!$D:$D, MATCH(1, (VALUE(LEFT(srag!$A:$A,6))=VALUE(LEFT(B337,6)))*(srag!$C:$C=C337), 0)), "")</f>
        <v>5385</v>
      </c>
      <c r="N337" cm="1">
        <f t="array" aca="1" ref="N337" ca="1">IFERROR(INDEX(fesp!$E:$E, MATCH(1, (VALUE(LEFT(fesp!$A:$A,6))=VALUE(LEFT(B337,6)))*(fesp!$C:$C=C337), 0)), "")</f>
        <v>294</v>
      </c>
      <c r="O337" cm="1">
        <f t="array" aca="1" ref="O337" ca="1">IFERROR(INDEX(fesp!$F:$F, MATCH(1, (VALUE(LEFT(fesp!$A:$A,6))=VALUE(LEFT(B337,6)))*(fesp!$C:$C=C337), 0)), "")</f>
        <v>17062</v>
      </c>
      <c r="P337" cm="1">
        <f t="array" aca="1" ref="P337" ca="1">IFERROR(INDEX(fesp!$G:$G, MATCH(1, (VALUE(LEFT(fesp!$A:$A,6))=VALUE(LEFT(B337,6)))*(fesp!$C:$C=C337), 0)), "")</f>
        <v>6183386</v>
      </c>
      <c r="Q337" cm="1">
        <f t="array" aca="1" ref="Q337" ca="1">IFERROR(INDEX(fesp!$H:$H, MATCH(1, (VALUE(LEFT(fesp!$A:$A,6))=VALUE(LEFT(B337,6)))*(fesp!$C:$C=C337), 0)), "")</f>
        <v>647</v>
      </c>
      <c r="R337" cm="1">
        <f t="array" aca="1" ref="R337" ca="1">IFERROR(INDEX(fesp!$I:$I, MATCH(1, (VALUE(LEFT(fesp!$A:$A,6))=VALUE(LEFT(B337,6)))*(fesp!$C:$C=C337), 0)), "")</f>
        <v>38625</v>
      </c>
      <c r="S337" cm="1">
        <f t="array" aca="1" ref="S337" ca="1">IFERROR(INDEX(fesp!$J:$J, MATCH(1, (VALUE(LEFT(fesp!$A:$A,6))=VALUE(LEFT(B337,6)))*(fesp!$C:$C=C337), 0)), "")</f>
        <v>49260</v>
      </c>
    </row>
    <row r="338" spans="1:19">
      <c r="A338" s="1" t="s">
        <v>41</v>
      </c>
      <c r="B338" s="3" t="s">
        <v>40</v>
      </c>
      <c r="C338" s="3">
        <v>2021</v>
      </c>
      <c r="D338" cm="1">
        <f t="array" ref="D338">IFERROR(INDEX(fesp!$D:$D, MATCH(1, (VALUE(LEFT(fesp!$A:$A,6))=VALUE(LEFT(B338,6)))*(fesp!$C:$C=C338), 0)), "")</f>
        <v>0</v>
      </c>
      <c r="E338" cm="1">
        <f t="array" aca="1" ref="E338" ca="1">IFERROR(INDEX(ft_medicos_clinicos!$C:$C, MATCH(1, (VALUE(LEFT(ft_medicos_clinicos!$A:$A,6))=VALUE(LEFT(B338,6)))*(ft_medicos_clinicos!$B:$B=C338), 0)), "")</f>
        <v>580</v>
      </c>
      <c r="F338" cm="1">
        <f t="array" aca="1" ref="F338" ca="1">IFERROR(INDEX(ft_enfermeiros!$C:$C, MATCH(1, (VALUE(LEFT(ft_enfermeiros!$A:$A,6))=VALUE(LEFT(B338,6)))*(ft_enfermeiros!$B:$B=C338), 0)), "")</f>
        <v>1392</v>
      </c>
      <c r="G338" t="str" cm="1">
        <f t="array" aca="1" ref="G338" ca="1">IFERROR(INDEX(ft_equipes_acs!$C:$C, MATCH(1, (VALUE(LEFT(ft_equipes_acs!$A:$A,6))=VALUE(LEFT(B338,6)))*(ft_equipes_acs!$B:$B=C338), 0)), "")</f>
        <v>-</v>
      </c>
      <c r="H338" cm="1">
        <f t="array" aca="1" ref="H338" ca="1">IFERROR(INDEX(ci_leitos_internacao!$C:$C, MATCH(1, (VALUE(LEFT(ci_leitos_internacao!$A:$A,6))=VALUE(LEFT(B338,6)))*(ci_leitos_internacao!$B:$B=C338), 0)), "")</f>
        <v>1123</v>
      </c>
      <c r="I338" cm="1">
        <f t="array" aca="1" ref="I338" ca="1">IFERROR(INDEX(ci_hospitais_internacao!$C:$C, MATCH(1, (VALUE(LEFT(ci_hospitais_internacao!$A:$A,6))=VALUE(LEFT(B338,6)))*(ci_hospitais_internacao!$B:$B=C338), 0)), "")</f>
        <v>4</v>
      </c>
      <c r="J338" t="str" cm="1">
        <f t="array" aca="1" ref="J338" ca="1">IFERROR(INDEX(ci_pa_clinico!$C:$C, MATCH(1, (VALUE(LEFT(ci_pa_clinico!$A:$A,6))=VALUE(LEFT(B338,6)))*(ci_pa_clinico!$B:$B=C338), 0)), "")</f>
        <v/>
      </c>
      <c r="K338" t="str" cm="1">
        <f t="array" aca="1" ref="K338" ca="1">IFERROR(INDEX(aps_equipes_esf!$C:$C, MATCH(1, (VALUE(LEFT(aps_equipes_esf!$A:$A,6))=VALUE(LEFT(B338,6)))*(aps_equipes_esf!$B:$B=C338), 0)), "")</f>
        <v>-</v>
      </c>
      <c r="L338" cm="1">
        <f t="array" aca="1" ref="L338" ca="1">IFERROR(INDEX(casos!$C:$C, MATCH(1, (VALUE(LEFT(casos!$A:$A,6))=VALUE(LEFT(B338,6)))*(casos!$B:$B=C338), 0)), "")</f>
        <v>83</v>
      </c>
      <c r="M338" cm="1">
        <f t="array" ref="M338">IFERROR(INDEX(srag!$D:$D, MATCH(1, (VALUE(LEFT(srag!$A:$A,6))=VALUE(LEFT(B338,6)))*(srag!$C:$C=C338), 0)), "")</f>
        <v>5506</v>
      </c>
      <c r="N338" cm="1">
        <f t="array" aca="1" ref="N338" ca="1">IFERROR(INDEX(fesp!$E:$E, MATCH(1, (VALUE(LEFT(fesp!$A:$A,6))=VALUE(LEFT(B338,6)))*(fesp!$C:$C=C338), 0)), "")</f>
        <v>217</v>
      </c>
      <c r="O338" cm="1">
        <f t="array" aca="1" ref="O338" ca="1">IFERROR(INDEX(fesp!$F:$F, MATCH(1, (VALUE(LEFT(fesp!$A:$A,6))=VALUE(LEFT(B338,6)))*(fesp!$C:$C=C338), 0)), "")</f>
        <v>24371</v>
      </c>
      <c r="P338" cm="1">
        <f t="array" aca="1" ref="P338" ca="1">IFERROR(INDEX(fesp!$G:$G, MATCH(1, (VALUE(LEFT(fesp!$A:$A,6))=VALUE(LEFT(B338,6)))*(fesp!$C:$C=C338), 0)), "")</f>
        <v>7271394</v>
      </c>
      <c r="Q338" cm="1">
        <f t="array" aca="1" ref="Q338" ca="1">IFERROR(INDEX(fesp!$H:$H, MATCH(1, (VALUE(LEFT(fesp!$A:$A,6))=VALUE(LEFT(B338,6)))*(fesp!$C:$C=C338), 0)), "")</f>
        <v>425</v>
      </c>
      <c r="R338" cm="1">
        <f t="array" aca="1" ref="R338" ca="1">IFERROR(INDEX(fesp!$I:$I, MATCH(1, (VALUE(LEFT(fesp!$A:$A,6))=VALUE(LEFT(B338,6)))*(fesp!$C:$C=C338), 0)), "")</f>
        <v>21495</v>
      </c>
      <c r="S338" cm="1">
        <f t="array" aca="1" ref="S338" ca="1">IFERROR(INDEX(fesp!$J:$J, MATCH(1, (VALUE(LEFT(fesp!$A:$A,6))=VALUE(LEFT(B338,6)))*(fesp!$C:$C=C338), 0)), "")</f>
        <v>63025</v>
      </c>
    </row>
    <row r="339" spans="1:19">
      <c r="A339" s="1" t="s">
        <v>41</v>
      </c>
      <c r="B339" s="3" t="s">
        <v>40</v>
      </c>
      <c r="C339" s="3">
        <v>2022</v>
      </c>
      <c r="D339" cm="1">
        <f t="array" ref="D339">IFERROR(INDEX(fesp!$D:$D, MATCH(1, (VALUE(LEFT(fesp!$A:$A,6))=VALUE(LEFT(B339,6)))*(fesp!$C:$C=C339), 0)), "")</f>
        <v>808161</v>
      </c>
      <c r="E339" cm="1">
        <f t="array" aca="1" ref="E339" ca="1">IFERROR(INDEX(ft_medicos_clinicos!$C:$C, MATCH(1, (VALUE(LEFT(ft_medicos_clinicos!$A:$A,6))=VALUE(LEFT(B339,6)))*(ft_medicos_clinicos!$B:$B=C339), 0)), "")</f>
        <v>629</v>
      </c>
      <c r="F339" cm="1">
        <f t="array" aca="1" ref="F339" ca="1">IFERROR(INDEX(ft_enfermeiros!$C:$C, MATCH(1, (VALUE(LEFT(ft_enfermeiros!$A:$A,6))=VALUE(LEFT(B339,6)))*(ft_enfermeiros!$B:$B=C339), 0)), "")</f>
        <v>1616</v>
      </c>
      <c r="G339" t="str" cm="1">
        <f t="array" aca="1" ref="G339" ca="1">IFERROR(INDEX(ft_equipes_acs!$C:$C, MATCH(1, (VALUE(LEFT(ft_equipes_acs!$A:$A,6))=VALUE(LEFT(B339,6)))*(ft_equipes_acs!$B:$B=C339), 0)), "")</f>
        <v>-</v>
      </c>
      <c r="H339" cm="1">
        <f t="array" aca="1" ref="H339" ca="1">IFERROR(INDEX(ci_leitos_internacao!$C:$C, MATCH(1, (VALUE(LEFT(ci_leitos_internacao!$A:$A,6))=VALUE(LEFT(B339,6)))*(ci_leitos_internacao!$B:$B=C339), 0)), "")</f>
        <v>1341</v>
      </c>
      <c r="I339" cm="1">
        <f t="array" aca="1" ref="I339" ca="1">IFERROR(INDEX(ci_hospitais_internacao!$C:$C, MATCH(1, (VALUE(LEFT(ci_hospitais_internacao!$A:$A,6))=VALUE(LEFT(B339,6)))*(ci_hospitais_internacao!$B:$B=C339), 0)), "")</f>
        <v>4</v>
      </c>
      <c r="J339" t="str" cm="1">
        <f t="array" aca="1" ref="J339" ca="1">IFERROR(INDEX(ci_pa_clinico!$C:$C, MATCH(1, (VALUE(LEFT(ci_pa_clinico!$A:$A,6))=VALUE(LEFT(B339,6)))*(ci_pa_clinico!$B:$B=C339), 0)), "")</f>
        <v/>
      </c>
      <c r="K339" t="str" cm="1">
        <f t="array" aca="1" ref="K339" ca="1">IFERROR(INDEX(aps_equipes_esf!$C:$C, MATCH(1, (VALUE(LEFT(aps_equipes_esf!$A:$A,6))=VALUE(LEFT(B339,6)))*(aps_equipes_esf!$B:$B=C339), 0)), "")</f>
        <v>-</v>
      </c>
      <c r="L339" cm="1">
        <f t="array" aca="1" ref="L339" ca="1">IFERROR(INDEX(casos!$C:$C, MATCH(1, (VALUE(LEFT(casos!$A:$A,6))=VALUE(LEFT(B339,6)))*(casos!$B:$B=C339), 0)), "")</f>
        <v>479</v>
      </c>
      <c r="M339" cm="1">
        <f t="array" ref="M339">IFERROR(INDEX(srag!$D:$D, MATCH(1, (VALUE(LEFT(srag!$A:$A,6))=VALUE(LEFT(B339,6)))*(srag!$C:$C=C339), 0)), "")</f>
        <v>1291</v>
      </c>
      <c r="N339" cm="1">
        <f t="array" aca="1" ref="N339" ca="1">IFERROR(INDEX(fesp!$E:$E, MATCH(1, (VALUE(LEFT(fesp!$A:$A,6))=VALUE(LEFT(B339,6)))*(fesp!$C:$C=C339), 0)), "")</f>
        <v>293</v>
      </c>
      <c r="O339" cm="1">
        <f t="array" aca="1" ref="O339" ca="1">IFERROR(INDEX(fesp!$F:$F, MATCH(1, (VALUE(LEFT(fesp!$A:$A,6))=VALUE(LEFT(B339,6)))*(fesp!$C:$C=C339), 0)), "")</f>
        <v>27655</v>
      </c>
      <c r="P339" cm="1">
        <f t="array" aca="1" ref="P339" ca="1">IFERROR(INDEX(fesp!$G:$G, MATCH(1, (VALUE(LEFT(fesp!$A:$A,6))=VALUE(LEFT(B339,6)))*(fesp!$C:$C=C339), 0)), "")</f>
        <v>10513143</v>
      </c>
      <c r="Q339" cm="1">
        <f t="array" aca="1" ref="Q339" ca="1">IFERROR(INDEX(fesp!$H:$H, MATCH(1, (VALUE(LEFT(fesp!$A:$A,6))=VALUE(LEFT(B339,6)))*(fesp!$C:$C=C339), 0)), "")</f>
        <v>1060</v>
      </c>
      <c r="R339" cm="1">
        <f t="array" aca="1" ref="R339" ca="1">IFERROR(INDEX(fesp!$I:$I, MATCH(1, (VALUE(LEFT(fesp!$A:$A,6))=VALUE(LEFT(B339,6)))*(fesp!$C:$C=C339), 0)), "")</f>
        <v>23681</v>
      </c>
      <c r="S339" cm="1">
        <f t="array" aca="1" ref="S339" ca="1">IFERROR(INDEX(fesp!$J:$J, MATCH(1, (VALUE(LEFT(fesp!$A:$A,6))=VALUE(LEFT(B339,6)))*(fesp!$C:$C=C339), 0)), "")</f>
        <v>58887</v>
      </c>
    </row>
    <row r="340" spans="1:19">
      <c r="A340" s="1" t="s">
        <v>41</v>
      </c>
      <c r="B340" s="3" t="s">
        <v>40</v>
      </c>
      <c r="C340" s="3">
        <v>2023</v>
      </c>
      <c r="D340" cm="1">
        <f t="array" ref="D340">IFERROR(INDEX(fesp!$D:$D, MATCH(1, (VALUE(LEFT(fesp!$A:$A,6))=VALUE(LEFT(B340,6)))*(fesp!$C:$C=C340), 0)), "")</f>
        <v>0</v>
      </c>
      <c r="E340" cm="1">
        <f t="array" aca="1" ref="E340" ca="1">IFERROR(INDEX(ft_medicos_clinicos!$C:$C, MATCH(1, (VALUE(LEFT(ft_medicos_clinicos!$A:$A,6))=VALUE(LEFT(B340,6)))*(ft_medicos_clinicos!$B:$B=C340), 0)), "")</f>
        <v>644</v>
      </c>
      <c r="F340" cm="1">
        <f t="array" aca="1" ref="F340" ca="1">IFERROR(INDEX(ft_enfermeiros!$C:$C, MATCH(1, (VALUE(LEFT(ft_enfermeiros!$A:$A,6))=VALUE(LEFT(B340,6)))*(ft_enfermeiros!$B:$B=C340), 0)), "")</f>
        <v>1656</v>
      </c>
      <c r="G340" t="str" cm="1">
        <f t="array" aca="1" ref="G340" ca="1">IFERROR(INDEX(ft_equipes_acs!$C:$C, MATCH(1, (VALUE(LEFT(ft_equipes_acs!$A:$A,6))=VALUE(LEFT(B340,6)))*(ft_equipes_acs!$B:$B=C340), 0)), "")</f>
        <v>-</v>
      </c>
      <c r="H340" cm="1">
        <f t="array" aca="1" ref="H340" ca="1">IFERROR(INDEX(ci_leitos_internacao!$C:$C, MATCH(1, (VALUE(LEFT(ci_leitos_internacao!$A:$A,6))=VALUE(LEFT(B340,6)))*(ci_leitos_internacao!$B:$B=C340), 0)), "")</f>
        <v>1163</v>
      </c>
      <c r="I340" cm="1">
        <f t="array" aca="1" ref="I340" ca="1">IFERROR(INDEX(ci_hospitais_internacao!$C:$C, MATCH(1, (VALUE(LEFT(ci_hospitais_internacao!$A:$A,6))=VALUE(LEFT(B340,6)))*(ci_hospitais_internacao!$B:$B=C340), 0)), "")</f>
        <v>4</v>
      </c>
      <c r="J340" t="str" cm="1">
        <f t="array" aca="1" ref="J340" ca="1">IFERROR(INDEX(ci_pa_clinico!$C:$C, MATCH(1, (VALUE(LEFT(ci_pa_clinico!$A:$A,6))=VALUE(LEFT(B340,6)))*(ci_pa_clinico!$B:$B=C340), 0)), "")</f>
        <v/>
      </c>
      <c r="K340" t="str" cm="1">
        <f t="array" aca="1" ref="K340" ca="1">IFERROR(INDEX(aps_equipes_esf!$C:$C, MATCH(1, (VALUE(LEFT(aps_equipes_esf!$A:$A,6))=VALUE(LEFT(B340,6)))*(aps_equipes_esf!$B:$B=C340), 0)), "")</f>
        <v>-</v>
      </c>
      <c r="L340" cm="1">
        <f t="array" aca="1" ref="L340" ca="1">IFERROR(INDEX(casos!$C:$C, MATCH(1, (VALUE(LEFT(casos!$A:$A,6))=VALUE(LEFT(B340,6)))*(casos!$B:$B=C340), 0)), "")</f>
        <v>1720</v>
      </c>
      <c r="M340" cm="1">
        <f t="array" ref="M340">IFERROR(INDEX(srag!$D:$D, MATCH(1, (VALUE(LEFT(srag!$A:$A,6))=VALUE(LEFT(B340,6)))*(srag!$C:$C=C340), 0)), "")</f>
        <v>455</v>
      </c>
      <c r="N340" cm="1">
        <f t="array" aca="1" ref="N340" ca="1">IFERROR(INDEX(fesp!$E:$E, MATCH(1, (VALUE(LEFT(fesp!$A:$A,6))=VALUE(LEFT(B340,6)))*(fesp!$C:$C=C340), 0)), "")</f>
        <v>465</v>
      </c>
      <c r="O340" cm="1">
        <f t="array" aca="1" ref="O340" ca="1">IFERROR(INDEX(fesp!$F:$F, MATCH(1, (VALUE(LEFT(fesp!$A:$A,6))=VALUE(LEFT(B340,6)))*(fesp!$C:$C=C340), 0)), "")</f>
        <v>31563</v>
      </c>
      <c r="P340" cm="1">
        <f t="array" aca="1" ref="P340" ca="1">IFERROR(INDEX(fesp!$G:$G, MATCH(1, (VALUE(LEFT(fesp!$A:$A,6))=VALUE(LEFT(B340,6)))*(fesp!$C:$C=C340), 0)), "")</f>
        <v>13859935</v>
      </c>
      <c r="Q340" cm="1">
        <f t="array" aca="1" ref="Q340" ca="1">IFERROR(INDEX(fesp!$H:$H, MATCH(1, (VALUE(LEFT(fesp!$A:$A,6))=VALUE(LEFT(B340,6)))*(fesp!$C:$C=C340), 0)), "")</f>
        <v>1040</v>
      </c>
      <c r="R340" cm="1">
        <f t="array" aca="1" ref="R340" ca="1">IFERROR(INDEX(fesp!$I:$I, MATCH(1, (VALUE(LEFT(fesp!$A:$A,6))=VALUE(LEFT(B340,6)))*(fesp!$C:$C=C340), 0)), "")</f>
        <v>31305</v>
      </c>
      <c r="S340" cm="1">
        <f t="array" aca="1" ref="S340" ca="1">IFERROR(INDEX(fesp!$J:$J, MATCH(1, (VALUE(LEFT(fesp!$A:$A,6))=VALUE(LEFT(B340,6)))*(fesp!$C:$C=C340), 0)), "")</f>
        <v>73188</v>
      </c>
    </row>
    <row r="341" spans="1:19">
      <c r="A341" s="1" t="s">
        <v>41</v>
      </c>
      <c r="B341" s="3" t="s">
        <v>40</v>
      </c>
      <c r="C341" s="3">
        <v>2024</v>
      </c>
      <c r="D341" cm="1">
        <f t="array" ref="D341">IFERROR(INDEX(fesp!$D:$D, MATCH(1, (VALUE(LEFT(fesp!$A:$A,6))=VALUE(LEFT(B341,6)))*(fesp!$C:$C=C341), 0)), "")</f>
        <v>0</v>
      </c>
      <c r="E341" cm="1">
        <f t="array" aca="1" ref="E341" ca="1">IFERROR(INDEX(ft_medicos_clinicos!$C:$C, MATCH(1, (VALUE(LEFT(ft_medicos_clinicos!$A:$A,6))=VALUE(LEFT(B341,6)))*(ft_medicos_clinicos!$B:$B=C341), 0)), "")</f>
        <v>656</v>
      </c>
      <c r="F341" cm="1">
        <f t="array" aca="1" ref="F341" ca="1">IFERROR(INDEX(ft_enfermeiros!$C:$C, MATCH(1, (VALUE(LEFT(ft_enfermeiros!$A:$A,6))=VALUE(LEFT(B341,6)))*(ft_enfermeiros!$B:$B=C341), 0)), "")</f>
        <v>1524</v>
      </c>
      <c r="G341" t="str" cm="1">
        <f t="array" aca="1" ref="G341" ca="1">IFERROR(INDEX(ft_equipes_acs!$C:$C, MATCH(1, (VALUE(LEFT(ft_equipes_acs!$A:$A,6))=VALUE(LEFT(B341,6)))*(ft_equipes_acs!$B:$B=C341), 0)), "")</f>
        <v>-</v>
      </c>
      <c r="H341" cm="1">
        <f t="array" aca="1" ref="H341" ca="1">IFERROR(INDEX(ci_leitos_internacao!$C:$C, MATCH(1, (VALUE(LEFT(ci_leitos_internacao!$A:$A,6))=VALUE(LEFT(B341,6)))*(ci_leitos_internacao!$B:$B=C341), 0)), "")</f>
        <v>1333</v>
      </c>
      <c r="I341" cm="1">
        <f t="array" aca="1" ref="I341" ca="1">IFERROR(INDEX(ci_hospitais_internacao!$C:$C, MATCH(1, (VALUE(LEFT(ci_hospitais_internacao!$A:$A,6))=VALUE(LEFT(B341,6)))*(ci_hospitais_internacao!$B:$B=C341), 0)), "")</f>
        <v>4</v>
      </c>
      <c r="J341" t="str" cm="1">
        <f t="array" aca="1" ref="J341" ca="1">IFERROR(INDEX(ci_pa_clinico!$C:$C, MATCH(1, (VALUE(LEFT(ci_pa_clinico!$A:$A,6))=VALUE(LEFT(B341,6)))*(ci_pa_clinico!$B:$B=C341), 0)), "")</f>
        <v/>
      </c>
      <c r="K341" t="str" cm="1">
        <f t="array" aca="1" ref="K341" ca="1">IFERROR(INDEX(aps_equipes_esf!$C:$C, MATCH(1, (VALUE(LEFT(aps_equipes_esf!$A:$A,6))=VALUE(LEFT(B341,6)))*(aps_equipes_esf!$B:$B=C341), 0)), "")</f>
        <v>-</v>
      </c>
      <c r="L341" cm="1">
        <f t="array" aca="1" ref="L341" ca="1">IFERROR(INDEX(casos!$C:$C, MATCH(1, (VALUE(LEFT(casos!$A:$A,6))=VALUE(LEFT(B341,6)))*(casos!$B:$B=C341), 0)), "")</f>
        <v>7169</v>
      </c>
      <c r="M341" cm="1">
        <f t="array" ref="M341">IFERROR(INDEX(srag!$D:$D, MATCH(1, (VALUE(LEFT(srag!$A:$A,6))=VALUE(LEFT(B341,6)))*(srag!$C:$C=C341), 0)), "")</f>
        <v>452</v>
      </c>
      <c r="N341" cm="1">
        <f t="array" aca="1" ref="N341" ca="1">IFERROR(INDEX(fesp!$E:$E, MATCH(1, (VALUE(LEFT(fesp!$A:$A,6))=VALUE(LEFT(B341,6)))*(fesp!$C:$C=C341), 0)), "")</f>
        <v>464</v>
      </c>
      <c r="O341" cm="1">
        <f t="array" aca="1" ref="O341" ca="1">IFERROR(INDEX(fesp!$F:$F, MATCH(1, (VALUE(LEFT(fesp!$A:$A,6))=VALUE(LEFT(B341,6)))*(fesp!$C:$C=C341), 0)), "")</f>
        <v>33808</v>
      </c>
      <c r="P341" cm="1">
        <f t="array" aca="1" ref="P341" ca="1">IFERROR(INDEX(fesp!$G:$G, MATCH(1, (VALUE(LEFT(fesp!$A:$A,6))=VALUE(LEFT(B341,6)))*(fesp!$C:$C=C341), 0)), "")</f>
        <v>11574548</v>
      </c>
      <c r="Q341" cm="1">
        <f t="array" aca="1" ref="Q341" ca="1">IFERROR(INDEX(fesp!$H:$H, MATCH(1, (VALUE(LEFT(fesp!$A:$A,6))=VALUE(LEFT(B341,6)))*(fesp!$C:$C=C341), 0)), "")</f>
        <v>1022</v>
      </c>
      <c r="R341" cm="1">
        <f t="array" aca="1" ref="R341" ca="1">IFERROR(INDEX(fesp!$I:$I, MATCH(1, (VALUE(LEFT(fesp!$A:$A,6))=VALUE(LEFT(B341,6)))*(fesp!$C:$C=C341), 0)), "")</f>
        <v>29473</v>
      </c>
      <c r="S341" cm="1">
        <f t="array" aca="1" ref="S341" ca="1">IFERROR(INDEX(fesp!$J:$J, MATCH(1, (VALUE(LEFT(fesp!$A:$A,6))=VALUE(LEFT(B341,6)))*(fesp!$C:$C=C341), 0)), "")</f>
        <v>75969</v>
      </c>
    </row>
    <row r="342" spans="1:19">
      <c r="A342" s="1" t="s">
        <v>41</v>
      </c>
      <c r="B342" s="3">
        <v>3301702</v>
      </c>
      <c r="C342" s="3">
        <v>2025</v>
      </c>
      <c r="D342" cm="1">
        <f t="array" ref="D342">IFERROR(INDEX(fesp!$D:$D, MATCH(1, (VALUE(LEFT(fesp!$A:$A,6))=VALUE(LEFT(B342,6)))*(fesp!$C:$C=C342), 0)), "")</f>
        <v>0</v>
      </c>
      <c r="E342" cm="1">
        <f t="array" aca="1" ref="E342" ca="1">IFERROR(INDEX(ft_medicos_clinicos!$C:$C, MATCH(1, (VALUE(LEFT(ft_medicos_clinicos!$A:$A,6))=VALUE(LEFT(B342,6)))*(ft_medicos_clinicos!$B:$B=C342), 0)), "")</f>
        <v>547</v>
      </c>
      <c r="F342" cm="1">
        <f t="array" aca="1" ref="F342" ca="1">IFERROR(INDEX(ft_enfermeiros!$C:$C, MATCH(1, (VALUE(LEFT(ft_enfermeiros!$A:$A,6))=VALUE(LEFT(B342,6)))*(ft_enfermeiros!$B:$B=C342), 0)), "")</f>
        <v>1309</v>
      </c>
      <c r="G342" t="str" cm="1">
        <f t="array" aca="1" ref="G342" ca="1">IFERROR(INDEX(ft_equipes_acs!$C:$C, MATCH(1, (VALUE(LEFT(ft_equipes_acs!$A:$A,6))=VALUE(LEFT(B342,6)))*(ft_equipes_acs!$B:$B=C342), 0)), "")</f>
        <v>-</v>
      </c>
      <c r="H342" cm="1">
        <f t="array" aca="1" ref="H342" ca="1">IFERROR(INDEX(ci_leitos_internacao!$C:$C, MATCH(1, (VALUE(LEFT(ci_leitos_internacao!$A:$A,6))=VALUE(LEFT(B342,6)))*(ci_leitos_internacao!$B:$B=C342), 0)), "")</f>
        <v>1224</v>
      </c>
      <c r="I342" cm="1">
        <f t="array" aca="1" ref="I342" ca="1">IFERROR(INDEX(ci_hospitais_internacao!$C:$C, MATCH(1, (VALUE(LEFT(ci_hospitais_internacao!$A:$A,6))=VALUE(LEFT(B342,6)))*(ci_hospitais_internacao!$B:$B=C342), 0)), "")</f>
        <v>4</v>
      </c>
      <c r="J342" t="str" cm="1">
        <f t="array" aca="1" ref="J342" ca="1">IFERROR(INDEX(ci_pa_clinico!$C:$C, MATCH(1, (VALUE(LEFT(ci_pa_clinico!$A:$A,6))=VALUE(LEFT(B342,6)))*(ci_pa_clinico!$B:$B=C342), 0)), "")</f>
        <v/>
      </c>
      <c r="K342" t="str" cm="1">
        <f t="array" aca="1" ref="K342" ca="1">IFERROR(INDEX(aps_equipes_esf!$C:$C, MATCH(1, (VALUE(LEFT(aps_equipes_esf!$A:$A,6))=VALUE(LEFT(B342,6)))*(aps_equipes_esf!$B:$B=C342), 0)), "")</f>
        <v>-</v>
      </c>
      <c r="L342" cm="1">
        <f t="array" aca="1" ref="L342" ca="1">IFERROR(INDEX(casos!$C:$C, MATCH(1, (VALUE(LEFT(casos!$A:$A,6))=VALUE(LEFT(B342,6)))*(casos!$B:$B=C342), 0)), "")</f>
        <v>775</v>
      </c>
      <c r="M342" cm="1">
        <f t="array" ref="M342">IFERROR(INDEX(srag!$D:$D, MATCH(1, (VALUE(LEFT(srag!$A:$A,6))=VALUE(LEFT(B342,6)))*(srag!$C:$C=C342), 0)), "")</f>
        <v>616</v>
      </c>
      <c r="N342" cm="1">
        <f t="array" aca="1" ref="N342" ca="1">IFERROR(INDEX(fesp!$E:$E, MATCH(1, (VALUE(LEFT(fesp!$A:$A,6))=VALUE(LEFT(B342,6)))*(fesp!$C:$C=C342), 0)), "")</f>
        <v>261</v>
      </c>
      <c r="O342" cm="1">
        <f t="array" aca="1" ref="O342" ca="1">IFERROR(INDEX(fesp!$F:$F, MATCH(1, (VALUE(LEFT(fesp!$A:$A,6))=VALUE(LEFT(B342,6)))*(fesp!$C:$C=C342), 0)), "")</f>
        <v>21255</v>
      </c>
      <c r="P342" cm="1">
        <f t="array" aca="1" ref="P342" ca="1">IFERROR(INDEX(fesp!$G:$G, MATCH(1, (VALUE(LEFT(fesp!$A:$A,6))=VALUE(LEFT(B342,6)))*(fesp!$C:$C=C342), 0)), "")</f>
        <v>10155332</v>
      </c>
      <c r="Q342" cm="1">
        <f t="array" aca="1" ref="Q342" ca="1">IFERROR(INDEX(fesp!$H:$H, MATCH(1, (VALUE(LEFT(fesp!$A:$A,6))=VALUE(LEFT(B342,6)))*(fesp!$C:$C=C342), 0)), "")</f>
        <v>471</v>
      </c>
      <c r="R342" cm="1">
        <f t="array" aca="1" ref="R342" ca="1">IFERROR(INDEX(fesp!$I:$I, MATCH(1, (VALUE(LEFT(fesp!$A:$A,6))=VALUE(LEFT(B342,6)))*(fesp!$C:$C=C342), 0)), "")</f>
        <v>22410</v>
      </c>
      <c r="S342" cm="1">
        <f t="array" aca="1" ref="S342" ca="1">IFERROR(INDEX(fesp!$J:$J, MATCH(1, (VALUE(LEFT(fesp!$A:$A,6))=VALUE(LEFT(B342,6)))*(fesp!$C:$C=C342), 0)), "")</f>
        <v>48505</v>
      </c>
    </row>
    <row r="343" spans="1:19">
      <c r="A343" s="1" t="s">
        <v>89</v>
      </c>
      <c r="B343" s="3">
        <v>3303302</v>
      </c>
      <c r="C343" s="3">
        <v>2015</v>
      </c>
      <c r="D343" cm="1">
        <f t="array" ref="D343">IFERROR(INDEX(fesp!$D:$D, MATCH(1, (VALUE(LEFT(fesp!$A:$A,6))=VALUE(LEFT(B343,6)))*(fesp!$C:$C=C343), 0)), "")</f>
        <v>496696</v>
      </c>
      <c r="E343" cm="1">
        <f t="array" aca="1" ref="E343" ca="1">IFERROR(INDEX(ft_medicos_clinicos!$C:$C, MATCH(1, (VALUE(LEFT(ft_medicos_clinicos!$A:$A,6))=VALUE(LEFT(B343,6)))*(ft_medicos_clinicos!$B:$B=C343), 0)), "")</f>
        <v>546</v>
      </c>
      <c r="F343" cm="1">
        <f t="array" aca="1" ref="F343" ca="1">IFERROR(INDEX(ft_enfermeiros!$C:$C, MATCH(1, (VALUE(LEFT(ft_enfermeiros!$A:$A,6))=VALUE(LEFT(B343,6)))*(ft_enfermeiros!$B:$B=C343), 0)), "")</f>
        <v>877</v>
      </c>
      <c r="G343" t="str" cm="1">
        <f t="array" aca="1" ref="G343" ca="1">IFERROR(INDEX(ft_equipes_acs!$C:$C, MATCH(1, (VALUE(LEFT(ft_equipes_acs!$A:$A,6))=VALUE(LEFT(B343,6)))*(ft_equipes_acs!$B:$B=C343), 0)), "")</f>
        <v/>
      </c>
      <c r="H343" cm="1">
        <f t="array" aca="1" ref="H343" ca="1">IFERROR(INDEX(ci_leitos_internacao!$C:$C, MATCH(1, (VALUE(LEFT(ci_leitos_internacao!$A:$A,6))=VALUE(LEFT(B343,6)))*(ci_leitos_internacao!$B:$B=C343), 0)), "")</f>
        <v>2642</v>
      </c>
      <c r="I343" cm="1">
        <f t="array" aca="1" ref="I343" ca="1">IFERROR(INDEX(ci_hospitais_internacao!$C:$C, MATCH(1, (VALUE(LEFT(ci_hospitais_internacao!$A:$A,6))=VALUE(LEFT(B343,6)))*(ci_hospitais_internacao!$B:$B=C343), 0)), "")</f>
        <v>4</v>
      </c>
      <c r="J343" cm="1">
        <f t="array" aca="1" ref="J343" ca="1">IFERROR(INDEX(ci_pa_clinico!$C:$C, MATCH(1, (VALUE(LEFT(ci_pa_clinico!$A:$A,6))=VALUE(LEFT(B343,6)))*(ci_pa_clinico!$B:$B=C343), 0)), "")</f>
        <v>1</v>
      </c>
      <c r="K343" cm="1">
        <f t="array" aca="1" ref="K343" ca="1">IFERROR(INDEX(aps_equipes_esf!$C:$C, MATCH(1, (VALUE(LEFT(aps_equipes_esf!$A:$A,6))=VALUE(LEFT(B343,6)))*(aps_equipes_esf!$B:$B=C343), 0)), "")</f>
        <v>76</v>
      </c>
      <c r="L343" cm="1">
        <f t="array" aca="1" ref="L343" ca="1">IFERROR(INDEX(casos!$C:$C, MATCH(1, (VALUE(LEFT(casos!$A:$A,6))=VALUE(LEFT(B343,6)))*(casos!$B:$B=C343), 0)), "")</f>
        <v>846</v>
      </c>
      <c r="M343" cm="1">
        <f t="array" ref="M343">IFERROR(INDEX(srag!$D:$D, MATCH(1, (VALUE(LEFT(srag!$A:$A,6))=VALUE(LEFT(B343,6)))*(srag!$C:$C=C343), 0)), "")</f>
        <v>25</v>
      </c>
      <c r="N343" cm="1">
        <f t="array" aca="1" ref="N343" ca="1">IFERROR(INDEX(fesp!$E:$E, MATCH(1, (VALUE(LEFT(fesp!$A:$A,6))=VALUE(LEFT(B343,6)))*(fesp!$C:$C=C343), 0)), "")</f>
        <v>193</v>
      </c>
      <c r="O343" cm="1">
        <f t="array" aca="1" ref="O343" ca="1">IFERROR(INDEX(fesp!$F:$F, MATCH(1, (VALUE(LEFT(fesp!$A:$A,6))=VALUE(LEFT(B343,6)))*(fesp!$C:$C=C343), 0)), "")</f>
        <v>14133</v>
      </c>
      <c r="P343" cm="1">
        <f t="array" aca="1" ref="P343" ca="1">IFERROR(INDEX(fesp!$G:$G, MATCH(1, (VALUE(LEFT(fesp!$A:$A,6))=VALUE(LEFT(B343,6)))*(fesp!$C:$C=C343), 0)), "")</f>
        <v>3113134</v>
      </c>
      <c r="Q343" cm="1">
        <f t="array" aca="1" ref="Q343" ca="1">IFERROR(INDEX(fesp!$H:$H, MATCH(1, (VALUE(LEFT(fesp!$A:$A,6))=VALUE(LEFT(B343,6)))*(fesp!$C:$C=C343), 0)), "")</f>
        <v>45</v>
      </c>
      <c r="R343" cm="1">
        <f t="array" aca="1" ref="R343" ca="1">IFERROR(INDEX(fesp!$I:$I, MATCH(1, (VALUE(LEFT(fesp!$A:$A,6))=VALUE(LEFT(B343,6)))*(fesp!$C:$C=C343), 0)), "")</f>
        <v>6297</v>
      </c>
      <c r="S343" cm="1">
        <f t="array" aca="1" ref="S343" ca="1">IFERROR(INDEX(fesp!$J:$J, MATCH(1, (VALUE(LEFT(fesp!$A:$A,6))=VALUE(LEFT(B343,6)))*(fesp!$C:$C=C343), 0)), "")</f>
        <v>182851</v>
      </c>
    </row>
    <row r="344" spans="1:19">
      <c r="A344" s="1" t="s">
        <v>89</v>
      </c>
      <c r="B344" s="3">
        <v>3303302</v>
      </c>
      <c r="C344" s="3">
        <v>2016</v>
      </c>
      <c r="D344" cm="1">
        <f t="array" ref="D344">IFERROR(INDEX(fesp!$D:$D, MATCH(1, (VALUE(LEFT(fesp!$A:$A,6))=VALUE(LEFT(B344,6)))*(fesp!$C:$C=C344), 0)), "")</f>
        <v>0</v>
      </c>
      <c r="E344" cm="1">
        <f t="array" aca="1" ref="E344" ca="1">IFERROR(INDEX(ft_medicos_clinicos!$C:$C, MATCH(1, (VALUE(LEFT(ft_medicos_clinicos!$A:$A,6))=VALUE(LEFT(B344,6)))*(ft_medicos_clinicos!$B:$B=C344), 0)), "")</f>
        <v>555</v>
      </c>
      <c r="F344" cm="1">
        <f t="array" aca="1" ref="F344" ca="1">IFERROR(INDEX(ft_enfermeiros!$C:$C, MATCH(1, (VALUE(LEFT(ft_enfermeiros!$A:$A,6))=VALUE(LEFT(B344,6)))*(ft_enfermeiros!$B:$B=C344), 0)), "")</f>
        <v>1035</v>
      </c>
      <c r="G344" t="str" cm="1">
        <f t="array" aca="1" ref="G344" ca="1">IFERROR(INDEX(ft_equipes_acs!$C:$C, MATCH(1, (VALUE(LEFT(ft_equipes_acs!$A:$A,6))=VALUE(LEFT(B344,6)))*(ft_equipes_acs!$B:$B=C344), 0)), "")</f>
        <v/>
      </c>
      <c r="H344" cm="1">
        <f t="array" aca="1" ref="H344" ca="1">IFERROR(INDEX(ci_leitos_internacao!$C:$C, MATCH(1, (VALUE(LEFT(ci_leitos_internacao!$A:$A,6))=VALUE(LEFT(B344,6)))*(ci_leitos_internacao!$B:$B=C344), 0)), "")</f>
        <v>2619</v>
      </c>
      <c r="I344" cm="1">
        <f t="array" aca="1" ref="I344" ca="1">IFERROR(INDEX(ci_hospitais_internacao!$C:$C, MATCH(1, (VALUE(LEFT(ci_hospitais_internacao!$A:$A,6))=VALUE(LEFT(B344,6)))*(ci_hospitais_internacao!$B:$B=C344), 0)), "")</f>
        <v>4</v>
      </c>
      <c r="J344" cm="1">
        <f t="array" aca="1" ref="J344" ca="1">IFERROR(INDEX(ci_pa_clinico!$C:$C, MATCH(1, (VALUE(LEFT(ci_pa_clinico!$A:$A,6))=VALUE(LEFT(B344,6)))*(ci_pa_clinico!$B:$B=C344), 0)), "")</f>
        <v>1</v>
      </c>
      <c r="K344" cm="1">
        <f t="array" aca="1" ref="K344" ca="1">IFERROR(INDEX(aps_equipes_esf!$C:$C, MATCH(1, (VALUE(LEFT(aps_equipes_esf!$A:$A,6))=VALUE(LEFT(B344,6)))*(aps_equipes_esf!$B:$B=C344), 0)), "")</f>
        <v>69</v>
      </c>
      <c r="L344" cm="1">
        <f t="array" aca="1" ref="L344" ca="1">IFERROR(INDEX(casos!$C:$C, MATCH(1, (VALUE(LEFT(casos!$A:$A,6))=VALUE(LEFT(B344,6)))*(casos!$B:$B=C344), 0)), "")</f>
        <v>3908</v>
      </c>
      <c r="M344" cm="1">
        <f t="array" ref="M344">IFERROR(INDEX(srag!$D:$D, MATCH(1, (VALUE(LEFT(srag!$A:$A,6))=VALUE(LEFT(B344,6)))*(srag!$C:$C=C344), 0)), "")</f>
        <v>131</v>
      </c>
      <c r="N344" cm="1">
        <f t="array" aca="1" ref="N344" ca="1">IFERROR(INDEX(fesp!$E:$E, MATCH(1, (VALUE(LEFT(fesp!$A:$A,6))=VALUE(LEFT(B344,6)))*(fesp!$C:$C=C344), 0)), "")</f>
        <v>185</v>
      </c>
      <c r="O344" cm="1">
        <f t="array" aca="1" ref="O344" ca="1">IFERROR(INDEX(fesp!$F:$F, MATCH(1, (VALUE(LEFT(fesp!$A:$A,6))=VALUE(LEFT(B344,6)))*(fesp!$C:$C=C344), 0)), "")</f>
        <v>14775</v>
      </c>
      <c r="P344" cm="1">
        <f t="array" aca="1" ref="P344" ca="1">IFERROR(INDEX(fesp!$G:$G, MATCH(1, (VALUE(LEFT(fesp!$A:$A,6))=VALUE(LEFT(B344,6)))*(fesp!$C:$C=C344), 0)), "")</f>
        <v>3057835</v>
      </c>
      <c r="Q344" cm="1">
        <f t="array" aca="1" ref="Q344" ca="1">IFERROR(INDEX(fesp!$H:$H, MATCH(1, (VALUE(LEFT(fesp!$A:$A,6))=VALUE(LEFT(B344,6)))*(fesp!$C:$C=C344), 0)), "")</f>
        <v>39</v>
      </c>
      <c r="R344" cm="1">
        <f t="array" aca="1" ref="R344" ca="1">IFERROR(INDEX(fesp!$I:$I, MATCH(1, (VALUE(LEFT(fesp!$A:$A,6))=VALUE(LEFT(B344,6)))*(fesp!$C:$C=C344), 0)), "")</f>
        <v>8577</v>
      </c>
      <c r="S344" cm="1">
        <f t="array" aca="1" ref="S344" ca="1">IFERROR(INDEX(fesp!$J:$J, MATCH(1, (VALUE(LEFT(fesp!$A:$A,6))=VALUE(LEFT(B344,6)))*(fesp!$C:$C=C344), 0)), "")</f>
        <v>271039</v>
      </c>
    </row>
    <row r="345" spans="1:19">
      <c r="A345" s="1" t="s">
        <v>89</v>
      </c>
      <c r="B345" s="3" t="s">
        <v>88</v>
      </c>
      <c r="C345" s="3">
        <v>2017</v>
      </c>
      <c r="D345" cm="1">
        <f t="array" ref="D345">IFERROR(INDEX(fesp!$D:$D, MATCH(1, (VALUE(LEFT(fesp!$A:$A,6))=VALUE(LEFT(B345,6)))*(fesp!$C:$C=C345), 0)), "")</f>
        <v>0</v>
      </c>
      <c r="E345" cm="1">
        <f t="array" aca="1" ref="E345" ca="1">IFERROR(INDEX(ft_medicos_clinicos!$C:$C, MATCH(1, (VALUE(LEFT(ft_medicos_clinicos!$A:$A,6))=VALUE(LEFT(B345,6)))*(ft_medicos_clinicos!$B:$B=C345), 0)), "")</f>
        <v>526</v>
      </c>
      <c r="F345" cm="1">
        <f t="array" aca="1" ref="F345" ca="1">IFERROR(INDEX(ft_enfermeiros!$C:$C, MATCH(1, (VALUE(LEFT(ft_enfermeiros!$A:$A,6))=VALUE(LEFT(B345,6)))*(ft_enfermeiros!$B:$B=C345), 0)), "")</f>
        <v>1011</v>
      </c>
      <c r="G345" t="str" cm="1">
        <f t="array" aca="1" ref="G345" ca="1">IFERROR(INDEX(ft_equipes_acs!$C:$C, MATCH(1, (VALUE(LEFT(ft_equipes_acs!$A:$A,6))=VALUE(LEFT(B345,6)))*(ft_equipes_acs!$B:$B=C345), 0)), "")</f>
        <v/>
      </c>
      <c r="H345" cm="1">
        <f t="array" aca="1" ref="H345" ca="1">IFERROR(INDEX(ci_leitos_internacao!$C:$C, MATCH(1, (VALUE(LEFT(ci_leitos_internacao!$A:$A,6))=VALUE(LEFT(B345,6)))*(ci_leitos_internacao!$B:$B=C345), 0)), "")</f>
        <v>2559</v>
      </c>
      <c r="I345" cm="1">
        <f t="array" aca="1" ref="I345" ca="1">IFERROR(INDEX(ci_hospitais_internacao!$C:$C, MATCH(1, (VALUE(LEFT(ci_hospitais_internacao!$A:$A,6))=VALUE(LEFT(B345,6)))*(ci_hospitais_internacao!$B:$B=C345), 0)), "")</f>
        <v>4</v>
      </c>
      <c r="J345" cm="1">
        <f t="array" aca="1" ref="J345" ca="1">IFERROR(INDEX(ci_pa_clinico!$C:$C, MATCH(1, (VALUE(LEFT(ci_pa_clinico!$A:$A,6))=VALUE(LEFT(B345,6)))*(ci_pa_clinico!$B:$B=C345), 0)), "")</f>
        <v>3</v>
      </c>
      <c r="K345" cm="1">
        <f t="array" aca="1" ref="K345" ca="1">IFERROR(INDEX(aps_equipes_esf!$C:$C, MATCH(1, (VALUE(LEFT(aps_equipes_esf!$A:$A,6))=VALUE(LEFT(B345,6)))*(aps_equipes_esf!$B:$B=C345), 0)), "")</f>
        <v>76</v>
      </c>
      <c r="L345" cm="1">
        <f t="array" aca="1" ref="L345" ca="1">IFERROR(INDEX(casos!$C:$C, MATCH(1, (VALUE(LEFT(casos!$A:$A,6))=VALUE(LEFT(B345,6)))*(casos!$B:$B=C345), 0)), "")</f>
        <v>985</v>
      </c>
      <c r="M345" cm="1">
        <f t="array" ref="M345">IFERROR(INDEX(srag!$D:$D, MATCH(1, (VALUE(LEFT(srag!$A:$A,6))=VALUE(LEFT(B345,6)))*(srag!$C:$C=C345), 0)), "")</f>
        <v>26</v>
      </c>
      <c r="N345" cm="1">
        <f t="array" aca="1" ref="N345" ca="1">IFERROR(INDEX(fesp!$E:$E, MATCH(1, (VALUE(LEFT(fesp!$A:$A,6))=VALUE(LEFT(B345,6)))*(fesp!$C:$C=C345), 0)), "")</f>
        <v>182</v>
      </c>
      <c r="O345" cm="1">
        <f t="array" aca="1" ref="O345" ca="1">IFERROR(INDEX(fesp!$F:$F, MATCH(1, (VALUE(LEFT(fesp!$A:$A,6))=VALUE(LEFT(B345,6)))*(fesp!$C:$C=C345), 0)), "")</f>
        <v>12729</v>
      </c>
      <c r="P345" cm="1">
        <f t="array" aca="1" ref="P345" ca="1">IFERROR(INDEX(fesp!$G:$G, MATCH(1, (VALUE(LEFT(fesp!$A:$A,6))=VALUE(LEFT(B345,6)))*(fesp!$C:$C=C345), 0)), "")</f>
        <v>3175512</v>
      </c>
      <c r="Q345" cm="1">
        <f t="array" aca="1" ref="Q345" ca="1">IFERROR(INDEX(fesp!$H:$H, MATCH(1, (VALUE(LEFT(fesp!$A:$A,6))=VALUE(LEFT(B345,6)))*(fesp!$C:$C=C345), 0)), "")</f>
        <v>58</v>
      </c>
      <c r="R345" cm="1">
        <f t="array" aca="1" ref="R345" ca="1">IFERROR(INDEX(fesp!$I:$I, MATCH(1, (VALUE(LEFT(fesp!$A:$A,6))=VALUE(LEFT(B345,6)))*(fesp!$C:$C=C345), 0)), "")</f>
        <v>29328</v>
      </c>
      <c r="S345" cm="1">
        <f t="array" aca="1" ref="S345" ca="1">IFERROR(INDEX(fesp!$J:$J, MATCH(1, (VALUE(LEFT(fesp!$A:$A,6))=VALUE(LEFT(B345,6)))*(fesp!$C:$C=C345), 0)), "")</f>
        <v>288427</v>
      </c>
    </row>
    <row r="346" spans="1:19">
      <c r="A346" s="1" t="s">
        <v>89</v>
      </c>
      <c r="B346" s="3" t="s">
        <v>88</v>
      </c>
      <c r="C346" s="3">
        <v>2018</v>
      </c>
      <c r="D346" cm="1">
        <f t="array" ref="D346">IFERROR(INDEX(fesp!$D:$D, MATCH(1, (VALUE(LEFT(fesp!$A:$A,6))=VALUE(LEFT(B346,6)))*(fesp!$C:$C=C346), 0)), "")</f>
        <v>0</v>
      </c>
      <c r="E346" cm="1">
        <f t="array" aca="1" ref="E346" ca="1">IFERROR(INDEX(ft_medicos_clinicos!$C:$C, MATCH(1, (VALUE(LEFT(ft_medicos_clinicos!$A:$A,6))=VALUE(LEFT(B346,6)))*(ft_medicos_clinicos!$B:$B=C346), 0)), "")</f>
        <v>571</v>
      </c>
      <c r="F346" cm="1">
        <f t="array" aca="1" ref="F346" ca="1">IFERROR(INDEX(ft_enfermeiros!$C:$C, MATCH(1, (VALUE(LEFT(ft_enfermeiros!$A:$A,6))=VALUE(LEFT(B346,6)))*(ft_enfermeiros!$B:$B=C346), 0)), "")</f>
        <v>1101</v>
      </c>
      <c r="G346" t="str" cm="1">
        <f t="array" aca="1" ref="G346" ca="1">IFERROR(INDEX(ft_equipes_acs!$C:$C, MATCH(1, (VALUE(LEFT(ft_equipes_acs!$A:$A,6))=VALUE(LEFT(B346,6)))*(ft_equipes_acs!$B:$B=C346), 0)), "")</f>
        <v/>
      </c>
      <c r="H346" cm="1">
        <f t="array" aca="1" ref="H346" ca="1">IFERROR(INDEX(ci_leitos_internacao!$C:$C, MATCH(1, (VALUE(LEFT(ci_leitos_internacao!$A:$A,6))=VALUE(LEFT(B346,6)))*(ci_leitos_internacao!$B:$B=C346), 0)), "")</f>
        <v>2467</v>
      </c>
      <c r="I346" cm="1">
        <f t="array" aca="1" ref="I346" ca="1">IFERROR(INDEX(ci_hospitais_internacao!$C:$C, MATCH(1, (VALUE(LEFT(ci_hospitais_internacao!$A:$A,6))=VALUE(LEFT(B346,6)))*(ci_hospitais_internacao!$B:$B=C346), 0)), "")</f>
        <v>4</v>
      </c>
      <c r="J346" cm="1">
        <f t="array" aca="1" ref="J346" ca="1">IFERROR(INDEX(ci_pa_clinico!$C:$C, MATCH(1, (VALUE(LEFT(ci_pa_clinico!$A:$A,6))=VALUE(LEFT(B346,6)))*(ci_pa_clinico!$B:$B=C346), 0)), "")</f>
        <v>3</v>
      </c>
      <c r="K346" cm="1">
        <f t="array" aca="1" ref="K346" ca="1">IFERROR(INDEX(aps_equipes_esf!$C:$C, MATCH(1, (VALUE(LEFT(aps_equipes_esf!$A:$A,6))=VALUE(LEFT(B346,6)))*(aps_equipes_esf!$B:$B=C346), 0)), "")</f>
        <v>70</v>
      </c>
      <c r="L346" cm="1">
        <f t="array" aca="1" ref="L346" ca="1">IFERROR(INDEX(casos!$C:$C, MATCH(1, (VALUE(LEFT(casos!$A:$A,6))=VALUE(LEFT(B346,6)))*(casos!$B:$B=C346), 0)), "")</f>
        <v>1907</v>
      </c>
      <c r="M346" cm="1">
        <f t="array" ref="M346">IFERROR(INDEX(srag!$D:$D, MATCH(1, (VALUE(LEFT(srag!$A:$A,6))=VALUE(LEFT(B346,6)))*(srag!$C:$C=C346), 0)), "")</f>
        <v>62</v>
      </c>
      <c r="N346" cm="1">
        <f t="array" aca="1" ref="N346" ca="1">IFERROR(INDEX(fesp!$E:$E, MATCH(1, (VALUE(LEFT(fesp!$A:$A,6))=VALUE(LEFT(B346,6)))*(fesp!$C:$C=C346), 0)), "")</f>
        <v>160</v>
      </c>
      <c r="O346" cm="1">
        <f t="array" aca="1" ref="O346" ca="1">IFERROR(INDEX(fesp!$F:$F, MATCH(1, (VALUE(LEFT(fesp!$A:$A,6))=VALUE(LEFT(B346,6)))*(fesp!$C:$C=C346), 0)), "")</f>
        <v>7265</v>
      </c>
      <c r="P346" cm="1">
        <f t="array" aca="1" ref="P346" ca="1">IFERROR(INDEX(fesp!$G:$G, MATCH(1, (VALUE(LEFT(fesp!$A:$A,6))=VALUE(LEFT(B346,6)))*(fesp!$C:$C=C346), 0)), "")</f>
        <v>3137822</v>
      </c>
      <c r="Q346" cm="1">
        <f t="array" aca="1" ref="Q346" ca="1">IFERROR(INDEX(fesp!$H:$H, MATCH(1, (VALUE(LEFT(fesp!$A:$A,6))=VALUE(LEFT(B346,6)))*(fesp!$C:$C=C346), 0)), "")</f>
        <v>56</v>
      </c>
      <c r="R346" cm="1">
        <f t="array" aca="1" ref="R346" ca="1">IFERROR(INDEX(fesp!$I:$I, MATCH(1, (VALUE(LEFT(fesp!$A:$A,6))=VALUE(LEFT(B346,6)))*(fesp!$C:$C=C346), 0)), "")</f>
        <v>9430</v>
      </c>
      <c r="S346" cm="1">
        <f t="array" aca="1" ref="S346" ca="1">IFERROR(INDEX(fesp!$J:$J, MATCH(1, (VALUE(LEFT(fesp!$A:$A,6))=VALUE(LEFT(B346,6)))*(fesp!$C:$C=C346), 0)), "")</f>
        <v>80440</v>
      </c>
    </row>
    <row r="347" spans="1:19">
      <c r="A347" s="1" t="s">
        <v>89</v>
      </c>
      <c r="B347" s="3" t="s">
        <v>88</v>
      </c>
      <c r="C347" s="3">
        <v>2019</v>
      </c>
      <c r="D347" cm="1">
        <f t="array" ref="D347">IFERROR(INDEX(fesp!$D:$D, MATCH(1, (VALUE(LEFT(fesp!$A:$A,6))=VALUE(LEFT(B347,6)))*(fesp!$C:$C=C347), 0)), "")</f>
        <v>0</v>
      </c>
      <c r="E347" cm="1">
        <f t="array" aca="1" ref="E347" ca="1">IFERROR(INDEX(ft_medicos_clinicos!$C:$C, MATCH(1, (VALUE(LEFT(ft_medicos_clinicos!$A:$A,6))=VALUE(LEFT(B347,6)))*(ft_medicos_clinicos!$B:$B=C347), 0)), "")</f>
        <v>570</v>
      </c>
      <c r="F347" cm="1">
        <f t="array" aca="1" ref="F347" ca="1">IFERROR(INDEX(ft_enfermeiros!$C:$C, MATCH(1, (VALUE(LEFT(ft_enfermeiros!$A:$A,6))=VALUE(LEFT(B347,6)))*(ft_enfermeiros!$B:$B=C347), 0)), "")</f>
        <v>1146</v>
      </c>
      <c r="G347" t="str" cm="1">
        <f t="array" aca="1" ref="G347" ca="1">IFERROR(INDEX(ft_equipes_acs!$C:$C, MATCH(1, (VALUE(LEFT(ft_equipes_acs!$A:$A,6))=VALUE(LEFT(B347,6)))*(ft_equipes_acs!$B:$B=C347), 0)), "")</f>
        <v/>
      </c>
      <c r="H347" cm="1">
        <f t="array" aca="1" ref="H347" ca="1">IFERROR(INDEX(ci_leitos_internacao!$C:$C, MATCH(1, (VALUE(LEFT(ci_leitos_internacao!$A:$A,6))=VALUE(LEFT(B347,6)))*(ci_leitos_internacao!$B:$B=C347), 0)), "")</f>
        <v>2498</v>
      </c>
      <c r="I347" cm="1">
        <f t="array" aca="1" ref="I347" ca="1">IFERROR(INDEX(ci_hospitais_internacao!$C:$C, MATCH(1, (VALUE(LEFT(ci_hospitais_internacao!$A:$A,6))=VALUE(LEFT(B347,6)))*(ci_hospitais_internacao!$B:$B=C347), 0)), "")</f>
        <v>4</v>
      </c>
      <c r="J347" cm="1">
        <f t="array" aca="1" ref="J347" ca="1">IFERROR(INDEX(ci_pa_clinico!$C:$C, MATCH(1, (VALUE(LEFT(ci_pa_clinico!$A:$A,6))=VALUE(LEFT(B347,6)))*(ci_pa_clinico!$B:$B=C347), 0)), "")</f>
        <v>3</v>
      </c>
      <c r="K347" cm="1">
        <f t="array" aca="1" ref="K347" ca="1">IFERROR(INDEX(aps_equipes_esf!$C:$C, MATCH(1, (VALUE(LEFT(aps_equipes_esf!$A:$A,6))=VALUE(LEFT(B347,6)))*(aps_equipes_esf!$B:$B=C347), 0)), "")</f>
        <v>75</v>
      </c>
      <c r="L347" cm="1">
        <f t="array" aca="1" ref="L347" ca="1">IFERROR(INDEX(casos!$C:$C, MATCH(1, (VALUE(LEFT(casos!$A:$A,6))=VALUE(LEFT(B347,6)))*(casos!$B:$B=C347), 0)), "")</f>
        <v>374</v>
      </c>
      <c r="M347" cm="1">
        <f t="array" ref="M347">IFERROR(INDEX(srag!$D:$D, MATCH(1, (VALUE(LEFT(srag!$A:$A,6))=VALUE(LEFT(B347,6)))*(srag!$C:$C=C347), 0)), "")</f>
        <v>112</v>
      </c>
      <c r="N347" cm="1">
        <f t="array" aca="1" ref="N347" ca="1">IFERROR(INDEX(fesp!$E:$E, MATCH(1, (VALUE(LEFT(fesp!$A:$A,6))=VALUE(LEFT(B347,6)))*(fesp!$C:$C=C347), 0)), "")</f>
        <v>116</v>
      </c>
      <c r="O347" cm="1">
        <f t="array" aca="1" ref="O347" ca="1">IFERROR(INDEX(fesp!$F:$F, MATCH(1, (VALUE(LEFT(fesp!$A:$A,6))=VALUE(LEFT(B347,6)))*(fesp!$C:$C=C347), 0)), "")</f>
        <v>8487</v>
      </c>
      <c r="P347" cm="1">
        <f t="array" aca="1" ref="P347" ca="1">IFERROR(INDEX(fesp!$G:$G, MATCH(1, (VALUE(LEFT(fesp!$A:$A,6))=VALUE(LEFT(B347,6)))*(fesp!$C:$C=C347), 0)), "")</f>
        <v>3407226</v>
      </c>
      <c r="Q347" cm="1">
        <f t="array" aca="1" ref="Q347" ca="1">IFERROR(INDEX(fesp!$H:$H, MATCH(1, (VALUE(LEFT(fesp!$A:$A,6))=VALUE(LEFT(B347,6)))*(fesp!$C:$C=C347), 0)), "")</f>
        <v>47</v>
      </c>
      <c r="R347" cm="1">
        <f t="array" aca="1" ref="R347" ca="1">IFERROR(INDEX(fesp!$I:$I, MATCH(1, (VALUE(LEFT(fesp!$A:$A,6))=VALUE(LEFT(B347,6)))*(fesp!$C:$C=C347), 0)), "")</f>
        <v>8722</v>
      </c>
      <c r="S347" cm="1">
        <f t="array" aca="1" ref="S347" ca="1">IFERROR(INDEX(fesp!$J:$J, MATCH(1, (VALUE(LEFT(fesp!$A:$A,6))=VALUE(LEFT(B347,6)))*(fesp!$C:$C=C347), 0)), "")</f>
        <v>58663</v>
      </c>
    </row>
    <row r="348" spans="1:19">
      <c r="A348" s="1" t="s">
        <v>89</v>
      </c>
      <c r="B348" s="3" t="s">
        <v>88</v>
      </c>
      <c r="C348" s="3">
        <v>2020</v>
      </c>
      <c r="D348" cm="1">
        <f t="array" ref="D348">IFERROR(INDEX(fesp!$D:$D, MATCH(1, (VALUE(LEFT(fesp!$A:$A,6))=VALUE(LEFT(B348,6)))*(fesp!$C:$C=C348), 0)), "")</f>
        <v>0</v>
      </c>
      <c r="E348" cm="1">
        <f t="array" aca="1" ref="E348" ca="1">IFERROR(INDEX(ft_medicos_clinicos!$C:$C, MATCH(1, (VALUE(LEFT(ft_medicos_clinicos!$A:$A,6))=VALUE(LEFT(B348,6)))*(ft_medicos_clinicos!$B:$B=C348), 0)), "")</f>
        <v>534</v>
      </c>
      <c r="F348" cm="1">
        <f t="array" aca="1" ref="F348" ca="1">IFERROR(INDEX(ft_enfermeiros!$C:$C, MATCH(1, (VALUE(LEFT(ft_enfermeiros!$A:$A,6))=VALUE(LEFT(B348,6)))*(ft_enfermeiros!$B:$B=C348), 0)), "")</f>
        <v>1282</v>
      </c>
      <c r="G348" t="str" cm="1">
        <f t="array" aca="1" ref="G348" ca="1">IFERROR(INDEX(ft_equipes_acs!$C:$C, MATCH(1, (VALUE(LEFT(ft_equipes_acs!$A:$A,6))=VALUE(LEFT(B348,6)))*(ft_equipes_acs!$B:$B=C348), 0)), "")</f>
        <v/>
      </c>
      <c r="H348" cm="1">
        <f t="array" aca="1" ref="H348" ca="1">IFERROR(INDEX(ci_leitos_internacao!$C:$C, MATCH(1, (VALUE(LEFT(ci_leitos_internacao!$A:$A,6))=VALUE(LEFT(B348,6)))*(ci_leitos_internacao!$B:$B=C348), 0)), "")</f>
        <v>2110</v>
      </c>
      <c r="I348" cm="1">
        <f t="array" aca="1" ref="I348" ca="1">IFERROR(INDEX(ci_hospitais_internacao!$C:$C, MATCH(1, (VALUE(LEFT(ci_hospitais_internacao!$A:$A,6))=VALUE(LEFT(B348,6)))*(ci_hospitais_internacao!$B:$B=C348), 0)), "")</f>
        <v>5</v>
      </c>
      <c r="J348" cm="1">
        <f t="array" aca="1" ref="J348" ca="1">IFERROR(INDEX(ci_pa_clinico!$C:$C, MATCH(1, (VALUE(LEFT(ci_pa_clinico!$A:$A,6))=VALUE(LEFT(B348,6)))*(ci_pa_clinico!$B:$B=C348), 0)), "")</f>
        <v>3</v>
      </c>
      <c r="K348" t="str" cm="1">
        <f t="array" aca="1" ref="K348" ca="1">IFERROR(INDEX(aps_equipes_esf!$C:$C, MATCH(1, (VALUE(LEFT(aps_equipes_esf!$A:$A,6))=VALUE(LEFT(B348,6)))*(aps_equipes_esf!$B:$B=C348), 0)), "")</f>
        <v>-</v>
      </c>
      <c r="L348" cm="1">
        <f t="array" aca="1" ref="L348" ca="1">IFERROR(INDEX(casos!$C:$C, MATCH(1, (VALUE(LEFT(casos!$A:$A,6))=VALUE(LEFT(B348,6)))*(casos!$B:$B=C348), 0)), "")</f>
        <v>78</v>
      </c>
      <c r="M348" cm="1">
        <f t="array" ref="M348">IFERROR(INDEX(srag!$D:$D, MATCH(1, (VALUE(LEFT(srag!$A:$A,6))=VALUE(LEFT(B348,6)))*(srag!$C:$C=C348), 0)), "")</f>
        <v>6131</v>
      </c>
      <c r="N348" cm="1">
        <f t="array" aca="1" ref="N348" ca="1">IFERROR(INDEX(fesp!$E:$E, MATCH(1, (VALUE(LEFT(fesp!$A:$A,6))=VALUE(LEFT(B348,6)))*(fesp!$C:$C=C348), 0)), "")</f>
        <v>136</v>
      </c>
      <c r="O348" cm="1">
        <f t="array" aca="1" ref="O348" ca="1">IFERROR(INDEX(fesp!$F:$F, MATCH(1, (VALUE(LEFT(fesp!$A:$A,6))=VALUE(LEFT(B348,6)))*(fesp!$C:$C=C348), 0)), "")</f>
        <v>2411</v>
      </c>
      <c r="P348" cm="1">
        <f t="array" aca="1" ref="P348" ca="1">IFERROR(INDEX(fesp!$G:$G, MATCH(1, (VALUE(LEFT(fesp!$A:$A,6))=VALUE(LEFT(B348,6)))*(fesp!$C:$C=C348), 0)), "")</f>
        <v>2376955</v>
      </c>
      <c r="Q348" cm="1">
        <f t="array" aca="1" ref="Q348" ca="1">IFERROR(INDEX(fesp!$H:$H, MATCH(1, (VALUE(LEFT(fesp!$A:$A,6))=VALUE(LEFT(B348,6)))*(fesp!$C:$C=C348), 0)), "")</f>
        <v>42</v>
      </c>
      <c r="R348" cm="1">
        <f t="array" aca="1" ref="R348" ca="1">IFERROR(INDEX(fesp!$I:$I, MATCH(1, (VALUE(LEFT(fesp!$A:$A,6))=VALUE(LEFT(B348,6)))*(fesp!$C:$C=C348), 0)), "")</f>
        <v>6754</v>
      </c>
      <c r="S348" cm="1">
        <f t="array" aca="1" ref="S348" ca="1">IFERROR(INDEX(fesp!$J:$J, MATCH(1, (VALUE(LEFT(fesp!$A:$A,6))=VALUE(LEFT(B348,6)))*(fesp!$C:$C=C348), 0)), "")</f>
        <v>36172</v>
      </c>
    </row>
    <row r="349" spans="1:19">
      <c r="A349" s="1" t="s">
        <v>89</v>
      </c>
      <c r="B349" s="3" t="s">
        <v>88</v>
      </c>
      <c r="C349" s="3">
        <v>2021</v>
      </c>
      <c r="D349" cm="1">
        <f t="array" ref="D349">IFERROR(INDEX(fesp!$D:$D, MATCH(1, (VALUE(LEFT(fesp!$A:$A,6))=VALUE(LEFT(B349,6)))*(fesp!$C:$C=C349), 0)), "")</f>
        <v>0</v>
      </c>
      <c r="E349" cm="1">
        <f t="array" aca="1" ref="E349" ca="1">IFERROR(INDEX(ft_medicos_clinicos!$C:$C, MATCH(1, (VALUE(LEFT(ft_medicos_clinicos!$A:$A,6))=VALUE(LEFT(B349,6)))*(ft_medicos_clinicos!$B:$B=C349), 0)), "")</f>
        <v>580</v>
      </c>
      <c r="F349" cm="1">
        <f t="array" aca="1" ref="F349" ca="1">IFERROR(INDEX(ft_enfermeiros!$C:$C, MATCH(1, (VALUE(LEFT(ft_enfermeiros!$A:$A,6))=VALUE(LEFT(B349,6)))*(ft_enfermeiros!$B:$B=C349), 0)), "")</f>
        <v>1363</v>
      </c>
      <c r="G349" t="str" cm="1">
        <f t="array" aca="1" ref="G349" ca="1">IFERROR(INDEX(ft_equipes_acs!$C:$C, MATCH(1, (VALUE(LEFT(ft_equipes_acs!$A:$A,6))=VALUE(LEFT(B349,6)))*(ft_equipes_acs!$B:$B=C349), 0)), "")</f>
        <v/>
      </c>
      <c r="H349" cm="1">
        <f t="array" aca="1" ref="H349" ca="1">IFERROR(INDEX(ci_leitos_internacao!$C:$C, MATCH(1, (VALUE(LEFT(ci_leitos_internacao!$A:$A,6))=VALUE(LEFT(B349,6)))*(ci_leitos_internacao!$B:$B=C349), 0)), "")</f>
        <v>1840</v>
      </c>
      <c r="I349" cm="1">
        <f t="array" aca="1" ref="I349" ca="1">IFERROR(INDEX(ci_hospitais_internacao!$C:$C, MATCH(1, (VALUE(LEFT(ci_hospitais_internacao!$A:$A,6))=VALUE(LEFT(B349,6)))*(ci_hospitais_internacao!$B:$B=C349), 0)), "")</f>
        <v>5</v>
      </c>
      <c r="J349" cm="1">
        <f t="array" aca="1" ref="J349" ca="1">IFERROR(INDEX(ci_pa_clinico!$C:$C, MATCH(1, (VALUE(LEFT(ci_pa_clinico!$A:$A,6))=VALUE(LEFT(B349,6)))*(ci_pa_clinico!$B:$B=C349), 0)), "")</f>
        <v>2</v>
      </c>
      <c r="K349" t="str" cm="1">
        <f t="array" aca="1" ref="K349" ca="1">IFERROR(INDEX(aps_equipes_esf!$C:$C, MATCH(1, (VALUE(LEFT(aps_equipes_esf!$A:$A,6))=VALUE(LEFT(B349,6)))*(aps_equipes_esf!$B:$B=C349), 0)), "")</f>
        <v>-</v>
      </c>
      <c r="L349" cm="1">
        <f t="array" aca="1" ref="L349" ca="1">IFERROR(INDEX(casos!$C:$C, MATCH(1, (VALUE(LEFT(casos!$A:$A,6))=VALUE(LEFT(B349,6)))*(casos!$B:$B=C349), 0)), "")</f>
        <v>23</v>
      </c>
      <c r="M349" cm="1">
        <f t="array" ref="M349">IFERROR(INDEX(srag!$D:$D, MATCH(1, (VALUE(LEFT(srag!$A:$A,6))=VALUE(LEFT(B349,6)))*(srag!$C:$C=C349), 0)), "")</f>
        <v>8375</v>
      </c>
      <c r="N349" cm="1">
        <f t="array" aca="1" ref="N349" ca="1">IFERROR(INDEX(fesp!$E:$E, MATCH(1, (VALUE(LEFT(fesp!$A:$A,6))=VALUE(LEFT(B349,6)))*(fesp!$C:$C=C349), 0)), "")</f>
        <v>123</v>
      </c>
      <c r="O349" cm="1">
        <f t="array" aca="1" ref="O349" ca="1">IFERROR(INDEX(fesp!$F:$F, MATCH(1, (VALUE(LEFT(fesp!$A:$A,6))=VALUE(LEFT(B349,6)))*(fesp!$C:$C=C349), 0)), "")</f>
        <v>3718</v>
      </c>
      <c r="P349" cm="1">
        <f t="array" aca="1" ref="P349" ca="1">IFERROR(INDEX(fesp!$G:$G, MATCH(1, (VALUE(LEFT(fesp!$A:$A,6))=VALUE(LEFT(B349,6)))*(fesp!$C:$C=C349), 0)), "")</f>
        <v>2979846</v>
      </c>
      <c r="Q349" cm="1">
        <f t="array" aca="1" ref="Q349" ca="1">IFERROR(INDEX(fesp!$H:$H, MATCH(1, (VALUE(LEFT(fesp!$A:$A,6))=VALUE(LEFT(B349,6)))*(fesp!$C:$C=C349), 0)), "")</f>
        <v>38</v>
      </c>
      <c r="R349" cm="1">
        <f t="array" aca="1" ref="R349" ca="1">IFERROR(INDEX(fesp!$I:$I, MATCH(1, (VALUE(LEFT(fesp!$A:$A,6))=VALUE(LEFT(B349,6)))*(fesp!$C:$C=C349), 0)), "")</f>
        <v>5134</v>
      </c>
      <c r="S349" cm="1">
        <f t="array" aca="1" ref="S349" ca="1">IFERROR(INDEX(fesp!$J:$J, MATCH(1, (VALUE(LEFT(fesp!$A:$A,6))=VALUE(LEFT(B349,6)))*(fesp!$C:$C=C349), 0)), "")</f>
        <v>37011</v>
      </c>
    </row>
    <row r="350" spans="1:19">
      <c r="A350" s="1" t="s">
        <v>89</v>
      </c>
      <c r="B350" s="3" t="s">
        <v>88</v>
      </c>
      <c r="C350" s="3">
        <v>2022</v>
      </c>
      <c r="D350" cm="1">
        <f t="array" ref="D350">IFERROR(INDEX(fesp!$D:$D, MATCH(1, (VALUE(LEFT(fesp!$A:$A,6))=VALUE(LEFT(B350,6)))*(fesp!$C:$C=C350), 0)), "")</f>
        <v>481749</v>
      </c>
      <c r="E350" cm="1">
        <f t="array" aca="1" ref="E350" ca="1">IFERROR(INDEX(ft_medicos_clinicos!$C:$C, MATCH(1, (VALUE(LEFT(ft_medicos_clinicos!$A:$A,6))=VALUE(LEFT(B350,6)))*(ft_medicos_clinicos!$B:$B=C350), 0)), "")</f>
        <v>593</v>
      </c>
      <c r="F350" cm="1">
        <f t="array" aca="1" ref="F350" ca="1">IFERROR(INDEX(ft_enfermeiros!$C:$C, MATCH(1, (VALUE(LEFT(ft_enfermeiros!$A:$A,6))=VALUE(LEFT(B350,6)))*(ft_enfermeiros!$B:$B=C350), 0)), "")</f>
        <v>1502</v>
      </c>
      <c r="G350" t="str" cm="1">
        <f t="array" aca="1" ref="G350" ca="1">IFERROR(INDEX(ft_equipes_acs!$C:$C, MATCH(1, (VALUE(LEFT(ft_equipes_acs!$A:$A,6))=VALUE(LEFT(B350,6)))*(ft_equipes_acs!$B:$B=C350), 0)), "")</f>
        <v/>
      </c>
      <c r="H350" cm="1">
        <f t="array" aca="1" ref="H350" ca="1">IFERROR(INDEX(ci_leitos_internacao!$C:$C, MATCH(1, (VALUE(LEFT(ci_leitos_internacao!$A:$A,6))=VALUE(LEFT(B350,6)))*(ci_leitos_internacao!$B:$B=C350), 0)), "")</f>
        <v>1995</v>
      </c>
      <c r="I350" cm="1">
        <f t="array" aca="1" ref="I350" ca="1">IFERROR(INDEX(ci_hospitais_internacao!$C:$C, MATCH(1, (VALUE(LEFT(ci_hospitais_internacao!$A:$A,6))=VALUE(LEFT(B350,6)))*(ci_hospitais_internacao!$B:$B=C350), 0)), "")</f>
        <v>5</v>
      </c>
      <c r="J350" cm="1">
        <f t="array" aca="1" ref="J350" ca="1">IFERROR(INDEX(ci_pa_clinico!$C:$C, MATCH(1, (VALUE(LEFT(ci_pa_clinico!$A:$A,6))=VALUE(LEFT(B350,6)))*(ci_pa_clinico!$B:$B=C350), 0)), "")</f>
        <v>4</v>
      </c>
      <c r="K350" t="str" cm="1">
        <f t="array" aca="1" ref="K350" ca="1">IFERROR(INDEX(aps_equipes_esf!$C:$C, MATCH(1, (VALUE(LEFT(aps_equipes_esf!$A:$A,6))=VALUE(LEFT(B350,6)))*(aps_equipes_esf!$B:$B=C350), 0)), "")</f>
        <v>-</v>
      </c>
      <c r="L350" cm="1">
        <f t="array" aca="1" ref="L350" ca="1">IFERROR(INDEX(casos!$C:$C, MATCH(1, (VALUE(LEFT(casos!$A:$A,6))=VALUE(LEFT(B350,6)))*(casos!$B:$B=C350), 0)), "")</f>
        <v>49</v>
      </c>
      <c r="M350" cm="1">
        <f t="array" ref="M350">IFERROR(INDEX(srag!$D:$D, MATCH(1, (VALUE(LEFT(srag!$A:$A,6))=VALUE(LEFT(B350,6)))*(srag!$C:$C=C350), 0)), "")</f>
        <v>3262</v>
      </c>
      <c r="N350" cm="1">
        <f t="array" aca="1" ref="N350" ca="1">IFERROR(INDEX(fesp!$E:$E, MATCH(1, (VALUE(LEFT(fesp!$A:$A,6))=VALUE(LEFT(B350,6)))*(fesp!$C:$C=C350), 0)), "")</f>
        <v>145</v>
      </c>
      <c r="O350" cm="1">
        <f t="array" aca="1" ref="O350" ca="1">IFERROR(INDEX(fesp!$F:$F, MATCH(1, (VALUE(LEFT(fesp!$A:$A,6))=VALUE(LEFT(B350,6)))*(fesp!$C:$C=C350), 0)), "")</f>
        <v>5075</v>
      </c>
      <c r="P350" cm="1">
        <f t="array" aca="1" ref="P350" ca="1">IFERROR(INDEX(fesp!$G:$G, MATCH(1, (VALUE(LEFT(fesp!$A:$A,6))=VALUE(LEFT(B350,6)))*(fesp!$C:$C=C350), 0)), "")</f>
        <v>3477262</v>
      </c>
      <c r="Q350" cm="1">
        <f t="array" aca="1" ref="Q350" ca="1">IFERROR(INDEX(fesp!$H:$H, MATCH(1, (VALUE(LEFT(fesp!$A:$A,6))=VALUE(LEFT(B350,6)))*(fesp!$C:$C=C350), 0)), "")</f>
        <v>87</v>
      </c>
      <c r="R350" cm="1">
        <f t="array" aca="1" ref="R350" ca="1">IFERROR(INDEX(fesp!$I:$I, MATCH(1, (VALUE(LEFT(fesp!$A:$A,6))=VALUE(LEFT(B350,6)))*(fesp!$C:$C=C350), 0)), "")</f>
        <v>4861</v>
      </c>
      <c r="S350" cm="1">
        <f t="array" aca="1" ref="S350" ca="1">IFERROR(INDEX(fesp!$J:$J, MATCH(1, (VALUE(LEFT(fesp!$A:$A,6))=VALUE(LEFT(B350,6)))*(fesp!$C:$C=C350), 0)), "")</f>
        <v>40364</v>
      </c>
    </row>
    <row r="351" spans="1:19">
      <c r="A351" s="1" t="s">
        <v>89</v>
      </c>
      <c r="B351" s="3" t="s">
        <v>88</v>
      </c>
      <c r="C351" s="3">
        <v>2023</v>
      </c>
      <c r="D351" cm="1">
        <f t="array" ref="D351">IFERROR(INDEX(fesp!$D:$D, MATCH(1, (VALUE(LEFT(fesp!$A:$A,6))=VALUE(LEFT(B351,6)))*(fesp!$C:$C=C351), 0)), "")</f>
        <v>0</v>
      </c>
      <c r="E351" cm="1">
        <f t="array" aca="1" ref="E351" ca="1">IFERROR(INDEX(ft_medicos_clinicos!$C:$C, MATCH(1, (VALUE(LEFT(ft_medicos_clinicos!$A:$A,6))=VALUE(LEFT(B351,6)))*(ft_medicos_clinicos!$B:$B=C351), 0)), "")</f>
        <v>616</v>
      </c>
      <c r="F351" cm="1">
        <f t="array" aca="1" ref="F351" ca="1">IFERROR(INDEX(ft_enfermeiros!$C:$C, MATCH(1, (VALUE(LEFT(ft_enfermeiros!$A:$A,6))=VALUE(LEFT(B351,6)))*(ft_enfermeiros!$B:$B=C351), 0)), "")</f>
        <v>1609</v>
      </c>
      <c r="G351" t="str" cm="1">
        <f t="array" aca="1" ref="G351" ca="1">IFERROR(INDEX(ft_equipes_acs!$C:$C, MATCH(1, (VALUE(LEFT(ft_equipes_acs!$A:$A,6))=VALUE(LEFT(B351,6)))*(ft_equipes_acs!$B:$B=C351), 0)), "")</f>
        <v/>
      </c>
      <c r="H351" cm="1">
        <f t="array" aca="1" ref="H351" ca="1">IFERROR(INDEX(ci_leitos_internacao!$C:$C, MATCH(1, (VALUE(LEFT(ci_leitos_internacao!$A:$A,6))=VALUE(LEFT(B351,6)))*(ci_leitos_internacao!$B:$B=C351), 0)), "")</f>
        <v>2382</v>
      </c>
      <c r="I351" cm="1">
        <f t="array" aca="1" ref="I351" ca="1">IFERROR(INDEX(ci_hospitais_internacao!$C:$C, MATCH(1, (VALUE(LEFT(ci_hospitais_internacao!$A:$A,6))=VALUE(LEFT(B351,6)))*(ci_hospitais_internacao!$B:$B=C351), 0)), "")</f>
        <v>5</v>
      </c>
      <c r="J351" cm="1">
        <f t="array" aca="1" ref="J351" ca="1">IFERROR(INDEX(ci_pa_clinico!$C:$C, MATCH(1, (VALUE(LEFT(ci_pa_clinico!$A:$A,6))=VALUE(LEFT(B351,6)))*(ci_pa_clinico!$B:$B=C351), 0)), "")</f>
        <v>5</v>
      </c>
      <c r="K351" t="str" cm="1">
        <f t="array" aca="1" ref="K351" ca="1">IFERROR(INDEX(aps_equipes_esf!$C:$C, MATCH(1, (VALUE(LEFT(aps_equipes_esf!$A:$A,6))=VALUE(LEFT(B351,6)))*(aps_equipes_esf!$B:$B=C351), 0)), "")</f>
        <v>-</v>
      </c>
      <c r="L351" cm="1">
        <f t="array" aca="1" ref="L351" ca="1">IFERROR(INDEX(casos!$C:$C, MATCH(1, (VALUE(LEFT(casos!$A:$A,6))=VALUE(LEFT(B351,6)))*(casos!$B:$B=C351), 0)), "")</f>
        <v>187</v>
      </c>
      <c r="M351" cm="1">
        <f t="array" ref="M351">IFERROR(INDEX(srag!$D:$D, MATCH(1, (VALUE(LEFT(srag!$A:$A,6))=VALUE(LEFT(B351,6)))*(srag!$C:$C=C351), 0)), "")</f>
        <v>1445</v>
      </c>
      <c r="N351" cm="1">
        <f t="array" aca="1" ref="N351" ca="1">IFERROR(INDEX(fesp!$E:$E, MATCH(1, (VALUE(LEFT(fesp!$A:$A,6))=VALUE(LEFT(B351,6)))*(fesp!$C:$C=C351), 0)), "")</f>
        <v>131</v>
      </c>
      <c r="O351" cm="1">
        <f t="array" aca="1" ref="O351" ca="1">IFERROR(INDEX(fesp!$F:$F, MATCH(1, (VALUE(LEFT(fesp!$A:$A,6))=VALUE(LEFT(B351,6)))*(fesp!$C:$C=C351), 0)), "")</f>
        <v>6154</v>
      </c>
      <c r="P351" cm="1">
        <f t="array" aca="1" ref="P351" ca="1">IFERROR(INDEX(fesp!$G:$G, MATCH(1, (VALUE(LEFT(fesp!$A:$A,6))=VALUE(LEFT(B351,6)))*(fesp!$C:$C=C351), 0)), "")</f>
        <v>3235467</v>
      </c>
      <c r="Q351" cm="1">
        <f t="array" aca="1" ref="Q351" ca="1">IFERROR(INDEX(fesp!$H:$H, MATCH(1, (VALUE(LEFT(fesp!$A:$A,6))=VALUE(LEFT(B351,6)))*(fesp!$C:$C=C351), 0)), "")</f>
        <v>84</v>
      </c>
      <c r="R351" cm="1">
        <f t="array" aca="1" ref="R351" ca="1">IFERROR(INDEX(fesp!$I:$I, MATCH(1, (VALUE(LEFT(fesp!$A:$A,6))=VALUE(LEFT(B351,6)))*(fesp!$C:$C=C351), 0)), "")</f>
        <v>2533</v>
      </c>
      <c r="S351" cm="1">
        <f t="array" aca="1" ref="S351" ca="1">IFERROR(INDEX(fesp!$J:$J, MATCH(1, (VALUE(LEFT(fesp!$A:$A,6))=VALUE(LEFT(B351,6)))*(fesp!$C:$C=C351), 0)), "")</f>
        <v>7919</v>
      </c>
    </row>
    <row r="352" spans="1:19">
      <c r="A352" s="1" t="s">
        <v>89</v>
      </c>
      <c r="B352" s="3" t="s">
        <v>88</v>
      </c>
      <c r="C352" s="3">
        <v>2024</v>
      </c>
      <c r="D352" cm="1">
        <f t="array" ref="D352">IFERROR(INDEX(fesp!$D:$D, MATCH(1, (VALUE(LEFT(fesp!$A:$A,6))=VALUE(LEFT(B352,6)))*(fesp!$C:$C=C352), 0)), "")</f>
        <v>0</v>
      </c>
      <c r="E352" cm="1">
        <f t="array" aca="1" ref="E352" ca="1">IFERROR(INDEX(ft_medicos_clinicos!$C:$C, MATCH(1, (VALUE(LEFT(ft_medicos_clinicos!$A:$A,6))=VALUE(LEFT(B352,6)))*(ft_medicos_clinicos!$B:$B=C352), 0)), "")</f>
        <v>675</v>
      </c>
      <c r="F352" cm="1">
        <f t="array" aca="1" ref="F352" ca="1">IFERROR(INDEX(ft_enfermeiros!$C:$C, MATCH(1, (VALUE(LEFT(ft_enfermeiros!$A:$A,6))=VALUE(LEFT(B352,6)))*(ft_enfermeiros!$B:$B=C352), 0)), "")</f>
        <v>1691</v>
      </c>
      <c r="G352" t="str" cm="1">
        <f t="array" aca="1" ref="G352" ca="1">IFERROR(INDEX(ft_equipes_acs!$C:$C, MATCH(1, (VALUE(LEFT(ft_equipes_acs!$A:$A,6))=VALUE(LEFT(B352,6)))*(ft_equipes_acs!$B:$B=C352), 0)), "")</f>
        <v/>
      </c>
      <c r="H352" cm="1">
        <f t="array" aca="1" ref="H352" ca="1">IFERROR(INDEX(ci_leitos_internacao!$C:$C, MATCH(1, (VALUE(LEFT(ci_leitos_internacao!$A:$A,6))=VALUE(LEFT(B352,6)))*(ci_leitos_internacao!$B:$B=C352), 0)), "")</f>
        <v>2120</v>
      </c>
      <c r="I352" cm="1">
        <f t="array" aca="1" ref="I352" ca="1">IFERROR(INDEX(ci_hospitais_internacao!$C:$C, MATCH(1, (VALUE(LEFT(ci_hospitais_internacao!$A:$A,6))=VALUE(LEFT(B352,6)))*(ci_hospitais_internacao!$B:$B=C352), 0)), "")</f>
        <v>5</v>
      </c>
      <c r="J352" cm="1">
        <f t="array" aca="1" ref="J352" ca="1">IFERROR(INDEX(ci_pa_clinico!$C:$C, MATCH(1, (VALUE(LEFT(ci_pa_clinico!$A:$A,6))=VALUE(LEFT(B352,6)))*(ci_pa_clinico!$B:$B=C352), 0)), "")</f>
        <v>5</v>
      </c>
      <c r="K352" t="str" cm="1">
        <f t="array" aca="1" ref="K352" ca="1">IFERROR(INDEX(aps_equipes_esf!$C:$C, MATCH(1, (VALUE(LEFT(aps_equipes_esf!$A:$A,6))=VALUE(LEFT(B352,6)))*(aps_equipes_esf!$B:$B=C352), 0)), "")</f>
        <v>-</v>
      </c>
      <c r="L352" cm="1">
        <f t="array" aca="1" ref="L352" ca="1">IFERROR(INDEX(casos!$C:$C, MATCH(1, (VALUE(LEFT(casos!$A:$A,6))=VALUE(LEFT(B352,6)))*(casos!$B:$B=C352), 0)), "")</f>
        <v>2517</v>
      </c>
      <c r="M352" cm="1">
        <f t="array" ref="M352">IFERROR(INDEX(srag!$D:$D, MATCH(1, (VALUE(LEFT(srag!$A:$A,6))=VALUE(LEFT(B352,6)))*(srag!$C:$C=C352), 0)), "")</f>
        <v>1029</v>
      </c>
      <c r="N352" cm="1">
        <f t="array" aca="1" ref="N352" ca="1">IFERROR(INDEX(fesp!$E:$E, MATCH(1, (VALUE(LEFT(fesp!$A:$A,6))=VALUE(LEFT(B352,6)))*(fesp!$C:$C=C352), 0)), "")</f>
        <v>120</v>
      </c>
      <c r="O352" cm="1">
        <f t="array" aca="1" ref="O352" ca="1">IFERROR(INDEX(fesp!$F:$F, MATCH(1, (VALUE(LEFT(fesp!$A:$A,6))=VALUE(LEFT(B352,6)))*(fesp!$C:$C=C352), 0)), "")</f>
        <v>7466</v>
      </c>
      <c r="P352" cm="1">
        <f t="array" aca="1" ref="P352" ca="1">IFERROR(INDEX(fesp!$G:$G, MATCH(1, (VALUE(LEFT(fesp!$A:$A,6))=VALUE(LEFT(B352,6)))*(fesp!$C:$C=C352), 0)), "")</f>
        <v>3209164</v>
      </c>
      <c r="Q352" cm="1">
        <f t="array" aca="1" ref="Q352" ca="1">IFERROR(INDEX(fesp!$H:$H, MATCH(1, (VALUE(LEFT(fesp!$A:$A,6))=VALUE(LEFT(B352,6)))*(fesp!$C:$C=C352), 0)), "")</f>
        <v>87</v>
      </c>
      <c r="R352" cm="1">
        <f t="array" aca="1" ref="R352" ca="1">IFERROR(INDEX(fesp!$I:$I, MATCH(1, (VALUE(LEFT(fesp!$A:$A,6))=VALUE(LEFT(B352,6)))*(fesp!$C:$C=C352), 0)), "")</f>
        <v>1102</v>
      </c>
      <c r="S352" cm="1">
        <f t="array" aca="1" ref="S352" ca="1">IFERROR(INDEX(fesp!$J:$J, MATCH(1, (VALUE(LEFT(fesp!$A:$A,6))=VALUE(LEFT(B352,6)))*(fesp!$C:$C=C352), 0)), "")</f>
        <v>80</v>
      </c>
    </row>
    <row r="353" spans="1:19">
      <c r="A353" s="1" t="s">
        <v>89</v>
      </c>
      <c r="B353" s="3">
        <v>3303302</v>
      </c>
      <c r="C353" s="3">
        <v>2025</v>
      </c>
      <c r="D353" cm="1">
        <f t="array" ref="D353">IFERROR(INDEX(fesp!$D:$D, MATCH(1, (VALUE(LEFT(fesp!$A:$A,6))=VALUE(LEFT(B353,6)))*(fesp!$C:$C=C353), 0)), "")</f>
        <v>0</v>
      </c>
      <c r="E353" cm="1">
        <f t="array" aca="1" ref="E353" ca="1">IFERROR(INDEX(ft_medicos_clinicos!$C:$C, MATCH(1, (VALUE(LEFT(ft_medicos_clinicos!$A:$A,6))=VALUE(LEFT(B353,6)))*(ft_medicos_clinicos!$B:$B=C353), 0)), "")</f>
        <v>720</v>
      </c>
      <c r="F353" cm="1">
        <f t="array" aca="1" ref="F353" ca="1">IFERROR(INDEX(ft_enfermeiros!$C:$C, MATCH(1, (VALUE(LEFT(ft_enfermeiros!$A:$A,6))=VALUE(LEFT(B353,6)))*(ft_enfermeiros!$B:$B=C353), 0)), "")</f>
        <v>1695</v>
      </c>
      <c r="G353" t="str" cm="1">
        <f t="array" aca="1" ref="G353" ca="1">IFERROR(INDEX(ft_equipes_acs!$C:$C, MATCH(1, (VALUE(LEFT(ft_equipes_acs!$A:$A,6))=VALUE(LEFT(B353,6)))*(ft_equipes_acs!$B:$B=C353), 0)), "")</f>
        <v/>
      </c>
      <c r="H353" cm="1">
        <f t="array" aca="1" ref="H353" ca="1">IFERROR(INDEX(ci_leitos_internacao!$C:$C, MATCH(1, (VALUE(LEFT(ci_leitos_internacao!$A:$A,6))=VALUE(LEFT(B353,6)))*(ci_leitos_internacao!$B:$B=C353), 0)), "")</f>
        <v>2180</v>
      </c>
      <c r="I353" cm="1">
        <f t="array" aca="1" ref="I353" ca="1">IFERROR(INDEX(ci_hospitais_internacao!$C:$C, MATCH(1, (VALUE(LEFT(ci_hospitais_internacao!$A:$A,6))=VALUE(LEFT(B353,6)))*(ci_hospitais_internacao!$B:$B=C353), 0)), "")</f>
        <v>5</v>
      </c>
      <c r="J353" cm="1">
        <f t="array" aca="1" ref="J353" ca="1">IFERROR(INDEX(ci_pa_clinico!$C:$C, MATCH(1, (VALUE(LEFT(ci_pa_clinico!$A:$A,6))=VALUE(LEFT(B353,6)))*(ci_pa_clinico!$B:$B=C353), 0)), "")</f>
        <v>6</v>
      </c>
      <c r="K353" t="str" cm="1">
        <f t="array" aca="1" ref="K353" ca="1">IFERROR(INDEX(aps_equipes_esf!$C:$C, MATCH(1, (VALUE(LEFT(aps_equipes_esf!$A:$A,6))=VALUE(LEFT(B353,6)))*(aps_equipes_esf!$B:$B=C353), 0)), "")</f>
        <v>-</v>
      </c>
      <c r="L353" cm="1">
        <f t="array" aca="1" ref="L353" ca="1">IFERROR(INDEX(casos!$C:$C, MATCH(1, (VALUE(LEFT(casos!$A:$A,6))=VALUE(LEFT(B353,6)))*(casos!$B:$B=C353), 0)), "")</f>
        <v>306</v>
      </c>
      <c r="M353" cm="1">
        <f t="array" ref="M353">IFERROR(INDEX(srag!$D:$D, MATCH(1, (VALUE(LEFT(srag!$A:$A,6))=VALUE(LEFT(B353,6)))*(srag!$C:$C=C353), 0)), "")</f>
        <v>1000</v>
      </c>
      <c r="N353" cm="1">
        <f t="array" aca="1" ref="N353" ca="1">IFERROR(INDEX(fesp!$E:$E, MATCH(1, (VALUE(LEFT(fesp!$A:$A,6))=VALUE(LEFT(B353,6)))*(fesp!$C:$C=C353), 0)), "")</f>
        <v>101</v>
      </c>
      <c r="O353" cm="1">
        <f t="array" aca="1" ref="O353" ca="1">IFERROR(INDEX(fesp!$F:$F, MATCH(1, (VALUE(LEFT(fesp!$A:$A,6))=VALUE(LEFT(B353,6)))*(fesp!$C:$C=C353), 0)), "")</f>
        <v>5298</v>
      </c>
      <c r="P353" cm="1">
        <f t="array" aca="1" ref="P353" ca="1">IFERROR(INDEX(fesp!$G:$G, MATCH(1, (VALUE(LEFT(fesp!$A:$A,6))=VALUE(LEFT(B353,6)))*(fesp!$C:$C=C353), 0)), "")</f>
        <v>2717730</v>
      </c>
      <c r="Q353" cm="1">
        <f t="array" aca="1" ref="Q353" ca="1">IFERROR(INDEX(fesp!$H:$H, MATCH(1, (VALUE(LEFT(fesp!$A:$A,6))=VALUE(LEFT(B353,6)))*(fesp!$C:$C=C353), 0)), "")</f>
        <v>83</v>
      </c>
      <c r="R353" cm="1">
        <f t="array" aca="1" ref="R353" ca="1">IFERROR(INDEX(fesp!$I:$I, MATCH(1, (VALUE(LEFT(fesp!$A:$A,6))=VALUE(LEFT(B353,6)))*(fesp!$C:$C=C353), 0)), "")</f>
        <v>1285</v>
      </c>
      <c r="S353" cm="1">
        <f t="array" aca="1" ref="S353" ca="1">IFERROR(INDEX(fesp!$J:$J, MATCH(1, (VALUE(LEFT(fesp!$A:$A,6))=VALUE(LEFT(B353,6)))*(fesp!$C:$C=C353), 0)), "")</f>
        <v>112</v>
      </c>
    </row>
    <row r="354" spans="1:19">
      <c r="A354" s="1" t="s">
        <v>43</v>
      </c>
      <c r="B354" s="3">
        <v>3303500</v>
      </c>
      <c r="C354" s="3">
        <v>2015</v>
      </c>
      <c r="D354" cm="1">
        <f t="array" ref="D354">IFERROR(INDEX(fesp!$D:$D, MATCH(1, (VALUE(LEFT(fesp!$A:$A,6))=VALUE(LEFT(B354,6)))*(fesp!$C:$C=C354), 0)), "")</f>
        <v>807492</v>
      </c>
      <c r="E354" cm="1">
        <f t="array" aca="1" ref="E354" ca="1">IFERROR(INDEX(ft_medicos_clinicos!$C:$C, MATCH(1, (VALUE(LEFT(ft_medicos_clinicos!$A:$A,6))=VALUE(LEFT(B354,6)))*(ft_medicos_clinicos!$B:$B=C354), 0)), "")</f>
        <v>357</v>
      </c>
      <c r="F354" cm="1">
        <f t="array" aca="1" ref="F354" ca="1">IFERROR(INDEX(ft_enfermeiros!$C:$C, MATCH(1, (VALUE(LEFT(ft_enfermeiros!$A:$A,6))=VALUE(LEFT(B354,6)))*(ft_enfermeiros!$B:$B=C354), 0)), "")</f>
        <v>530</v>
      </c>
      <c r="G354" cm="1">
        <f t="array" aca="1" ref="G354" ca="1">IFERROR(INDEX(ft_equipes_acs!$C:$C, MATCH(1, (VALUE(LEFT(ft_equipes_acs!$A:$A,6))=VALUE(LEFT(B354,6)))*(ft_equipes_acs!$B:$B=C354), 0)), "")</f>
        <v>17</v>
      </c>
      <c r="H354" cm="1">
        <f t="array" aca="1" ref="H354" ca="1">IFERROR(INDEX(ci_leitos_internacao!$C:$C, MATCH(1, (VALUE(LEFT(ci_leitos_internacao!$A:$A,6))=VALUE(LEFT(B354,6)))*(ci_leitos_internacao!$B:$B=C354), 0)), "")</f>
        <v>945</v>
      </c>
      <c r="I354" cm="1">
        <f t="array" aca="1" ref="I354" ca="1">IFERROR(INDEX(ci_hospitais_internacao!$C:$C, MATCH(1, (VALUE(LEFT(ci_hospitais_internacao!$A:$A,6))=VALUE(LEFT(B354,6)))*(ci_hospitais_internacao!$B:$B=C354), 0)), "")</f>
        <v>1</v>
      </c>
      <c r="J354" t="str" cm="1">
        <f t="array" aca="1" ref="J354" ca="1">IFERROR(INDEX(ci_pa_clinico!$C:$C, MATCH(1, (VALUE(LEFT(ci_pa_clinico!$A:$A,6))=VALUE(LEFT(B354,6)))*(ci_pa_clinico!$B:$B=C354), 0)), "")</f>
        <v/>
      </c>
      <c r="K354" cm="1">
        <f t="array" aca="1" ref="K354" ca="1">IFERROR(INDEX(aps_equipes_esf!$C:$C, MATCH(1, (VALUE(LEFT(aps_equipes_esf!$A:$A,6))=VALUE(LEFT(B354,6)))*(aps_equipes_esf!$B:$B=C354), 0)), "")</f>
        <v>64</v>
      </c>
      <c r="L354" cm="1">
        <f t="array" aca="1" ref="L354" ca="1">IFERROR(INDEX(casos!$C:$C, MATCH(1, (VALUE(LEFT(casos!$A:$A,6))=VALUE(LEFT(B354,6)))*(casos!$B:$B=C354), 0)), "")</f>
        <v>259</v>
      </c>
      <c r="M354" cm="1">
        <f t="array" ref="M354">IFERROR(INDEX(srag!$D:$D, MATCH(1, (VALUE(LEFT(srag!$A:$A,6))=VALUE(LEFT(B354,6)))*(srag!$C:$C=C354), 0)), "")</f>
        <v>8</v>
      </c>
      <c r="N354" cm="1">
        <f t="array" aca="1" ref="N354" ca="1">IFERROR(INDEX(fesp!$E:$E, MATCH(1, (VALUE(LEFT(fesp!$A:$A,6))=VALUE(LEFT(B354,6)))*(fesp!$C:$C=C354), 0)), "")</f>
        <v>167</v>
      </c>
      <c r="O354" cm="1">
        <f t="array" aca="1" ref="O354" ca="1">IFERROR(INDEX(fesp!$F:$F, MATCH(1, (VALUE(LEFT(fesp!$A:$A,6))=VALUE(LEFT(B354,6)))*(fesp!$C:$C=C354), 0)), "")</f>
        <v>3706</v>
      </c>
      <c r="P354" cm="1">
        <f t="array" aca="1" ref="P354" ca="1">IFERROR(INDEX(fesp!$G:$G, MATCH(1, (VALUE(LEFT(fesp!$A:$A,6))=VALUE(LEFT(B354,6)))*(fesp!$C:$C=C354), 0)), "")</f>
        <v>3129158</v>
      </c>
      <c r="Q354" cm="1">
        <f t="array" aca="1" ref="Q354" ca="1">IFERROR(INDEX(fesp!$H:$H, MATCH(1, (VALUE(LEFT(fesp!$A:$A,6))=VALUE(LEFT(B354,6)))*(fesp!$C:$C=C354), 0)), "")</f>
        <v>33</v>
      </c>
      <c r="R354" cm="1">
        <f t="array" aca="1" ref="R354" ca="1">IFERROR(INDEX(fesp!$I:$I, MATCH(1, (VALUE(LEFT(fesp!$A:$A,6))=VALUE(LEFT(B354,6)))*(fesp!$C:$C=C354), 0)), "")</f>
        <v>122285</v>
      </c>
      <c r="S354" cm="1">
        <f t="array" aca="1" ref="S354" ca="1">IFERROR(INDEX(fesp!$J:$J, MATCH(1, (VALUE(LEFT(fesp!$A:$A,6))=VALUE(LEFT(B354,6)))*(fesp!$C:$C=C354), 0)), "")</f>
        <v>1006296</v>
      </c>
    </row>
    <row r="355" spans="1:19">
      <c r="A355" s="1" t="s">
        <v>43</v>
      </c>
      <c r="B355" s="3">
        <v>3303500</v>
      </c>
      <c r="C355" s="3">
        <v>2016</v>
      </c>
      <c r="D355" cm="1">
        <f t="array" ref="D355">IFERROR(INDEX(fesp!$D:$D, MATCH(1, (VALUE(LEFT(fesp!$A:$A,6))=VALUE(LEFT(B355,6)))*(fesp!$C:$C=C355), 0)), "")</f>
        <v>0</v>
      </c>
      <c r="E355" cm="1">
        <f t="array" aca="1" ref="E355" ca="1">IFERROR(INDEX(ft_medicos_clinicos!$C:$C, MATCH(1, (VALUE(LEFT(ft_medicos_clinicos!$A:$A,6))=VALUE(LEFT(B355,6)))*(ft_medicos_clinicos!$B:$B=C355), 0)), "")</f>
        <v>365</v>
      </c>
      <c r="F355" cm="1">
        <f t="array" aca="1" ref="F355" ca="1">IFERROR(INDEX(ft_enfermeiros!$C:$C, MATCH(1, (VALUE(LEFT(ft_enfermeiros!$A:$A,6))=VALUE(LEFT(B355,6)))*(ft_enfermeiros!$B:$B=C355), 0)), "")</f>
        <v>526</v>
      </c>
      <c r="G355" cm="1">
        <f t="array" aca="1" ref="G355" ca="1">IFERROR(INDEX(ft_equipes_acs!$C:$C, MATCH(1, (VALUE(LEFT(ft_equipes_acs!$A:$A,6))=VALUE(LEFT(B355,6)))*(ft_equipes_acs!$B:$B=C355), 0)), "")</f>
        <v>15</v>
      </c>
      <c r="H355" cm="1">
        <f t="array" aca="1" ref="H355" ca="1">IFERROR(INDEX(ci_leitos_internacao!$C:$C, MATCH(1, (VALUE(LEFT(ci_leitos_internacao!$A:$A,6))=VALUE(LEFT(B355,6)))*(ci_leitos_internacao!$B:$B=C355), 0)), "")</f>
        <v>952</v>
      </c>
      <c r="I355" cm="1">
        <f t="array" aca="1" ref="I355" ca="1">IFERROR(INDEX(ci_hospitais_internacao!$C:$C, MATCH(1, (VALUE(LEFT(ci_hospitais_internacao!$A:$A,6))=VALUE(LEFT(B355,6)))*(ci_hospitais_internacao!$B:$B=C355), 0)), "")</f>
        <v>1</v>
      </c>
      <c r="J355" t="str" cm="1">
        <f t="array" aca="1" ref="J355" ca="1">IFERROR(INDEX(ci_pa_clinico!$C:$C, MATCH(1, (VALUE(LEFT(ci_pa_clinico!$A:$A,6))=VALUE(LEFT(B355,6)))*(ci_pa_clinico!$B:$B=C355), 0)), "")</f>
        <v/>
      </c>
      <c r="K355" cm="1">
        <f t="array" aca="1" ref="K355" ca="1">IFERROR(INDEX(aps_equipes_esf!$C:$C, MATCH(1, (VALUE(LEFT(aps_equipes_esf!$A:$A,6))=VALUE(LEFT(B355,6)))*(aps_equipes_esf!$B:$B=C355), 0)), "")</f>
        <v>60</v>
      </c>
      <c r="L355" cm="1">
        <f t="array" aca="1" ref="L355" ca="1">IFERROR(INDEX(casos!$C:$C, MATCH(1, (VALUE(LEFT(casos!$A:$A,6))=VALUE(LEFT(B355,6)))*(casos!$B:$B=C355), 0)), "")</f>
        <v>342</v>
      </c>
      <c r="M355" cm="1">
        <f t="array" ref="M355">IFERROR(INDEX(srag!$D:$D, MATCH(1, (VALUE(LEFT(srag!$A:$A,6))=VALUE(LEFT(B355,6)))*(srag!$C:$C=C355), 0)), "")</f>
        <v>92</v>
      </c>
      <c r="N355" cm="1">
        <f t="array" aca="1" ref="N355" ca="1">IFERROR(INDEX(fesp!$E:$E, MATCH(1, (VALUE(LEFT(fesp!$A:$A,6))=VALUE(LEFT(B355,6)))*(fesp!$C:$C=C355), 0)), "")</f>
        <v>134</v>
      </c>
      <c r="O355" cm="1">
        <f t="array" aca="1" ref="O355" ca="1">IFERROR(INDEX(fesp!$F:$F, MATCH(1, (VALUE(LEFT(fesp!$A:$A,6))=VALUE(LEFT(B355,6)))*(fesp!$C:$C=C355), 0)), "")</f>
        <v>2476</v>
      </c>
      <c r="P355" cm="1">
        <f t="array" aca="1" ref="P355" ca="1">IFERROR(INDEX(fesp!$G:$G, MATCH(1, (VALUE(LEFT(fesp!$A:$A,6))=VALUE(LEFT(B355,6)))*(fesp!$C:$C=C355), 0)), "")</f>
        <v>2958288</v>
      </c>
      <c r="Q355" cm="1">
        <f t="array" aca="1" ref="Q355" ca="1">IFERROR(INDEX(fesp!$H:$H, MATCH(1, (VALUE(LEFT(fesp!$A:$A,6))=VALUE(LEFT(B355,6)))*(fesp!$C:$C=C355), 0)), "")</f>
        <v>58</v>
      </c>
      <c r="R355" cm="1">
        <f t="array" aca="1" ref="R355" ca="1">IFERROR(INDEX(fesp!$I:$I, MATCH(1, (VALUE(LEFT(fesp!$A:$A,6))=VALUE(LEFT(B355,6)))*(fesp!$C:$C=C355), 0)), "")</f>
        <v>92866</v>
      </c>
      <c r="S355" cm="1">
        <f t="array" aca="1" ref="S355" ca="1">IFERROR(INDEX(fesp!$J:$J, MATCH(1, (VALUE(LEFT(fesp!$A:$A,6))=VALUE(LEFT(B355,6)))*(fesp!$C:$C=C355), 0)), "")</f>
        <v>616019</v>
      </c>
    </row>
    <row r="356" spans="1:19">
      <c r="A356" s="1" t="s">
        <v>43</v>
      </c>
      <c r="B356" s="3" t="s">
        <v>42</v>
      </c>
      <c r="C356" s="3">
        <v>2017</v>
      </c>
      <c r="D356" cm="1">
        <f t="array" ref="D356">IFERROR(INDEX(fesp!$D:$D, MATCH(1, (VALUE(LEFT(fesp!$A:$A,6))=VALUE(LEFT(B356,6)))*(fesp!$C:$C=C356), 0)), "")</f>
        <v>0</v>
      </c>
      <c r="E356" cm="1">
        <f t="array" aca="1" ref="E356" ca="1">IFERROR(INDEX(ft_medicos_clinicos!$C:$C, MATCH(1, (VALUE(LEFT(ft_medicos_clinicos!$A:$A,6))=VALUE(LEFT(B356,6)))*(ft_medicos_clinicos!$B:$B=C356), 0)), "")</f>
        <v>327</v>
      </c>
      <c r="F356" cm="1">
        <f t="array" aca="1" ref="F356" ca="1">IFERROR(INDEX(ft_enfermeiros!$C:$C, MATCH(1, (VALUE(LEFT(ft_enfermeiros!$A:$A,6))=VALUE(LEFT(B356,6)))*(ft_enfermeiros!$B:$B=C356), 0)), "")</f>
        <v>496</v>
      </c>
      <c r="G356" cm="1">
        <f t="array" aca="1" ref="G356" ca="1">IFERROR(INDEX(ft_equipes_acs!$C:$C, MATCH(1, (VALUE(LEFT(ft_equipes_acs!$A:$A,6))=VALUE(LEFT(B356,6)))*(ft_equipes_acs!$B:$B=C356), 0)), "")</f>
        <v>15</v>
      </c>
      <c r="H356" cm="1">
        <f t="array" aca="1" ref="H356" ca="1">IFERROR(INDEX(ci_leitos_internacao!$C:$C, MATCH(1, (VALUE(LEFT(ci_leitos_internacao!$A:$A,6))=VALUE(LEFT(B356,6)))*(ci_leitos_internacao!$B:$B=C356), 0)), "")</f>
        <v>997</v>
      </c>
      <c r="I356" cm="1">
        <f t="array" aca="1" ref="I356" ca="1">IFERROR(INDEX(ci_hospitais_internacao!$C:$C, MATCH(1, (VALUE(LEFT(ci_hospitais_internacao!$A:$A,6))=VALUE(LEFT(B356,6)))*(ci_hospitais_internacao!$B:$B=C356), 0)), "")</f>
        <v>1</v>
      </c>
      <c r="J356" t="str" cm="1">
        <f t="array" aca="1" ref="J356" ca="1">IFERROR(INDEX(ci_pa_clinico!$C:$C, MATCH(1, (VALUE(LEFT(ci_pa_clinico!$A:$A,6))=VALUE(LEFT(B356,6)))*(ci_pa_clinico!$B:$B=C356), 0)), "")</f>
        <v/>
      </c>
      <c r="K356" cm="1">
        <f t="array" aca="1" ref="K356" ca="1">IFERROR(INDEX(aps_equipes_esf!$C:$C, MATCH(1, (VALUE(LEFT(aps_equipes_esf!$A:$A,6))=VALUE(LEFT(B356,6)))*(aps_equipes_esf!$B:$B=C356), 0)), "")</f>
        <v>62</v>
      </c>
      <c r="L356" cm="1">
        <f t="array" aca="1" ref="L356" ca="1">IFERROR(INDEX(casos!$C:$C, MATCH(1, (VALUE(LEFT(casos!$A:$A,6))=VALUE(LEFT(B356,6)))*(casos!$B:$B=C356), 0)), "")</f>
        <v>11</v>
      </c>
      <c r="M356" cm="1">
        <f t="array" ref="M356">IFERROR(INDEX(srag!$D:$D, MATCH(1, (VALUE(LEFT(srag!$A:$A,6))=VALUE(LEFT(B356,6)))*(srag!$C:$C=C356), 0)), "")</f>
        <v>71</v>
      </c>
      <c r="N356" cm="1">
        <f t="array" aca="1" ref="N356" ca="1">IFERROR(INDEX(fesp!$E:$E, MATCH(1, (VALUE(LEFT(fesp!$A:$A,6))=VALUE(LEFT(B356,6)))*(fesp!$C:$C=C356), 0)), "")</f>
        <v>104</v>
      </c>
      <c r="O356" cm="1">
        <f t="array" aca="1" ref="O356" ca="1">IFERROR(INDEX(fesp!$F:$F, MATCH(1, (VALUE(LEFT(fesp!$A:$A,6))=VALUE(LEFT(B356,6)))*(fesp!$C:$C=C356), 0)), "")</f>
        <v>2083</v>
      </c>
      <c r="P356" cm="1">
        <f t="array" aca="1" ref="P356" ca="1">IFERROR(INDEX(fesp!$G:$G, MATCH(1, (VALUE(LEFT(fesp!$A:$A,6))=VALUE(LEFT(B356,6)))*(fesp!$C:$C=C356), 0)), "")</f>
        <v>1902996</v>
      </c>
      <c r="Q356" cm="1">
        <f t="array" aca="1" ref="Q356" ca="1">IFERROR(INDEX(fesp!$H:$H, MATCH(1, (VALUE(LEFT(fesp!$A:$A,6))=VALUE(LEFT(B356,6)))*(fesp!$C:$C=C356), 0)), "")</f>
        <v>27</v>
      </c>
      <c r="R356" cm="1">
        <f t="array" aca="1" ref="R356" ca="1">IFERROR(INDEX(fesp!$I:$I, MATCH(1, (VALUE(LEFT(fesp!$A:$A,6))=VALUE(LEFT(B356,6)))*(fesp!$C:$C=C356), 0)), "")</f>
        <v>69165</v>
      </c>
      <c r="S356" cm="1">
        <f t="array" aca="1" ref="S356" ca="1">IFERROR(INDEX(fesp!$J:$J, MATCH(1, (VALUE(LEFT(fesp!$A:$A,6))=VALUE(LEFT(B356,6)))*(fesp!$C:$C=C356), 0)), "")</f>
        <v>436693</v>
      </c>
    </row>
    <row r="357" spans="1:19">
      <c r="A357" s="1" t="s">
        <v>43</v>
      </c>
      <c r="B357" s="3" t="s">
        <v>42</v>
      </c>
      <c r="C357" s="3">
        <v>2018</v>
      </c>
      <c r="D357" cm="1">
        <f t="array" ref="D357">IFERROR(INDEX(fesp!$D:$D, MATCH(1, (VALUE(LEFT(fesp!$A:$A,6))=VALUE(LEFT(B357,6)))*(fesp!$C:$C=C357), 0)), "")</f>
        <v>0</v>
      </c>
      <c r="E357" cm="1">
        <f t="array" aca="1" ref="E357" ca="1">IFERROR(INDEX(ft_medicos_clinicos!$C:$C, MATCH(1, (VALUE(LEFT(ft_medicos_clinicos!$A:$A,6))=VALUE(LEFT(B357,6)))*(ft_medicos_clinicos!$B:$B=C357), 0)), "")</f>
        <v>343</v>
      </c>
      <c r="F357" cm="1">
        <f t="array" aca="1" ref="F357" ca="1">IFERROR(INDEX(ft_enfermeiros!$C:$C, MATCH(1, (VALUE(LEFT(ft_enfermeiros!$A:$A,6))=VALUE(LEFT(B357,6)))*(ft_enfermeiros!$B:$B=C357), 0)), "")</f>
        <v>519</v>
      </c>
      <c r="G357" cm="1">
        <f t="array" aca="1" ref="G357" ca="1">IFERROR(INDEX(ft_equipes_acs!$C:$C, MATCH(1, (VALUE(LEFT(ft_equipes_acs!$A:$A,6))=VALUE(LEFT(B357,6)))*(ft_equipes_acs!$B:$B=C357), 0)), "")</f>
        <v>1</v>
      </c>
      <c r="H357" cm="1">
        <f t="array" aca="1" ref="H357" ca="1">IFERROR(INDEX(ci_leitos_internacao!$C:$C, MATCH(1, (VALUE(LEFT(ci_leitos_internacao!$A:$A,6))=VALUE(LEFT(B357,6)))*(ci_leitos_internacao!$B:$B=C357), 0)), "")</f>
        <v>933</v>
      </c>
      <c r="I357" cm="1">
        <f t="array" aca="1" ref="I357" ca="1">IFERROR(INDEX(ci_hospitais_internacao!$C:$C, MATCH(1, (VALUE(LEFT(ci_hospitais_internacao!$A:$A,6))=VALUE(LEFT(B357,6)))*(ci_hospitais_internacao!$B:$B=C357), 0)), "")</f>
        <v>1</v>
      </c>
      <c r="J357" t="str" cm="1">
        <f t="array" aca="1" ref="J357" ca="1">IFERROR(INDEX(ci_pa_clinico!$C:$C, MATCH(1, (VALUE(LEFT(ci_pa_clinico!$A:$A,6))=VALUE(LEFT(B357,6)))*(ci_pa_clinico!$B:$B=C357), 0)), "")</f>
        <v/>
      </c>
      <c r="K357" cm="1">
        <f t="array" aca="1" ref="K357" ca="1">IFERROR(INDEX(aps_equipes_esf!$C:$C, MATCH(1, (VALUE(LEFT(aps_equipes_esf!$A:$A,6))=VALUE(LEFT(B357,6)))*(aps_equipes_esf!$B:$B=C357), 0)), "")</f>
        <v>91</v>
      </c>
      <c r="L357" cm="1">
        <f t="array" aca="1" ref="L357" ca="1">IFERROR(INDEX(casos!$C:$C, MATCH(1, (VALUE(LEFT(casos!$A:$A,6))=VALUE(LEFT(B357,6)))*(casos!$B:$B=C357), 0)), "")</f>
        <v>13</v>
      </c>
      <c r="M357" cm="1">
        <f t="array" ref="M357">IFERROR(INDEX(srag!$D:$D, MATCH(1, (VALUE(LEFT(srag!$A:$A,6))=VALUE(LEFT(B357,6)))*(srag!$C:$C=C357), 0)), "")</f>
        <v>70</v>
      </c>
      <c r="N357" cm="1">
        <f t="array" aca="1" ref="N357" ca="1">IFERROR(INDEX(fesp!$E:$E, MATCH(1, (VALUE(LEFT(fesp!$A:$A,6))=VALUE(LEFT(B357,6)))*(fesp!$C:$C=C357), 0)), "")</f>
        <v>76</v>
      </c>
      <c r="O357" cm="1">
        <f t="array" aca="1" ref="O357" ca="1">IFERROR(INDEX(fesp!$F:$F, MATCH(1, (VALUE(LEFT(fesp!$A:$A,6))=VALUE(LEFT(B357,6)))*(fesp!$C:$C=C357), 0)), "")</f>
        <v>1013</v>
      </c>
      <c r="P357" cm="1">
        <f t="array" aca="1" ref="P357" ca="1">IFERROR(INDEX(fesp!$G:$G, MATCH(1, (VALUE(LEFT(fesp!$A:$A,6))=VALUE(LEFT(B357,6)))*(fesp!$C:$C=C357), 0)), "")</f>
        <v>2886587</v>
      </c>
      <c r="Q357" cm="1">
        <f t="array" aca="1" ref="Q357" ca="1">IFERROR(INDEX(fesp!$H:$H, MATCH(1, (VALUE(LEFT(fesp!$A:$A,6))=VALUE(LEFT(B357,6)))*(fesp!$C:$C=C357), 0)), "")</f>
        <v>12</v>
      </c>
      <c r="R357" cm="1">
        <f t="array" aca="1" ref="R357" ca="1">IFERROR(INDEX(fesp!$I:$I, MATCH(1, (VALUE(LEFT(fesp!$A:$A,6))=VALUE(LEFT(B357,6)))*(fesp!$C:$C=C357), 0)), "")</f>
        <v>135431</v>
      </c>
      <c r="S357" cm="1">
        <f t="array" aca="1" ref="S357" ca="1">IFERROR(INDEX(fesp!$J:$J, MATCH(1, (VALUE(LEFT(fesp!$A:$A,6))=VALUE(LEFT(B357,6)))*(fesp!$C:$C=C357), 0)), "")</f>
        <v>39570</v>
      </c>
    </row>
    <row r="358" spans="1:19">
      <c r="A358" s="1" t="s">
        <v>43</v>
      </c>
      <c r="B358" s="3" t="s">
        <v>42</v>
      </c>
      <c r="C358" s="3">
        <v>2019</v>
      </c>
      <c r="D358" cm="1">
        <f t="array" ref="D358">IFERROR(INDEX(fesp!$D:$D, MATCH(1, (VALUE(LEFT(fesp!$A:$A,6))=VALUE(LEFT(B358,6)))*(fesp!$C:$C=C358), 0)), "")</f>
        <v>0</v>
      </c>
      <c r="E358" cm="1">
        <f t="array" aca="1" ref="E358" ca="1">IFERROR(INDEX(ft_medicos_clinicos!$C:$C, MATCH(1, (VALUE(LEFT(ft_medicos_clinicos!$A:$A,6))=VALUE(LEFT(B358,6)))*(ft_medicos_clinicos!$B:$B=C358), 0)), "")</f>
        <v>359</v>
      </c>
      <c r="F358" cm="1">
        <f t="array" aca="1" ref="F358" ca="1">IFERROR(INDEX(ft_enfermeiros!$C:$C, MATCH(1, (VALUE(LEFT(ft_enfermeiros!$A:$A,6))=VALUE(LEFT(B358,6)))*(ft_enfermeiros!$B:$B=C358), 0)), "")</f>
        <v>522</v>
      </c>
      <c r="G358" cm="1">
        <f t="array" aca="1" ref="G358" ca="1">IFERROR(INDEX(ft_equipes_acs!$C:$C, MATCH(1, (VALUE(LEFT(ft_equipes_acs!$A:$A,6))=VALUE(LEFT(B358,6)))*(ft_equipes_acs!$B:$B=C358), 0)), "")</f>
        <v>1</v>
      </c>
      <c r="H358" cm="1">
        <f t="array" aca="1" ref="H358" ca="1">IFERROR(INDEX(ci_leitos_internacao!$C:$C, MATCH(1, (VALUE(LEFT(ci_leitos_internacao!$A:$A,6))=VALUE(LEFT(B358,6)))*(ci_leitos_internacao!$B:$B=C358), 0)), "")</f>
        <v>971</v>
      </c>
      <c r="I358" cm="1">
        <f t="array" aca="1" ref="I358" ca="1">IFERROR(INDEX(ci_hospitais_internacao!$C:$C, MATCH(1, (VALUE(LEFT(ci_hospitais_internacao!$A:$A,6))=VALUE(LEFT(B358,6)))*(ci_hospitais_internacao!$B:$B=C358), 0)), "")</f>
        <v>1</v>
      </c>
      <c r="J358" t="str" cm="1">
        <f t="array" aca="1" ref="J358" ca="1">IFERROR(INDEX(ci_pa_clinico!$C:$C, MATCH(1, (VALUE(LEFT(ci_pa_clinico!$A:$A,6))=VALUE(LEFT(B358,6)))*(ci_pa_clinico!$B:$B=C358), 0)), "")</f>
        <v/>
      </c>
      <c r="K358" cm="1">
        <f t="array" aca="1" ref="K358" ca="1">IFERROR(INDEX(aps_equipes_esf!$C:$C, MATCH(1, (VALUE(LEFT(aps_equipes_esf!$A:$A,6))=VALUE(LEFT(B358,6)))*(aps_equipes_esf!$B:$B=C358), 0)), "")</f>
        <v>92</v>
      </c>
      <c r="L358" cm="1">
        <f t="array" aca="1" ref="L358" ca="1">IFERROR(INDEX(casos!$C:$C, MATCH(1, (VALUE(LEFT(casos!$A:$A,6))=VALUE(LEFT(B358,6)))*(casos!$B:$B=C358), 0)), "")</f>
        <v>78</v>
      </c>
      <c r="M358" cm="1">
        <f t="array" ref="M358">IFERROR(INDEX(srag!$D:$D, MATCH(1, (VALUE(LEFT(srag!$A:$A,6))=VALUE(LEFT(B358,6)))*(srag!$C:$C=C358), 0)), "")</f>
        <v>104</v>
      </c>
      <c r="N358" cm="1">
        <f t="array" aca="1" ref="N358" ca="1">IFERROR(INDEX(fesp!$E:$E, MATCH(1, (VALUE(LEFT(fesp!$A:$A,6))=VALUE(LEFT(B358,6)))*(fesp!$C:$C=C358), 0)), "")</f>
        <v>82</v>
      </c>
      <c r="O358" cm="1">
        <f t="array" aca="1" ref="O358" ca="1">IFERROR(INDEX(fesp!$F:$F, MATCH(1, (VALUE(LEFT(fesp!$A:$A,6))=VALUE(LEFT(B358,6)))*(fesp!$C:$C=C358), 0)), "")</f>
        <v>1065</v>
      </c>
      <c r="P358" cm="1">
        <f t="array" aca="1" ref="P358" ca="1">IFERROR(INDEX(fesp!$G:$G, MATCH(1, (VALUE(LEFT(fesp!$A:$A,6))=VALUE(LEFT(B358,6)))*(fesp!$C:$C=C358), 0)), "")</f>
        <v>2881664</v>
      </c>
      <c r="Q358" cm="1">
        <f t="array" aca="1" ref="Q358" ca="1">IFERROR(INDEX(fesp!$H:$H, MATCH(1, (VALUE(LEFT(fesp!$A:$A,6))=VALUE(LEFT(B358,6)))*(fesp!$C:$C=C358), 0)), "")</f>
        <v>55</v>
      </c>
      <c r="R358" cm="1">
        <f t="array" aca="1" ref="R358" ca="1">IFERROR(INDEX(fesp!$I:$I, MATCH(1, (VALUE(LEFT(fesp!$A:$A,6))=VALUE(LEFT(B358,6)))*(fesp!$C:$C=C358), 0)), "")</f>
        <v>17251</v>
      </c>
      <c r="S358" cm="1">
        <f t="array" aca="1" ref="S358" ca="1">IFERROR(INDEX(fesp!$J:$J, MATCH(1, (VALUE(LEFT(fesp!$A:$A,6))=VALUE(LEFT(B358,6)))*(fesp!$C:$C=C358), 0)), "")</f>
        <v>30524</v>
      </c>
    </row>
    <row r="359" spans="1:19">
      <c r="A359" s="1" t="s">
        <v>43</v>
      </c>
      <c r="B359" s="3" t="s">
        <v>42</v>
      </c>
      <c r="C359" s="3">
        <v>2020</v>
      </c>
      <c r="D359" cm="1">
        <f t="array" ref="D359">IFERROR(INDEX(fesp!$D:$D, MATCH(1, (VALUE(LEFT(fesp!$A:$A,6))=VALUE(LEFT(B359,6)))*(fesp!$C:$C=C359), 0)), "")</f>
        <v>0</v>
      </c>
      <c r="E359" cm="1">
        <f t="array" aca="1" ref="E359" ca="1">IFERROR(INDEX(ft_medicos_clinicos!$C:$C, MATCH(1, (VALUE(LEFT(ft_medicos_clinicos!$A:$A,6))=VALUE(LEFT(B359,6)))*(ft_medicos_clinicos!$B:$B=C359), 0)), "")</f>
        <v>428</v>
      </c>
      <c r="F359" cm="1">
        <f t="array" aca="1" ref="F359" ca="1">IFERROR(INDEX(ft_enfermeiros!$C:$C, MATCH(1, (VALUE(LEFT(ft_enfermeiros!$A:$A,6))=VALUE(LEFT(B359,6)))*(ft_enfermeiros!$B:$B=C359), 0)), "")</f>
        <v>594</v>
      </c>
      <c r="G359" cm="1">
        <f t="array" aca="1" ref="G359" ca="1">IFERROR(INDEX(ft_equipes_acs!$C:$C, MATCH(1, (VALUE(LEFT(ft_equipes_acs!$A:$A,6))=VALUE(LEFT(B359,6)))*(ft_equipes_acs!$B:$B=C359), 0)), "")</f>
        <v>1</v>
      </c>
      <c r="H359" cm="1">
        <f t="array" aca="1" ref="H359" ca="1">IFERROR(INDEX(ci_leitos_internacao!$C:$C, MATCH(1, (VALUE(LEFT(ci_leitos_internacao!$A:$A,6))=VALUE(LEFT(B359,6)))*(ci_leitos_internacao!$B:$B=C359), 0)), "")</f>
        <v>915</v>
      </c>
      <c r="I359" cm="1">
        <f t="array" aca="1" ref="I359" ca="1">IFERROR(INDEX(ci_hospitais_internacao!$C:$C, MATCH(1, (VALUE(LEFT(ci_hospitais_internacao!$A:$A,6))=VALUE(LEFT(B359,6)))*(ci_hospitais_internacao!$B:$B=C359), 0)), "")</f>
        <v>1</v>
      </c>
      <c r="J359" t="str" cm="1">
        <f t="array" aca="1" ref="J359" ca="1">IFERROR(INDEX(ci_pa_clinico!$C:$C, MATCH(1, (VALUE(LEFT(ci_pa_clinico!$A:$A,6))=VALUE(LEFT(B359,6)))*(ci_pa_clinico!$B:$B=C359), 0)), "")</f>
        <v/>
      </c>
      <c r="K359" cm="1">
        <f t="array" aca="1" ref="K359" ca="1">IFERROR(INDEX(aps_equipes_esf!$C:$C, MATCH(1, (VALUE(LEFT(aps_equipes_esf!$A:$A,6))=VALUE(LEFT(B359,6)))*(aps_equipes_esf!$B:$B=C359), 0)), "")</f>
        <v>1</v>
      </c>
      <c r="L359" cm="1">
        <f t="array" aca="1" ref="L359" ca="1">IFERROR(INDEX(casos!$C:$C, MATCH(1, (VALUE(LEFT(casos!$A:$A,6))=VALUE(LEFT(B359,6)))*(casos!$B:$B=C359), 0)), "")</f>
        <v>11</v>
      </c>
      <c r="M359" cm="1">
        <f t="array" ref="M359">IFERROR(INDEX(srag!$D:$D, MATCH(1, (VALUE(LEFT(srag!$A:$A,6))=VALUE(LEFT(B359,6)))*(srag!$C:$C=C359), 0)), "")</f>
        <v>3967</v>
      </c>
      <c r="N359" cm="1">
        <f t="array" aca="1" ref="N359" ca="1">IFERROR(INDEX(fesp!$E:$E, MATCH(1, (VALUE(LEFT(fesp!$A:$A,6))=VALUE(LEFT(B359,6)))*(fesp!$C:$C=C359), 0)), "")</f>
        <v>107</v>
      </c>
      <c r="O359" cm="1">
        <f t="array" aca="1" ref="O359" ca="1">IFERROR(INDEX(fesp!$F:$F, MATCH(1, (VALUE(LEFT(fesp!$A:$A,6))=VALUE(LEFT(B359,6)))*(fesp!$C:$C=C359), 0)), "")</f>
        <v>1533</v>
      </c>
      <c r="P359" cm="1">
        <f t="array" aca="1" ref="P359" ca="1">IFERROR(INDEX(fesp!$G:$G, MATCH(1, (VALUE(LEFT(fesp!$A:$A,6))=VALUE(LEFT(B359,6)))*(fesp!$C:$C=C359), 0)), "")</f>
        <v>2320426</v>
      </c>
      <c r="Q359" cm="1">
        <f t="array" aca="1" ref="Q359" ca="1">IFERROR(INDEX(fesp!$H:$H, MATCH(1, (VALUE(LEFT(fesp!$A:$A,6))=VALUE(LEFT(B359,6)))*(fesp!$C:$C=C359), 0)), "")</f>
        <v>11</v>
      </c>
      <c r="R359" cm="1">
        <f t="array" aca="1" ref="R359" ca="1">IFERROR(INDEX(fesp!$I:$I, MATCH(1, (VALUE(LEFT(fesp!$A:$A,6))=VALUE(LEFT(B359,6)))*(fesp!$C:$C=C359), 0)), "")</f>
        <v>118021</v>
      </c>
      <c r="S359" cm="1">
        <f t="array" aca="1" ref="S359" ca="1">IFERROR(INDEX(fesp!$J:$J, MATCH(1, (VALUE(LEFT(fesp!$A:$A,6))=VALUE(LEFT(B359,6)))*(fesp!$C:$C=C359), 0)), "")</f>
        <v>15573</v>
      </c>
    </row>
    <row r="360" spans="1:19">
      <c r="A360" s="1" t="s">
        <v>43</v>
      </c>
      <c r="B360" s="3" t="s">
        <v>42</v>
      </c>
      <c r="C360" s="3">
        <v>2021</v>
      </c>
      <c r="D360" cm="1">
        <f t="array" ref="D360">IFERROR(INDEX(fesp!$D:$D, MATCH(1, (VALUE(LEFT(fesp!$A:$A,6))=VALUE(LEFT(B360,6)))*(fesp!$C:$C=C360), 0)), "")</f>
        <v>0</v>
      </c>
      <c r="E360" cm="1">
        <f t="array" aca="1" ref="E360" ca="1">IFERROR(INDEX(ft_medicos_clinicos!$C:$C, MATCH(1, (VALUE(LEFT(ft_medicos_clinicos!$A:$A,6))=VALUE(LEFT(B360,6)))*(ft_medicos_clinicos!$B:$B=C360), 0)), "")</f>
        <v>527</v>
      </c>
      <c r="F360" cm="1">
        <f t="array" aca="1" ref="F360" ca="1">IFERROR(INDEX(ft_enfermeiros!$C:$C, MATCH(1, (VALUE(LEFT(ft_enfermeiros!$A:$A,6))=VALUE(LEFT(B360,6)))*(ft_enfermeiros!$B:$B=C360), 0)), "")</f>
        <v>715</v>
      </c>
      <c r="G360" cm="1">
        <f t="array" aca="1" ref="G360" ca="1">IFERROR(INDEX(ft_equipes_acs!$C:$C, MATCH(1, (VALUE(LEFT(ft_equipes_acs!$A:$A,6))=VALUE(LEFT(B360,6)))*(ft_equipes_acs!$B:$B=C360), 0)), "")</f>
        <v>1</v>
      </c>
      <c r="H360" cm="1">
        <f t="array" aca="1" ref="H360" ca="1">IFERROR(INDEX(ci_leitos_internacao!$C:$C, MATCH(1, (VALUE(LEFT(ci_leitos_internacao!$A:$A,6))=VALUE(LEFT(B360,6)))*(ci_leitos_internacao!$B:$B=C360), 0)), "")</f>
        <v>976</v>
      </c>
      <c r="I360" cm="1">
        <f t="array" aca="1" ref="I360" ca="1">IFERROR(INDEX(ci_hospitais_internacao!$C:$C, MATCH(1, (VALUE(LEFT(ci_hospitais_internacao!$A:$A,6))=VALUE(LEFT(B360,6)))*(ci_hospitais_internacao!$B:$B=C360), 0)), "")</f>
        <v>2</v>
      </c>
      <c r="J360" t="str" cm="1">
        <f t="array" aca="1" ref="J360" ca="1">IFERROR(INDEX(ci_pa_clinico!$C:$C, MATCH(1, (VALUE(LEFT(ci_pa_clinico!$A:$A,6))=VALUE(LEFT(B360,6)))*(ci_pa_clinico!$B:$B=C360), 0)), "")</f>
        <v/>
      </c>
      <c r="K360" cm="1">
        <f t="array" aca="1" ref="K360" ca="1">IFERROR(INDEX(aps_equipes_esf!$C:$C, MATCH(1, (VALUE(LEFT(aps_equipes_esf!$A:$A,6))=VALUE(LEFT(B360,6)))*(aps_equipes_esf!$B:$B=C360), 0)), "")</f>
        <v>1</v>
      </c>
      <c r="L360" cm="1">
        <f t="array" aca="1" ref="L360" ca="1">IFERROR(INDEX(casos!$C:$C, MATCH(1, (VALUE(LEFT(casos!$A:$A,6))=VALUE(LEFT(B360,6)))*(casos!$B:$B=C360), 0)), "")</f>
        <v>26</v>
      </c>
      <c r="M360" cm="1">
        <f t="array" ref="M360">IFERROR(INDEX(srag!$D:$D, MATCH(1, (VALUE(LEFT(srag!$A:$A,6))=VALUE(LEFT(B360,6)))*(srag!$C:$C=C360), 0)), "")</f>
        <v>6586</v>
      </c>
      <c r="N360" cm="1">
        <f t="array" aca="1" ref="N360" ca="1">IFERROR(INDEX(fesp!$E:$E, MATCH(1, (VALUE(LEFT(fesp!$A:$A,6))=VALUE(LEFT(B360,6)))*(fesp!$C:$C=C360), 0)), "")</f>
        <v>111</v>
      </c>
      <c r="O360" cm="1">
        <f t="array" aca="1" ref="O360" ca="1">IFERROR(INDEX(fesp!$F:$F, MATCH(1, (VALUE(LEFT(fesp!$A:$A,6))=VALUE(LEFT(B360,6)))*(fesp!$C:$C=C360), 0)), "")</f>
        <v>2485</v>
      </c>
      <c r="P360" cm="1">
        <f t="array" aca="1" ref="P360" ca="1">IFERROR(INDEX(fesp!$G:$G, MATCH(1, (VALUE(LEFT(fesp!$A:$A,6))=VALUE(LEFT(B360,6)))*(fesp!$C:$C=C360), 0)), "")</f>
        <v>3029106</v>
      </c>
      <c r="Q360" cm="1">
        <f t="array" aca="1" ref="Q360" ca="1">IFERROR(INDEX(fesp!$H:$H, MATCH(1, (VALUE(LEFT(fesp!$A:$A,6))=VALUE(LEFT(B360,6)))*(fesp!$C:$C=C360), 0)), "")</f>
        <v>25</v>
      </c>
      <c r="R360" cm="1">
        <f t="array" aca="1" ref="R360" ca="1">IFERROR(INDEX(fesp!$I:$I, MATCH(1, (VALUE(LEFT(fesp!$A:$A,6))=VALUE(LEFT(B360,6)))*(fesp!$C:$C=C360), 0)), "")</f>
        <v>5197</v>
      </c>
      <c r="S360" cm="1">
        <f t="array" aca="1" ref="S360" ca="1">IFERROR(INDEX(fesp!$J:$J, MATCH(1, (VALUE(LEFT(fesp!$A:$A,6))=VALUE(LEFT(B360,6)))*(fesp!$C:$C=C360), 0)), "")</f>
        <v>16690</v>
      </c>
    </row>
    <row r="361" spans="1:19">
      <c r="A361" s="1" t="s">
        <v>43</v>
      </c>
      <c r="B361" s="3" t="s">
        <v>42</v>
      </c>
      <c r="C361" s="3">
        <v>2022</v>
      </c>
      <c r="D361" cm="1">
        <f t="array" ref="D361">IFERROR(INDEX(fesp!$D:$D, MATCH(1, (VALUE(LEFT(fesp!$A:$A,6))=VALUE(LEFT(B361,6)))*(fesp!$C:$C=C361), 0)), "")</f>
        <v>785867</v>
      </c>
      <c r="E361" cm="1">
        <f t="array" aca="1" ref="E361" ca="1">IFERROR(INDEX(ft_medicos_clinicos!$C:$C, MATCH(1, (VALUE(LEFT(ft_medicos_clinicos!$A:$A,6))=VALUE(LEFT(B361,6)))*(ft_medicos_clinicos!$B:$B=C361), 0)), "")</f>
        <v>605</v>
      </c>
      <c r="F361" cm="1">
        <f t="array" aca="1" ref="F361" ca="1">IFERROR(INDEX(ft_enfermeiros!$C:$C, MATCH(1, (VALUE(LEFT(ft_enfermeiros!$A:$A,6))=VALUE(LEFT(B361,6)))*(ft_enfermeiros!$B:$B=C361), 0)), "")</f>
        <v>745</v>
      </c>
      <c r="G361" cm="1">
        <f t="array" aca="1" ref="G361" ca="1">IFERROR(INDEX(ft_equipes_acs!$C:$C, MATCH(1, (VALUE(LEFT(ft_equipes_acs!$A:$A,6))=VALUE(LEFT(B361,6)))*(ft_equipes_acs!$B:$B=C361), 0)), "")</f>
        <v>1</v>
      </c>
      <c r="H361" cm="1">
        <f t="array" aca="1" ref="H361" ca="1">IFERROR(INDEX(ci_leitos_internacao!$C:$C, MATCH(1, (VALUE(LEFT(ci_leitos_internacao!$A:$A,6))=VALUE(LEFT(B361,6)))*(ci_leitos_internacao!$B:$B=C361), 0)), "")</f>
        <v>1165</v>
      </c>
      <c r="I361" cm="1">
        <f t="array" aca="1" ref="I361" ca="1">IFERROR(INDEX(ci_hospitais_internacao!$C:$C, MATCH(1, (VALUE(LEFT(ci_hospitais_internacao!$A:$A,6))=VALUE(LEFT(B361,6)))*(ci_hospitais_internacao!$B:$B=C361), 0)), "")</f>
        <v>2</v>
      </c>
      <c r="J361" t="str" cm="1">
        <f t="array" aca="1" ref="J361" ca="1">IFERROR(INDEX(ci_pa_clinico!$C:$C, MATCH(1, (VALUE(LEFT(ci_pa_clinico!$A:$A,6))=VALUE(LEFT(B361,6)))*(ci_pa_clinico!$B:$B=C361), 0)), "")</f>
        <v/>
      </c>
      <c r="K361" cm="1">
        <f t="array" aca="1" ref="K361" ca="1">IFERROR(INDEX(aps_equipes_esf!$C:$C, MATCH(1, (VALUE(LEFT(aps_equipes_esf!$A:$A,6))=VALUE(LEFT(B361,6)))*(aps_equipes_esf!$B:$B=C361), 0)), "")</f>
        <v>1</v>
      </c>
      <c r="L361" cm="1">
        <f t="array" aca="1" ref="L361" ca="1">IFERROR(INDEX(casos!$C:$C, MATCH(1, (VALUE(LEFT(casos!$A:$A,6))=VALUE(LEFT(B361,6)))*(casos!$B:$B=C361), 0)), "")</f>
        <v>38</v>
      </c>
      <c r="M361" cm="1">
        <f t="array" ref="M361">IFERROR(INDEX(srag!$D:$D, MATCH(1, (VALUE(LEFT(srag!$A:$A,6))=VALUE(LEFT(B361,6)))*(srag!$C:$C=C361), 0)), "")</f>
        <v>1310</v>
      </c>
      <c r="N361" cm="1">
        <f t="array" aca="1" ref="N361" ca="1">IFERROR(INDEX(fesp!$E:$E, MATCH(1, (VALUE(LEFT(fesp!$A:$A,6))=VALUE(LEFT(B361,6)))*(fesp!$C:$C=C361), 0)), "")</f>
        <v>168</v>
      </c>
      <c r="O361" cm="1">
        <f t="array" aca="1" ref="O361" ca="1">IFERROR(INDEX(fesp!$F:$F, MATCH(1, (VALUE(LEFT(fesp!$A:$A,6))=VALUE(LEFT(B361,6)))*(fesp!$C:$C=C361), 0)), "")</f>
        <v>2596</v>
      </c>
      <c r="P361" cm="1">
        <f t="array" aca="1" ref="P361" ca="1">IFERROR(INDEX(fesp!$G:$G, MATCH(1, (VALUE(LEFT(fesp!$A:$A,6))=VALUE(LEFT(B361,6)))*(fesp!$C:$C=C361), 0)), "")</f>
        <v>2780830</v>
      </c>
      <c r="Q361" cm="1">
        <f t="array" aca="1" ref="Q361" ca="1">IFERROR(INDEX(fesp!$H:$H, MATCH(1, (VALUE(LEFT(fesp!$A:$A,6))=VALUE(LEFT(B361,6)))*(fesp!$C:$C=C361), 0)), "")</f>
        <v>73</v>
      </c>
      <c r="R361" cm="1">
        <f t="array" aca="1" ref="R361" ca="1">IFERROR(INDEX(fesp!$I:$I, MATCH(1, (VALUE(LEFT(fesp!$A:$A,6))=VALUE(LEFT(B361,6)))*(fesp!$C:$C=C361), 0)), "")</f>
        <v>3839</v>
      </c>
      <c r="S361" cm="1">
        <f t="array" aca="1" ref="S361" ca="1">IFERROR(INDEX(fesp!$J:$J, MATCH(1, (VALUE(LEFT(fesp!$A:$A,6))=VALUE(LEFT(B361,6)))*(fesp!$C:$C=C361), 0)), "")</f>
        <v>19670</v>
      </c>
    </row>
    <row r="362" spans="1:19">
      <c r="A362" s="1" t="s">
        <v>43</v>
      </c>
      <c r="B362" s="3" t="s">
        <v>42</v>
      </c>
      <c r="C362" s="3">
        <v>2023</v>
      </c>
      <c r="D362" cm="1">
        <f t="array" ref="D362">IFERROR(INDEX(fesp!$D:$D, MATCH(1, (VALUE(LEFT(fesp!$A:$A,6))=VALUE(LEFT(B362,6)))*(fesp!$C:$C=C362), 0)), "")</f>
        <v>0</v>
      </c>
      <c r="E362" cm="1">
        <f t="array" aca="1" ref="E362" ca="1">IFERROR(INDEX(ft_medicos_clinicos!$C:$C, MATCH(1, (VALUE(LEFT(ft_medicos_clinicos!$A:$A,6))=VALUE(LEFT(B362,6)))*(ft_medicos_clinicos!$B:$B=C362), 0)), "")</f>
        <v>629</v>
      </c>
      <c r="F362" cm="1">
        <f t="array" aca="1" ref="F362" ca="1">IFERROR(INDEX(ft_enfermeiros!$C:$C, MATCH(1, (VALUE(LEFT(ft_enfermeiros!$A:$A,6))=VALUE(LEFT(B362,6)))*(ft_enfermeiros!$B:$B=C362), 0)), "")</f>
        <v>781</v>
      </c>
      <c r="G362" cm="1">
        <f t="array" aca="1" ref="G362" ca="1">IFERROR(INDEX(ft_equipes_acs!$C:$C, MATCH(1, (VALUE(LEFT(ft_equipes_acs!$A:$A,6))=VALUE(LEFT(B362,6)))*(ft_equipes_acs!$B:$B=C362), 0)), "")</f>
        <v>1</v>
      </c>
      <c r="H362" cm="1">
        <f t="array" aca="1" ref="H362" ca="1">IFERROR(INDEX(ci_leitos_internacao!$C:$C, MATCH(1, (VALUE(LEFT(ci_leitos_internacao!$A:$A,6))=VALUE(LEFT(B362,6)))*(ci_leitos_internacao!$B:$B=C362), 0)), "")</f>
        <v>1163</v>
      </c>
      <c r="I362" cm="1">
        <f t="array" aca="1" ref="I362" ca="1">IFERROR(INDEX(ci_hospitais_internacao!$C:$C, MATCH(1, (VALUE(LEFT(ci_hospitais_internacao!$A:$A,6))=VALUE(LEFT(B362,6)))*(ci_hospitais_internacao!$B:$B=C362), 0)), "")</f>
        <v>2</v>
      </c>
      <c r="J362" t="str" cm="1">
        <f t="array" aca="1" ref="J362" ca="1">IFERROR(INDEX(ci_pa_clinico!$C:$C, MATCH(1, (VALUE(LEFT(ci_pa_clinico!$A:$A,6))=VALUE(LEFT(B362,6)))*(ci_pa_clinico!$B:$B=C362), 0)), "")</f>
        <v/>
      </c>
      <c r="K362" cm="1">
        <f t="array" aca="1" ref="K362" ca="1">IFERROR(INDEX(aps_equipes_esf!$C:$C, MATCH(1, (VALUE(LEFT(aps_equipes_esf!$A:$A,6))=VALUE(LEFT(B362,6)))*(aps_equipes_esf!$B:$B=C362), 0)), "")</f>
        <v>1</v>
      </c>
      <c r="L362" cm="1">
        <f t="array" aca="1" ref="L362" ca="1">IFERROR(INDEX(casos!$C:$C, MATCH(1, (VALUE(LEFT(casos!$A:$A,6))=VALUE(LEFT(B362,6)))*(casos!$B:$B=C362), 0)), "")</f>
        <v>657</v>
      </c>
      <c r="M362" cm="1">
        <f t="array" ref="M362">IFERROR(INDEX(srag!$D:$D, MATCH(1, (VALUE(LEFT(srag!$A:$A,6))=VALUE(LEFT(B362,6)))*(srag!$C:$C=C362), 0)), "")</f>
        <v>411</v>
      </c>
      <c r="N362" cm="1">
        <f t="array" aca="1" ref="N362" ca="1">IFERROR(INDEX(fesp!$E:$E, MATCH(1, (VALUE(LEFT(fesp!$A:$A,6))=VALUE(LEFT(B362,6)))*(fesp!$C:$C=C362), 0)), "")</f>
        <v>211</v>
      </c>
      <c r="O362" cm="1">
        <f t="array" aca="1" ref="O362" ca="1">IFERROR(INDEX(fesp!$F:$F, MATCH(1, (VALUE(LEFT(fesp!$A:$A,6))=VALUE(LEFT(B362,6)))*(fesp!$C:$C=C362), 0)), "")</f>
        <v>2934</v>
      </c>
      <c r="P362" cm="1">
        <f t="array" aca="1" ref="P362" ca="1">IFERROR(INDEX(fesp!$G:$G, MATCH(1, (VALUE(LEFT(fesp!$A:$A,6))=VALUE(LEFT(B362,6)))*(fesp!$C:$C=C362), 0)), "")</f>
        <v>3069743</v>
      </c>
      <c r="Q362" cm="1">
        <f t="array" aca="1" ref="Q362" ca="1">IFERROR(INDEX(fesp!$H:$H, MATCH(1, (VALUE(LEFT(fesp!$A:$A,6))=VALUE(LEFT(B362,6)))*(fesp!$C:$C=C362), 0)), "")</f>
        <v>53</v>
      </c>
      <c r="R362" cm="1">
        <f t="array" aca="1" ref="R362" ca="1">IFERROR(INDEX(fesp!$I:$I, MATCH(1, (VALUE(LEFT(fesp!$A:$A,6))=VALUE(LEFT(B362,6)))*(fesp!$C:$C=C362), 0)), "")</f>
        <v>4967</v>
      </c>
      <c r="S362" cm="1">
        <f t="array" aca="1" ref="S362" ca="1">IFERROR(INDEX(fesp!$J:$J, MATCH(1, (VALUE(LEFT(fesp!$A:$A,6))=VALUE(LEFT(B362,6)))*(fesp!$C:$C=C362), 0)), "")</f>
        <v>248051</v>
      </c>
    </row>
    <row r="363" spans="1:19">
      <c r="A363" s="1" t="s">
        <v>43</v>
      </c>
      <c r="B363" s="3">
        <v>3303500</v>
      </c>
      <c r="C363" s="3">
        <v>2024</v>
      </c>
      <c r="D363" cm="1">
        <f t="array" ref="D363">IFERROR(INDEX(fesp!$D:$D, MATCH(1, (VALUE(LEFT(fesp!$A:$A,6))=VALUE(LEFT(B363,6)))*(fesp!$C:$C=C363), 0)), "")</f>
        <v>0</v>
      </c>
      <c r="E363" cm="1">
        <f t="array" aca="1" ref="E363" ca="1">IFERROR(INDEX(ft_medicos_clinicos!$C:$C, MATCH(1, (VALUE(LEFT(ft_medicos_clinicos!$A:$A,6))=VALUE(LEFT(B363,6)))*(ft_medicos_clinicos!$B:$B=C363), 0)), "")</f>
        <v>535</v>
      </c>
      <c r="F363" cm="1">
        <f t="array" aca="1" ref="F363" ca="1">IFERROR(INDEX(ft_enfermeiros!$C:$C, MATCH(1, (VALUE(LEFT(ft_enfermeiros!$A:$A,6))=VALUE(LEFT(B363,6)))*(ft_enfermeiros!$B:$B=C363), 0)), "")</f>
        <v>928</v>
      </c>
      <c r="G363" cm="1">
        <f t="array" aca="1" ref="G363" ca="1">IFERROR(INDEX(ft_equipes_acs!$C:$C, MATCH(1, (VALUE(LEFT(ft_equipes_acs!$A:$A,6))=VALUE(LEFT(B363,6)))*(ft_equipes_acs!$B:$B=C363), 0)), "")</f>
        <v>1</v>
      </c>
      <c r="H363" cm="1">
        <f t="array" aca="1" ref="H363" ca="1">IFERROR(INDEX(ci_leitos_internacao!$C:$C, MATCH(1, (VALUE(LEFT(ci_leitos_internacao!$A:$A,6))=VALUE(LEFT(B363,6)))*(ci_leitos_internacao!$B:$B=C363), 0)), "")</f>
        <v>886</v>
      </c>
      <c r="I363" cm="1">
        <f t="array" aca="1" ref="I363" ca="1">IFERROR(INDEX(ci_hospitais_internacao!$C:$C, MATCH(1, (VALUE(LEFT(ci_hospitais_internacao!$A:$A,6))=VALUE(LEFT(B363,6)))*(ci_hospitais_internacao!$B:$B=C363), 0)), "")</f>
        <v>2</v>
      </c>
      <c r="J363" t="str" cm="1">
        <f t="array" aca="1" ref="J363" ca="1">IFERROR(INDEX(ci_pa_clinico!$C:$C, MATCH(1, (VALUE(LEFT(ci_pa_clinico!$A:$A,6))=VALUE(LEFT(B363,6)))*(ci_pa_clinico!$B:$B=C363), 0)), "")</f>
        <v/>
      </c>
      <c r="K363" cm="1">
        <f t="array" aca="1" ref="K363" ca="1">IFERROR(INDEX(aps_equipes_esf!$C:$C, MATCH(1, (VALUE(LEFT(aps_equipes_esf!$A:$A,6))=VALUE(LEFT(B363,6)))*(aps_equipes_esf!$B:$B=C363), 0)), "")</f>
        <v>1</v>
      </c>
      <c r="L363" cm="1">
        <f t="array" aca="1" ref="L363" ca="1">IFERROR(INDEX(casos!$C:$C, MATCH(1, (VALUE(LEFT(casos!$A:$A,6))=VALUE(LEFT(B363,6)))*(casos!$B:$B=C363), 0)), "")</f>
        <v>1643</v>
      </c>
      <c r="M363" cm="1">
        <f t="array" ref="M363">IFERROR(INDEX(srag!$D:$D, MATCH(1, (VALUE(LEFT(srag!$A:$A,6))=VALUE(LEFT(B363,6)))*(srag!$C:$C=C363), 0)), "")</f>
        <v>533</v>
      </c>
      <c r="N363" cm="1">
        <f t="array" aca="1" ref="N363" ca="1">IFERROR(INDEX(fesp!$E:$E, MATCH(1, (VALUE(LEFT(fesp!$A:$A,6))=VALUE(LEFT(B363,6)))*(fesp!$C:$C=C363), 0)), "")</f>
        <v>195</v>
      </c>
      <c r="O363" cm="1">
        <f t="array" aca="1" ref="O363" ca="1">IFERROR(INDEX(fesp!$F:$F, MATCH(1, (VALUE(LEFT(fesp!$A:$A,6))=VALUE(LEFT(B363,6)))*(fesp!$C:$C=C363), 0)), "")</f>
        <v>3762</v>
      </c>
      <c r="P363" cm="1">
        <f t="array" aca="1" ref="P363" ca="1">IFERROR(INDEX(fesp!$G:$G, MATCH(1, (VALUE(LEFT(fesp!$A:$A,6))=VALUE(LEFT(B363,6)))*(fesp!$C:$C=C363), 0)), "")</f>
        <v>2196300</v>
      </c>
      <c r="Q363" cm="1">
        <f t="array" aca="1" ref="Q363" ca="1">IFERROR(INDEX(fesp!$H:$H, MATCH(1, (VALUE(LEFT(fesp!$A:$A,6))=VALUE(LEFT(B363,6)))*(fesp!$C:$C=C363), 0)), "")</f>
        <v>45</v>
      </c>
      <c r="R363" cm="1">
        <f t="array" aca="1" ref="R363" ca="1">IFERROR(INDEX(fesp!$I:$I, MATCH(1, (VALUE(LEFT(fesp!$A:$A,6))=VALUE(LEFT(B363,6)))*(fesp!$C:$C=C363), 0)), "")</f>
        <v>1280</v>
      </c>
      <c r="S363" cm="1">
        <f t="array" aca="1" ref="S363" ca="1">IFERROR(INDEX(fesp!$J:$J, MATCH(1, (VALUE(LEFT(fesp!$A:$A,6))=VALUE(LEFT(B363,6)))*(fesp!$C:$C=C363), 0)), "")</f>
        <v>14909</v>
      </c>
    </row>
    <row r="364" spans="1:19">
      <c r="A364" s="1" t="s">
        <v>43</v>
      </c>
      <c r="B364" s="3" t="s">
        <v>42</v>
      </c>
      <c r="C364" s="3">
        <v>2025</v>
      </c>
      <c r="D364" cm="1">
        <f t="array" ref="D364">IFERROR(INDEX(fesp!$D:$D, MATCH(1, (VALUE(LEFT(fesp!$A:$A,6))=VALUE(LEFT(B364,6)))*(fesp!$C:$C=C364), 0)), "")</f>
        <v>0</v>
      </c>
      <c r="E364" cm="1">
        <f t="array" aca="1" ref="E364" ca="1">IFERROR(INDEX(ft_medicos_clinicos!$C:$C, MATCH(1, (VALUE(LEFT(ft_medicos_clinicos!$A:$A,6))=VALUE(LEFT(B364,6)))*(ft_medicos_clinicos!$B:$B=C364), 0)), "")</f>
        <v>531</v>
      </c>
      <c r="F364" cm="1">
        <f t="array" aca="1" ref="F364" ca="1">IFERROR(INDEX(ft_enfermeiros!$C:$C, MATCH(1, (VALUE(LEFT(ft_enfermeiros!$A:$A,6))=VALUE(LEFT(B364,6)))*(ft_enfermeiros!$B:$B=C364), 0)), "")</f>
        <v>1016</v>
      </c>
      <c r="G364" cm="1">
        <f t="array" aca="1" ref="G364" ca="1">IFERROR(INDEX(ft_equipes_acs!$C:$C, MATCH(1, (VALUE(LEFT(ft_equipes_acs!$A:$A,6))=VALUE(LEFT(B364,6)))*(ft_equipes_acs!$B:$B=C364), 0)), "")</f>
        <v>1</v>
      </c>
      <c r="H364" cm="1">
        <f t="array" aca="1" ref="H364" ca="1">IFERROR(INDEX(ci_leitos_internacao!$C:$C, MATCH(1, (VALUE(LEFT(ci_leitos_internacao!$A:$A,6))=VALUE(LEFT(B364,6)))*(ci_leitos_internacao!$B:$B=C364), 0)), "")</f>
        <v>949</v>
      </c>
      <c r="I364" cm="1">
        <f t="array" aca="1" ref="I364" ca="1">IFERROR(INDEX(ci_hospitais_internacao!$C:$C, MATCH(1, (VALUE(LEFT(ci_hospitais_internacao!$A:$A,6))=VALUE(LEFT(B364,6)))*(ci_hospitais_internacao!$B:$B=C364), 0)), "")</f>
        <v>2</v>
      </c>
      <c r="J364" t="str" cm="1">
        <f t="array" aca="1" ref="J364" ca="1">IFERROR(INDEX(ci_pa_clinico!$C:$C, MATCH(1, (VALUE(LEFT(ci_pa_clinico!$A:$A,6))=VALUE(LEFT(B364,6)))*(ci_pa_clinico!$B:$B=C364), 0)), "")</f>
        <v/>
      </c>
      <c r="K364" cm="1">
        <f t="array" aca="1" ref="K364" ca="1">IFERROR(INDEX(aps_equipes_esf!$C:$C, MATCH(1, (VALUE(LEFT(aps_equipes_esf!$A:$A,6))=VALUE(LEFT(B364,6)))*(aps_equipes_esf!$B:$B=C364), 0)), "")</f>
        <v>1</v>
      </c>
      <c r="L364" cm="1">
        <f t="array" aca="1" ref="L364" ca="1">IFERROR(INDEX(casos!$C:$C, MATCH(1, (VALUE(LEFT(casos!$A:$A,6))=VALUE(LEFT(B364,6)))*(casos!$B:$B=C364), 0)), "")</f>
        <v>101</v>
      </c>
      <c r="M364" cm="1">
        <f t="array" ref="M364">IFERROR(INDEX(srag!$D:$D, MATCH(1, (VALUE(LEFT(srag!$A:$A,6))=VALUE(LEFT(B364,6)))*(srag!$C:$C=C364), 0)), "")</f>
        <v>648</v>
      </c>
      <c r="N364" cm="1">
        <f t="array" aca="1" ref="N364" ca="1">IFERROR(INDEX(fesp!$E:$E, MATCH(1, (VALUE(LEFT(fesp!$A:$A,6))=VALUE(LEFT(B364,6)))*(fesp!$C:$C=C364), 0)), "")</f>
        <v>171</v>
      </c>
      <c r="O364" cm="1">
        <f t="array" aca="1" ref="O364" ca="1">IFERROR(INDEX(fesp!$F:$F, MATCH(1, (VALUE(LEFT(fesp!$A:$A,6))=VALUE(LEFT(B364,6)))*(fesp!$C:$C=C364), 0)), "")</f>
        <v>3216</v>
      </c>
      <c r="P364" cm="1">
        <f t="array" aca="1" ref="P364" ca="1">IFERROR(INDEX(fesp!$G:$G, MATCH(1, (VALUE(LEFT(fesp!$A:$A,6))=VALUE(LEFT(B364,6)))*(fesp!$C:$C=C364), 0)), "")</f>
        <v>1814600</v>
      </c>
      <c r="Q364" cm="1">
        <f t="array" aca="1" ref="Q364" ca="1">IFERROR(INDEX(fesp!$H:$H, MATCH(1, (VALUE(LEFT(fesp!$A:$A,6))=VALUE(LEFT(B364,6)))*(fesp!$C:$C=C364), 0)), "")</f>
        <v>51</v>
      </c>
      <c r="R364" cm="1">
        <f t="array" aca="1" ref="R364" ca="1">IFERROR(INDEX(fesp!$I:$I, MATCH(1, (VALUE(LEFT(fesp!$A:$A,6))=VALUE(LEFT(B364,6)))*(fesp!$C:$C=C364), 0)), "")</f>
        <v>926</v>
      </c>
      <c r="S364" cm="1">
        <f t="array" aca="1" ref="S364" ca="1">IFERROR(INDEX(fesp!$J:$J, MATCH(1, (VALUE(LEFT(fesp!$A:$A,6))=VALUE(LEFT(B364,6)))*(fesp!$C:$C=C364), 0)), "")</f>
        <v>4506</v>
      </c>
    </row>
    <row r="365" spans="1:19">
      <c r="A365" s="1" t="s">
        <v>3</v>
      </c>
      <c r="B365" s="3">
        <v>3304557</v>
      </c>
      <c r="C365" s="4">
        <v>2015</v>
      </c>
      <c r="D365" cm="1">
        <f t="array" ref="D365">IFERROR(INDEX(fesp!$D:$D, MATCH(1, (VALUE(LEFT(fesp!$A:$A,6))=VALUE(LEFT(B365,6)))*(fesp!$C:$C=C365), 0)), "")</f>
        <v>6476631</v>
      </c>
      <c r="E365" cm="1">
        <f t="array" aca="1" ref="E365" ca="1">IFERROR(INDEX(ft_medicos_clinicos!$C:$C, MATCH(1, (VALUE(LEFT(ft_medicos_clinicos!$A:$A,6))=VALUE(LEFT(B365,6)))*(ft_medicos_clinicos!$B:$B=C365), 0)), "")</f>
        <v>3747</v>
      </c>
      <c r="F365" cm="1">
        <f t="array" aca="1" ref="F365" ca="1">IFERROR(INDEX(ft_enfermeiros!$C:$C, MATCH(1, (VALUE(LEFT(ft_enfermeiros!$A:$A,6))=VALUE(LEFT(B365,6)))*(ft_enfermeiros!$B:$B=C365), 0)), "")</f>
        <v>10211</v>
      </c>
      <c r="G365" cm="1">
        <f t="array" aca="1" ref="G365" ca="1">IFERROR(INDEX(ft_equipes_acs!$C:$C, MATCH(1, (VALUE(LEFT(ft_equipes_acs!$A:$A,6))=VALUE(LEFT(B365,6)))*(ft_equipes_acs!$B:$B=C365), 0)), "")</f>
        <v>12</v>
      </c>
      <c r="H365" cm="1">
        <f t="array" aca="1" ref="H365" ca="1">IFERROR(INDEX(ci_leitos_internacao!$C:$C, MATCH(1, (VALUE(LEFT(ci_leitos_internacao!$A:$A,6))=VALUE(LEFT(B365,6)))*(ci_leitos_internacao!$B:$B=C365), 0)), "")</f>
        <v>18420</v>
      </c>
      <c r="I365" cm="1">
        <f t="array" aca="1" ref="I365" ca="1">IFERROR(INDEX(ci_hospitais_internacao!$C:$C, MATCH(1, (VALUE(LEFT(ci_hospitais_internacao!$A:$A,6))=VALUE(LEFT(B365,6)))*(ci_hospitais_internacao!$B:$B=C365), 0)), "")</f>
        <v>37</v>
      </c>
      <c r="J365" t="str" cm="1">
        <f t="array" aca="1" ref="J365" ca="1">IFERROR(INDEX(ci_pa_clinico!$C:$C, MATCH(1, (VALUE(LEFT(ci_pa_clinico!$A:$A,6))=VALUE(LEFT(B365,6)))*(ci_pa_clinico!$B:$B=C365), 0)), "")</f>
        <v/>
      </c>
      <c r="K365" cm="1">
        <f t="array" aca="1" ref="K365" ca="1">IFERROR(INDEX(aps_equipes_esf!$C:$C, MATCH(1, (VALUE(LEFT(aps_equipes_esf!$A:$A,6))=VALUE(LEFT(B365,6)))*(aps_equipes_esf!$B:$B=C365), 0)), "")</f>
        <v>363</v>
      </c>
      <c r="L365" cm="1">
        <f t="array" aca="1" ref="L365" ca="1">IFERROR(INDEX(casos!$C:$C, MATCH(1, (VALUE(LEFT(casos!$A:$A,6))=VALUE(LEFT(B365,6)))*(casos!$B:$B=C365), 0)), "")</f>
        <v>18302</v>
      </c>
      <c r="M365" cm="1">
        <f t="array" ref="M365">IFERROR(INDEX(srag!$D:$D, MATCH(1, (VALUE(LEFT(srag!$A:$A,6))=VALUE(LEFT(B365,6)))*(srag!$C:$C=C365), 0)), "")</f>
        <v>297</v>
      </c>
      <c r="N365" cm="1">
        <f t="array" aca="1" ref="N365" ca="1">IFERROR(INDEX(fesp!$E:$E, MATCH(1, (VALUE(LEFT(fesp!$A:$A,6))=VALUE(LEFT(B365,6)))*(fesp!$C:$C=C365), 0)), "")</f>
        <v>1378</v>
      </c>
      <c r="O365" cm="1">
        <f t="array" aca="1" ref="O365" ca="1">IFERROR(INDEX(fesp!$F:$F, MATCH(1, (VALUE(LEFT(fesp!$A:$A,6))=VALUE(LEFT(B365,6)))*(fesp!$C:$C=C365), 0)), "")</f>
        <v>14826</v>
      </c>
      <c r="P365" cm="1">
        <f t="array" aca="1" ref="P365" ca="1">IFERROR(INDEX(fesp!$G:$G, MATCH(1, (VALUE(LEFT(fesp!$A:$A,6))=VALUE(LEFT(B365,6)))*(fesp!$C:$C=C365), 0)), "")</f>
        <v>27035310</v>
      </c>
      <c r="Q365" cm="1">
        <f t="array" aca="1" ref="Q365" ca="1">IFERROR(INDEX(fesp!$H:$H, MATCH(1, (VALUE(LEFT(fesp!$A:$A,6))=VALUE(LEFT(B365,6)))*(fesp!$C:$C=C365), 0)), "")</f>
        <v>888</v>
      </c>
      <c r="R365" cm="1">
        <f t="array" aca="1" ref="R365" ca="1">IFERROR(INDEX(fesp!$I:$I, MATCH(1, (VALUE(LEFT(fesp!$A:$A,6))=VALUE(LEFT(B365,6)))*(fesp!$C:$C=C365), 0)), "")</f>
        <v>504278</v>
      </c>
      <c r="S365" cm="1">
        <f t="array" aca="1" ref="S365" ca="1">IFERROR(INDEX(fesp!$J:$J, MATCH(1, (VALUE(LEFT(fesp!$A:$A,6))=VALUE(LEFT(B365,6)))*(fesp!$C:$C=C365), 0)), "")</f>
        <v>3648912</v>
      </c>
    </row>
    <row r="366" spans="1:19">
      <c r="A366" s="1" t="s">
        <v>3</v>
      </c>
      <c r="B366" s="3">
        <v>3304557</v>
      </c>
      <c r="C366" s="4">
        <v>2016</v>
      </c>
      <c r="D366" cm="1">
        <f t="array" ref="D366">IFERROR(INDEX(fesp!$D:$D, MATCH(1, (VALUE(LEFT(fesp!$A:$A,6))=VALUE(LEFT(B366,6)))*(fesp!$C:$C=C366), 0)), "")</f>
        <v>0</v>
      </c>
      <c r="E366" cm="1">
        <f t="array" aca="1" ref="E366" ca="1">IFERROR(INDEX(ft_medicos_clinicos!$C:$C, MATCH(1, (VALUE(LEFT(ft_medicos_clinicos!$A:$A,6))=VALUE(LEFT(B366,6)))*(ft_medicos_clinicos!$B:$B=C366), 0)), "")</f>
        <v>3691</v>
      </c>
      <c r="F366" cm="1">
        <f t="array" aca="1" ref="F366" ca="1">IFERROR(INDEX(ft_enfermeiros!$C:$C, MATCH(1, (VALUE(LEFT(ft_enfermeiros!$A:$A,6))=VALUE(LEFT(B366,6)))*(ft_enfermeiros!$B:$B=C366), 0)), "")</f>
        <v>10777</v>
      </c>
      <c r="G366" cm="1">
        <f t="array" aca="1" ref="G366" ca="1">IFERROR(INDEX(ft_equipes_acs!$C:$C, MATCH(1, (VALUE(LEFT(ft_equipes_acs!$A:$A,6))=VALUE(LEFT(B366,6)))*(ft_equipes_acs!$B:$B=C366), 0)), "")</f>
        <v>54</v>
      </c>
      <c r="H366" cm="1">
        <f t="array" aca="1" ref="H366" ca="1">IFERROR(INDEX(ci_leitos_internacao!$C:$C, MATCH(1, (VALUE(LEFT(ci_leitos_internacao!$A:$A,6))=VALUE(LEFT(B366,6)))*(ci_leitos_internacao!$B:$B=C366), 0)), "")</f>
        <v>17210</v>
      </c>
      <c r="I366" cm="1">
        <f t="array" aca="1" ref="I366" ca="1">IFERROR(INDEX(ci_hospitais_internacao!$C:$C, MATCH(1, (VALUE(LEFT(ci_hospitais_internacao!$A:$A,6))=VALUE(LEFT(B366,6)))*(ci_hospitais_internacao!$B:$B=C366), 0)), "")</f>
        <v>38</v>
      </c>
      <c r="J366" t="str" cm="1">
        <f t="array" aca="1" ref="J366" ca="1">IFERROR(INDEX(ci_pa_clinico!$C:$C, MATCH(1, (VALUE(LEFT(ci_pa_clinico!$A:$A,6))=VALUE(LEFT(B366,6)))*(ci_pa_clinico!$B:$B=C366), 0)), "")</f>
        <v/>
      </c>
      <c r="K366" cm="1">
        <f t="array" aca="1" ref="K366" ca="1">IFERROR(INDEX(aps_equipes_esf!$C:$C, MATCH(1, (VALUE(LEFT(aps_equipes_esf!$A:$A,6))=VALUE(LEFT(B366,6)))*(aps_equipes_esf!$B:$B=C366), 0)), "")</f>
        <v>493</v>
      </c>
      <c r="L366" cm="1">
        <f t="array" aca="1" ref="L366" ca="1">IFERROR(INDEX(casos!$C:$C, MATCH(1, (VALUE(LEFT(casos!$A:$A,6))=VALUE(LEFT(B366,6)))*(casos!$B:$B=C366), 0)), "")</f>
        <v>26402</v>
      </c>
      <c r="M366" cm="1">
        <f t="array" ref="M366">IFERROR(INDEX(srag!$D:$D, MATCH(1, (VALUE(LEFT(srag!$A:$A,6))=VALUE(LEFT(B366,6)))*(srag!$C:$C=C366), 0)), "")</f>
        <v>871</v>
      </c>
      <c r="N366" cm="1">
        <f t="array" aca="1" ref="N366" ca="1">IFERROR(INDEX(fesp!$E:$E, MATCH(1, (VALUE(LEFT(fesp!$A:$A,6))=VALUE(LEFT(B366,6)))*(fesp!$C:$C=C366), 0)), "")</f>
        <v>1150</v>
      </c>
      <c r="O366" cm="1">
        <f t="array" aca="1" ref="O366" ca="1">IFERROR(INDEX(fesp!$F:$F, MATCH(1, (VALUE(LEFT(fesp!$A:$A,6))=VALUE(LEFT(B366,6)))*(fesp!$C:$C=C366), 0)), "")</f>
        <v>13563</v>
      </c>
      <c r="P366" cm="1">
        <f t="array" aca="1" ref="P366" ca="1">IFERROR(INDEX(fesp!$G:$G, MATCH(1, (VALUE(LEFT(fesp!$A:$A,6))=VALUE(LEFT(B366,6)))*(fesp!$C:$C=C366), 0)), "")</f>
        <v>24438390</v>
      </c>
      <c r="Q366" cm="1">
        <f t="array" aca="1" ref="Q366" ca="1">IFERROR(INDEX(fesp!$H:$H, MATCH(1, (VALUE(LEFT(fesp!$A:$A,6))=VALUE(LEFT(B366,6)))*(fesp!$C:$C=C366), 0)), "")</f>
        <v>615</v>
      </c>
      <c r="R366" cm="1">
        <f t="array" aca="1" ref="R366" ca="1">IFERROR(INDEX(fesp!$I:$I, MATCH(1, (VALUE(LEFT(fesp!$A:$A,6))=VALUE(LEFT(B366,6)))*(fesp!$C:$C=C366), 0)), "")</f>
        <v>476021</v>
      </c>
      <c r="S366" cm="1">
        <f t="array" aca="1" ref="S366" ca="1">IFERROR(INDEX(fesp!$J:$J, MATCH(1, (VALUE(LEFT(fesp!$A:$A,6))=VALUE(LEFT(B366,6)))*(fesp!$C:$C=C366), 0)), "")</f>
        <v>4013605</v>
      </c>
    </row>
    <row r="367" spans="1:19">
      <c r="A367" s="1" t="s">
        <v>3</v>
      </c>
      <c r="B367" s="3">
        <v>3304557</v>
      </c>
      <c r="C367" s="4">
        <v>2017</v>
      </c>
      <c r="D367" cm="1">
        <f t="array" ref="D367">IFERROR(INDEX(fesp!$D:$D, MATCH(1, (VALUE(LEFT(fesp!$A:$A,6))=VALUE(LEFT(B367,6)))*(fesp!$C:$C=C367), 0)), "")</f>
        <v>0</v>
      </c>
      <c r="E367" cm="1">
        <f t="array" aca="1" ref="E367" ca="1">IFERROR(INDEX(ft_medicos_clinicos!$C:$C, MATCH(1, (VALUE(LEFT(ft_medicos_clinicos!$A:$A,6))=VALUE(LEFT(B367,6)))*(ft_medicos_clinicos!$B:$B=C367), 0)), "")</f>
        <v>3973</v>
      </c>
      <c r="F367" cm="1">
        <f t="array" aca="1" ref="F367" ca="1">IFERROR(INDEX(ft_enfermeiros!$C:$C, MATCH(1, (VALUE(LEFT(ft_enfermeiros!$A:$A,6))=VALUE(LEFT(B367,6)))*(ft_enfermeiros!$B:$B=C367), 0)), "")</f>
        <v>11174</v>
      </c>
      <c r="G367" cm="1">
        <f t="array" aca="1" ref="G367" ca="1">IFERROR(INDEX(ft_equipes_acs!$C:$C, MATCH(1, (VALUE(LEFT(ft_equipes_acs!$A:$A,6))=VALUE(LEFT(B367,6)))*(ft_equipes_acs!$B:$B=C367), 0)), "")</f>
        <v>10</v>
      </c>
      <c r="H367" cm="1">
        <f t="array" aca="1" ref="H367" ca="1">IFERROR(INDEX(ci_leitos_internacao!$C:$C, MATCH(1, (VALUE(LEFT(ci_leitos_internacao!$A:$A,6))=VALUE(LEFT(B367,6)))*(ci_leitos_internacao!$B:$B=C367), 0)), "")</f>
        <v>16695</v>
      </c>
      <c r="I367" cm="1">
        <f t="array" aca="1" ref="I367" ca="1">IFERROR(INDEX(ci_hospitais_internacao!$C:$C, MATCH(1, (VALUE(LEFT(ci_hospitais_internacao!$A:$A,6))=VALUE(LEFT(B367,6)))*(ci_hospitais_internacao!$B:$B=C367), 0)), "")</f>
        <v>37</v>
      </c>
      <c r="J367" t="str" cm="1">
        <f t="array" aca="1" ref="J367" ca="1">IFERROR(INDEX(ci_pa_clinico!$C:$C, MATCH(1, (VALUE(LEFT(ci_pa_clinico!$A:$A,6))=VALUE(LEFT(B367,6)))*(ci_pa_clinico!$B:$B=C367), 0)), "")</f>
        <v/>
      </c>
      <c r="K367" cm="1">
        <f t="array" aca="1" ref="K367" ca="1">IFERROR(INDEX(aps_equipes_esf!$C:$C, MATCH(1, (VALUE(LEFT(aps_equipes_esf!$A:$A,6))=VALUE(LEFT(B367,6)))*(aps_equipes_esf!$B:$B=C367), 0)), "")</f>
        <v>591</v>
      </c>
      <c r="L367" cm="1">
        <f t="array" aca="1" ref="L367" ca="1">IFERROR(INDEX(casos!$C:$C, MATCH(1, (VALUE(LEFT(casos!$A:$A,6))=VALUE(LEFT(B367,6)))*(casos!$B:$B=C367), 0)), "")</f>
        <v>3767</v>
      </c>
      <c r="M367" cm="1">
        <f t="array" ref="M367">IFERROR(INDEX(srag!$D:$D, MATCH(1, (VALUE(LEFT(srag!$A:$A,6))=VALUE(LEFT(B367,6)))*(srag!$C:$C=C367), 0)), "")</f>
        <v>463</v>
      </c>
      <c r="N367" cm="1">
        <f t="array" aca="1" ref="N367" ca="1">IFERROR(INDEX(fesp!$E:$E, MATCH(1, (VALUE(LEFT(fesp!$A:$A,6))=VALUE(LEFT(B367,6)))*(fesp!$C:$C=C367), 0)), "")</f>
        <v>1103</v>
      </c>
      <c r="O367" cm="1">
        <f t="array" aca="1" ref="O367" ca="1">IFERROR(INDEX(fesp!$F:$F, MATCH(1, (VALUE(LEFT(fesp!$A:$A,6))=VALUE(LEFT(B367,6)))*(fesp!$C:$C=C367), 0)), "")</f>
        <v>16700</v>
      </c>
      <c r="P367" cm="1">
        <f t="array" aca="1" ref="P367" ca="1">IFERROR(INDEX(fesp!$G:$G, MATCH(1, (VALUE(LEFT(fesp!$A:$A,6))=VALUE(LEFT(B367,6)))*(fesp!$C:$C=C367), 0)), "")</f>
        <v>21027655</v>
      </c>
      <c r="Q367" cm="1">
        <f t="array" aca="1" ref="Q367" ca="1">IFERROR(INDEX(fesp!$H:$H, MATCH(1, (VALUE(LEFT(fesp!$A:$A,6))=VALUE(LEFT(B367,6)))*(fesp!$C:$C=C367), 0)), "")</f>
        <v>485</v>
      </c>
      <c r="R367" cm="1">
        <f t="array" aca="1" ref="R367" ca="1">IFERROR(INDEX(fesp!$I:$I, MATCH(1, (VALUE(LEFT(fesp!$A:$A,6))=VALUE(LEFT(B367,6)))*(fesp!$C:$C=C367), 0)), "")</f>
        <v>514098</v>
      </c>
      <c r="S367" cm="1">
        <f t="array" aca="1" ref="S367" ca="1">IFERROR(INDEX(fesp!$J:$J, MATCH(1, (VALUE(LEFT(fesp!$A:$A,6))=VALUE(LEFT(B367,6)))*(fesp!$C:$C=C367), 0)), "")</f>
        <v>4271588</v>
      </c>
    </row>
    <row r="368" spans="1:19">
      <c r="A368" s="1" t="s">
        <v>3</v>
      </c>
      <c r="B368" s="3" t="s">
        <v>2</v>
      </c>
      <c r="C368" s="4">
        <v>2018</v>
      </c>
      <c r="D368" cm="1">
        <f t="array" ref="D368">IFERROR(INDEX(fesp!$D:$D, MATCH(1, (VALUE(LEFT(fesp!$A:$A,6))=VALUE(LEFT(B368,6)))*(fesp!$C:$C=C368), 0)), "")</f>
        <v>0</v>
      </c>
      <c r="E368" cm="1">
        <f t="array" aca="1" ref="E368" ca="1">IFERROR(INDEX(ft_medicos_clinicos!$C:$C, MATCH(1, (VALUE(LEFT(ft_medicos_clinicos!$A:$A,6))=VALUE(LEFT(B368,6)))*(ft_medicos_clinicos!$B:$B=C368), 0)), "")</f>
        <v>3850</v>
      </c>
      <c r="F368" cm="1">
        <f t="array" aca="1" ref="F368" ca="1">IFERROR(INDEX(ft_enfermeiros!$C:$C, MATCH(1, (VALUE(LEFT(ft_enfermeiros!$A:$A,6))=VALUE(LEFT(B368,6)))*(ft_enfermeiros!$B:$B=C368), 0)), "")</f>
        <v>11292</v>
      </c>
      <c r="G368" cm="1">
        <f t="array" aca="1" ref="G368" ca="1">IFERROR(INDEX(ft_equipes_acs!$C:$C, MATCH(1, (VALUE(LEFT(ft_equipes_acs!$A:$A,6))=VALUE(LEFT(B368,6)))*(ft_equipes_acs!$B:$B=C368), 0)), "")</f>
        <v>72</v>
      </c>
      <c r="H368" cm="1">
        <f t="array" aca="1" ref="H368" ca="1">IFERROR(INDEX(ci_leitos_internacao!$C:$C, MATCH(1, (VALUE(LEFT(ci_leitos_internacao!$A:$A,6))=VALUE(LEFT(B368,6)))*(ci_leitos_internacao!$B:$B=C368), 0)), "")</f>
        <v>16755</v>
      </c>
      <c r="I368" cm="1">
        <f t="array" aca="1" ref="I368" ca="1">IFERROR(INDEX(ci_hospitais_internacao!$C:$C, MATCH(1, (VALUE(LEFT(ci_hospitais_internacao!$A:$A,6))=VALUE(LEFT(B368,6)))*(ci_hospitais_internacao!$B:$B=C368), 0)), "")</f>
        <v>36</v>
      </c>
      <c r="J368" t="str" cm="1">
        <f t="array" aca="1" ref="J368" ca="1">IFERROR(INDEX(ci_pa_clinico!$C:$C, MATCH(1, (VALUE(LEFT(ci_pa_clinico!$A:$A,6))=VALUE(LEFT(B368,6)))*(ci_pa_clinico!$B:$B=C368), 0)), "")</f>
        <v/>
      </c>
      <c r="K368" cm="1">
        <f t="array" aca="1" ref="K368" ca="1">IFERROR(INDEX(aps_equipes_esf!$C:$C, MATCH(1, (VALUE(LEFT(aps_equipes_esf!$A:$A,6))=VALUE(LEFT(B368,6)))*(aps_equipes_esf!$B:$B=C368), 0)), "")</f>
        <v>542</v>
      </c>
      <c r="L368" cm="1">
        <f t="array" aca="1" ref="L368" ca="1">IFERROR(INDEX(casos!$C:$C, MATCH(1, (VALUE(LEFT(casos!$A:$A,6))=VALUE(LEFT(B368,6)))*(casos!$B:$B=C368), 0)), "")</f>
        <v>5591</v>
      </c>
      <c r="M368" cm="1">
        <f t="array" ref="M368">IFERROR(INDEX(srag!$D:$D, MATCH(1, (VALUE(LEFT(srag!$A:$A,6))=VALUE(LEFT(B368,6)))*(srag!$C:$C=C368), 0)), "")</f>
        <v>666</v>
      </c>
      <c r="N368" cm="1">
        <f t="array" aca="1" ref="N368" ca="1">IFERROR(INDEX(fesp!$E:$E, MATCH(1, (VALUE(LEFT(fesp!$A:$A,6))=VALUE(LEFT(B368,6)))*(fesp!$C:$C=C368), 0)), "")</f>
        <v>1249</v>
      </c>
      <c r="O368" cm="1">
        <f t="array" aca="1" ref="O368" ca="1">IFERROR(INDEX(fesp!$F:$F, MATCH(1, (VALUE(LEFT(fesp!$A:$A,6))=VALUE(LEFT(B368,6)))*(fesp!$C:$C=C368), 0)), "")</f>
        <v>24776</v>
      </c>
      <c r="P368" cm="1">
        <f t="array" aca="1" ref="P368" ca="1">IFERROR(INDEX(fesp!$G:$G, MATCH(1, (VALUE(LEFT(fesp!$A:$A,6))=VALUE(LEFT(B368,6)))*(fesp!$C:$C=C368), 0)), "")</f>
        <v>25385063</v>
      </c>
      <c r="Q368" cm="1">
        <f t="array" aca="1" ref="Q368" ca="1">IFERROR(INDEX(fesp!$H:$H, MATCH(1, (VALUE(LEFT(fesp!$A:$A,6))=VALUE(LEFT(B368,6)))*(fesp!$C:$C=C368), 0)), "")</f>
        <v>1129</v>
      </c>
      <c r="R368" cm="1">
        <f t="array" aca="1" ref="R368" ca="1">IFERROR(INDEX(fesp!$I:$I, MATCH(1, (VALUE(LEFT(fesp!$A:$A,6))=VALUE(LEFT(B368,6)))*(fesp!$C:$C=C368), 0)), "")</f>
        <v>206971</v>
      </c>
      <c r="S368" cm="1">
        <f t="array" aca="1" ref="S368" ca="1">IFERROR(INDEX(fesp!$J:$J, MATCH(1, (VALUE(LEFT(fesp!$A:$A,6))=VALUE(LEFT(B368,6)))*(fesp!$C:$C=C368), 0)), "")</f>
        <v>1692682</v>
      </c>
    </row>
    <row r="369" spans="1:19">
      <c r="A369" s="1" t="s">
        <v>3</v>
      </c>
      <c r="B369" s="3" t="s">
        <v>2</v>
      </c>
      <c r="C369" s="4">
        <v>2019</v>
      </c>
      <c r="D369" cm="1">
        <f t="array" ref="D369">IFERROR(INDEX(fesp!$D:$D, MATCH(1, (VALUE(LEFT(fesp!$A:$A,6))=VALUE(LEFT(B369,6)))*(fesp!$C:$C=C369), 0)), "")</f>
        <v>0</v>
      </c>
      <c r="E369" cm="1">
        <f t="array" aca="1" ref="E369" ca="1">IFERROR(INDEX(ft_medicos_clinicos!$C:$C, MATCH(1, (VALUE(LEFT(ft_medicos_clinicos!$A:$A,6))=VALUE(LEFT(B369,6)))*(ft_medicos_clinicos!$B:$B=C369), 0)), "")</f>
        <v>3991</v>
      </c>
      <c r="F369" cm="1">
        <f t="array" aca="1" ref="F369" ca="1">IFERROR(INDEX(ft_enfermeiros!$C:$C, MATCH(1, (VALUE(LEFT(ft_enfermeiros!$A:$A,6))=VALUE(LEFT(B369,6)))*(ft_enfermeiros!$B:$B=C369), 0)), "")</f>
        <v>11337</v>
      </c>
      <c r="G369" cm="1">
        <f t="array" aca="1" ref="G369" ca="1">IFERROR(INDEX(ft_equipes_acs!$C:$C, MATCH(1, (VALUE(LEFT(ft_equipes_acs!$A:$A,6))=VALUE(LEFT(B369,6)))*(ft_equipes_acs!$B:$B=C369), 0)), "")</f>
        <v>134</v>
      </c>
      <c r="H369" cm="1">
        <f t="array" aca="1" ref="H369" ca="1">IFERROR(INDEX(ci_leitos_internacao!$C:$C, MATCH(1, (VALUE(LEFT(ci_leitos_internacao!$A:$A,6))=VALUE(LEFT(B369,6)))*(ci_leitos_internacao!$B:$B=C369), 0)), "")</f>
        <v>16476</v>
      </c>
      <c r="I369" cm="1">
        <f t="array" aca="1" ref="I369" ca="1">IFERROR(INDEX(ci_hospitais_internacao!$C:$C, MATCH(1, (VALUE(LEFT(ci_hospitais_internacao!$A:$A,6))=VALUE(LEFT(B369,6)))*(ci_hospitais_internacao!$B:$B=C369), 0)), "")</f>
        <v>34</v>
      </c>
      <c r="J369" t="str" cm="1">
        <f t="array" aca="1" ref="J369" ca="1">IFERROR(INDEX(ci_pa_clinico!$C:$C, MATCH(1, (VALUE(LEFT(ci_pa_clinico!$A:$A,6))=VALUE(LEFT(B369,6)))*(ci_pa_clinico!$B:$B=C369), 0)), "")</f>
        <v/>
      </c>
      <c r="K369" cm="1">
        <f t="array" aca="1" ref="K369" ca="1">IFERROR(INDEX(aps_equipes_esf!$C:$C, MATCH(1, (VALUE(LEFT(aps_equipes_esf!$A:$A,6))=VALUE(LEFT(B369,6)))*(aps_equipes_esf!$B:$B=C369), 0)), "")</f>
        <v>517</v>
      </c>
      <c r="L369" cm="1">
        <f t="array" aca="1" ref="L369" ca="1">IFERROR(INDEX(casos!$C:$C, MATCH(1, (VALUE(LEFT(casos!$A:$A,6))=VALUE(LEFT(B369,6)))*(casos!$B:$B=C369), 0)), "")</f>
        <v>18070</v>
      </c>
      <c r="M369" cm="1">
        <f t="array" ref="M369">IFERROR(INDEX(srag!$D:$D, MATCH(1, (VALUE(LEFT(srag!$A:$A,6))=VALUE(LEFT(B369,6)))*(srag!$C:$C=C369), 0)), "")</f>
        <v>724</v>
      </c>
      <c r="N369" cm="1">
        <f t="array" aca="1" ref="N369" ca="1">IFERROR(INDEX(fesp!$E:$E, MATCH(1, (VALUE(LEFT(fesp!$A:$A,6))=VALUE(LEFT(B369,6)))*(fesp!$C:$C=C369), 0)), "")</f>
        <v>1358</v>
      </c>
      <c r="O369" cm="1">
        <f t="array" aca="1" ref="O369" ca="1">IFERROR(INDEX(fesp!$F:$F, MATCH(1, (VALUE(LEFT(fesp!$A:$A,6))=VALUE(LEFT(B369,6)))*(fesp!$C:$C=C369), 0)), "")</f>
        <v>15800</v>
      </c>
      <c r="P369" cm="1">
        <f t="array" aca="1" ref="P369" ca="1">IFERROR(INDEX(fesp!$G:$G, MATCH(1, (VALUE(LEFT(fesp!$A:$A,6))=VALUE(LEFT(B369,6)))*(fesp!$C:$C=C369), 0)), "")</f>
        <v>26535229</v>
      </c>
      <c r="Q369" cm="1">
        <f t="array" aca="1" ref="Q369" ca="1">IFERROR(INDEX(fesp!$H:$H, MATCH(1, (VALUE(LEFT(fesp!$A:$A,6))=VALUE(LEFT(B369,6)))*(fesp!$C:$C=C369), 0)), "")</f>
        <v>866</v>
      </c>
      <c r="R369" cm="1">
        <f t="array" aca="1" ref="R369" ca="1">IFERROR(INDEX(fesp!$I:$I, MATCH(1, (VALUE(LEFT(fesp!$A:$A,6))=VALUE(LEFT(B369,6)))*(fesp!$C:$C=C369), 0)), "")</f>
        <v>20938</v>
      </c>
      <c r="S369" cm="1">
        <f t="array" aca="1" ref="S369" ca="1">IFERROR(INDEX(fesp!$J:$J, MATCH(1, (VALUE(LEFT(fesp!$A:$A,6))=VALUE(LEFT(B369,6)))*(fesp!$C:$C=C369), 0)), "")</f>
        <v>31404</v>
      </c>
    </row>
    <row r="370" spans="1:19">
      <c r="A370" s="1" t="s">
        <v>3</v>
      </c>
      <c r="B370" s="3" t="s">
        <v>2</v>
      </c>
      <c r="C370" s="4">
        <v>2020</v>
      </c>
      <c r="D370" cm="1">
        <f t="array" ref="D370">IFERROR(INDEX(fesp!$D:$D, MATCH(1, (VALUE(LEFT(fesp!$A:$A,6))=VALUE(LEFT(B370,6)))*(fesp!$C:$C=C370), 0)), "")</f>
        <v>0</v>
      </c>
      <c r="E370" cm="1">
        <f t="array" aca="1" ref="E370" ca="1">IFERROR(INDEX(ft_medicos_clinicos!$C:$C, MATCH(1, (VALUE(LEFT(ft_medicos_clinicos!$A:$A,6))=VALUE(LEFT(B370,6)))*(ft_medicos_clinicos!$B:$B=C370), 0)), "")</f>
        <v>3996</v>
      </c>
      <c r="F370" cm="1">
        <f t="array" aca="1" ref="F370" ca="1">IFERROR(INDEX(ft_enfermeiros!$C:$C, MATCH(1, (VALUE(LEFT(ft_enfermeiros!$A:$A,6))=VALUE(LEFT(B370,6)))*(ft_enfermeiros!$B:$B=C370), 0)), "")</f>
        <v>12470</v>
      </c>
      <c r="G370" cm="1">
        <f t="array" aca="1" ref="G370" ca="1">IFERROR(INDEX(ft_equipes_acs!$C:$C, MATCH(1, (VALUE(LEFT(ft_equipes_acs!$A:$A,6))=VALUE(LEFT(B370,6)))*(ft_equipes_acs!$B:$B=C370), 0)), "")</f>
        <v>18</v>
      </c>
      <c r="H370" cm="1">
        <f t="array" aca="1" ref="H370" ca="1">IFERROR(INDEX(ci_leitos_internacao!$C:$C, MATCH(1, (VALUE(LEFT(ci_leitos_internacao!$A:$A,6))=VALUE(LEFT(B370,6)))*(ci_leitos_internacao!$B:$B=C370), 0)), "")</f>
        <v>15857</v>
      </c>
      <c r="I370" cm="1">
        <f t="array" aca="1" ref="I370" ca="1">IFERROR(INDEX(ci_hospitais_internacao!$C:$C, MATCH(1, (VALUE(LEFT(ci_hospitais_internacao!$A:$A,6))=VALUE(LEFT(B370,6)))*(ci_hospitais_internacao!$B:$B=C370), 0)), "")</f>
        <v>38</v>
      </c>
      <c r="J370" t="str" cm="1">
        <f t="array" aca="1" ref="J370" ca="1">IFERROR(INDEX(ci_pa_clinico!$C:$C, MATCH(1, (VALUE(LEFT(ci_pa_clinico!$A:$A,6))=VALUE(LEFT(B370,6)))*(ci_pa_clinico!$B:$B=C370), 0)), "")</f>
        <v/>
      </c>
      <c r="K370" cm="1">
        <f t="array" aca="1" ref="K370" ca="1">IFERROR(INDEX(aps_equipes_esf!$C:$C, MATCH(1, (VALUE(LEFT(aps_equipes_esf!$A:$A,6))=VALUE(LEFT(B370,6)))*(aps_equipes_esf!$B:$B=C370), 0)), "")</f>
        <v>62</v>
      </c>
      <c r="L370" cm="1">
        <f t="array" aca="1" ref="L370" ca="1">IFERROR(INDEX(casos!$C:$C, MATCH(1, (VALUE(LEFT(casos!$A:$A,6))=VALUE(LEFT(B370,6)))*(casos!$B:$B=C370), 0)), "")</f>
        <v>1196</v>
      </c>
      <c r="M370" cm="1">
        <f t="array" ref="M370">IFERROR(INDEX(srag!$D:$D, MATCH(1, (VALUE(LEFT(srag!$A:$A,6))=VALUE(LEFT(B370,6)))*(srag!$C:$C=C370), 0)), "")</f>
        <v>54740</v>
      </c>
      <c r="N370" cm="1">
        <f t="array" aca="1" ref="N370" ca="1">IFERROR(INDEX(fesp!$E:$E, MATCH(1, (VALUE(LEFT(fesp!$A:$A,6))=VALUE(LEFT(B370,6)))*(fesp!$C:$C=C370), 0)), "")</f>
        <v>1234</v>
      </c>
      <c r="O370" cm="1">
        <f t="array" aca="1" ref="O370" ca="1">IFERROR(INDEX(fesp!$F:$F, MATCH(1, (VALUE(LEFT(fesp!$A:$A,6))=VALUE(LEFT(B370,6)))*(fesp!$C:$C=C370), 0)), "")</f>
        <v>9956</v>
      </c>
      <c r="P370" cm="1">
        <f t="array" aca="1" ref="P370" ca="1">IFERROR(INDEX(fesp!$G:$G, MATCH(1, (VALUE(LEFT(fesp!$A:$A,6))=VALUE(LEFT(B370,6)))*(fesp!$C:$C=C370), 0)), "")</f>
        <v>20402289</v>
      </c>
      <c r="Q370" cm="1">
        <f t="array" aca="1" ref="Q370" ca="1">IFERROR(INDEX(fesp!$H:$H, MATCH(1, (VALUE(LEFT(fesp!$A:$A,6))=VALUE(LEFT(B370,6)))*(fesp!$C:$C=C370), 0)), "")</f>
        <v>554</v>
      </c>
      <c r="R370" cm="1">
        <f t="array" aca="1" ref="R370" ca="1">IFERROR(INDEX(fesp!$I:$I, MATCH(1, (VALUE(LEFT(fesp!$A:$A,6))=VALUE(LEFT(B370,6)))*(fesp!$C:$C=C370), 0)), "")</f>
        <v>13836</v>
      </c>
      <c r="S370" cm="1">
        <f t="array" aca="1" ref="S370" ca="1">IFERROR(INDEX(fesp!$J:$J, MATCH(1, (VALUE(LEFT(fesp!$A:$A,6))=VALUE(LEFT(B370,6)))*(fesp!$C:$C=C370), 0)), "")</f>
        <v>17068</v>
      </c>
    </row>
    <row r="371" spans="1:19">
      <c r="A371" s="1" t="s">
        <v>3</v>
      </c>
      <c r="B371" s="3" t="s">
        <v>2</v>
      </c>
      <c r="C371" s="4">
        <v>2021</v>
      </c>
      <c r="D371" cm="1">
        <f t="array" ref="D371">IFERROR(INDEX(fesp!$D:$D, MATCH(1, (VALUE(LEFT(fesp!$A:$A,6))=VALUE(LEFT(B371,6)))*(fesp!$C:$C=C371), 0)), "")</f>
        <v>0</v>
      </c>
      <c r="E371" cm="1">
        <f t="array" aca="1" ref="E371" ca="1">IFERROR(INDEX(ft_medicos_clinicos!$C:$C, MATCH(1, (VALUE(LEFT(ft_medicos_clinicos!$A:$A,6))=VALUE(LEFT(B371,6)))*(ft_medicos_clinicos!$B:$B=C371), 0)), "")</f>
        <v>5027</v>
      </c>
      <c r="F371" cm="1">
        <f t="array" aca="1" ref="F371" ca="1">IFERROR(INDEX(ft_enfermeiros!$C:$C, MATCH(1, (VALUE(LEFT(ft_enfermeiros!$A:$A,6))=VALUE(LEFT(B371,6)))*(ft_enfermeiros!$B:$B=C371), 0)), "")</f>
        <v>14347</v>
      </c>
      <c r="G371" cm="1">
        <f t="array" aca="1" ref="G371" ca="1">IFERROR(INDEX(ft_equipes_acs!$C:$C, MATCH(1, (VALUE(LEFT(ft_equipes_acs!$A:$A,6))=VALUE(LEFT(B371,6)))*(ft_equipes_acs!$B:$B=C371), 0)), "")</f>
        <v>17</v>
      </c>
      <c r="H371" cm="1">
        <f t="array" aca="1" ref="H371" ca="1">IFERROR(INDEX(ci_leitos_internacao!$C:$C, MATCH(1, (VALUE(LEFT(ci_leitos_internacao!$A:$A,6))=VALUE(LEFT(B371,6)))*(ci_leitos_internacao!$B:$B=C371), 0)), "")</f>
        <v>16013</v>
      </c>
      <c r="I371" cm="1">
        <f t="array" aca="1" ref="I371" ca="1">IFERROR(INDEX(ci_hospitais_internacao!$C:$C, MATCH(1, (VALUE(LEFT(ci_hospitais_internacao!$A:$A,6))=VALUE(LEFT(B371,6)))*(ci_hospitais_internacao!$B:$B=C371), 0)), "")</f>
        <v>34</v>
      </c>
      <c r="J371" t="str" cm="1">
        <f t="array" aca="1" ref="J371" ca="1">IFERROR(INDEX(ci_pa_clinico!$C:$C, MATCH(1, (VALUE(LEFT(ci_pa_clinico!$A:$A,6))=VALUE(LEFT(B371,6)))*(ci_pa_clinico!$B:$B=C371), 0)), "")</f>
        <v/>
      </c>
      <c r="K371" cm="1">
        <f t="array" aca="1" ref="K371" ca="1">IFERROR(INDEX(aps_equipes_esf!$C:$C, MATCH(1, (VALUE(LEFT(aps_equipes_esf!$A:$A,6))=VALUE(LEFT(B371,6)))*(aps_equipes_esf!$B:$B=C371), 0)), "")</f>
        <v>51</v>
      </c>
      <c r="L371" cm="1">
        <f t="array" aca="1" ref="L371" ca="1">IFERROR(INDEX(casos!$C:$C, MATCH(1, (VALUE(LEFT(casos!$A:$A,6))=VALUE(LEFT(B371,6)))*(casos!$B:$B=C371), 0)), "")</f>
        <v>858</v>
      </c>
      <c r="M371" cm="1">
        <f t="array" ref="M371">IFERROR(INDEX(srag!$D:$D, MATCH(1, (VALUE(LEFT(srag!$A:$A,6))=VALUE(LEFT(B371,6)))*(srag!$C:$C=C371), 0)), "")</f>
        <v>57811</v>
      </c>
      <c r="N371" cm="1">
        <f t="array" aca="1" ref="N371" ca="1">IFERROR(INDEX(fesp!$E:$E, MATCH(1, (VALUE(LEFT(fesp!$A:$A,6))=VALUE(LEFT(B371,6)))*(fesp!$C:$C=C371), 0)), "")</f>
        <v>1067</v>
      </c>
      <c r="O371" cm="1">
        <f t="array" aca="1" ref="O371" ca="1">IFERROR(INDEX(fesp!$F:$F, MATCH(1, (VALUE(LEFT(fesp!$A:$A,6))=VALUE(LEFT(B371,6)))*(fesp!$C:$C=C371), 0)), "")</f>
        <v>25410</v>
      </c>
      <c r="P371" cm="1">
        <f t="array" aca="1" ref="P371" ca="1">IFERROR(INDEX(fesp!$G:$G, MATCH(1, (VALUE(LEFT(fesp!$A:$A,6))=VALUE(LEFT(B371,6)))*(fesp!$C:$C=C371), 0)), "")</f>
        <v>25302409</v>
      </c>
      <c r="Q371" cm="1">
        <f t="array" aca="1" ref="Q371" ca="1">IFERROR(INDEX(fesp!$H:$H, MATCH(1, (VALUE(LEFT(fesp!$A:$A,6))=VALUE(LEFT(B371,6)))*(fesp!$C:$C=C371), 0)), "")</f>
        <v>537</v>
      </c>
      <c r="R371" cm="1">
        <f t="array" aca="1" ref="R371" ca="1">IFERROR(INDEX(fesp!$I:$I, MATCH(1, (VALUE(LEFT(fesp!$A:$A,6))=VALUE(LEFT(B371,6)))*(fesp!$C:$C=C371), 0)), "")</f>
        <v>117216</v>
      </c>
      <c r="S371" cm="1">
        <f t="array" aca="1" ref="S371" ca="1">IFERROR(INDEX(fesp!$J:$J, MATCH(1, (VALUE(LEFT(fesp!$A:$A,6))=VALUE(LEFT(B371,6)))*(fesp!$C:$C=C371), 0)), "")</f>
        <v>64476</v>
      </c>
    </row>
    <row r="372" spans="1:19">
      <c r="A372" s="1" t="s">
        <v>3</v>
      </c>
      <c r="B372" s="3" t="s">
        <v>2</v>
      </c>
      <c r="C372" s="4">
        <v>2022</v>
      </c>
      <c r="D372" cm="1">
        <f t="array" ref="D372">IFERROR(INDEX(fesp!$D:$D, MATCH(1, (VALUE(LEFT(fesp!$A:$A,6))=VALUE(LEFT(B372,6)))*(fesp!$C:$C=C372), 0)), "")</f>
        <v>6211223</v>
      </c>
      <c r="E372" cm="1">
        <f t="array" aca="1" ref="E372" ca="1">IFERROR(INDEX(ft_medicos_clinicos!$C:$C, MATCH(1, (VALUE(LEFT(ft_medicos_clinicos!$A:$A,6))=VALUE(LEFT(B372,6)))*(ft_medicos_clinicos!$B:$B=C372), 0)), "")</f>
        <v>5173</v>
      </c>
      <c r="F372" cm="1">
        <f t="array" aca="1" ref="F372" ca="1">IFERROR(INDEX(ft_enfermeiros!$C:$C, MATCH(1, (VALUE(LEFT(ft_enfermeiros!$A:$A,6))=VALUE(LEFT(B372,6)))*(ft_enfermeiros!$B:$B=C372), 0)), "")</f>
        <v>14609</v>
      </c>
      <c r="G372" cm="1">
        <f t="array" aca="1" ref="G372" ca="1">IFERROR(INDEX(ft_equipes_acs!$C:$C, MATCH(1, (VALUE(LEFT(ft_equipes_acs!$A:$A,6))=VALUE(LEFT(B372,6)))*(ft_equipes_acs!$B:$B=C372), 0)), "")</f>
        <v>17</v>
      </c>
      <c r="H372" cm="1">
        <f t="array" aca="1" ref="H372" ca="1">IFERROR(INDEX(ci_leitos_internacao!$C:$C, MATCH(1, (VALUE(LEFT(ci_leitos_internacao!$A:$A,6))=VALUE(LEFT(B372,6)))*(ci_leitos_internacao!$B:$B=C372), 0)), "")</f>
        <v>16305</v>
      </c>
      <c r="I372" cm="1">
        <f t="array" aca="1" ref="I372" ca="1">IFERROR(INDEX(ci_hospitais_internacao!$C:$C, MATCH(1, (VALUE(LEFT(ci_hospitais_internacao!$A:$A,6))=VALUE(LEFT(B372,6)))*(ci_hospitais_internacao!$B:$B=C372), 0)), "")</f>
        <v>35</v>
      </c>
      <c r="J372" t="str" cm="1">
        <f t="array" aca="1" ref="J372" ca="1">IFERROR(INDEX(ci_pa_clinico!$C:$C, MATCH(1, (VALUE(LEFT(ci_pa_clinico!$A:$A,6))=VALUE(LEFT(B372,6)))*(ci_pa_clinico!$B:$B=C372), 0)), "")</f>
        <v/>
      </c>
      <c r="K372" cm="1">
        <f t="array" aca="1" ref="K372" ca="1">IFERROR(INDEX(aps_equipes_esf!$C:$C, MATCH(1, (VALUE(LEFT(aps_equipes_esf!$A:$A,6))=VALUE(LEFT(B372,6)))*(aps_equipes_esf!$B:$B=C372), 0)), "")</f>
        <v>46</v>
      </c>
      <c r="L372" cm="1">
        <f t="array" aca="1" ref="L372" ca="1">IFERROR(INDEX(casos!$C:$C, MATCH(1, (VALUE(LEFT(casos!$A:$A,6))=VALUE(LEFT(B372,6)))*(casos!$B:$B=C372), 0)), "")</f>
        <v>4577</v>
      </c>
      <c r="M372" cm="1">
        <f t="array" ref="M372">IFERROR(INDEX(srag!$D:$D, MATCH(1, (VALUE(LEFT(srag!$A:$A,6))=VALUE(LEFT(B372,6)))*(srag!$C:$C=C372), 0)), "")</f>
        <v>15861</v>
      </c>
      <c r="N372" cm="1">
        <f t="array" aca="1" ref="N372" ca="1">IFERROR(INDEX(fesp!$E:$E, MATCH(1, (VALUE(LEFT(fesp!$A:$A,6))=VALUE(LEFT(B372,6)))*(fesp!$C:$C=C372), 0)), "")</f>
        <v>1145</v>
      </c>
      <c r="O372" cm="1">
        <f t="array" aca="1" ref="O372" ca="1">IFERROR(INDEX(fesp!$F:$F, MATCH(1, (VALUE(LEFT(fesp!$A:$A,6))=VALUE(LEFT(B372,6)))*(fesp!$C:$C=C372), 0)), "")</f>
        <v>30962</v>
      </c>
      <c r="P372" cm="1">
        <f t="array" aca="1" ref="P372" ca="1">IFERROR(INDEX(fesp!$G:$G, MATCH(1, (VALUE(LEFT(fesp!$A:$A,6))=VALUE(LEFT(B372,6)))*(fesp!$C:$C=C372), 0)), "")</f>
        <v>33146746</v>
      </c>
      <c r="Q372" cm="1">
        <f t="array" aca="1" ref="Q372" ca="1">IFERROR(INDEX(fesp!$H:$H, MATCH(1, (VALUE(LEFT(fesp!$A:$A,6))=VALUE(LEFT(B372,6)))*(fesp!$C:$C=C372), 0)), "")</f>
        <v>814</v>
      </c>
      <c r="R372" cm="1">
        <f t="array" aca="1" ref="R372" ca="1">IFERROR(INDEX(fesp!$I:$I, MATCH(1, (VALUE(LEFT(fesp!$A:$A,6))=VALUE(LEFT(B372,6)))*(fesp!$C:$C=C372), 0)), "")</f>
        <v>233606</v>
      </c>
      <c r="S372" cm="1">
        <f t="array" aca="1" ref="S372" ca="1">IFERROR(INDEX(fesp!$J:$J, MATCH(1, (VALUE(LEFT(fesp!$A:$A,6))=VALUE(LEFT(B372,6)))*(fesp!$C:$C=C372), 0)), "")</f>
        <v>2691466</v>
      </c>
    </row>
    <row r="373" spans="1:19">
      <c r="A373" s="1" t="s">
        <v>3</v>
      </c>
      <c r="B373" s="3" t="s">
        <v>2</v>
      </c>
      <c r="C373" s="4">
        <v>2023</v>
      </c>
      <c r="D373" cm="1">
        <f t="array" ref="D373">IFERROR(INDEX(fesp!$D:$D, MATCH(1, (VALUE(LEFT(fesp!$A:$A,6))=VALUE(LEFT(B373,6)))*(fesp!$C:$C=C373), 0)), "")</f>
        <v>0</v>
      </c>
      <c r="E373" cm="1">
        <f t="array" aca="1" ref="E373" ca="1">IFERROR(INDEX(ft_medicos_clinicos!$C:$C, MATCH(1, (VALUE(LEFT(ft_medicos_clinicos!$A:$A,6))=VALUE(LEFT(B373,6)))*(ft_medicos_clinicos!$B:$B=C373), 0)), "")</f>
        <v>5416</v>
      </c>
      <c r="F373" cm="1">
        <f t="array" aca="1" ref="F373" ca="1">IFERROR(INDEX(ft_enfermeiros!$C:$C, MATCH(1, (VALUE(LEFT(ft_enfermeiros!$A:$A,6))=VALUE(LEFT(B373,6)))*(ft_enfermeiros!$B:$B=C373), 0)), "")</f>
        <v>15070</v>
      </c>
      <c r="G373" cm="1">
        <f t="array" aca="1" ref="G373" ca="1">IFERROR(INDEX(ft_equipes_acs!$C:$C, MATCH(1, (VALUE(LEFT(ft_equipes_acs!$A:$A,6))=VALUE(LEFT(B373,6)))*(ft_equipes_acs!$B:$B=C373), 0)), "")</f>
        <v>17</v>
      </c>
      <c r="H373" cm="1">
        <f t="array" aca="1" ref="H373" ca="1">IFERROR(INDEX(ci_leitos_internacao!$C:$C, MATCH(1, (VALUE(LEFT(ci_leitos_internacao!$A:$A,6))=VALUE(LEFT(B373,6)))*(ci_leitos_internacao!$B:$B=C373), 0)), "")</f>
        <v>16442</v>
      </c>
      <c r="I373" cm="1">
        <f t="array" aca="1" ref="I373" ca="1">IFERROR(INDEX(ci_hospitais_internacao!$C:$C, MATCH(1, (VALUE(LEFT(ci_hospitais_internacao!$A:$A,6))=VALUE(LEFT(B373,6)))*(ci_hospitais_internacao!$B:$B=C373), 0)), "")</f>
        <v>32</v>
      </c>
      <c r="J373" t="str" cm="1">
        <f t="array" aca="1" ref="J373" ca="1">IFERROR(INDEX(ci_pa_clinico!$C:$C, MATCH(1, (VALUE(LEFT(ci_pa_clinico!$A:$A,6))=VALUE(LEFT(B373,6)))*(ci_pa_clinico!$B:$B=C373), 0)), "")</f>
        <v/>
      </c>
      <c r="K373" cm="1">
        <f t="array" aca="1" ref="K373" ca="1">IFERROR(INDEX(aps_equipes_esf!$C:$C, MATCH(1, (VALUE(LEFT(aps_equipes_esf!$A:$A,6))=VALUE(LEFT(B373,6)))*(aps_equipes_esf!$B:$B=C373), 0)), "")</f>
        <v>45</v>
      </c>
      <c r="L373" cm="1">
        <f t="array" aca="1" ref="L373" ca="1">IFERROR(INDEX(casos!$C:$C, MATCH(1, (VALUE(LEFT(casos!$A:$A,6))=VALUE(LEFT(B373,6)))*(casos!$B:$B=C373), 0)), "")</f>
        <v>22617</v>
      </c>
      <c r="M373" cm="1">
        <f t="array" ref="M373">IFERROR(INDEX(srag!$D:$D, MATCH(1, (VALUE(LEFT(srag!$A:$A,6))=VALUE(LEFT(B373,6)))*(srag!$C:$C=C373), 0)), "")</f>
        <v>7403</v>
      </c>
      <c r="N373" cm="1">
        <f t="array" aca="1" ref="N373" ca="1">IFERROR(INDEX(fesp!$E:$E, MATCH(1, (VALUE(LEFT(fesp!$A:$A,6))=VALUE(LEFT(B373,6)))*(fesp!$C:$C=C373), 0)), "")</f>
        <v>1085</v>
      </c>
      <c r="O373" cm="1">
        <f t="array" aca="1" ref="O373" ca="1">IFERROR(INDEX(fesp!$F:$F, MATCH(1, (VALUE(LEFT(fesp!$A:$A,6))=VALUE(LEFT(B373,6)))*(fesp!$C:$C=C373), 0)), "")</f>
        <v>44374</v>
      </c>
      <c r="P373" cm="1">
        <f t="array" aca="1" ref="P373" ca="1">IFERROR(INDEX(fesp!$G:$G, MATCH(1, (VALUE(LEFT(fesp!$A:$A,6))=VALUE(LEFT(B373,6)))*(fesp!$C:$C=C373), 0)), "")</f>
        <v>42632146</v>
      </c>
      <c r="Q373" cm="1">
        <f t="array" aca="1" ref="Q373" ca="1">IFERROR(INDEX(fesp!$H:$H, MATCH(1, (VALUE(LEFT(fesp!$A:$A,6))=VALUE(LEFT(B373,6)))*(fesp!$C:$C=C373), 0)), "")</f>
        <v>780</v>
      </c>
      <c r="R373" cm="1">
        <f t="array" aca="1" ref="R373" ca="1">IFERROR(INDEX(fesp!$I:$I, MATCH(1, (VALUE(LEFT(fesp!$A:$A,6))=VALUE(LEFT(B373,6)))*(fesp!$C:$C=C373), 0)), "")</f>
        <v>421272</v>
      </c>
      <c r="S373" cm="1">
        <f t="array" aca="1" ref="S373" ca="1">IFERROR(INDEX(fesp!$J:$J, MATCH(1, (VALUE(LEFT(fesp!$A:$A,6))=VALUE(LEFT(B373,6)))*(fesp!$C:$C=C373), 0)), "")</f>
        <v>6561957</v>
      </c>
    </row>
    <row r="374" spans="1:19">
      <c r="A374" s="1" t="s">
        <v>3</v>
      </c>
      <c r="B374" s="3" t="s">
        <v>2</v>
      </c>
      <c r="C374" s="4">
        <v>2024</v>
      </c>
      <c r="D374" cm="1">
        <f t="array" ref="D374">IFERROR(INDEX(fesp!$D:$D, MATCH(1, (VALUE(LEFT(fesp!$A:$A,6))=VALUE(LEFT(B374,6)))*(fesp!$C:$C=C374), 0)), "")</f>
        <v>0</v>
      </c>
      <c r="E374" cm="1">
        <f t="array" aca="1" ref="E374" ca="1">IFERROR(INDEX(ft_medicos_clinicos!$C:$C, MATCH(1, (VALUE(LEFT(ft_medicos_clinicos!$A:$A,6))=VALUE(LEFT(B374,6)))*(ft_medicos_clinicos!$B:$B=C374), 0)), "")</f>
        <v>5785</v>
      </c>
      <c r="F374" cm="1">
        <f t="array" aca="1" ref="F374" ca="1">IFERROR(INDEX(ft_enfermeiros!$C:$C, MATCH(1, (VALUE(LEFT(ft_enfermeiros!$A:$A,6))=VALUE(LEFT(B374,6)))*(ft_enfermeiros!$B:$B=C374), 0)), "")</f>
        <v>15478</v>
      </c>
      <c r="G374" cm="1">
        <f t="array" aca="1" ref="G374" ca="1">IFERROR(INDEX(ft_equipes_acs!$C:$C, MATCH(1, (VALUE(LEFT(ft_equipes_acs!$A:$A,6))=VALUE(LEFT(B374,6)))*(ft_equipes_acs!$B:$B=C374), 0)), "")</f>
        <v>17</v>
      </c>
      <c r="H374" cm="1">
        <f t="array" aca="1" ref="H374" ca="1">IFERROR(INDEX(ci_leitos_internacao!$C:$C, MATCH(1, (VALUE(LEFT(ci_leitos_internacao!$A:$A,6))=VALUE(LEFT(B374,6)))*(ci_leitos_internacao!$B:$B=C374), 0)), "")</f>
        <v>16344</v>
      </c>
      <c r="I374" cm="1">
        <f t="array" aca="1" ref="I374" ca="1">IFERROR(INDEX(ci_hospitais_internacao!$C:$C, MATCH(1, (VALUE(LEFT(ci_hospitais_internacao!$A:$A,6))=VALUE(LEFT(B374,6)))*(ci_hospitais_internacao!$B:$B=C374), 0)), "")</f>
        <v>32</v>
      </c>
      <c r="J374" t="str" cm="1">
        <f t="array" aca="1" ref="J374" ca="1">IFERROR(INDEX(ci_pa_clinico!$C:$C, MATCH(1, (VALUE(LEFT(ci_pa_clinico!$A:$A,6))=VALUE(LEFT(B374,6)))*(ci_pa_clinico!$B:$B=C374), 0)), "")</f>
        <v/>
      </c>
      <c r="K374" cm="1">
        <f t="array" aca="1" ref="K374" ca="1">IFERROR(INDEX(aps_equipes_esf!$C:$C, MATCH(1, (VALUE(LEFT(aps_equipes_esf!$A:$A,6))=VALUE(LEFT(B374,6)))*(aps_equipes_esf!$B:$B=C374), 0)), "")</f>
        <v>45</v>
      </c>
      <c r="L374" cm="1">
        <f t="array" aca="1" ref="L374" ca="1">IFERROR(INDEX(casos!$C:$C, MATCH(1, (VALUE(LEFT(casos!$A:$A,6))=VALUE(LEFT(B374,6)))*(casos!$B:$B=C374), 0)), "")</f>
        <v>111760</v>
      </c>
      <c r="M374" cm="1">
        <f t="array" ref="M374">IFERROR(INDEX(srag!$D:$D, MATCH(1, (VALUE(LEFT(srag!$A:$A,6))=VALUE(LEFT(B374,6)))*(srag!$C:$C=C374), 0)), "")</f>
        <v>6354</v>
      </c>
      <c r="N374" cm="1">
        <f t="array" aca="1" ref="N374" ca="1">IFERROR(INDEX(fesp!$E:$E, MATCH(1, (VALUE(LEFT(fesp!$A:$A,6))=VALUE(LEFT(B374,6)))*(fesp!$C:$C=C374), 0)), "")</f>
        <v>1081</v>
      </c>
      <c r="O374" cm="1">
        <f t="array" aca="1" ref="O374" ca="1">IFERROR(INDEX(fesp!$F:$F, MATCH(1, (VALUE(LEFT(fesp!$A:$A,6))=VALUE(LEFT(B374,6)))*(fesp!$C:$C=C374), 0)), "")</f>
        <v>44954</v>
      </c>
      <c r="P374" cm="1">
        <f t="array" aca="1" ref="P374" ca="1">IFERROR(INDEX(fesp!$G:$G, MATCH(1, (VALUE(LEFT(fesp!$A:$A,6))=VALUE(LEFT(B374,6)))*(fesp!$C:$C=C374), 0)), "")</f>
        <v>46194587</v>
      </c>
      <c r="Q374" cm="1">
        <f t="array" aca="1" ref="Q374" ca="1">IFERROR(INDEX(fesp!$H:$H, MATCH(1, (VALUE(LEFT(fesp!$A:$A,6))=VALUE(LEFT(B374,6)))*(fesp!$C:$C=C374), 0)), "")</f>
        <v>661</v>
      </c>
      <c r="R374" cm="1">
        <f t="array" aca="1" ref="R374" ca="1">IFERROR(INDEX(fesp!$I:$I, MATCH(1, (VALUE(LEFT(fesp!$A:$A,6))=VALUE(LEFT(B374,6)))*(fesp!$C:$C=C374), 0)), "")</f>
        <v>1666009</v>
      </c>
      <c r="S374" cm="1">
        <f t="array" aca="1" ref="S374" ca="1">IFERROR(INDEX(fesp!$J:$J, MATCH(1, (VALUE(LEFT(fesp!$A:$A,6))=VALUE(LEFT(B374,6)))*(fesp!$C:$C=C374), 0)), "")</f>
        <v>8155230</v>
      </c>
    </row>
    <row r="375" spans="1:19">
      <c r="A375" s="1" t="s">
        <v>3</v>
      </c>
      <c r="B375" s="3" t="s">
        <v>2</v>
      </c>
      <c r="C375" s="4">
        <v>2025</v>
      </c>
      <c r="D375" cm="1">
        <f t="array" ref="D375">IFERROR(INDEX(fesp!$D:$D, MATCH(1, (VALUE(LEFT(fesp!$A:$A,6))=VALUE(LEFT(B375,6)))*(fesp!$C:$C=C375), 0)), "")</f>
        <v>0</v>
      </c>
      <c r="E375" cm="1">
        <f t="array" aca="1" ref="E375" ca="1">IFERROR(INDEX(ft_medicos_clinicos!$C:$C, MATCH(1, (VALUE(LEFT(ft_medicos_clinicos!$A:$A,6))=VALUE(LEFT(B375,6)))*(ft_medicos_clinicos!$B:$B=C375), 0)), "")</f>
        <v>6115</v>
      </c>
      <c r="F375" cm="1">
        <f t="array" aca="1" ref="F375" ca="1">IFERROR(INDEX(ft_enfermeiros!$C:$C, MATCH(1, (VALUE(LEFT(ft_enfermeiros!$A:$A,6))=VALUE(LEFT(B375,6)))*(ft_enfermeiros!$B:$B=C375), 0)), "")</f>
        <v>15915</v>
      </c>
      <c r="G375" cm="1">
        <f t="array" aca="1" ref="G375" ca="1">IFERROR(INDEX(ft_equipes_acs!$C:$C, MATCH(1, (VALUE(LEFT(ft_equipes_acs!$A:$A,6))=VALUE(LEFT(B375,6)))*(ft_equipes_acs!$B:$B=C375), 0)), "")</f>
        <v>17</v>
      </c>
      <c r="H375" cm="1">
        <f t="array" aca="1" ref="H375" ca="1">IFERROR(INDEX(ci_leitos_internacao!$C:$C, MATCH(1, (VALUE(LEFT(ci_leitos_internacao!$A:$A,6))=VALUE(LEFT(B375,6)))*(ci_leitos_internacao!$B:$B=C375), 0)), "")</f>
        <v>15735</v>
      </c>
      <c r="I375" cm="1">
        <f t="array" aca="1" ref="I375" ca="1">IFERROR(INDEX(ci_hospitais_internacao!$C:$C, MATCH(1, (VALUE(LEFT(ci_hospitais_internacao!$A:$A,6))=VALUE(LEFT(B375,6)))*(ci_hospitais_internacao!$B:$B=C375), 0)), "")</f>
        <v>33</v>
      </c>
      <c r="J375" t="str" cm="1">
        <f t="array" aca="1" ref="J375" ca="1">IFERROR(INDEX(ci_pa_clinico!$C:$C, MATCH(1, (VALUE(LEFT(ci_pa_clinico!$A:$A,6))=VALUE(LEFT(B375,6)))*(ci_pa_clinico!$B:$B=C375), 0)), "")</f>
        <v/>
      </c>
      <c r="K375" cm="1">
        <f t="array" aca="1" ref="K375" ca="1">IFERROR(INDEX(aps_equipes_esf!$C:$C, MATCH(1, (VALUE(LEFT(aps_equipes_esf!$A:$A,6))=VALUE(LEFT(B375,6)))*(aps_equipes_esf!$B:$B=C375), 0)), "")</f>
        <v>42</v>
      </c>
      <c r="L375" cm="1">
        <f t="array" aca="1" ref="L375" ca="1">IFERROR(INDEX(casos!$C:$C, MATCH(1, (VALUE(LEFT(casos!$A:$A,6))=VALUE(LEFT(B375,6)))*(casos!$B:$B=C375), 0)), "")</f>
        <v>9427</v>
      </c>
      <c r="M375" cm="1">
        <f t="array" ref="M375">IFERROR(INDEX(srag!$D:$D, MATCH(1, (VALUE(LEFT(srag!$A:$A,6))=VALUE(LEFT(B375,6)))*(srag!$C:$C=C375), 0)), "")</f>
        <v>8356</v>
      </c>
      <c r="N375" cm="1">
        <f t="array" aca="1" ref="N375" ca="1">IFERROR(INDEX(fesp!$E:$E, MATCH(1, (VALUE(LEFT(fesp!$A:$A,6))=VALUE(LEFT(B375,6)))*(fesp!$C:$C=C375), 0)), "")</f>
        <v>886</v>
      </c>
      <c r="O375" cm="1">
        <f t="array" aca="1" ref="O375" ca="1">IFERROR(INDEX(fesp!$F:$F, MATCH(1, (VALUE(LEFT(fesp!$A:$A,6))=VALUE(LEFT(B375,6)))*(fesp!$C:$C=C375), 0)), "")</f>
        <v>30798</v>
      </c>
      <c r="P375" cm="1">
        <f t="array" aca="1" ref="P375" ca="1">IFERROR(INDEX(fesp!$G:$G, MATCH(1, (VALUE(LEFT(fesp!$A:$A,6))=VALUE(LEFT(B375,6)))*(fesp!$C:$C=C375), 0)), "")</f>
        <v>38730059</v>
      </c>
      <c r="Q375" cm="1">
        <f t="array" aca="1" ref="Q375" ca="1">IFERROR(INDEX(fesp!$H:$H, MATCH(1, (VALUE(LEFT(fesp!$A:$A,6))=VALUE(LEFT(B375,6)))*(fesp!$C:$C=C375), 0)), "")</f>
        <v>441</v>
      </c>
      <c r="R375" cm="1">
        <f t="array" aca="1" ref="R375" ca="1">IFERROR(INDEX(fesp!$I:$I, MATCH(1, (VALUE(LEFT(fesp!$A:$A,6))=VALUE(LEFT(B375,6)))*(fesp!$C:$C=C375), 0)), "")</f>
        <v>370054</v>
      </c>
      <c r="S375" cm="1">
        <f t="array" aca="1" ref="S375" ca="1">IFERROR(INDEX(fesp!$J:$J, MATCH(1, (VALUE(LEFT(fesp!$A:$A,6))=VALUE(LEFT(B375,6)))*(fesp!$C:$C=C375), 0)), "")</f>
        <v>6496040</v>
      </c>
    </row>
    <row r="376" spans="1:19">
      <c r="A376" s="1" t="s">
        <v>35</v>
      </c>
      <c r="B376" s="3">
        <v>3304904</v>
      </c>
      <c r="C376" s="3">
        <v>2015</v>
      </c>
      <c r="D376" cm="1">
        <f t="array" ref="D376">IFERROR(INDEX(fesp!$D:$D, MATCH(1, (VALUE(LEFT(fesp!$A:$A,6))=VALUE(LEFT(B376,6)))*(fesp!$C:$C=C376), 0)), "")</f>
        <v>1038081</v>
      </c>
      <c r="E376" cm="1">
        <f t="array" aca="1" ref="E376" ca="1">IFERROR(INDEX(ft_medicos_clinicos!$C:$C, MATCH(1, (VALUE(LEFT(ft_medicos_clinicos!$A:$A,6))=VALUE(LEFT(B376,6)))*(ft_medicos_clinicos!$B:$B=C376), 0)), "")</f>
        <v>231</v>
      </c>
      <c r="F376" cm="1">
        <f t="array" aca="1" ref="F376" ca="1">IFERROR(INDEX(ft_enfermeiros!$C:$C, MATCH(1, (VALUE(LEFT(ft_enfermeiros!$A:$A,6))=VALUE(LEFT(B376,6)))*(ft_enfermeiros!$B:$B=C376), 0)), "")</f>
        <v>314</v>
      </c>
      <c r="G376" t="str" cm="1">
        <f t="array" aca="1" ref="G376" ca="1">IFERROR(INDEX(ft_equipes_acs!$C:$C, MATCH(1, (VALUE(LEFT(ft_equipes_acs!$A:$A,6))=VALUE(LEFT(B376,6)))*(ft_equipes_acs!$B:$B=C376), 0)), "")</f>
        <v/>
      </c>
      <c r="H376" cm="1">
        <f t="array" aca="1" ref="H376" ca="1">IFERROR(INDEX(ci_leitos_internacao!$C:$C, MATCH(1, (VALUE(LEFT(ci_leitos_internacao!$A:$A,6))=VALUE(LEFT(B376,6)))*(ci_leitos_internacao!$B:$B=C376), 0)), "")</f>
        <v>2095</v>
      </c>
      <c r="I376" cm="1">
        <f t="array" aca="1" ref="I376" ca="1">IFERROR(INDEX(ci_hospitais_internacao!$C:$C, MATCH(1, (VALUE(LEFT(ci_hospitais_internacao!$A:$A,6))=VALUE(LEFT(B376,6)))*(ci_hospitais_internacao!$B:$B=C376), 0)), "")</f>
        <v>5</v>
      </c>
      <c r="J376" t="str" cm="1">
        <f t="array" aca="1" ref="J376" ca="1">IFERROR(INDEX(ci_pa_clinico!$C:$C, MATCH(1, (VALUE(LEFT(ci_pa_clinico!$A:$A,6))=VALUE(LEFT(B376,6)))*(ci_pa_clinico!$B:$B=C376), 0)), "")</f>
        <v/>
      </c>
      <c r="K376" cm="1">
        <f t="array" aca="1" ref="K376" ca="1">IFERROR(INDEX(aps_equipes_esf!$C:$C, MATCH(1, (VALUE(LEFT(aps_equipes_esf!$A:$A,6))=VALUE(LEFT(B376,6)))*(aps_equipes_esf!$B:$B=C376), 0)), "")</f>
        <v>62</v>
      </c>
      <c r="L376" cm="1">
        <f t="array" aca="1" ref="L376" ca="1">IFERROR(INDEX(casos!$C:$C, MATCH(1, (VALUE(LEFT(casos!$A:$A,6))=VALUE(LEFT(B376,6)))*(casos!$B:$B=C376), 0)), "")</f>
        <v>2313</v>
      </c>
      <c r="M376" cm="1">
        <f t="array" ref="M376">IFERROR(INDEX(srag!$D:$D, MATCH(1, (VALUE(LEFT(srag!$A:$A,6))=VALUE(LEFT(B376,6)))*(srag!$C:$C=C376), 0)), "")</f>
        <v>24</v>
      </c>
      <c r="N376" cm="1">
        <f t="array" aca="1" ref="N376" ca="1">IFERROR(INDEX(fesp!$E:$E, MATCH(1, (VALUE(LEFT(fesp!$A:$A,6))=VALUE(LEFT(B376,6)))*(fesp!$C:$C=C376), 0)), "")</f>
        <v>540</v>
      </c>
      <c r="O376" cm="1">
        <f t="array" aca="1" ref="O376" ca="1">IFERROR(INDEX(fesp!$F:$F, MATCH(1, (VALUE(LEFT(fesp!$A:$A,6))=VALUE(LEFT(B376,6)))*(fesp!$C:$C=C376), 0)), "")</f>
        <v>4151</v>
      </c>
      <c r="P376" cm="1">
        <f t="array" aca="1" ref="P376" ca="1">IFERROR(INDEX(fesp!$G:$G, MATCH(1, (VALUE(LEFT(fesp!$A:$A,6))=VALUE(LEFT(B376,6)))*(fesp!$C:$C=C376), 0)), "")</f>
        <v>4132289</v>
      </c>
      <c r="Q376" cm="1">
        <f t="array" aca="1" ref="Q376" ca="1">IFERROR(INDEX(fesp!$H:$H, MATCH(1, (VALUE(LEFT(fesp!$A:$A,6))=VALUE(LEFT(B376,6)))*(fesp!$C:$C=C376), 0)), "")</f>
        <v>242</v>
      </c>
      <c r="R376" cm="1">
        <f t="array" aca="1" ref="R376" ca="1">IFERROR(INDEX(fesp!$I:$I, MATCH(1, (VALUE(LEFT(fesp!$A:$A,6))=VALUE(LEFT(B376,6)))*(fesp!$C:$C=C376), 0)), "")</f>
        <v>41355</v>
      </c>
      <c r="S376" cm="1">
        <f t="array" aca="1" ref="S376" ca="1">IFERROR(INDEX(fesp!$J:$J, MATCH(1, (VALUE(LEFT(fesp!$A:$A,6))=VALUE(LEFT(B376,6)))*(fesp!$C:$C=C376), 0)), "")</f>
        <v>307534</v>
      </c>
    </row>
    <row r="377" spans="1:19">
      <c r="A377" s="1" t="s">
        <v>35</v>
      </c>
      <c r="B377" s="3">
        <v>3304904</v>
      </c>
      <c r="C377" s="3">
        <v>2016</v>
      </c>
      <c r="D377" cm="1">
        <f t="array" ref="D377">IFERROR(INDEX(fesp!$D:$D, MATCH(1, (VALUE(LEFT(fesp!$A:$A,6))=VALUE(LEFT(B377,6)))*(fesp!$C:$C=C377), 0)), "")</f>
        <v>0</v>
      </c>
      <c r="E377" cm="1">
        <f t="array" aca="1" ref="E377" ca="1">IFERROR(INDEX(ft_medicos_clinicos!$C:$C, MATCH(1, (VALUE(LEFT(ft_medicos_clinicos!$A:$A,6))=VALUE(LEFT(B377,6)))*(ft_medicos_clinicos!$B:$B=C377), 0)), "")</f>
        <v>237</v>
      </c>
      <c r="F377" cm="1">
        <f t="array" aca="1" ref="F377" ca="1">IFERROR(INDEX(ft_enfermeiros!$C:$C, MATCH(1, (VALUE(LEFT(ft_enfermeiros!$A:$A,6))=VALUE(LEFT(B377,6)))*(ft_enfermeiros!$B:$B=C377), 0)), "")</f>
        <v>344</v>
      </c>
      <c r="G377" t="str" cm="1">
        <f t="array" aca="1" ref="G377" ca="1">IFERROR(INDEX(ft_equipes_acs!$C:$C, MATCH(1, (VALUE(LEFT(ft_equipes_acs!$A:$A,6))=VALUE(LEFT(B377,6)))*(ft_equipes_acs!$B:$B=C377), 0)), "")</f>
        <v/>
      </c>
      <c r="H377" cm="1">
        <f t="array" aca="1" ref="H377" ca="1">IFERROR(INDEX(ci_leitos_internacao!$C:$C, MATCH(1, (VALUE(LEFT(ci_leitos_internacao!$A:$A,6))=VALUE(LEFT(B377,6)))*(ci_leitos_internacao!$B:$B=C377), 0)), "")</f>
        <v>2125</v>
      </c>
      <c r="I377" cm="1">
        <f t="array" aca="1" ref="I377" ca="1">IFERROR(INDEX(ci_hospitais_internacao!$C:$C, MATCH(1, (VALUE(LEFT(ci_hospitais_internacao!$A:$A,6))=VALUE(LEFT(B377,6)))*(ci_hospitais_internacao!$B:$B=C377), 0)), "")</f>
        <v>6</v>
      </c>
      <c r="J377" t="str" cm="1">
        <f t="array" aca="1" ref="J377" ca="1">IFERROR(INDEX(ci_pa_clinico!$C:$C, MATCH(1, (VALUE(LEFT(ci_pa_clinico!$A:$A,6))=VALUE(LEFT(B377,6)))*(ci_pa_clinico!$B:$B=C377), 0)), "")</f>
        <v/>
      </c>
      <c r="K377" cm="1">
        <f t="array" aca="1" ref="K377" ca="1">IFERROR(INDEX(aps_equipes_esf!$C:$C, MATCH(1, (VALUE(LEFT(aps_equipes_esf!$A:$A,6))=VALUE(LEFT(B377,6)))*(aps_equipes_esf!$B:$B=C377), 0)), "")</f>
        <v>111</v>
      </c>
      <c r="L377" cm="1">
        <f t="array" aca="1" ref="L377" ca="1">IFERROR(INDEX(casos!$C:$C, MATCH(1, (VALUE(LEFT(casos!$A:$A,6))=VALUE(LEFT(B377,6)))*(casos!$B:$B=C377), 0)), "")</f>
        <v>8004</v>
      </c>
      <c r="M377" cm="1">
        <f t="array" ref="M377">IFERROR(INDEX(srag!$D:$D, MATCH(1, (VALUE(LEFT(srag!$A:$A,6))=VALUE(LEFT(B377,6)))*(srag!$C:$C=C377), 0)), "")</f>
        <v>159</v>
      </c>
      <c r="N377" cm="1">
        <f t="array" aca="1" ref="N377" ca="1">IFERROR(INDEX(fesp!$E:$E, MATCH(1, (VALUE(LEFT(fesp!$A:$A,6))=VALUE(LEFT(B377,6)))*(fesp!$C:$C=C377), 0)), "")</f>
        <v>413</v>
      </c>
      <c r="O377" cm="1">
        <f t="array" aca="1" ref="O377" ca="1">IFERROR(INDEX(fesp!$F:$F, MATCH(1, (VALUE(LEFT(fesp!$A:$A,6))=VALUE(LEFT(B377,6)))*(fesp!$C:$C=C377), 0)), "")</f>
        <v>1926</v>
      </c>
      <c r="P377" cm="1">
        <f t="array" aca="1" ref="P377" ca="1">IFERROR(INDEX(fesp!$G:$G, MATCH(1, (VALUE(LEFT(fesp!$A:$A,6))=VALUE(LEFT(B377,6)))*(fesp!$C:$C=C377), 0)), "")</f>
        <v>2911222</v>
      </c>
      <c r="Q377" cm="1">
        <f t="array" aca="1" ref="Q377" ca="1">IFERROR(INDEX(fesp!$H:$H, MATCH(1, (VALUE(LEFT(fesp!$A:$A,6))=VALUE(LEFT(B377,6)))*(fesp!$C:$C=C377), 0)), "")</f>
        <v>164</v>
      </c>
      <c r="R377" cm="1">
        <f t="array" aca="1" ref="R377" ca="1">IFERROR(INDEX(fesp!$I:$I, MATCH(1, (VALUE(LEFT(fesp!$A:$A,6))=VALUE(LEFT(B377,6)))*(fesp!$C:$C=C377), 0)), "")</f>
        <v>27353</v>
      </c>
      <c r="S377" cm="1">
        <f t="array" aca="1" ref="S377" ca="1">IFERROR(INDEX(fesp!$J:$J, MATCH(1, (VALUE(LEFT(fesp!$A:$A,6))=VALUE(LEFT(B377,6)))*(fesp!$C:$C=C377), 0)), "")</f>
        <v>278606</v>
      </c>
    </row>
    <row r="378" spans="1:19">
      <c r="A378" s="1" t="s">
        <v>35</v>
      </c>
      <c r="B378" s="3">
        <v>3304904</v>
      </c>
      <c r="C378" s="3">
        <v>2017</v>
      </c>
      <c r="D378" cm="1">
        <f t="array" ref="D378">IFERROR(INDEX(fesp!$D:$D, MATCH(1, (VALUE(LEFT(fesp!$A:$A,6))=VALUE(LEFT(B378,6)))*(fesp!$C:$C=C378), 0)), "")</f>
        <v>0</v>
      </c>
      <c r="E378" cm="1">
        <f t="array" aca="1" ref="E378" ca="1">IFERROR(INDEX(ft_medicos_clinicos!$C:$C, MATCH(1, (VALUE(LEFT(ft_medicos_clinicos!$A:$A,6))=VALUE(LEFT(B378,6)))*(ft_medicos_clinicos!$B:$B=C378), 0)), "")</f>
        <v>249</v>
      </c>
      <c r="F378" cm="1">
        <f t="array" aca="1" ref="F378" ca="1">IFERROR(INDEX(ft_enfermeiros!$C:$C, MATCH(1, (VALUE(LEFT(ft_enfermeiros!$A:$A,6))=VALUE(LEFT(B378,6)))*(ft_enfermeiros!$B:$B=C378), 0)), "")</f>
        <v>397</v>
      </c>
      <c r="G378" t="str" cm="1">
        <f t="array" aca="1" ref="G378" ca="1">IFERROR(INDEX(ft_equipes_acs!$C:$C, MATCH(1, (VALUE(LEFT(ft_equipes_acs!$A:$A,6))=VALUE(LEFT(B378,6)))*(ft_equipes_acs!$B:$B=C378), 0)), "")</f>
        <v/>
      </c>
      <c r="H378" cm="1">
        <f t="array" aca="1" ref="H378" ca="1">IFERROR(INDEX(ci_leitos_internacao!$C:$C, MATCH(1, (VALUE(LEFT(ci_leitos_internacao!$A:$A,6))=VALUE(LEFT(B378,6)))*(ci_leitos_internacao!$B:$B=C378), 0)), "")</f>
        <v>2022</v>
      </c>
      <c r="I378" cm="1">
        <f t="array" aca="1" ref="I378" ca="1">IFERROR(INDEX(ci_hospitais_internacao!$C:$C, MATCH(1, (VALUE(LEFT(ci_hospitais_internacao!$A:$A,6))=VALUE(LEFT(B378,6)))*(ci_hospitais_internacao!$B:$B=C378), 0)), "")</f>
        <v>6</v>
      </c>
      <c r="J378" t="str" cm="1">
        <f t="array" aca="1" ref="J378" ca="1">IFERROR(INDEX(ci_pa_clinico!$C:$C, MATCH(1, (VALUE(LEFT(ci_pa_clinico!$A:$A,6))=VALUE(LEFT(B378,6)))*(ci_pa_clinico!$B:$B=C378), 0)), "")</f>
        <v/>
      </c>
      <c r="K378" cm="1">
        <f t="array" aca="1" ref="K378" ca="1">IFERROR(INDEX(aps_equipes_esf!$C:$C, MATCH(1, (VALUE(LEFT(aps_equipes_esf!$A:$A,6))=VALUE(LEFT(B378,6)))*(aps_equipes_esf!$B:$B=C378), 0)), "")</f>
        <v>114</v>
      </c>
      <c r="L378" cm="1">
        <f t="array" aca="1" ref="L378" ca="1">IFERROR(INDEX(casos!$C:$C, MATCH(1, (VALUE(LEFT(casos!$A:$A,6))=VALUE(LEFT(B378,6)))*(casos!$B:$B=C378), 0)), "")</f>
        <v>1742</v>
      </c>
      <c r="M378" cm="1">
        <f t="array" ref="M378">IFERROR(INDEX(srag!$D:$D, MATCH(1, (VALUE(LEFT(srag!$A:$A,6))=VALUE(LEFT(B378,6)))*(srag!$C:$C=C378), 0)), "")</f>
        <v>53</v>
      </c>
      <c r="N378" cm="1">
        <f t="array" aca="1" ref="N378" ca="1">IFERROR(INDEX(fesp!$E:$E, MATCH(1, (VALUE(LEFT(fesp!$A:$A,6))=VALUE(LEFT(B378,6)))*(fesp!$C:$C=C378), 0)), "")</f>
        <v>136</v>
      </c>
      <c r="O378" cm="1">
        <f t="array" aca="1" ref="O378" ca="1">IFERROR(INDEX(fesp!$F:$F, MATCH(1, (VALUE(LEFT(fesp!$A:$A,6))=VALUE(LEFT(B378,6)))*(fesp!$C:$C=C378), 0)), "")</f>
        <v>1218</v>
      </c>
      <c r="P378" cm="1">
        <f t="array" aca="1" ref="P378" ca="1">IFERROR(INDEX(fesp!$G:$G, MATCH(1, (VALUE(LEFT(fesp!$A:$A,6))=VALUE(LEFT(B378,6)))*(fesp!$C:$C=C378), 0)), "")</f>
        <v>2509849</v>
      </c>
      <c r="Q378" cm="1">
        <f t="array" aca="1" ref="Q378" ca="1">IFERROR(INDEX(fesp!$H:$H, MATCH(1, (VALUE(LEFT(fesp!$A:$A,6))=VALUE(LEFT(B378,6)))*(fesp!$C:$C=C378), 0)), "")</f>
        <v>90</v>
      </c>
      <c r="R378" cm="1">
        <f t="array" aca="1" ref="R378" ca="1">IFERROR(INDEX(fesp!$I:$I, MATCH(1, (VALUE(LEFT(fesp!$A:$A,6))=VALUE(LEFT(B378,6)))*(fesp!$C:$C=C378), 0)), "")</f>
        <v>39104</v>
      </c>
      <c r="S378" cm="1">
        <f t="array" aca="1" ref="S378" ca="1">IFERROR(INDEX(fesp!$J:$J, MATCH(1, (VALUE(LEFT(fesp!$A:$A,6))=VALUE(LEFT(B378,6)))*(fesp!$C:$C=C378), 0)), "")</f>
        <v>426523</v>
      </c>
    </row>
    <row r="379" spans="1:19">
      <c r="A379" s="1" t="s">
        <v>35</v>
      </c>
      <c r="B379" s="3" t="s">
        <v>34</v>
      </c>
      <c r="C379" s="3">
        <v>2018</v>
      </c>
      <c r="D379" cm="1">
        <f t="array" ref="D379">IFERROR(INDEX(fesp!$D:$D, MATCH(1, (VALUE(LEFT(fesp!$A:$A,6))=VALUE(LEFT(B379,6)))*(fesp!$C:$C=C379), 0)), "")</f>
        <v>0</v>
      </c>
      <c r="E379" cm="1">
        <f t="array" aca="1" ref="E379" ca="1">IFERROR(INDEX(ft_medicos_clinicos!$C:$C, MATCH(1, (VALUE(LEFT(ft_medicos_clinicos!$A:$A,6))=VALUE(LEFT(B379,6)))*(ft_medicos_clinicos!$B:$B=C379), 0)), "")</f>
        <v>253</v>
      </c>
      <c r="F379" cm="1">
        <f t="array" aca="1" ref="F379" ca="1">IFERROR(INDEX(ft_enfermeiros!$C:$C, MATCH(1, (VALUE(LEFT(ft_enfermeiros!$A:$A,6))=VALUE(LEFT(B379,6)))*(ft_enfermeiros!$B:$B=C379), 0)), "")</f>
        <v>479</v>
      </c>
      <c r="G379" t="str" cm="1">
        <f t="array" aca="1" ref="G379" ca="1">IFERROR(INDEX(ft_equipes_acs!$C:$C, MATCH(1, (VALUE(LEFT(ft_equipes_acs!$A:$A,6))=VALUE(LEFT(B379,6)))*(ft_equipes_acs!$B:$B=C379), 0)), "")</f>
        <v/>
      </c>
      <c r="H379" cm="1">
        <f t="array" aca="1" ref="H379" ca="1">IFERROR(INDEX(ci_leitos_internacao!$C:$C, MATCH(1, (VALUE(LEFT(ci_leitos_internacao!$A:$A,6))=VALUE(LEFT(B379,6)))*(ci_leitos_internacao!$B:$B=C379), 0)), "")</f>
        <v>1435</v>
      </c>
      <c r="I379" cm="1">
        <f t="array" aca="1" ref="I379" ca="1">IFERROR(INDEX(ci_hospitais_internacao!$C:$C, MATCH(1, (VALUE(LEFT(ci_hospitais_internacao!$A:$A,6))=VALUE(LEFT(B379,6)))*(ci_hospitais_internacao!$B:$B=C379), 0)), "")</f>
        <v>7</v>
      </c>
      <c r="J379" t="str" cm="1">
        <f t="array" aca="1" ref="J379" ca="1">IFERROR(INDEX(ci_pa_clinico!$C:$C, MATCH(1, (VALUE(LEFT(ci_pa_clinico!$A:$A,6))=VALUE(LEFT(B379,6)))*(ci_pa_clinico!$B:$B=C379), 0)), "")</f>
        <v/>
      </c>
      <c r="K379" cm="1">
        <f t="array" aca="1" ref="K379" ca="1">IFERROR(INDEX(aps_equipes_esf!$C:$C, MATCH(1, (VALUE(LEFT(aps_equipes_esf!$A:$A,6))=VALUE(LEFT(B379,6)))*(aps_equipes_esf!$B:$B=C379), 0)), "")</f>
        <v>115</v>
      </c>
      <c r="L379" cm="1">
        <f t="array" aca="1" ref="L379" ca="1">IFERROR(INDEX(casos!$C:$C, MATCH(1, (VALUE(LEFT(casos!$A:$A,6))=VALUE(LEFT(B379,6)))*(casos!$B:$B=C379), 0)), "")</f>
        <v>1200</v>
      </c>
      <c r="M379" cm="1">
        <f t="array" ref="M379">IFERROR(INDEX(srag!$D:$D, MATCH(1, (VALUE(LEFT(srag!$A:$A,6))=VALUE(LEFT(B379,6)))*(srag!$C:$C=C379), 0)), "")</f>
        <v>64</v>
      </c>
      <c r="N379" cm="1">
        <f t="array" aca="1" ref="N379" ca="1">IFERROR(INDEX(fesp!$E:$E, MATCH(1, (VALUE(LEFT(fesp!$A:$A,6))=VALUE(LEFT(B379,6)))*(fesp!$C:$C=C379), 0)), "")</f>
        <v>145</v>
      </c>
      <c r="O379" cm="1">
        <f t="array" aca="1" ref="O379" ca="1">IFERROR(INDEX(fesp!$F:$F, MATCH(1, (VALUE(LEFT(fesp!$A:$A,6))=VALUE(LEFT(B379,6)))*(fesp!$C:$C=C379), 0)), "")</f>
        <v>3463</v>
      </c>
      <c r="P379" cm="1">
        <f t="array" aca="1" ref="P379" ca="1">IFERROR(INDEX(fesp!$G:$G, MATCH(1, (VALUE(LEFT(fesp!$A:$A,6))=VALUE(LEFT(B379,6)))*(fesp!$C:$C=C379), 0)), "")</f>
        <v>3389443</v>
      </c>
      <c r="Q379" cm="1">
        <f t="array" aca="1" ref="Q379" ca="1">IFERROR(INDEX(fesp!$H:$H, MATCH(1, (VALUE(LEFT(fesp!$A:$A,6))=VALUE(LEFT(B379,6)))*(fesp!$C:$C=C379), 0)), "")</f>
        <v>155</v>
      </c>
      <c r="R379" cm="1">
        <f t="array" aca="1" ref="R379" ca="1">IFERROR(INDEX(fesp!$I:$I, MATCH(1, (VALUE(LEFT(fesp!$A:$A,6))=VALUE(LEFT(B379,6)))*(fesp!$C:$C=C379), 0)), "")</f>
        <v>34344</v>
      </c>
      <c r="S379" cm="1">
        <f t="array" aca="1" ref="S379" ca="1">IFERROR(INDEX(fesp!$J:$J, MATCH(1, (VALUE(LEFT(fesp!$A:$A,6))=VALUE(LEFT(B379,6)))*(fesp!$C:$C=C379), 0)), "")</f>
        <v>331057</v>
      </c>
    </row>
    <row r="380" spans="1:19">
      <c r="A380" s="1" t="s">
        <v>35</v>
      </c>
      <c r="B380" s="3" t="s">
        <v>34</v>
      </c>
      <c r="C380" s="3">
        <v>2019</v>
      </c>
      <c r="D380" cm="1">
        <f t="array" ref="D380">IFERROR(INDEX(fesp!$D:$D, MATCH(1, (VALUE(LEFT(fesp!$A:$A,6))=VALUE(LEFT(B380,6)))*(fesp!$C:$C=C380), 0)), "")</f>
        <v>0</v>
      </c>
      <c r="E380" cm="1">
        <f t="array" aca="1" ref="E380" ca="1">IFERROR(INDEX(ft_medicos_clinicos!$C:$C, MATCH(1, (VALUE(LEFT(ft_medicos_clinicos!$A:$A,6))=VALUE(LEFT(B380,6)))*(ft_medicos_clinicos!$B:$B=C380), 0)), "")</f>
        <v>237</v>
      </c>
      <c r="F380" cm="1">
        <f t="array" aca="1" ref="F380" ca="1">IFERROR(INDEX(ft_enfermeiros!$C:$C, MATCH(1, (VALUE(LEFT(ft_enfermeiros!$A:$A,6))=VALUE(LEFT(B380,6)))*(ft_enfermeiros!$B:$B=C380), 0)), "")</f>
        <v>506</v>
      </c>
      <c r="G380" t="str" cm="1">
        <f t="array" aca="1" ref="G380" ca="1">IFERROR(INDEX(ft_equipes_acs!$C:$C, MATCH(1, (VALUE(LEFT(ft_equipes_acs!$A:$A,6))=VALUE(LEFT(B380,6)))*(ft_equipes_acs!$B:$B=C380), 0)), "")</f>
        <v/>
      </c>
      <c r="H380" cm="1">
        <f t="array" aca="1" ref="H380" ca="1">IFERROR(INDEX(ci_leitos_internacao!$C:$C, MATCH(1, (VALUE(LEFT(ci_leitos_internacao!$A:$A,6))=VALUE(LEFT(B380,6)))*(ci_leitos_internacao!$B:$B=C380), 0)), "")</f>
        <v>1457</v>
      </c>
      <c r="I380" cm="1">
        <f t="array" aca="1" ref="I380" ca="1">IFERROR(INDEX(ci_hospitais_internacao!$C:$C, MATCH(1, (VALUE(LEFT(ci_hospitais_internacao!$A:$A,6))=VALUE(LEFT(B380,6)))*(ci_hospitais_internacao!$B:$B=C380), 0)), "")</f>
        <v>6</v>
      </c>
      <c r="J380" t="str" cm="1">
        <f t="array" aca="1" ref="J380" ca="1">IFERROR(INDEX(ci_pa_clinico!$C:$C, MATCH(1, (VALUE(LEFT(ci_pa_clinico!$A:$A,6))=VALUE(LEFT(B380,6)))*(ci_pa_clinico!$B:$B=C380), 0)), "")</f>
        <v/>
      </c>
      <c r="K380" cm="1">
        <f t="array" aca="1" ref="K380" ca="1">IFERROR(INDEX(aps_equipes_esf!$C:$C, MATCH(1, (VALUE(LEFT(aps_equipes_esf!$A:$A,6))=VALUE(LEFT(B380,6)))*(aps_equipes_esf!$B:$B=C380), 0)), "")</f>
        <v>115</v>
      </c>
      <c r="L380" cm="1">
        <f t="array" aca="1" ref="L380" ca="1">IFERROR(INDEX(casos!$C:$C, MATCH(1, (VALUE(LEFT(casos!$A:$A,6))=VALUE(LEFT(B380,6)))*(casos!$B:$B=C380), 0)), "")</f>
        <v>768</v>
      </c>
      <c r="M380" cm="1">
        <f t="array" ref="M380">IFERROR(INDEX(srag!$D:$D, MATCH(1, (VALUE(LEFT(srag!$A:$A,6))=VALUE(LEFT(B380,6)))*(srag!$C:$C=C380), 0)), "")</f>
        <v>142</v>
      </c>
      <c r="N380" cm="1">
        <f t="array" aca="1" ref="N380" ca="1">IFERROR(INDEX(fesp!$E:$E, MATCH(1, (VALUE(LEFT(fesp!$A:$A,6))=VALUE(LEFT(B380,6)))*(fesp!$C:$C=C380), 0)), "")</f>
        <v>218</v>
      </c>
      <c r="O380" cm="1">
        <f t="array" aca="1" ref="O380" ca="1">IFERROR(INDEX(fesp!$F:$F, MATCH(1, (VALUE(LEFT(fesp!$A:$A,6))=VALUE(LEFT(B380,6)))*(fesp!$C:$C=C380), 0)), "")</f>
        <v>2905</v>
      </c>
      <c r="P380" cm="1">
        <f t="array" aca="1" ref="P380" ca="1">IFERROR(INDEX(fesp!$G:$G, MATCH(1, (VALUE(LEFT(fesp!$A:$A,6))=VALUE(LEFT(B380,6)))*(fesp!$C:$C=C380), 0)), "")</f>
        <v>3543686</v>
      </c>
      <c r="Q380" cm="1">
        <f t="array" aca="1" ref="Q380" ca="1">IFERROR(INDEX(fesp!$H:$H, MATCH(1, (VALUE(LEFT(fesp!$A:$A,6))=VALUE(LEFT(B380,6)))*(fesp!$C:$C=C380), 0)), "")</f>
        <v>173</v>
      </c>
      <c r="R380" cm="1">
        <f t="array" aca="1" ref="R380" ca="1">IFERROR(INDEX(fesp!$I:$I, MATCH(1, (VALUE(LEFT(fesp!$A:$A,6))=VALUE(LEFT(B380,6)))*(fesp!$C:$C=C380), 0)), "")</f>
        <v>34810</v>
      </c>
      <c r="S380" cm="1">
        <f t="array" aca="1" ref="S380" ca="1">IFERROR(INDEX(fesp!$J:$J, MATCH(1, (VALUE(LEFT(fesp!$A:$A,6))=VALUE(LEFT(B380,6)))*(fesp!$C:$C=C380), 0)), "")</f>
        <v>330220</v>
      </c>
    </row>
    <row r="381" spans="1:19">
      <c r="A381" s="1" t="s">
        <v>35</v>
      </c>
      <c r="B381" s="3" t="s">
        <v>34</v>
      </c>
      <c r="C381" s="3">
        <v>2020</v>
      </c>
      <c r="D381" cm="1">
        <f t="array" ref="D381">IFERROR(INDEX(fesp!$D:$D, MATCH(1, (VALUE(LEFT(fesp!$A:$A,6))=VALUE(LEFT(B381,6)))*(fesp!$C:$C=C381), 0)), "")</f>
        <v>0</v>
      </c>
      <c r="E381" cm="1">
        <f t="array" aca="1" ref="E381" ca="1">IFERROR(INDEX(ft_medicos_clinicos!$C:$C, MATCH(1, (VALUE(LEFT(ft_medicos_clinicos!$A:$A,6))=VALUE(LEFT(B381,6)))*(ft_medicos_clinicos!$B:$B=C381), 0)), "")</f>
        <v>263</v>
      </c>
      <c r="F381" cm="1">
        <f t="array" aca="1" ref="F381" ca="1">IFERROR(INDEX(ft_enfermeiros!$C:$C, MATCH(1, (VALUE(LEFT(ft_enfermeiros!$A:$A,6))=VALUE(LEFT(B381,6)))*(ft_enfermeiros!$B:$B=C381), 0)), "")</f>
        <v>704</v>
      </c>
      <c r="G381" t="str" cm="1">
        <f t="array" aca="1" ref="G381" ca="1">IFERROR(INDEX(ft_equipes_acs!$C:$C, MATCH(1, (VALUE(LEFT(ft_equipes_acs!$A:$A,6))=VALUE(LEFT(B381,6)))*(ft_equipes_acs!$B:$B=C381), 0)), "")</f>
        <v/>
      </c>
      <c r="H381" cm="1">
        <f t="array" aca="1" ref="H381" ca="1">IFERROR(INDEX(ci_leitos_internacao!$C:$C, MATCH(1, (VALUE(LEFT(ci_leitos_internacao!$A:$A,6))=VALUE(LEFT(B381,6)))*(ci_leitos_internacao!$B:$B=C381), 0)), "")</f>
        <v>1553</v>
      </c>
      <c r="I381" cm="1">
        <f t="array" aca="1" ref="I381" ca="1">IFERROR(INDEX(ci_hospitais_internacao!$C:$C, MATCH(1, (VALUE(LEFT(ci_hospitais_internacao!$A:$A,6))=VALUE(LEFT(B381,6)))*(ci_hospitais_internacao!$B:$B=C381), 0)), "")</f>
        <v>6</v>
      </c>
      <c r="J381" t="str" cm="1">
        <f t="array" aca="1" ref="J381" ca="1">IFERROR(INDEX(ci_pa_clinico!$C:$C, MATCH(1, (VALUE(LEFT(ci_pa_clinico!$A:$A,6))=VALUE(LEFT(B381,6)))*(ci_pa_clinico!$B:$B=C381), 0)), "")</f>
        <v/>
      </c>
      <c r="K381" t="str" cm="1">
        <f t="array" aca="1" ref="K381" ca="1">IFERROR(INDEX(aps_equipes_esf!$C:$C, MATCH(1, (VALUE(LEFT(aps_equipes_esf!$A:$A,6))=VALUE(LEFT(B381,6)))*(aps_equipes_esf!$B:$B=C381), 0)), "")</f>
        <v>-</v>
      </c>
      <c r="L381" cm="1">
        <f t="array" aca="1" ref="L381" ca="1">IFERROR(INDEX(casos!$C:$C, MATCH(1, (VALUE(LEFT(casos!$A:$A,6))=VALUE(LEFT(B381,6)))*(casos!$B:$B=C381), 0)), "")</f>
        <v>27</v>
      </c>
      <c r="M381" cm="1">
        <f t="array" ref="M381">IFERROR(INDEX(srag!$D:$D, MATCH(1, (VALUE(LEFT(srag!$A:$A,6))=VALUE(LEFT(B381,6)))*(srag!$C:$C=C381), 0)), "")</f>
        <v>7186</v>
      </c>
      <c r="N381" cm="1">
        <f t="array" aca="1" ref="N381" ca="1">IFERROR(INDEX(fesp!$E:$E, MATCH(1, (VALUE(LEFT(fesp!$A:$A,6))=VALUE(LEFT(B381,6)))*(fesp!$C:$C=C381), 0)), "")</f>
        <v>159</v>
      </c>
      <c r="O381" cm="1">
        <f t="array" aca="1" ref="O381" ca="1">IFERROR(INDEX(fesp!$F:$F, MATCH(1, (VALUE(LEFT(fesp!$A:$A,6))=VALUE(LEFT(B381,6)))*(fesp!$C:$C=C381), 0)), "")</f>
        <v>2171</v>
      </c>
      <c r="P381" cm="1">
        <f t="array" aca="1" ref="P381" ca="1">IFERROR(INDEX(fesp!$G:$G, MATCH(1, (VALUE(LEFT(fesp!$A:$A,6))=VALUE(LEFT(B381,6)))*(fesp!$C:$C=C381), 0)), "")</f>
        <v>3527521</v>
      </c>
      <c r="Q381" cm="1">
        <f t="array" aca="1" ref="Q381" ca="1">IFERROR(INDEX(fesp!$H:$H, MATCH(1, (VALUE(LEFT(fesp!$A:$A,6))=VALUE(LEFT(B381,6)))*(fesp!$C:$C=C381), 0)), "")</f>
        <v>64</v>
      </c>
      <c r="R381" cm="1">
        <f t="array" aca="1" ref="R381" ca="1">IFERROR(INDEX(fesp!$I:$I, MATCH(1, (VALUE(LEFT(fesp!$A:$A,6))=VALUE(LEFT(B381,6)))*(fesp!$C:$C=C381), 0)), "")</f>
        <v>31358</v>
      </c>
      <c r="S381" cm="1">
        <f t="array" aca="1" ref="S381" ca="1">IFERROR(INDEX(fesp!$J:$J, MATCH(1, (VALUE(LEFT(fesp!$A:$A,6))=VALUE(LEFT(B381,6)))*(fesp!$C:$C=C381), 0)), "")</f>
        <v>296975</v>
      </c>
    </row>
    <row r="382" spans="1:19">
      <c r="A382" s="1" t="s">
        <v>35</v>
      </c>
      <c r="B382" s="3" t="s">
        <v>34</v>
      </c>
      <c r="C382" s="3">
        <v>2021</v>
      </c>
      <c r="D382" cm="1">
        <f t="array" ref="D382">IFERROR(INDEX(fesp!$D:$D, MATCH(1, (VALUE(LEFT(fesp!$A:$A,6))=VALUE(LEFT(B382,6)))*(fesp!$C:$C=C382), 0)), "")</f>
        <v>0</v>
      </c>
      <c r="E382" cm="1">
        <f t="array" aca="1" ref="E382" ca="1">IFERROR(INDEX(ft_medicos_clinicos!$C:$C, MATCH(1, (VALUE(LEFT(ft_medicos_clinicos!$A:$A,6))=VALUE(LEFT(B382,6)))*(ft_medicos_clinicos!$B:$B=C382), 0)), "")</f>
        <v>275</v>
      </c>
      <c r="F382" cm="1">
        <f t="array" aca="1" ref="F382" ca="1">IFERROR(INDEX(ft_enfermeiros!$C:$C, MATCH(1, (VALUE(LEFT(ft_enfermeiros!$A:$A,6))=VALUE(LEFT(B382,6)))*(ft_enfermeiros!$B:$B=C382), 0)), "")</f>
        <v>715</v>
      </c>
      <c r="G382" t="str" cm="1">
        <f t="array" aca="1" ref="G382" ca="1">IFERROR(INDEX(ft_equipes_acs!$C:$C, MATCH(1, (VALUE(LEFT(ft_equipes_acs!$A:$A,6))=VALUE(LEFT(B382,6)))*(ft_equipes_acs!$B:$B=C382), 0)), "")</f>
        <v/>
      </c>
      <c r="H382" cm="1">
        <f t="array" aca="1" ref="H382" ca="1">IFERROR(INDEX(ci_leitos_internacao!$C:$C, MATCH(1, (VALUE(LEFT(ci_leitos_internacao!$A:$A,6))=VALUE(LEFT(B382,6)))*(ci_leitos_internacao!$B:$B=C382), 0)), "")</f>
        <v>1176</v>
      </c>
      <c r="I382" cm="1">
        <f t="array" aca="1" ref="I382" ca="1">IFERROR(INDEX(ci_hospitais_internacao!$C:$C, MATCH(1, (VALUE(LEFT(ci_hospitais_internacao!$A:$A,6))=VALUE(LEFT(B382,6)))*(ci_hospitais_internacao!$B:$B=C382), 0)), "")</f>
        <v>4</v>
      </c>
      <c r="J382" t="str" cm="1">
        <f t="array" aca="1" ref="J382" ca="1">IFERROR(INDEX(ci_pa_clinico!$C:$C, MATCH(1, (VALUE(LEFT(ci_pa_clinico!$A:$A,6))=VALUE(LEFT(B382,6)))*(ci_pa_clinico!$B:$B=C382), 0)), "")</f>
        <v/>
      </c>
      <c r="K382" t="str" cm="1">
        <f t="array" aca="1" ref="K382" ca="1">IFERROR(INDEX(aps_equipes_esf!$C:$C, MATCH(1, (VALUE(LEFT(aps_equipes_esf!$A:$A,6))=VALUE(LEFT(B382,6)))*(aps_equipes_esf!$B:$B=C382), 0)), "")</f>
        <v>-</v>
      </c>
      <c r="L382" cm="1">
        <f t="array" aca="1" ref="L382" ca="1">IFERROR(INDEX(casos!$C:$C, MATCH(1, (VALUE(LEFT(casos!$A:$A,6))=VALUE(LEFT(B382,6)))*(casos!$B:$B=C382), 0)), "")</f>
        <v>27</v>
      </c>
      <c r="M382" cm="1">
        <f t="array" ref="M382">IFERROR(INDEX(srag!$D:$D, MATCH(1, (VALUE(LEFT(srag!$A:$A,6))=VALUE(LEFT(B382,6)))*(srag!$C:$C=C382), 0)), "")</f>
        <v>9184</v>
      </c>
      <c r="N382" cm="1">
        <f t="array" aca="1" ref="N382" ca="1">IFERROR(INDEX(fesp!$E:$E, MATCH(1, (VALUE(LEFT(fesp!$A:$A,6))=VALUE(LEFT(B382,6)))*(fesp!$C:$C=C382), 0)), "")</f>
        <v>145</v>
      </c>
      <c r="O382" cm="1">
        <f t="array" aca="1" ref="O382" ca="1">IFERROR(INDEX(fesp!$F:$F, MATCH(1, (VALUE(LEFT(fesp!$A:$A,6))=VALUE(LEFT(B382,6)))*(fesp!$C:$C=C382), 0)), "")</f>
        <v>4251</v>
      </c>
      <c r="P382" cm="1">
        <f t="array" aca="1" ref="P382" ca="1">IFERROR(INDEX(fesp!$G:$G, MATCH(1, (VALUE(LEFT(fesp!$A:$A,6))=VALUE(LEFT(B382,6)))*(fesp!$C:$C=C382), 0)), "")</f>
        <v>3609625</v>
      </c>
      <c r="Q382" cm="1">
        <f t="array" aca="1" ref="Q382" ca="1">IFERROR(INDEX(fesp!$H:$H, MATCH(1, (VALUE(LEFT(fesp!$A:$A,6))=VALUE(LEFT(B382,6)))*(fesp!$C:$C=C382), 0)), "")</f>
        <v>44</v>
      </c>
      <c r="R382" cm="1">
        <f t="array" aca="1" ref="R382" ca="1">IFERROR(INDEX(fesp!$I:$I, MATCH(1, (VALUE(LEFT(fesp!$A:$A,6))=VALUE(LEFT(B382,6)))*(fesp!$C:$C=C382), 0)), "")</f>
        <v>28754</v>
      </c>
      <c r="S382" cm="1">
        <f t="array" aca="1" ref="S382" ca="1">IFERROR(INDEX(fesp!$J:$J, MATCH(1, (VALUE(LEFT(fesp!$A:$A,6))=VALUE(LEFT(B382,6)))*(fesp!$C:$C=C382), 0)), "")</f>
        <v>404985</v>
      </c>
    </row>
    <row r="383" spans="1:19">
      <c r="A383" s="1" t="s">
        <v>35</v>
      </c>
      <c r="B383" s="3" t="s">
        <v>34</v>
      </c>
      <c r="C383" s="3">
        <v>2022</v>
      </c>
      <c r="D383" cm="1">
        <f t="array" ref="D383">IFERROR(INDEX(fesp!$D:$D, MATCH(1, (VALUE(LEFT(fesp!$A:$A,6))=VALUE(LEFT(B383,6)))*(fesp!$C:$C=C383), 0)), "")</f>
        <v>896744</v>
      </c>
      <c r="E383" cm="1">
        <f t="array" aca="1" ref="E383" ca="1">IFERROR(INDEX(ft_medicos_clinicos!$C:$C, MATCH(1, (VALUE(LEFT(ft_medicos_clinicos!$A:$A,6))=VALUE(LEFT(B383,6)))*(ft_medicos_clinicos!$B:$B=C383), 0)), "")</f>
        <v>293</v>
      </c>
      <c r="F383" cm="1">
        <f t="array" aca="1" ref="F383" ca="1">IFERROR(INDEX(ft_enfermeiros!$C:$C, MATCH(1, (VALUE(LEFT(ft_enfermeiros!$A:$A,6))=VALUE(LEFT(B383,6)))*(ft_enfermeiros!$B:$B=C383), 0)), "")</f>
        <v>757</v>
      </c>
      <c r="G383" t="str" cm="1">
        <f t="array" aca="1" ref="G383" ca="1">IFERROR(INDEX(ft_equipes_acs!$C:$C, MATCH(1, (VALUE(LEFT(ft_equipes_acs!$A:$A,6))=VALUE(LEFT(B383,6)))*(ft_equipes_acs!$B:$B=C383), 0)), "")</f>
        <v/>
      </c>
      <c r="H383" cm="1">
        <f t="array" aca="1" ref="H383" ca="1">IFERROR(INDEX(ci_leitos_internacao!$C:$C, MATCH(1, (VALUE(LEFT(ci_leitos_internacao!$A:$A,6))=VALUE(LEFT(B383,6)))*(ci_leitos_internacao!$B:$B=C383), 0)), "")</f>
        <v>1004</v>
      </c>
      <c r="I383" cm="1">
        <f t="array" aca="1" ref="I383" ca="1">IFERROR(INDEX(ci_hospitais_internacao!$C:$C, MATCH(1, (VALUE(LEFT(ci_hospitais_internacao!$A:$A,6))=VALUE(LEFT(B383,6)))*(ci_hospitais_internacao!$B:$B=C383), 0)), "")</f>
        <v>4</v>
      </c>
      <c r="J383" t="str" cm="1">
        <f t="array" aca="1" ref="J383" ca="1">IFERROR(INDEX(ci_pa_clinico!$C:$C, MATCH(1, (VALUE(LEFT(ci_pa_clinico!$A:$A,6))=VALUE(LEFT(B383,6)))*(ci_pa_clinico!$B:$B=C383), 0)), "")</f>
        <v/>
      </c>
      <c r="K383" t="str" cm="1">
        <f t="array" aca="1" ref="K383" ca="1">IFERROR(INDEX(aps_equipes_esf!$C:$C, MATCH(1, (VALUE(LEFT(aps_equipes_esf!$A:$A,6))=VALUE(LEFT(B383,6)))*(aps_equipes_esf!$B:$B=C383), 0)), "")</f>
        <v>-</v>
      </c>
      <c r="L383" cm="1">
        <f t="array" aca="1" ref="L383" ca="1">IFERROR(INDEX(casos!$C:$C, MATCH(1, (VALUE(LEFT(casos!$A:$A,6))=VALUE(LEFT(B383,6)))*(casos!$B:$B=C383), 0)), "")</f>
        <v>22</v>
      </c>
      <c r="M383" cm="1">
        <f t="array" ref="M383">IFERROR(INDEX(srag!$D:$D, MATCH(1, (VALUE(LEFT(srag!$A:$A,6))=VALUE(LEFT(B383,6)))*(srag!$C:$C=C383), 0)), "")</f>
        <v>3047</v>
      </c>
      <c r="N383" cm="1">
        <f t="array" aca="1" ref="N383" ca="1">IFERROR(INDEX(fesp!$E:$E, MATCH(1, (VALUE(LEFT(fesp!$A:$A,6))=VALUE(LEFT(B383,6)))*(fesp!$C:$C=C383), 0)), "")</f>
        <v>116</v>
      </c>
      <c r="O383" cm="1">
        <f t="array" aca="1" ref="O383" ca="1">IFERROR(INDEX(fesp!$F:$F, MATCH(1, (VALUE(LEFT(fesp!$A:$A,6))=VALUE(LEFT(B383,6)))*(fesp!$C:$C=C383), 0)), "")</f>
        <v>3950</v>
      </c>
      <c r="P383" cm="1">
        <f t="array" aca="1" ref="P383" ca="1">IFERROR(INDEX(fesp!$G:$G, MATCH(1, (VALUE(LEFT(fesp!$A:$A,6))=VALUE(LEFT(B383,6)))*(fesp!$C:$C=C383), 0)), "")</f>
        <v>4214274</v>
      </c>
      <c r="Q383" cm="1">
        <f t="array" aca="1" ref="Q383" ca="1">IFERROR(INDEX(fesp!$H:$H, MATCH(1, (VALUE(LEFT(fesp!$A:$A,6))=VALUE(LEFT(B383,6)))*(fesp!$C:$C=C383), 0)), "")</f>
        <v>140</v>
      </c>
      <c r="R383" cm="1">
        <f t="array" aca="1" ref="R383" ca="1">IFERROR(INDEX(fesp!$I:$I, MATCH(1, (VALUE(LEFT(fesp!$A:$A,6))=VALUE(LEFT(B383,6)))*(fesp!$C:$C=C383), 0)), "")</f>
        <v>30303</v>
      </c>
      <c r="S383" cm="1">
        <f t="array" aca="1" ref="S383" ca="1">IFERROR(INDEX(fesp!$J:$J, MATCH(1, (VALUE(LEFT(fesp!$A:$A,6))=VALUE(LEFT(B383,6)))*(fesp!$C:$C=C383), 0)), "")</f>
        <v>550785</v>
      </c>
    </row>
    <row r="384" spans="1:19">
      <c r="A384" s="1" t="s">
        <v>35</v>
      </c>
      <c r="B384" s="3" t="s">
        <v>34</v>
      </c>
      <c r="C384" s="3">
        <v>2023</v>
      </c>
      <c r="D384" cm="1">
        <f t="array" ref="D384">IFERROR(INDEX(fesp!$D:$D, MATCH(1, (VALUE(LEFT(fesp!$A:$A,6))=VALUE(LEFT(B384,6)))*(fesp!$C:$C=C384), 0)), "")</f>
        <v>0</v>
      </c>
      <c r="E384" cm="1">
        <f t="array" aca="1" ref="E384" ca="1">IFERROR(INDEX(ft_medicos_clinicos!$C:$C, MATCH(1, (VALUE(LEFT(ft_medicos_clinicos!$A:$A,6))=VALUE(LEFT(B384,6)))*(ft_medicos_clinicos!$B:$B=C384), 0)), "")</f>
        <v>261</v>
      </c>
      <c r="F384" cm="1">
        <f t="array" aca="1" ref="F384" ca="1">IFERROR(INDEX(ft_enfermeiros!$C:$C, MATCH(1, (VALUE(LEFT(ft_enfermeiros!$A:$A,6))=VALUE(LEFT(B384,6)))*(ft_enfermeiros!$B:$B=C384), 0)), "")</f>
        <v>827</v>
      </c>
      <c r="G384" t="str" cm="1">
        <f t="array" aca="1" ref="G384" ca="1">IFERROR(INDEX(ft_equipes_acs!$C:$C, MATCH(1, (VALUE(LEFT(ft_equipes_acs!$A:$A,6))=VALUE(LEFT(B384,6)))*(ft_equipes_acs!$B:$B=C384), 0)), "")</f>
        <v/>
      </c>
      <c r="H384" cm="1">
        <f t="array" aca="1" ref="H384" ca="1">IFERROR(INDEX(ci_leitos_internacao!$C:$C, MATCH(1, (VALUE(LEFT(ci_leitos_internacao!$A:$A,6))=VALUE(LEFT(B384,6)))*(ci_leitos_internacao!$B:$B=C384), 0)), "")</f>
        <v>1045</v>
      </c>
      <c r="I384" cm="1">
        <f t="array" aca="1" ref="I384" ca="1">IFERROR(INDEX(ci_hospitais_internacao!$C:$C, MATCH(1, (VALUE(LEFT(ci_hospitais_internacao!$A:$A,6))=VALUE(LEFT(B384,6)))*(ci_hospitais_internacao!$B:$B=C384), 0)), "")</f>
        <v>4</v>
      </c>
      <c r="J384" t="str" cm="1">
        <f t="array" aca="1" ref="J384" ca="1">IFERROR(INDEX(ci_pa_clinico!$C:$C, MATCH(1, (VALUE(LEFT(ci_pa_clinico!$A:$A,6))=VALUE(LEFT(B384,6)))*(ci_pa_clinico!$B:$B=C384), 0)), "")</f>
        <v/>
      </c>
      <c r="K384" t="str" cm="1">
        <f t="array" aca="1" ref="K384" ca="1">IFERROR(INDEX(aps_equipes_esf!$C:$C, MATCH(1, (VALUE(LEFT(aps_equipes_esf!$A:$A,6))=VALUE(LEFT(B384,6)))*(aps_equipes_esf!$B:$B=C384), 0)), "")</f>
        <v>-</v>
      </c>
      <c r="L384" cm="1">
        <f t="array" aca="1" ref="L384" ca="1">IFERROR(INDEX(casos!$C:$C, MATCH(1, (VALUE(LEFT(casos!$A:$A,6))=VALUE(LEFT(B384,6)))*(casos!$B:$B=C384), 0)), "")</f>
        <v>111</v>
      </c>
      <c r="M384" cm="1">
        <f t="array" ref="M384">IFERROR(INDEX(srag!$D:$D, MATCH(1, (VALUE(LEFT(srag!$A:$A,6))=VALUE(LEFT(B384,6)))*(srag!$C:$C=C384), 0)), "")</f>
        <v>1648</v>
      </c>
      <c r="N384" cm="1">
        <f t="array" aca="1" ref="N384" ca="1">IFERROR(INDEX(fesp!$E:$E, MATCH(1, (VALUE(LEFT(fesp!$A:$A,6))=VALUE(LEFT(B384,6)))*(fesp!$C:$C=C384), 0)), "")</f>
        <v>133</v>
      </c>
      <c r="O384" cm="1">
        <f t="array" aca="1" ref="O384" ca="1">IFERROR(INDEX(fesp!$F:$F, MATCH(1, (VALUE(LEFT(fesp!$A:$A,6))=VALUE(LEFT(B384,6)))*(fesp!$C:$C=C384), 0)), "")</f>
        <v>4663</v>
      </c>
      <c r="P384" cm="1">
        <f t="array" aca="1" ref="P384" ca="1">IFERROR(INDEX(fesp!$G:$G, MATCH(1, (VALUE(LEFT(fesp!$A:$A,6))=VALUE(LEFT(B384,6)))*(fesp!$C:$C=C384), 0)), "")</f>
        <v>5300307</v>
      </c>
      <c r="Q384" cm="1">
        <f t="array" aca="1" ref="Q384" ca="1">IFERROR(INDEX(fesp!$H:$H, MATCH(1, (VALUE(LEFT(fesp!$A:$A,6))=VALUE(LEFT(B384,6)))*(fesp!$C:$C=C384), 0)), "")</f>
        <v>81</v>
      </c>
      <c r="R384" cm="1">
        <f t="array" aca="1" ref="R384" ca="1">IFERROR(INDEX(fesp!$I:$I, MATCH(1, (VALUE(LEFT(fesp!$A:$A,6))=VALUE(LEFT(B384,6)))*(fesp!$C:$C=C384), 0)), "")</f>
        <v>33869</v>
      </c>
      <c r="S384" cm="1">
        <f t="array" aca="1" ref="S384" ca="1">IFERROR(INDEX(fesp!$J:$J, MATCH(1, (VALUE(LEFT(fesp!$A:$A,6))=VALUE(LEFT(B384,6)))*(fesp!$C:$C=C384), 0)), "")</f>
        <v>546125</v>
      </c>
    </row>
    <row r="385" spans="1:19">
      <c r="A385" s="1" t="s">
        <v>35</v>
      </c>
      <c r="B385" s="3" t="s">
        <v>34</v>
      </c>
      <c r="C385" s="3">
        <v>2024</v>
      </c>
      <c r="D385" cm="1">
        <f t="array" ref="D385">IFERROR(INDEX(fesp!$D:$D, MATCH(1, (VALUE(LEFT(fesp!$A:$A,6))=VALUE(LEFT(B385,6)))*(fesp!$C:$C=C385), 0)), "")</f>
        <v>0</v>
      </c>
      <c r="E385" cm="1">
        <f t="array" aca="1" ref="E385" ca="1">IFERROR(INDEX(ft_medicos_clinicos!$C:$C, MATCH(1, (VALUE(LEFT(ft_medicos_clinicos!$A:$A,6))=VALUE(LEFT(B385,6)))*(ft_medicos_clinicos!$B:$B=C385), 0)), "")</f>
        <v>269</v>
      </c>
      <c r="F385" cm="1">
        <f t="array" aca="1" ref="F385" ca="1">IFERROR(INDEX(ft_enfermeiros!$C:$C, MATCH(1, (VALUE(LEFT(ft_enfermeiros!$A:$A,6))=VALUE(LEFT(B385,6)))*(ft_enfermeiros!$B:$B=C385), 0)), "")</f>
        <v>890</v>
      </c>
      <c r="G385" t="str" cm="1">
        <f t="array" aca="1" ref="G385" ca="1">IFERROR(INDEX(ft_equipes_acs!$C:$C, MATCH(1, (VALUE(LEFT(ft_equipes_acs!$A:$A,6))=VALUE(LEFT(B385,6)))*(ft_equipes_acs!$B:$B=C385), 0)), "")</f>
        <v/>
      </c>
      <c r="H385" cm="1">
        <f t="array" aca="1" ref="H385" ca="1">IFERROR(INDEX(ci_leitos_internacao!$C:$C, MATCH(1, (VALUE(LEFT(ci_leitos_internacao!$A:$A,6))=VALUE(LEFT(B385,6)))*(ci_leitos_internacao!$B:$B=C385), 0)), "")</f>
        <v>865</v>
      </c>
      <c r="I385" cm="1">
        <f t="array" aca="1" ref="I385" ca="1">IFERROR(INDEX(ci_hospitais_internacao!$C:$C, MATCH(1, (VALUE(LEFT(ci_hospitais_internacao!$A:$A,6))=VALUE(LEFT(B385,6)))*(ci_hospitais_internacao!$B:$B=C385), 0)), "")</f>
        <v>5</v>
      </c>
      <c r="J385" t="str" cm="1">
        <f t="array" aca="1" ref="J385" ca="1">IFERROR(INDEX(ci_pa_clinico!$C:$C, MATCH(1, (VALUE(LEFT(ci_pa_clinico!$A:$A,6))=VALUE(LEFT(B385,6)))*(ci_pa_clinico!$B:$B=C385), 0)), "")</f>
        <v/>
      </c>
      <c r="K385" t="str" cm="1">
        <f t="array" aca="1" ref="K385" ca="1">IFERROR(INDEX(aps_equipes_esf!$C:$C, MATCH(1, (VALUE(LEFT(aps_equipes_esf!$A:$A,6))=VALUE(LEFT(B385,6)))*(aps_equipes_esf!$B:$B=C385), 0)), "")</f>
        <v>-</v>
      </c>
      <c r="L385" cm="1">
        <f t="array" aca="1" ref="L385" ca="1">IFERROR(INDEX(casos!$C:$C, MATCH(1, (VALUE(LEFT(casos!$A:$A,6))=VALUE(LEFT(B385,6)))*(casos!$B:$B=C385), 0)), "")</f>
        <v>2592</v>
      </c>
      <c r="M385" cm="1">
        <f t="array" ref="M385">IFERROR(INDEX(srag!$D:$D, MATCH(1, (VALUE(LEFT(srag!$A:$A,6))=VALUE(LEFT(B385,6)))*(srag!$C:$C=C385), 0)), "")</f>
        <v>2046</v>
      </c>
      <c r="N385" cm="1">
        <f t="array" aca="1" ref="N385" ca="1">IFERROR(INDEX(fesp!$E:$E, MATCH(1, (VALUE(LEFT(fesp!$A:$A,6))=VALUE(LEFT(B385,6)))*(fesp!$C:$C=C385), 0)), "")</f>
        <v>123</v>
      </c>
      <c r="O385" cm="1">
        <f t="array" aca="1" ref="O385" ca="1">IFERROR(INDEX(fesp!$F:$F, MATCH(1, (VALUE(LEFT(fesp!$A:$A,6))=VALUE(LEFT(B385,6)))*(fesp!$C:$C=C385), 0)), "")</f>
        <v>4069</v>
      </c>
      <c r="P385" cm="1">
        <f t="array" aca="1" ref="P385" ca="1">IFERROR(INDEX(fesp!$G:$G, MATCH(1, (VALUE(LEFT(fesp!$A:$A,6))=VALUE(LEFT(B385,6)))*(fesp!$C:$C=C385), 0)), "")</f>
        <v>6104935</v>
      </c>
      <c r="Q385" cm="1">
        <f t="array" aca="1" ref="Q385" ca="1">IFERROR(INDEX(fesp!$H:$H, MATCH(1, (VALUE(LEFT(fesp!$A:$A,6))=VALUE(LEFT(B385,6)))*(fesp!$C:$C=C385), 0)), "")</f>
        <v>61</v>
      </c>
      <c r="R385" cm="1">
        <f t="array" aca="1" ref="R385" ca="1">IFERROR(INDEX(fesp!$I:$I, MATCH(1, (VALUE(LEFT(fesp!$A:$A,6))=VALUE(LEFT(B385,6)))*(fesp!$C:$C=C385), 0)), "")</f>
        <v>10029</v>
      </c>
      <c r="S385" cm="1">
        <f t="array" aca="1" ref="S385" ca="1">IFERROR(INDEX(fesp!$J:$J, MATCH(1, (VALUE(LEFT(fesp!$A:$A,6))=VALUE(LEFT(B385,6)))*(fesp!$C:$C=C385), 0)), "")</f>
        <v>3635</v>
      </c>
    </row>
    <row r="386" spans="1:19">
      <c r="A386" s="1" t="s">
        <v>35</v>
      </c>
      <c r="B386" s="3" t="s">
        <v>34</v>
      </c>
      <c r="C386" s="3">
        <v>2025</v>
      </c>
      <c r="D386" cm="1">
        <f t="array" ref="D386">IFERROR(INDEX(fesp!$D:$D, MATCH(1, (VALUE(LEFT(fesp!$A:$A,6))=VALUE(LEFT(B386,6)))*(fesp!$C:$C=C386), 0)), "")</f>
        <v>0</v>
      </c>
      <c r="E386" cm="1">
        <f t="array" aca="1" ref="E386" ca="1">IFERROR(INDEX(ft_medicos_clinicos!$C:$C, MATCH(1, (VALUE(LEFT(ft_medicos_clinicos!$A:$A,6))=VALUE(LEFT(B386,6)))*(ft_medicos_clinicos!$B:$B=C386), 0)), "")</f>
        <v>272</v>
      </c>
      <c r="F386" cm="1">
        <f t="array" aca="1" ref="F386" ca="1">IFERROR(INDEX(ft_enfermeiros!$C:$C, MATCH(1, (VALUE(LEFT(ft_enfermeiros!$A:$A,6))=VALUE(LEFT(B386,6)))*(ft_enfermeiros!$B:$B=C386), 0)), "")</f>
        <v>920</v>
      </c>
      <c r="G386" t="str" cm="1">
        <f t="array" aca="1" ref="G386" ca="1">IFERROR(INDEX(ft_equipes_acs!$C:$C, MATCH(1, (VALUE(LEFT(ft_equipes_acs!$A:$A,6))=VALUE(LEFT(B386,6)))*(ft_equipes_acs!$B:$B=C386), 0)), "")</f>
        <v/>
      </c>
      <c r="H386" cm="1">
        <f t="array" aca="1" ref="H386" ca="1">IFERROR(INDEX(ci_leitos_internacao!$C:$C, MATCH(1, (VALUE(LEFT(ci_leitos_internacao!$A:$A,6))=VALUE(LEFT(B386,6)))*(ci_leitos_internacao!$B:$B=C386), 0)), "")</f>
        <v>813</v>
      </c>
      <c r="I386" cm="1">
        <f t="array" aca="1" ref="I386" ca="1">IFERROR(INDEX(ci_hospitais_internacao!$C:$C, MATCH(1, (VALUE(LEFT(ci_hospitais_internacao!$A:$A,6))=VALUE(LEFT(B386,6)))*(ci_hospitais_internacao!$B:$B=C386), 0)), "")</f>
        <v>5</v>
      </c>
      <c r="J386" t="str" cm="1">
        <f t="array" aca="1" ref="J386" ca="1">IFERROR(INDEX(ci_pa_clinico!$C:$C, MATCH(1, (VALUE(LEFT(ci_pa_clinico!$A:$A,6))=VALUE(LEFT(B386,6)))*(ci_pa_clinico!$B:$B=C386), 0)), "")</f>
        <v/>
      </c>
      <c r="K386" t="str" cm="1">
        <f t="array" aca="1" ref="K386" ca="1">IFERROR(INDEX(aps_equipes_esf!$C:$C, MATCH(1, (VALUE(LEFT(aps_equipes_esf!$A:$A,6))=VALUE(LEFT(B386,6)))*(aps_equipes_esf!$B:$B=C386), 0)), "")</f>
        <v>-</v>
      </c>
      <c r="L386" cm="1">
        <f t="array" aca="1" ref="L386" ca="1">IFERROR(INDEX(casos!$C:$C, MATCH(1, (VALUE(LEFT(casos!$A:$A,6))=VALUE(LEFT(B386,6)))*(casos!$B:$B=C386), 0)), "")</f>
        <v>471</v>
      </c>
      <c r="M386" cm="1">
        <f t="array" ref="M386">IFERROR(INDEX(srag!$D:$D, MATCH(1, (VALUE(LEFT(srag!$A:$A,6))=VALUE(LEFT(B386,6)))*(srag!$C:$C=C386), 0)), "")</f>
        <v>1876</v>
      </c>
      <c r="N386" cm="1">
        <f t="array" aca="1" ref="N386" ca="1">IFERROR(INDEX(fesp!$E:$E, MATCH(1, (VALUE(LEFT(fesp!$A:$A,6))=VALUE(LEFT(B386,6)))*(fesp!$C:$C=C386), 0)), "")</f>
        <v>66</v>
      </c>
      <c r="O386" cm="1">
        <f t="array" aca="1" ref="O386" ca="1">IFERROR(INDEX(fesp!$F:$F, MATCH(1, (VALUE(LEFT(fesp!$A:$A,6))=VALUE(LEFT(B386,6)))*(fesp!$C:$C=C386), 0)), "")</f>
        <v>3644</v>
      </c>
      <c r="P386" cm="1">
        <f t="array" aca="1" ref="P386" ca="1">IFERROR(INDEX(fesp!$G:$G, MATCH(1, (VALUE(LEFT(fesp!$A:$A,6))=VALUE(LEFT(B386,6)))*(fesp!$C:$C=C386), 0)), "")</f>
        <v>4936150</v>
      </c>
      <c r="Q386" cm="1">
        <f t="array" aca="1" ref="Q386" ca="1">IFERROR(INDEX(fesp!$H:$H, MATCH(1, (VALUE(LEFT(fesp!$A:$A,6))=VALUE(LEFT(B386,6)))*(fesp!$C:$C=C386), 0)), "")</f>
        <v>22</v>
      </c>
      <c r="R386" cm="1">
        <f t="array" aca="1" ref="R386" ca="1">IFERROR(INDEX(fesp!$I:$I, MATCH(1, (VALUE(LEFT(fesp!$A:$A,6))=VALUE(LEFT(B386,6)))*(fesp!$C:$C=C386), 0)), "")</f>
        <v>5611</v>
      </c>
      <c r="S386" cm="1">
        <f t="array" aca="1" ref="S386" ca="1">IFERROR(INDEX(fesp!$J:$J, MATCH(1, (VALUE(LEFT(fesp!$A:$A,6))=VALUE(LEFT(B386,6)))*(fesp!$C:$C=C386), 0)), "")</f>
        <v>35873</v>
      </c>
    </row>
    <row r="387" spans="1:19">
      <c r="A387" s="1" t="s">
        <v>105</v>
      </c>
      <c r="B387" s="3">
        <v>3305109</v>
      </c>
      <c r="C387" s="3">
        <v>2015</v>
      </c>
      <c r="D387" cm="1">
        <f t="array" ref="D387">IFERROR(INDEX(fesp!$D:$D, MATCH(1, (VALUE(LEFT(fesp!$A:$A,6))=VALUE(LEFT(B387,6)))*(fesp!$C:$C=C387), 0)), "")</f>
        <v>460625</v>
      </c>
      <c r="E387" cm="1">
        <f t="array" aca="1" ref="E387" ca="1">IFERROR(INDEX(ft_medicos_clinicos!$C:$C, MATCH(1, (VALUE(LEFT(ft_medicos_clinicos!$A:$A,6))=VALUE(LEFT(B387,6)))*(ft_medicos_clinicos!$B:$B=C387), 0)), "")</f>
        <v>62</v>
      </c>
      <c r="F387" cm="1">
        <f t="array" aca="1" ref="F387" ca="1">IFERROR(INDEX(ft_enfermeiros!$C:$C, MATCH(1, (VALUE(LEFT(ft_enfermeiros!$A:$A,6))=VALUE(LEFT(B387,6)))*(ft_enfermeiros!$B:$B=C387), 0)), "")</f>
        <v>133</v>
      </c>
      <c r="G387" t="str" cm="1">
        <f t="array" aca="1" ref="G387" ca="1">IFERROR(INDEX(ft_equipes_acs!$C:$C, MATCH(1, (VALUE(LEFT(ft_equipes_acs!$A:$A,6))=VALUE(LEFT(B387,6)))*(ft_equipes_acs!$B:$B=C387), 0)), "")</f>
        <v/>
      </c>
      <c r="H387" cm="1">
        <f t="array" aca="1" ref="H387" ca="1">IFERROR(INDEX(ci_leitos_internacao!$C:$C, MATCH(1, (VALUE(LEFT(ci_leitos_internacao!$A:$A,6))=VALUE(LEFT(B387,6)))*(ci_leitos_internacao!$B:$B=C387), 0)), "")</f>
        <v>355</v>
      </c>
      <c r="I387" cm="1">
        <f t="array" aca="1" ref="I387" ca="1">IFERROR(INDEX(ci_hospitais_internacao!$C:$C, MATCH(1, (VALUE(LEFT(ci_hospitais_internacao!$A:$A,6))=VALUE(LEFT(B387,6)))*(ci_hospitais_internacao!$B:$B=C387), 0)), "")</f>
        <v>1</v>
      </c>
      <c r="J387" cm="1">
        <f t="array" aca="1" ref="J387" ca="1">IFERROR(INDEX(ci_pa_clinico!$C:$C, MATCH(1, (VALUE(LEFT(ci_pa_clinico!$A:$A,6))=VALUE(LEFT(B387,6)))*(ci_pa_clinico!$B:$B=C387), 0)), "")</f>
        <v>1</v>
      </c>
      <c r="K387" cm="1">
        <f t="array" aca="1" ref="K387" ca="1">IFERROR(INDEX(aps_equipes_esf!$C:$C, MATCH(1, (VALUE(LEFT(aps_equipes_esf!$A:$A,6))=VALUE(LEFT(B387,6)))*(aps_equipes_esf!$B:$B=C387), 0)), "")</f>
        <v>39</v>
      </c>
      <c r="L387" cm="1">
        <f t="array" aca="1" ref="L387" ca="1">IFERROR(INDEX(casos!$C:$C, MATCH(1, (VALUE(LEFT(casos!$A:$A,6))=VALUE(LEFT(B387,6)))*(casos!$B:$B=C387), 0)), "")</f>
        <v>46</v>
      </c>
      <c r="M387" cm="1">
        <f t="array" ref="M387">IFERROR(INDEX(srag!$D:$D, MATCH(1, (VALUE(LEFT(srag!$A:$A,6))=VALUE(LEFT(B387,6)))*(srag!$C:$C=C387), 0)), "")</f>
        <v>9</v>
      </c>
      <c r="N387" cm="1">
        <f t="array" aca="1" ref="N387" ca="1">IFERROR(INDEX(fesp!$E:$E, MATCH(1, (VALUE(LEFT(fesp!$A:$A,6))=VALUE(LEFT(B387,6)))*(fesp!$C:$C=C387), 0)), "")</f>
        <v>44</v>
      </c>
      <c r="O387" cm="1">
        <f t="array" aca="1" ref="O387" ca="1">IFERROR(INDEX(fesp!$F:$F, MATCH(1, (VALUE(LEFT(fesp!$A:$A,6))=VALUE(LEFT(B387,6)))*(fesp!$C:$C=C387), 0)), "")</f>
        <v>668</v>
      </c>
      <c r="P387" cm="1">
        <f t="array" aca="1" ref="P387" ca="1">IFERROR(INDEX(fesp!$G:$G, MATCH(1, (VALUE(LEFT(fesp!$A:$A,6))=VALUE(LEFT(B387,6)))*(fesp!$C:$C=C387), 0)), "")</f>
        <v>2175930</v>
      </c>
      <c r="Q387" cm="1">
        <f t="array" aca="1" ref="Q387" ca="1">IFERROR(INDEX(fesp!$H:$H, MATCH(1, (VALUE(LEFT(fesp!$A:$A,6))=VALUE(LEFT(B387,6)))*(fesp!$C:$C=C387), 0)), "")</f>
        <v>10</v>
      </c>
      <c r="R387" cm="1">
        <f t="array" aca="1" ref="R387" ca="1">IFERROR(INDEX(fesp!$I:$I, MATCH(1, (VALUE(LEFT(fesp!$A:$A,6))=VALUE(LEFT(B387,6)))*(fesp!$C:$C=C387), 0)), "")</f>
        <v>220034</v>
      </c>
      <c r="S387" cm="1">
        <f t="array" aca="1" ref="S387" ca="1">IFERROR(INDEX(fesp!$J:$J, MATCH(1, (VALUE(LEFT(fesp!$A:$A,6))=VALUE(LEFT(B387,6)))*(fesp!$C:$C=C387), 0)), "")</f>
        <v>243482</v>
      </c>
    </row>
    <row r="388" spans="1:19">
      <c r="A388" s="1" t="s">
        <v>105</v>
      </c>
      <c r="B388" s="3">
        <v>3305109</v>
      </c>
      <c r="C388" s="3">
        <v>2016</v>
      </c>
      <c r="D388" cm="1">
        <f t="array" ref="D388">IFERROR(INDEX(fesp!$D:$D, MATCH(1, (VALUE(LEFT(fesp!$A:$A,6))=VALUE(LEFT(B388,6)))*(fesp!$C:$C=C388), 0)), "")</f>
        <v>0</v>
      </c>
      <c r="E388" cm="1">
        <f t="array" aca="1" ref="E388" ca="1">IFERROR(INDEX(ft_medicos_clinicos!$C:$C, MATCH(1, (VALUE(LEFT(ft_medicos_clinicos!$A:$A,6))=VALUE(LEFT(B388,6)))*(ft_medicos_clinicos!$B:$B=C388), 0)), "")</f>
        <v>61</v>
      </c>
      <c r="F388" cm="1">
        <f t="array" aca="1" ref="F388" ca="1">IFERROR(INDEX(ft_enfermeiros!$C:$C, MATCH(1, (VALUE(LEFT(ft_enfermeiros!$A:$A,6))=VALUE(LEFT(B388,6)))*(ft_enfermeiros!$B:$B=C388), 0)), "")</f>
        <v>128</v>
      </c>
      <c r="G388" t="str" cm="1">
        <f t="array" aca="1" ref="G388" ca="1">IFERROR(INDEX(ft_equipes_acs!$C:$C, MATCH(1, (VALUE(LEFT(ft_equipes_acs!$A:$A,6))=VALUE(LEFT(B388,6)))*(ft_equipes_acs!$B:$B=C388), 0)), "")</f>
        <v/>
      </c>
      <c r="H388" cm="1">
        <f t="array" aca="1" ref="H388" ca="1">IFERROR(INDEX(ci_leitos_internacao!$C:$C, MATCH(1, (VALUE(LEFT(ci_leitos_internacao!$A:$A,6))=VALUE(LEFT(B388,6)))*(ci_leitos_internacao!$B:$B=C388), 0)), "")</f>
        <v>358</v>
      </c>
      <c r="I388" cm="1">
        <f t="array" aca="1" ref="I388" ca="1">IFERROR(INDEX(ci_hospitais_internacao!$C:$C, MATCH(1, (VALUE(LEFT(ci_hospitais_internacao!$A:$A,6))=VALUE(LEFT(B388,6)))*(ci_hospitais_internacao!$B:$B=C388), 0)), "")</f>
        <v>1</v>
      </c>
      <c r="J388" cm="1">
        <f t="array" aca="1" ref="J388" ca="1">IFERROR(INDEX(ci_pa_clinico!$C:$C, MATCH(1, (VALUE(LEFT(ci_pa_clinico!$A:$A,6))=VALUE(LEFT(B388,6)))*(ci_pa_clinico!$B:$B=C388), 0)), "")</f>
        <v>1</v>
      </c>
      <c r="K388" cm="1">
        <f t="array" aca="1" ref="K388" ca="1">IFERROR(INDEX(aps_equipes_esf!$C:$C, MATCH(1, (VALUE(LEFT(aps_equipes_esf!$A:$A,6))=VALUE(LEFT(B388,6)))*(aps_equipes_esf!$B:$B=C388), 0)), "")</f>
        <v>35</v>
      </c>
      <c r="L388" cm="1">
        <f t="array" aca="1" ref="L388" ca="1">IFERROR(INDEX(casos!$C:$C, MATCH(1, (VALUE(LEFT(casos!$A:$A,6))=VALUE(LEFT(B388,6)))*(casos!$B:$B=C388), 0)), "")</f>
        <v>14</v>
      </c>
      <c r="M388" cm="1">
        <f t="array" ref="M388">IFERROR(INDEX(srag!$D:$D, MATCH(1, (VALUE(LEFT(srag!$A:$A,6))=VALUE(LEFT(B388,6)))*(srag!$C:$C=C388), 0)), "")</f>
        <v>53</v>
      </c>
      <c r="N388" cm="1">
        <f t="array" aca="1" ref="N388" ca="1">IFERROR(INDEX(fesp!$E:$E, MATCH(1, (VALUE(LEFT(fesp!$A:$A,6))=VALUE(LEFT(B388,6)))*(fesp!$C:$C=C388), 0)), "")</f>
        <v>21</v>
      </c>
      <c r="O388" cm="1">
        <f t="array" aca="1" ref="O388" ca="1">IFERROR(INDEX(fesp!$F:$F, MATCH(1, (VALUE(LEFT(fesp!$A:$A,6))=VALUE(LEFT(B388,6)))*(fesp!$C:$C=C388), 0)), "")</f>
        <v>756</v>
      </c>
      <c r="P388" cm="1">
        <f t="array" aca="1" ref="P388" ca="1">IFERROR(INDEX(fesp!$G:$G, MATCH(1, (VALUE(LEFT(fesp!$A:$A,6))=VALUE(LEFT(B388,6)))*(fesp!$C:$C=C388), 0)), "")</f>
        <v>2244320</v>
      </c>
      <c r="Q388" cm="1">
        <f t="array" aca="1" ref="Q388" ca="1">IFERROR(INDEX(fesp!$H:$H, MATCH(1, (VALUE(LEFT(fesp!$A:$A,6))=VALUE(LEFT(B388,6)))*(fesp!$C:$C=C388), 0)), "")</f>
        <v>12</v>
      </c>
      <c r="R388" cm="1">
        <f t="array" aca="1" ref="R388" ca="1">IFERROR(INDEX(fesp!$I:$I, MATCH(1, (VALUE(LEFT(fesp!$A:$A,6))=VALUE(LEFT(B388,6)))*(fesp!$C:$C=C388), 0)), "")</f>
        <v>14683</v>
      </c>
      <c r="S388" cm="1">
        <f t="array" aca="1" ref="S388" ca="1">IFERROR(INDEX(fesp!$J:$J, MATCH(1, (VALUE(LEFT(fesp!$A:$A,6))=VALUE(LEFT(B388,6)))*(fesp!$C:$C=C388), 0)), "")</f>
        <v>165931</v>
      </c>
    </row>
    <row r="389" spans="1:19">
      <c r="A389" s="1" t="s">
        <v>105</v>
      </c>
      <c r="B389" s="3">
        <v>3305109</v>
      </c>
      <c r="C389" s="3">
        <v>2017</v>
      </c>
      <c r="D389" cm="1">
        <f t="array" ref="D389">IFERROR(INDEX(fesp!$D:$D, MATCH(1, (VALUE(LEFT(fesp!$A:$A,6))=VALUE(LEFT(B389,6)))*(fesp!$C:$C=C389), 0)), "")</f>
        <v>0</v>
      </c>
      <c r="E389" cm="1">
        <f t="array" aca="1" ref="E389" ca="1">IFERROR(INDEX(ft_medicos_clinicos!$C:$C, MATCH(1, (VALUE(LEFT(ft_medicos_clinicos!$A:$A,6))=VALUE(LEFT(B389,6)))*(ft_medicos_clinicos!$B:$B=C389), 0)), "")</f>
        <v>96</v>
      </c>
      <c r="F389" cm="1">
        <f t="array" aca="1" ref="F389" ca="1">IFERROR(INDEX(ft_enfermeiros!$C:$C, MATCH(1, (VALUE(LEFT(ft_enfermeiros!$A:$A,6))=VALUE(LEFT(B389,6)))*(ft_enfermeiros!$B:$B=C389), 0)), "")</f>
        <v>156</v>
      </c>
      <c r="G389" t="str" cm="1">
        <f t="array" aca="1" ref="G389" ca="1">IFERROR(INDEX(ft_equipes_acs!$C:$C, MATCH(1, (VALUE(LEFT(ft_equipes_acs!$A:$A,6))=VALUE(LEFT(B389,6)))*(ft_equipes_acs!$B:$B=C389), 0)), "")</f>
        <v/>
      </c>
      <c r="H389" cm="1">
        <f t="array" aca="1" ref="H389" ca="1">IFERROR(INDEX(ci_leitos_internacao!$C:$C, MATCH(1, (VALUE(LEFT(ci_leitos_internacao!$A:$A,6))=VALUE(LEFT(B389,6)))*(ci_leitos_internacao!$B:$B=C389), 0)), "")</f>
        <v>348</v>
      </c>
      <c r="I389" cm="1">
        <f t="array" aca="1" ref="I389" ca="1">IFERROR(INDEX(ci_hospitais_internacao!$C:$C, MATCH(1, (VALUE(LEFT(ci_hospitais_internacao!$A:$A,6))=VALUE(LEFT(B389,6)))*(ci_hospitais_internacao!$B:$B=C389), 0)), "")</f>
        <v>1</v>
      </c>
      <c r="J389" cm="1">
        <f t="array" aca="1" ref="J389" ca="1">IFERROR(INDEX(ci_pa_clinico!$C:$C, MATCH(1, (VALUE(LEFT(ci_pa_clinico!$A:$A,6))=VALUE(LEFT(B389,6)))*(ci_pa_clinico!$B:$B=C389), 0)), "")</f>
        <v>2</v>
      </c>
      <c r="K389" cm="1">
        <f t="array" aca="1" ref="K389" ca="1">IFERROR(INDEX(aps_equipes_esf!$C:$C, MATCH(1, (VALUE(LEFT(aps_equipes_esf!$A:$A,6))=VALUE(LEFT(B389,6)))*(aps_equipes_esf!$B:$B=C389), 0)), "")</f>
        <v>52</v>
      </c>
      <c r="L389" t="str" cm="1">
        <f t="array" aca="1" ref="L389" ca="1">IFERROR(INDEX(casos!$C:$C, MATCH(1, (VALUE(LEFT(casos!$A:$A,6))=VALUE(LEFT(B389,6)))*(casos!$B:$B=C389), 0)), "")</f>
        <v>-</v>
      </c>
      <c r="M389" cm="1">
        <f t="array" ref="M389">IFERROR(INDEX(srag!$D:$D, MATCH(1, (VALUE(LEFT(srag!$A:$A,6))=VALUE(LEFT(B389,6)))*(srag!$C:$C=C389), 0)), "")</f>
        <v>19</v>
      </c>
      <c r="N389" cm="1">
        <f t="array" aca="1" ref="N389" ca="1">IFERROR(INDEX(fesp!$E:$E, MATCH(1, (VALUE(LEFT(fesp!$A:$A,6))=VALUE(LEFT(B389,6)))*(fesp!$C:$C=C389), 0)), "")</f>
        <v>22</v>
      </c>
      <c r="O389" cm="1">
        <f t="array" aca="1" ref="O389" ca="1">IFERROR(INDEX(fesp!$F:$F, MATCH(1, (VALUE(LEFT(fesp!$A:$A,6))=VALUE(LEFT(B389,6)))*(fesp!$C:$C=C389), 0)), "")</f>
        <v>952</v>
      </c>
      <c r="P389" cm="1">
        <f t="array" aca="1" ref="P389" ca="1">IFERROR(INDEX(fesp!$G:$G, MATCH(1, (VALUE(LEFT(fesp!$A:$A,6))=VALUE(LEFT(B389,6)))*(fesp!$C:$C=C389), 0)), "")</f>
        <v>2246118</v>
      </c>
      <c r="Q389" cm="1">
        <f t="array" aca="1" ref="Q389" ca="1">IFERROR(INDEX(fesp!$H:$H, MATCH(1, (VALUE(LEFT(fesp!$A:$A,6))=VALUE(LEFT(B389,6)))*(fesp!$C:$C=C389), 0)), "")</f>
        <v>4</v>
      </c>
      <c r="R389" cm="1">
        <f t="array" aca="1" ref="R389" ca="1">IFERROR(INDEX(fesp!$I:$I, MATCH(1, (VALUE(LEFT(fesp!$A:$A,6))=VALUE(LEFT(B389,6)))*(fesp!$C:$C=C389), 0)), "")</f>
        <v>20982</v>
      </c>
      <c r="S389" cm="1">
        <f t="array" aca="1" ref="S389" ca="1">IFERROR(INDEX(fesp!$J:$J, MATCH(1, (VALUE(LEFT(fesp!$A:$A,6))=VALUE(LEFT(B389,6)))*(fesp!$C:$C=C389), 0)), "")</f>
        <v>175602</v>
      </c>
    </row>
    <row r="390" spans="1:19">
      <c r="A390" s="1" t="s">
        <v>105</v>
      </c>
      <c r="B390" s="3" t="s">
        <v>104</v>
      </c>
      <c r="C390" s="3">
        <v>2018</v>
      </c>
      <c r="D390" cm="1">
        <f t="array" ref="D390">IFERROR(INDEX(fesp!$D:$D, MATCH(1, (VALUE(LEFT(fesp!$A:$A,6))=VALUE(LEFT(B390,6)))*(fesp!$C:$C=C390), 0)), "")</f>
        <v>0</v>
      </c>
      <c r="E390" cm="1">
        <f t="array" aca="1" ref="E390" ca="1">IFERROR(INDEX(ft_medicos_clinicos!$C:$C, MATCH(1, (VALUE(LEFT(ft_medicos_clinicos!$A:$A,6))=VALUE(LEFT(B390,6)))*(ft_medicos_clinicos!$B:$B=C390), 0)), "")</f>
        <v>104</v>
      </c>
      <c r="F390" cm="1">
        <f t="array" aca="1" ref="F390" ca="1">IFERROR(INDEX(ft_enfermeiros!$C:$C, MATCH(1, (VALUE(LEFT(ft_enfermeiros!$A:$A,6))=VALUE(LEFT(B390,6)))*(ft_enfermeiros!$B:$B=C390), 0)), "")</f>
        <v>164</v>
      </c>
      <c r="G390" t="str" cm="1">
        <f t="array" aca="1" ref="G390" ca="1">IFERROR(INDEX(ft_equipes_acs!$C:$C, MATCH(1, (VALUE(LEFT(ft_equipes_acs!$A:$A,6))=VALUE(LEFT(B390,6)))*(ft_equipes_acs!$B:$B=C390), 0)), "")</f>
        <v/>
      </c>
      <c r="H390" cm="1">
        <f t="array" aca="1" ref="H390" ca="1">IFERROR(INDEX(ci_leitos_internacao!$C:$C, MATCH(1, (VALUE(LEFT(ci_leitos_internacao!$A:$A,6))=VALUE(LEFT(B390,6)))*(ci_leitos_internacao!$B:$B=C390), 0)), "")</f>
        <v>185</v>
      </c>
      <c r="I390" t="str" cm="1">
        <f t="array" aca="1" ref="I390" ca="1">IFERROR(INDEX(ci_hospitais_internacao!$C:$C, MATCH(1, (VALUE(LEFT(ci_hospitais_internacao!$A:$A,6))=VALUE(LEFT(B390,6)))*(ci_hospitais_internacao!$B:$B=C390), 0)), "")</f>
        <v>-</v>
      </c>
      <c r="J390" cm="1">
        <f t="array" aca="1" ref="J390" ca="1">IFERROR(INDEX(ci_pa_clinico!$C:$C, MATCH(1, (VALUE(LEFT(ci_pa_clinico!$A:$A,6))=VALUE(LEFT(B390,6)))*(ci_pa_clinico!$B:$B=C390), 0)), "")</f>
        <v>2</v>
      </c>
      <c r="K390" cm="1">
        <f t="array" aca="1" ref="K390" ca="1">IFERROR(INDEX(aps_equipes_esf!$C:$C, MATCH(1, (VALUE(LEFT(aps_equipes_esf!$A:$A,6))=VALUE(LEFT(B390,6)))*(aps_equipes_esf!$B:$B=C390), 0)), "")</f>
        <v>58</v>
      </c>
      <c r="L390" cm="1">
        <f t="array" aca="1" ref="L390" ca="1">IFERROR(INDEX(casos!$C:$C, MATCH(1, (VALUE(LEFT(casos!$A:$A,6))=VALUE(LEFT(B390,6)))*(casos!$B:$B=C390), 0)), "")</f>
        <v>2</v>
      </c>
      <c r="M390" cm="1">
        <f t="array" ref="M390">IFERROR(INDEX(srag!$D:$D, MATCH(1, (VALUE(LEFT(srag!$A:$A,6))=VALUE(LEFT(B390,6)))*(srag!$C:$C=C390), 0)), "")</f>
        <v>34</v>
      </c>
      <c r="N390" cm="1">
        <f t="array" aca="1" ref="N390" ca="1">IFERROR(INDEX(fesp!$E:$E, MATCH(1, (VALUE(LEFT(fesp!$A:$A,6))=VALUE(LEFT(B390,6)))*(fesp!$C:$C=C390), 0)), "")</f>
        <v>14</v>
      </c>
      <c r="O390" cm="1">
        <f t="array" aca="1" ref="O390" ca="1">IFERROR(INDEX(fesp!$F:$F, MATCH(1, (VALUE(LEFT(fesp!$A:$A,6))=VALUE(LEFT(B390,6)))*(fesp!$C:$C=C390), 0)), "")</f>
        <v>1109</v>
      </c>
      <c r="P390" cm="1">
        <f t="array" aca="1" ref="P390" ca="1">IFERROR(INDEX(fesp!$G:$G, MATCH(1, (VALUE(LEFT(fesp!$A:$A,6))=VALUE(LEFT(B390,6)))*(fesp!$C:$C=C390), 0)), "")</f>
        <v>2544971</v>
      </c>
      <c r="Q390" cm="1">
        <f t="array" aca="1" ref="Q390" ca="1">IFERROR(INDEX(fesp!$H:$H, MATCH(1, (VALUE(LEFT(fesp!$A:$A,6))=VALUE(LEFT(B390,6)))*(fesp!$C:$C=C390), 0)), "")</f>
        <v>9</v>
      </c>
      <c r="R390" cm="1">
        <f t="array" aca="1" ref="R390" ca="1">IFERROR(INDEX(fesp!$I:$I, MATCH(1, (VALUE(LEFT(fesp!$A:$A,6))=VALUE(LEFT(B390,6)))*(fesp!$C:$C=C390), 0)), "")</f>
        <v>4340</v>
      </c>
      <c r="S390" cm="1">
        <f t="array" aca="1" ref="S390" ca="1">IFERROR(INDEX(fesp!$J:$J, MATCH(1, (VALUE(LEFT(fesp!$A:$A,6))=VALUE(LEFT(B390,6)))*(fesp!$C:$C=C390), 0)), "")</f>
        <v>17191</v>
      </c>
    </row>
    <row r="391" spans="1:19">
      <c r="A391" s="1" t="s">
        <v>105</v>
      </c>
      <c r="B391" s="3" t="s">
        <v>104</v>
      </c>
      <c r="C391" s="3">
        <v>2019</v>
      </c>
      <c r="D391" cm="1">
        <f t="array" ref="D391">IFERROR(INDEX(fesp!$D:$D, MATCH(1, (VALUE(LEFT(fesp!$A:$A,6))=VALUE(LEFT(B391,6)))*(fesp!$C:$C=C391), 0)), "")</f>
        <v>0</v>
      </c>
      <c r="E391" cm="1">
        <f t="array" aca="1" ref="E391" ca="1">IFERROR(INDEX(ft_medicos_clinicos!$C:$C, MATCH(1, (VALUE(LEFT(ft_medicos_clinicos!$A:$A,6))=VALUE(LEFT(B391,6)))*(ft_medicos_clinicos!$B:$B=C391), 0)), "")</f>
        <v>80</v>
      </c>
      <c r="F391" cm="1">
        <f t="array" aca="1" ref="F391" ca="1">IFERROR(INDEX(ft_enfermeiros!$C:$C, MATCH(1, (VALUE(LEFT(ft_enfermeiros!$A:$A,6))=VALUE(LEFT(B391,6)))*(ft_enfermeiros!$B:$B=C391), 0)), "")</f>
        <v>166</v>
      </c>
      <c r="G391" t="str" cm="1">
        <f t="array" aca="1" ref="G391" ca="1">IFERROR(INDEX(ft_equipes_acs!$C:$C, MATCH(1, (VALUE(LEFT(ft_equipes_acs!$A:$A,6))=VALUE(LEFT(B391,6)))*(ft_equipes_acs!$B:$B=C391), 0)), "")</f>
        <v/>
      </c>
      <c r="H391" cm="1">
        <f t="array" aca="1" ref="H391" ca="1">IFERROR(INDEX(ci_leitos_internacao!$C:$C, MATCH(1, (VALUE(LEFT(ci_leitos_internacao!$A:$A,6))=VALUE(LEFT(B391,6)))*(ci_leitos_internacao!$B:$B=C391), 0)), "")</f>
        <v>136</v>
      </c>
      <c r="I391" t="str" cm="1">
        <f t="array" aca="1" ref="I391" ca="1">IFERROR(INDEX(ci_hospitais_internacao!$C:$C, MATCH(1, (VALUE(LEFT(ci_hospitais_internacao!$A:$A,6))=VALUE(LEFT(B391,6)))*(ci_hospitais_internacao!$B:$B=C391), 0)), "")</f>
        <v>-</v>
      </c>
      <c r="J391" cm="1">
        <f t="array" aca="1" ref="J391" ca="1">IFERROR(INDEX(ci_pa_clinico!$C:$C, MATCH(1, (VALUE(LEFT(ci_pa_clinico!$A:$A,6))=VALUE(LEFT(B391,6)))*(ci_pa_clinico!$B:$B=C391), 0)), "")</f>
        <v>2</v>
      </c>
      <c r="K391" cm="1">
        <f t="array" aca="1" ref="K391" ca="1">IFERROR(INDEX(aps_equipes_esf!$C:$C, MATCH(1, (VALUE(LEFT(aps_equipes_esf!$A:$A,6))=VALUE(LEFT(B391,6)))*(aps_equipes_esf!$B:$B=C391), 0)), "")</f>
        <v>58</v>
      </c>
      <c r="L391" cm="1">
        <f t="array" aca="1" ref="L391" ca="1">IFERROR(INDEX(casos!$C:$C, MATCH(1, (VALUE(LEFT(casos!$A:$A,6))=VALUE(LEFT(B391,6)))*(casos!$B:$B=C391), 0)), "")</f>
        <v>145</v>
      </c>
      <c r="M391" cm="1">
        <f t="array" ref="M391">IFERROR(INDEX(srag!$D:$D, MATCH(1, (VALUE(LEFT(srag!$A:$A,6))=VALUE(LEFT(B391,6)))*(srag!$C:$C=C391), 0)), "")</f>
        <v>59</v>
      </c>
      <c r="N391" cm="1">
        <f t="array" aca="1" ref="N391" ca="1">IFERROR(INDEX(fesp!$E:$E, MATCH(1, (VALUE(LEFT(fesp!$A:$A,6))=VALUE(LEFT(B391,6)))*(fesp!$C:$C=C391), 0)), "")</f>
        <v>18</v>
      </c>
      <c r="O391" cm="1">
        <f t="array" aca="1" ref="O391" ca="1">IFERROR(INDEX(fesp!$F:$F, MATCH(1, (VALUE(LEFT(fesp!$A:$A,6))=VALUE(LEFT(B391,6)))*(fesp!$C:$C=C391), 0)), "")</f>
        <v>1241</v>
      </c>
      <c r="P391" cm="1">
        <f t="array" aca="1" ref="P391" ca="1">IFERROR(INDEX(fesp!$G:$G, MATCH(1, (VALUE(LEFT(fesp!$A:$A,6))=VALUE(LEFT(B391,6)))*(fesp!$C:$C=C391), 0)), "")</f>
        <v>2665137</v>
      </c>
      <c r="Q391" cm="1">
        <f t="array" aca="1" ref="Q391" ca="1">IFERROR(INDEX(fesp!$H:$H, MATCH(1, (VALUE(LEFT(fesp!$A:$A,6))=VALUE(LEFT(B391,6)))*(fesp!$C:$C=C391), 0)), "")</f>
        <v>3</v>
      </c>
      <c r="R391" cm="1">
        <f t="array" aca="1" ref="R391" ca="1">IFERROR(INDEX(fesp!$I:$I, MATCH(1, (VALUE(LEFT(fesp!$A:$A,6))=VALUE(LEFT(B391,6)))*(fesp!$C:$C=C391), 0)), "")</f>
        <v>3968</v>
      </c>
      <c r="S391" cm="1">
        <f t="array" aca="1" ref="S391" ca="1">IFERROR(INDEX(fesp!$J:$J, MATCH(1, (VALUE(LEFT(fesp!$A:$A,6))=VALUE(LEFT(B391,6)))*(fesp!$C:$C=C391), 0)), "")</f>
        <v>17578</v>
      </c>
    </row>
    <row r="392" spans="1:19">
      <c r="A392" s="1" t="s">
        <v>105</v>
      </c>
      <c r="B392" s="3" t="s">
        <v>104</v>
      </c>
      <c r="C392" s="3">
        <v>2020</v>
      </c>
      <c r="D392" cm="1">
        <f t="array" ref="D392">IFERROR(INDEX(fesp!$D:$D, MATCH(1, (VALUE(LEFT(fesp!$A:$A,6))=VALUE(LEFT(B392,6)))*(fesp!$C:$C=C392), 0)), "")</f>
        <v>0</v>
      </c>
      <c r="E392" cm="1">
        <f t="array" aca="1" ref="E392" ca="1">IFERROR(INDEX(ft_medicos_clinicos!$C:$C, MATCH(1, (VALUE(LEFT(ft_medicos_clinicos!$A:$A,6))=VALUE(LEFT(B392,6)))*(ft_medicos_clinicos!$B:$B=C392), 0)), "")</f>
        <v>74</v>
      </c>
      <c r="F392" cm="1">
        <f t="array" aca="1" ref="F392" ca="1">IFERROR(INDEX(ft_enfermeiros!$C:$C, MATCH(1, (VALUE(LEFT(ft_enfermeiros!$A:$A,6))=VALUE(LEFT(B392,6)))*(ft_enfermeiros!$B:$B=C392), 0)), "")</f>
        <v>151</v>
      </c>
      <c r="G392" t="str" cm="1">
        <f t="array" aca="1" ref="G392" ca="1">IFERROR(INDEX(ft_equipes_acs!$C:$C, MATCH(1, (VALUE(LEFT(ft_equipes_acs!$A:$A,6))=VALUE(LEFT(B392,6)))*(ft_equipes_acs!$B:$B=C392), 0)), "")</f>
        <v/>
      </c>
      <c r="H392" cm="1">
        <f t="array" aca="1" ref="H392" ca="1">IFERROR(INDEX(ci_leitos_internacao!$C:$C, MATCH(1, (VALUE(LEFT(ci_leitos_internacao!$A:$A,6))=VALUE(LEFT(B392,6)))*(ci_leitos_internacao!$B:$B=C392), 0)), "")</f>
        <v>136</v>
      </c>
      <c r="I392" cm="1">
        <f t="array" aca="1" ref="I392" ca="1">IFERROR(INDEX(ci_hospitais_internacao!$C:$C, MATCH(1, (VALUE(LEFT(ci_hospitais_internacao!$A:$A,6))=VALUE(LEFT(B392,6)))*(ci_hospitais_internacao!$B:$B=C392), 0)), "")</f>
        <v>1</v>
      </c>
      <c r="J392" cm="1">
        <f t="array" aca="1" ref="J392" ca="1">IFERROR(INDEX(ci_pa_clinico!$C:$C, MATCH(1, (VALUE(LEFT(ci_pa_clinico!$A:$A,6))=VALUE(LEFT(B392,6)))*(ci_pa_clinico!$B:$B=C392), 0)), "")</f>
        <v>3</v>
      </c>
      <c r="K392" t="str" cm="1">
        <f t="array" aca="1" ref="K392" ca="1">IFERROR(INDEX(aps_equipes_esf!$C:$C, MATCH(1, (VALUE(LEFT(aps_equipes_esf!$A:$A,6))=VALUE(LEFT(B392,6)))*(aps_equipes_esf!$B:$B=C392), 0)), "")</f>
        <v>-</v>
      </c>
      <c r="L392" cm="1">
        <f t="array" aca="1" ref="L392" ca="1">IFERROR(INDEX(casos!$C:$C, MATCH(1, (VALUE(LEFT(casos!$A:$A,6))=VALUE(LEFT(B392,6)))*(casos!$B:$B=C392), 0)), "")</f>
        <v>11</v>
      </c>
      <c r="M392" cm="1">
        <f t="array" ref="M392">IFERROR(INDEX(srag!$D:$D, MATCH(1, (VALUE(LEFT(srag!$A:$A,6))=VALUE(LEFT(B392,6)))*(srag!$C:$C=C392), 0)), "")</f>
        <v>2535</v>
      </c>
      <c r="N392" cm="1">
        <f t="array" aca="1" ref="N392" ca="1">IFERROR(INDEX(fesp!$E:$E, MATCH(1, (VALUE(LEFT(fesp!$A:$A,6))=VALUE(LEFT(B392,6)))*(fesp!$C:$C=C392), 0)), "")</f>
        <v>66</v>
      </c>
      <c r="O392" cm="1">
        <f t="array" aca="1" ref="O392" ca="1">IFERROR(INDEX(fesp!$F:$F, MATCH(1, (VALUE(LEFT(fesp!$A:$A,6))=VALUE(LEFT(B392,6)))*(fesp!$C:$C=C392), 0)), "")</f>
        <v>772</v>
      </c>
      <c r="P392" cm="1">
        <f t="array" aca="1" ref="P392" ca="1">IFERROR(INDEX(fesp!$G:$G, MATCH(1, (VALUE(LEFT(fesp!$A:$A,6))=VALUE(LEFT(B392,6)))*(fesp!$C:$C=C392), 0)), "")</f>
        <v>2885828</v>
      </c>
      <c r="Q392" cm="1">
        <f t="array" aca="1" ref="Q392" ca="1">IFERROR(INDEX(fesp!$H:$H, MATCH(1, (VALUE(LEFT(fesp!$A:$A,6))=VALUE(LEFT(B392,6)))*(fesp!$C:$C=C392), 0)), "")</f>
        <v>5</v>
      </c>
      <c r="R392" cm="1">
        <f t="array" aca="1" ref="R392" ca="1">IFERROR(INDEX(fesp!$I:$I, MATCH(1, (VALUE(LEFT(fesp!$A:$A,6))=VALUE(LEFT(B392,6)))*(fesp!$C:$C=C392), 0)), "")</f>
        <v>2940</v>
      </c>
      <c r="S392" cm="1">
        <f t="array" aca="1" ref="S392" ca="1">IFERROR(INDEX(fesp!$J:$J, MATCH(1, (VALUE(LEFT(fesp!$A:$A,6))=VALUE(LEFT(B392,6)))*(fesp!$C:$C=C392), 0)), "")</f>
        <v>10728</v>
      </c>
    </row>
    <row r="393" spans="1:19">
      <c r="A393" s="1" t="s">
        <v>105</v>
      </c>
      <c r="B393" s="3" t="s">
        <v>104</v>
      </c>
      <c r="C393" s="3">
        <v>2021</v>
      </c>
      <c r="D393" cm="1">
        <f t="array" ref="D393">IFERROR(INDEX(fesp!$D:$D, MATCH(1, (VALUE(LEFT(fesp!$A:$A,6))=VALUE(LEFT(B393,6)))*(fesp!$C:$C=C393), 0)), "")</f>
        <v>0</v>
      </c>
      <c r="E393" cm="1">
        <f t="array" aca="1" ref="E393" ca="1">IFERROR(INDEX(ft_medicos_clinicos!$C:$C, MATCH(1, (VALUE(LEFT(ft_medicos_clinicos!$A:$A,6))=VALUE(LEFT(B393,6)))*(ft_medicos_clinicos!$B:$B=C393), 0)), "")</f>
        <v>80</v>
      </c>
      <c r="F393" cm="1">
        <f t="array" aca="1" ref="F393" ca="1">IFERROR(INDEX(ft_enfermeiros!$C:$C, MATCH(1, (VALUE(LEFT(ft_enfermeiros!$A:$A,6))=VALUE(LEFT(B393,6)))*(ft_enfermeiros!$B:$B=C393), 0)), "")</f>
        <v>148</v>
      </c>
      <c r="G393" t="str" cm="1">
        <f t="array" aca="1" ref="G393" ca="1">IFERROR(INDEX(ft_equipes_acs!$C:$C, MATCH(1, (VALUE(LEFT(ft_equipes_acs!$A:$A,6))=VALUE(LEFT(B393,6)))*(ft_equipes_acs!$B:$B=C393), 0)), "")</f>
        <v/>
      </c>
      <c r="H393" cm="1">
        <f t="array" aca="1" ref="H393" ca="1">IFERROR(INDEX(ci_leitos_internacao!$C:$C, MATCH(1, (VALUE(LEFT(ci_leitos_internacao!$A:$A,6))=VALUE(LEFT(B393,6)))*(ci_leitos_internacao!$B:$B=C393), 0)), "")</f>
        <v>196</v>
      </c>
      <c r="I393" cm="1">
        <f t="array" aca="1" ref="I393" ca="1">IFERROR(INDEX(ci_hospitais_internacao!$C:$C, MATCH(1, (VALUE(LEFT(ci_hospitais_internacao!$A:$A,6))=VALUE(LEFT(B393,6)))*(ci_hospitais_internacao!$B:$B=C393), 0)), "")</f>
        <v>2</v>
      </c>
      <c r="J393" cm="1">
        <f t="array" aca="1" ref="J393" ca="1">IFERROR(INDEX(ci_pa_clinico!$C:$C, MATCH(1, (VALUE(LEFT(ci_pa_clinico!$A:$A,6))=VALUE(LEFT(B393,6)))*(ci_pa_clinico!$B:$B=C393), 0)), "")</f>
        <v>3</v>
      </c>
      <c r="K393" t="str" cm="1">
        <f t="array" aca="1" ref="K393" ca="1">IFERROR(INDEX(aps_equipes_esf!$C:$C, MATCH(1, (VALUE(LEFT(aps_equipes_esf!$A:$A,6))=VALUE(LEFT(B393,6)))*(aps_equipes_esf!$B:$B=C393), 0)), "")</f>
        <v>-</v>
      </c>
      <c r="L393" cm="1">
        <f t="array" aca="1" ref="L393" ca="1">IFERROR(INDEX(casos!$C:$C, MATCH(1, (VALUE(LEFT(casos!$A:$A,6))=VALUE(LEFT(B393,6)))*(casos!$B:$B=C393), 0)), "")</f>
        <v>1</v>
      </c>
      <c r="M393" cm="1">
        <f t="array" ref="M393">IFERROR(INDEX(srag!$D:$D, MATCH(1, (VALUE(LEFT(srag!$A:$A,6))=VALUE(LEFT(B393,6)))*(srag!$C:$C=C393), 0)), "")</f>
        <v>2931</v>
      </c>
      <c r="N393" cm="1">
        <f t="array" aca="1" ref="N393" ca="1">IFERROR(INDEX(fesp!$E:$E, MATCH(1, (VALUE(LEFT(fesp!$A:$A,6))=VALUE(LEFT(B393,6)))*(fesp!$C:$C=C393), 0)), "")</f>
        <v>24</v>
      </c>
      <c r="O393" cm="1">
        <f t="array" aca="1" ref="O393" ca="1">IFERROR(INDEX(fesp!$F:$F, MATCH(1, (VALUE(LEFT(fesp!$A:$A,6))=VALUE(LEFT(B393,6)))*(fesp!$C:$C=C393), 0)), "")</f>
        <v>814</v>
      </c>
      <c r="P393" cm="1">
        <f t="array" aca="1" ref="P393" ca="1">IFERROR(INDEX(fesp!$G:$G, MATCH(1, (VALUE(LEFT(fesp!$A:$A,6))=VALUE(LEFT(B393,6)))*(fesp!$C:$C=C393), 0)), "")</f>
        <v>2393013</v>
      </c>
      <c r="Q393" cm="1">
        <f t="array" aca="1" ref="Q393" ca="1">IFERROR(INDEX(fesp!$H:$H, MATCH(1, (VALUE(LEFT(fesp!$A:$A,6))=VALUE(LEFT(B393,6)))*(fesp!$C:$C=C393), 0)), "")</f>
        <v>27</v>
      </c>
      <c r="R393" cm="1">
        <f t="array" aca="1" ref="R393" ca="1">IFERROR(INDEX(fesp!$I:$I, MATCH(1, (VALUE(LEFT(fesp!$A:$A,6))=VALUE(LEFT(B393,6)))*(fesp!$C:$C=C393), 0)), "")</f>
        <v>4752</v>
      </c>
      <c r="S393" cm="1">
        <f t="array" aca="1" ref="S393" ca="1">IFERROR(INDEX(fesp!$J:$J, MATCH(1, (VALUE(LEFT(fesp!$A:$A,6))=VALUE(LEFT(B393,6)))*(fesp!$C:$C=C393), 0)), "")</f>
        <v>12499</v>
      </c>
    </row>
    <row r="394" spans="1:19">
      <c r="A394" s="1" t="s">
        <v>105</v>
      </c>
      <c r="B394" s="3" t="s">
        <v>104</v>
      </c>
      <c r="C394" s="3">
        <v>2022</v>
      </c>
      <c r="D394" cm="1">
        <f t="array" ref="D394">IFERROR(INDEX(fesp!$D:$D, MATCH(1, (VALUE(LEFT(fesp!$A:$A,6))=VALUE(LEFT(B394,6)))*(fesp!$C:$C=C394), 0)), "")</f>
        <v>440962</v>
      </c>
      <c r="E394" cm="1">
        <f t="array" aca="1" ref="E394" ca="1">IFERROR(INDEX(ft_medicos_clinicos!$C:$C, MATCH(1, (VALUE(LEFT(ft_medicos_clinicos!$A:$A,6))=VALUE(LEFT(B394,6)))*(ft_medicos_clinicos!$B:$B=C394), 0)), "")</f>
        <v>74</v>
      </c>
      <c r="F394" cm="1">
        <f t="array" aca="1" ref="F394" ca="1">IFERROR(INDEX(ft_enfermeiros!$C:$C, MATCH(1, (VALUE(LEFT(ft_enfermeiros!$A:$A,6))=VALUE(LEFT(B394,6)))*(ft_enfermeiros!$B:$B=C394), 0)), "")</f>
        <v>163</v>
      </c>
      <c r="G394" t="str" cm="1">
        <f t="array" aca="1" ref="G394" ca="1">IFERROR(INDEX(ft_equipes_acs!$C:$C, MATCH(1, (VALUE(LEFT(ft_equipes_acs!$A:$A,6))=VALUE(LEFT(B394,6)))*(ft_equipes_acs!$B:$B=C394), 0)), "")</f>
        <v/>
      </c>
      <c r="H394" cm="1">
        <f t="array" aca="1" ref="H394" ca="1">IFERROR(INDEX(ci_leitos_internacao!$C:$C, MATCH(1, (VALUE(LEFT(ci_leitos_internacao!$A:$A,6))=VALUE(LEFT(B394,6)))*(ci_leitos_internacao!$B:$B=C394), 0)), "")</f>
        <v>199</v>
      </c>
      <c r="I394" cm="1">
        <f t="array" aca="1" ref="I394" ca="1">IFERROR(INDEX(ci_hospitais_internacao!$C:$C, MATCH(1, (VALUE(LEFT(ci_hospitais_internacao!$A:$A,6))=VALUE(LEFT(B394,6)))*(ci_hospitais_internacao!$B:$B=C394), 0)), "")</f>
        <v>2</v>
      </c>
      <c r="J394" cm="1">
        <f t="array" aca="1" ref="J394" ca="1">IFERROR(INDEX(ci_pa_clinico!$C:$C, MATCH(1, (VALUE(LEFT(ci_pa_clinico!$A:$A,6))=VALUE(LEFT(B394,6)))*(ci_pa_clinico!$B:$B=C394), 0)), "")</f>
        <v>2</v>
      </c>
      <c r="K394" t="str" cm="1">
        <f t="array" aca="1" ref="K394" ca="1">IFERROR(INDEX(aps_equipes_esf!$C:$C, MATCH(1, (VALUE(LEFT(aps_equipes_esf!$A:$A,6))=VALUE(LEFT(B394,6)))*(aps_equipes_esf!$B:$B=C394), 0)), "")</f>
        <v>-</v>
      </c>
      <c r="L394" cm="1">
        <f t="array" aca="1" ref="L394" ca="1">IFERROR(INDEX(casos!$C:$C, MATCH(1, (VALUE(LEFT(casos!$A:$A,6))=VALUE(LEFT(B394,6)))*(casos!$B:$B=C394), 0)), "")</f>
        <v>18</v>
      </c>
      <c r="M394" cm="1">
        <f t="array" ref="M394">IFERROR(INDEX(srag!$D:$D, MATCH(1, (VALUE(LEFT(srag!$A:$A,6))=VALUE(LEFT(B394,6)))*(srag!$C:$C=C394), 0)), "")</f>
        <v>561</v>
      </c>
      <c r="N394" cm="1">
        <f t="array" aca="1" ref="N394" ca="1">IFERROR(INDEX(fesp!$E:$E, MATCH(1, (VALUE(LEFT(fesp!$A:$A,6))=VALUE(LEFT(B394,6)))*(fesp!$C:$C=C394), 0)), "")</f>
        <v>30</v>
      </c>
      <c r="O394" cm="1">
        <f t="array" aca="1" ref="O394" ca="1">IFERROR(INDEX(fesp!$F:$F, MATCH(1, (VALUE(LEFT(fesp!$A:$A,6))=VALUE(LEFT(B394,6)))*(fesp!$C:$C=C394), 0)), "")</f>
        <v>1118</v>
      </c>
      <c r="P394" cm="1">
        <f t="array" aca="1" ref="P394" ca="1">IFERROR(INDEX(fesp!$G:$G, MATCH(1, (VALUE(LEFT(fesp!$A:$A,6))=VALUE(LEFT(B394,6)))*(fesp!$C:$C=C394), 0)), "")</f>
        <v>2753369</v>
      </c>
      <c r="Q394" cm="1">
        <f t="array" aca="1" ref="Q394" ca="1">IFERROR(INDEX(fesp!$H:$H, MATCH(1, (VALUE(LEFT(fesp!$A:$A,6))=VALUE(LEFT(B394,6)))*(fesp!$C:$C=C394), 0)), "")</f>
        <v>12</v>
      </c>
      <c r="R394" cm="1">
        <f t="array" aca="1" ref="R394" ca="1">IFERROR(INDEX(fesp!$I:$I, MATCH(1, (VALUE(LEFT(fesp!$A:$A,6))=VALUE(LEFT(B394,6)))*(fesp!$C:$C=C394), 0)), "")</f>
        <v>4142</v>
      </c>
      <c r="S394" cm="1">
        <f t="array" aca="1" ref="S394" ca="1">IFERROR(INDEX(fesp!$J:$J, MATCH(1, (VALUE(LEFT(fesp!$A:$A,6))=VALUE(LEFT(B394,6)))*(fesp!$C:$C=C394), 0)), "")</f>
        <v>4431</v>
      </c>
    </row>
    <row r="395" spans="1:19">
      <c r="A395" s="1" t="s">
        <v>105</v>
      </c>
      <c r="B395" s="3" t="s">
        <v>104</v>
      </c>
      <c r="C395" s="3">
        <v>2023</v>
      </c>
      <c r="D395" cm="1">
        <f t="array" ref="D395">IFERROR(INDEX(fesp!$D:$D, MATCH(1, (VALUE(LEFT(fesp!$A:$A,6))=VALUE(LEFT(B395,6)))*(fesp!$C:$C=C395), 0)), "")</f>
        <v>0</v>
      </c>
      <c r="E395" cm="1">
        <f t="array" aca="1" ref="E395" ca="1">IFERROR(INDEX(ft_medicos_clinicos!$C:$C, MATCH(1, (VALUE(LEFT(ft_medicos_clinicos!$A:$A,6))=VALUE(LEFT(B395,6)))*(ft_medicos_clinicos!$B:$B=C395), 0)), "")</f>
        <v>84</v>
      </c>
      <c r="F395" cm="1">
        <f t="array" aca="1" ref="F395" ca="1">IFERROR(INDEX(ft_enfermeiros!$C:$C, MATCH(1, (VALUE(LEFT(ft_enfermeiros!$A:$A,6))=VALUE(LEFT(B395,6)))*(ft_enfermeiros!$B:$B=C395), 0)), "")</f>
        <v>187</v>
      </c>
      <c r="G395" t="str" cm="1">
        <f t="array" aca="1" ref="G395" ca="1">IFERROR(INDEX(ft_equipes_acs!$C:$C, MATCH(1, (VALUE(LEFT(ft_equipes_acs!$A:$A,6))=VALUE(LEFT(B395,6)))*(ft_equipes_acs!$B:$B=C395), 0)), "")</f>
        <v/>
      </c>
      <c r="H395" cm="1">
        <f t="array" aca="1" ref="H395" ca="1">IFERROR(INDEX(ci_leitos_internacao!$C:$C, MATCH(1, (VALUE(LEFT(ci_leitos_internacao!$A:$A,6))=VALUE(LEFT(B395,6)))*(ci_leitos_internacao!$B:$B=C395), 0)), "")</f>
        <v>310</v>
      </c>
      <c r="I395" cm="1">
        <f t="array" aca="1" ref="I395" ca="1">IFERROR(INDEX(ci_hospitais_internacao!$C:$C, MATCH(1, (VALUE(LEFT(ci_hospitais_internacao!$A:$A,6))=VALUE(LEFT(B395,6)))*(ci_hospitais_internacao!$B:$B=C395), 0)), "")</f>
        <v>3</v>
      </c>
      <c r="J395" cm="1">
        <f t="array" aca="1" ref="J395" ca="1">IFERROR(INDEX(ci_pa_clinico!$C:$C, MATCH(1, (VALUE(LEFT(ci_pa_clinico!$A:$A,6))=VALUE(LEFT(B395,6)))*(ci_pa_clinico!$B:$B=C395), 0)), "")</f>
        <v>2</v>
      </c>
      <c r="K395" t="str" cm="1">
        <f t="array" aca="1" ref="K395" ca="1">IFERROR(INDEX(aps_equipes_esf!$C:$C, MATCH(1, (VALUE(LEFT(aps_equipes_esf!$A:$A,6))=VALUE(LEFT(B395,6)))*(aps_equipes_esf!$B:$B=C395), 0)), "")</f>
        <v>-</v>
      </c>
      <c r="L395" cm="1">
        <f t="array" aca="1" ref="L395" ca="1">IFERROR(INDEX(casos!$C:$C, MATCH(1, (VALUE(LEFT(casos!$A:$A,6))=VALUE(LEFT(B395,6)))*(casos!$B:$B=C395), 0)), "")</f>
        <v>339</v>
      </c>
      <c r="M395" cm="1">
        <f t="array" ref="M395">IFERROR(INDEX(srag!$D:$D, MATCH(1, (VALUE(LEFT(srag!$A:$A,6))=VALUE(LEFT(B395,6)))*(srag!$C:$C=C395), 0)), "")</f>
        <v>210</v>
      </c>
      <c r="N395" cm="1">
        <f t="array" aca="1" ref="N395" ca="1">IFERROR(INDEX(fesp!$E:$E, MATCH(1, (VALUE(LEFT(fesp!$A:$A,6))=VALUE(LEFT(B395,6)))*(fesp!$C:$C=C395), 0)), "")</f>
        <v>27</v>
      </c>
      <c r="O395" cm="1">
        <f t="array" aca="1" ref="O395" ca="1">IFERROR(INDEX(fesp!$F:$F, MATCH(1, (VALUE(LEFT(fesp!$A:$A,6))=VALUE(LEFT(B395,6)))*(fesp!$C:$C=C395), 0)), "")</f>
        <v>990</v>
      </c>
      <c r="P395" cm="1">
        <f t="array" aca="1" ref="P395" ca="1">IFERROR(INDEX(fesp!$G:$G, MATCH(1, (VALUE(LEFT(fesp!$A:$A,6))=VALUE(LEFT(B395,6)))*(fesp!$C:$C=C395), 0)), "")</f>
        <v>2941345</v>
      </c>
      <c r="Q395" cm="1">
        <f t="array" aca="1" ref="Q395" ca="1">IFERROR(INDEX(fesp!$H:$H, MATCH(1, (VALUE(LEFT(fesp!$A:$A,6))=VALUE(LEFT(B395,6)))*(fesp!$C:$C=C395), 0)), "")</f>
        <v>13</v>
      </c>
      <c r="R395" cm="1">
        <f t="array" aca="1" ref="R395" ca="1">IFERROR(INDEX(fesp!$I:$I, MATCH(1, (VALUE(LEFT(fesp!$A:$A,6))=VALUE(LEFT(B395,6)))*(fesp!$C:$C=C395), 0)), "")</f>
        <v>1613</v>
      </c>
      <c r="S395" cm="1">
        <f t="array" aca="1" ref="S395" ca="1">IFERROR(INDEX(fesp!$J:$J, MATCH(1, (VALUE(LEFT(fesp!$A:$A,6))=VALUE(LEFT(B395,6)))*(fesp!$C:$C=C395), 0)), "")</f>
        <v>3411</v>
      </c>
    </row>
    <row r="396" spans="1:19">
      <c r="A396" s="1" t="s">
        <v>105</v>
      </c>
      <c r="B396" s="3" t="s">
        <v>104</v>
      </c>
      <c r="C396" s="3">
        <v>2024</v>
      </c>
      <c r="D396" cm="1">
        <f t="array" ref="D396">IFERROR(INDEX(fesp!$D:$D, MATCH(1, (VALUE(LEFT(fesp!$A:$A,6))=VALUE(LEFT(B396,6)))*(fesp!$C:$C=C396), 0)), "")</f>
        <v>0</v>
      </c>
      <c r="E396" cm="1">
        <f t="array" aca="1" ref="E396" ca="1">IFERROR(INDEX(ft_medicos_clinicos!$C:$C, MATCH(1, (VALUE(LEFT(ft_medicos_clinicos!$A:$A,6))=VALUE(LEFT(B396,6)))*(ft_medicos_clinicos!$B:$B=C396), 0)), "")</f>
        <v>84</v>
      </c>
      <c r="F396" cm="1">
        <f t="array" aca="1" ref="F396" ca="1">IFERROR(INDEX(ft_enfermeiros!$C:$C, MATCH(1, (VALUE(LEFT(ft_enfermeiros!$A:$A,6))=VALUE(LEFT(B396,6)))*(ft_enfermeiros!$B:$B=C396), 0)), "")</f>
        <v>215</v>
      </c>
      <c r="G396" t="str" cm="1">
        <f t="array" aca="1" ref="G396" ca="1">IFERROR(INDEX(ft_equipes_acs!$C:$C, MATCH(1, (VALUE(LEFT(ft_equipes_acs!$A:$A,6))=VALUE(LEFT(B396,6)))*(ft_equipes_acs!$B:$B=C396), 0)), "")</f>
        <v/>
      </c>
      <c r="H396" cm="1">
        <f t="array" aca="1" ref="H396" ca="1">IFERROR(INDEX(ci_leitos_internacao!$C:$C, MATCH(1, (VALUE(LEFT(ci_leitos_internacao!$A:$A,6))=VALUE(LEFT(B396,6)))*(ci_leitos_internacao!$B:$B=C396), 0)), "")</f>
        <v>330</v>
      </c>
      <c r="I396" cm="1">
        <f t="array" aca="1" ref="I396" ca="1">IFERROR(INDEX(ci_hospitais_internacao!$C:$C, MATCH(1, (VALUE(LEFT(ci_hospitais_internacao!$A:$A,6))=VALUE(LEFT(B396,6)))*(ci_hospitais_internacao!$B:$B=C396), 0)), "")</f>
        <v>3</v>
      </c>
      <c r="J396" cm="1">
        <f t="array" aca="1" ref="J396" ca="1">IFERROR(INDEX(ci_pa_clinico!$C:$C, MATCH(1, (VALUE(LEFT(ci_pa_clinico!$A:$A,6))=VALUE(LEFT(B396,6)))*(ci_pa_clinico!$B:$B=C396), 0)), "")</f>
        <v>3</v>
      </c>
      <c r="K396" t="str" cm="1">
        <f t="array" aca="1" ref="K396" ca="1">IFERROR(INDEX(aps_equipes_esf!$C:$C, MATCH(1, (VALUE(LEFT(aps_equipes_esf!$A:$A,6))=VALUE(LEFT(B396,6)))*(aps_equipes_esf!$B:$B=C396), 0)), "")</f>
        <v>-</v>
      </c>
      <c r="L396" cm="1">
        <f t="array" aca="1" ref="L396" ca="1">IFERROR(INDEX(casos!$C:$C, MATCH(1, (VALUE(LEFT(casos!$A:$A,6))=VALUE(LEFT(B396,6)))*(casos!$B:$B=C396), 0)), "")</f>
        <v>2768</v>
      </c>
      <c r="M396" cm="1">
        <f t="array" ref="M396">IFERROR(INDEX(srag!$D:$D, MATCH(1, (VALUE(LEFT(srag!$A:$A,6))=VALUE(LEFT(B396,6)))*(srag!$C:$C=C396), 0)), "")</f>
        <v>341</v>
      </c>
      <c r="N396" cm="1">
        <f t="array" aca="1" ref="N396" ca="1">IFERROR(INDEX(fesp!$E:$E, MATCH(1, (VALUE(LEFT(fesp!$A:$A,6))=VALUE(LEFT(B396,6)))*(fesp!$C:$C=C396), 0)), "")</f>
        <v>22</v>
      </c>
      <c r="O396" cm="1">
        <f t="array" aca="1" ref="O396" ca="1">IFERROR(INDEX(fesp!$F:$F, MATCH(1, (VALUE(LEFT(fesp!$A:$A,6))=VALUE(LEFT(B396,6)))*(fesp!$C:$C=C396), 0)), "")</f>
        <v>1170</v>
      </c>
      <c r="P396" cm="1">
        <f t="array" aca="1" ref="P396" ca="1">IFERROR(INDEX(fesp!$G:$G, MATCH(1, (VALUE(LEFT(fesp!$A:$A,6))=VALUE(LEFT(B396,6)))*(fesp!$C:$C=C396), 0)), "")</f>
        <v>2908809</v>
      </c>
      <c r="Q396" cm="1">
        <f t="array" aca="1" ref="Q396" ca="1">IFERROR(INDEX(fesp!$H:$H, MATCH(1, (VALUE(LEFT(fesp!$A:$A,6))=VALUE(LEFT(B396,6)))*(fesp!$C:$C=C396), 0)), "")</f>
        <v>16</v>
      </c>
      <c r="R396" cm="1">
        <f t="array" aca="1" ref="R396" ca="1">IFERROR(INDEX(fesp!$I:$I, MATCH(1, (VALUE(LEFT(fesp!$A:$A,6))=VALUE(LEFT(B396,6)))*(fesp!$C:$C=C396), 0)), "")</f>
        <v>937</v>
      </c>
      <c r="S396" cm="1">
        <f t="array" aca="1" ref="S396" ca="1">IFERROR(INDEX(fesp!$J:$J, MATCH(1, (VALUE(LEFT(fesp!$A:$A,6))=VALUE(LEFT(B396,6)))*(fesp!$C:$C=C396), 0)), "")</f>
        <v>1912</v>
      </c>
    </row>
    <row r="397" spans="1:19">
      <c r="A397" s="1" t="s">
        <v>105</v>
      </c>
      <c r="B397" s="3" t="s">
        <v>104</v>
      </c>
      <c r="C397" s="3">
        <v>2025</v>
      </c>
      <c r="D397" cm="1">
        <f t="array" ref="D397">IFERROR(INDEX(fesp!$D:$D, MATCH(1, (VALUE(LEFT(fesp!$A:$A,6))=VALUE(LEFT(B397,6)))*(fesp!$C:$C=C397), 0)), "")</f>
        <v>0</v>
      </c>
      <c r="E397" cm="1">
        <f t="array" aca="1" ref="E397" ca="1">IFERROR(INDEX(ft_medicos_clinicos!$C:$C, MATCH(1, (VALUE(LEFT(ft_medicos_clinicos!$A:$A,6))=VALUE(LEFT(B397,6)))*(ft_medicos_clinicos!$B:$B=C397), 0)), "")</f>
        <v>79</v>
      </c>
      <c r="F397" cm="1">
        <f t="array" aca="1" ref="F397" ca="1">IFERROR(INDEX(ft_enfermeiros!$C:$C, MATCH(1, (VALUE(LEFT(ft_enfermeiros!$A:$A,6))=VALUE(LEFT(B397,6)))*(ft_enfermeiros!$B:$B=C397), 0)), "")</f>
        <v>237</v>
      </c>
      <c r="G397" t="str" cm="1">
        <f t="array" aca="1" ref="G397" ca="1">IFERROR(INDEX(ft_equipes_acs!$C:$C, MATCH(1, (VALUE(LEFT(ft_equipes_acs!$A:$A,6))=VALUE(LEFT(B397,6)))*(ft_equipes_acs!$B:$B=C397), 0)), "")</f>
        <v/>
      </c>
      <c r="H397" cm="1">
        <f t="array" aca="1" ref="H397" ca="1">IFERROR(INDEX(ci_leitos_internacao!$C:$C, MATCH(1, (VALUE(LEFT(ci_leitos_internacao!$A:$A,6))=VALUE(LEFT(B397,6)))*(ci_leitos_internacao!$B:$B=C397), 0)), "")</f>
        <v>339</v>
      </c>
      <c r="I397" cm="1">
        <f t="array" aca="1" ref="I397" ca="1">IFERROR(INDEX(ci_hospitais_internacao!$C:$C, MATCH(1, (VALUE(LEFT(ci_hospitais_internacao!$A:$A,6))=VALUE(LEFT(B397,6)))*(ci_hospitais_internacao!$B:$B=C397), 0)), "")</f>
        <v>1</v>
      </c>
      <c r="J397" cm="1">
        <f t="array" aca="1" ref="J397" ca="1">IFERROR(INDEX(ci_pa_clinico!$C:$C, MATCH(1, (VALUE(LEFT(ci_pa_clinico!$A:$A,6))=VALUE(LEFT(B397,6)))*(ci_pa_clinico!$B:$B=C397), 0)), "")</f>
        <v>2</v>
      </c>
      <c r="K397" t="str" cm="1">
        <f t="array" aca="1" ref="K397" ca="1">IFERROR(INDEX(aps_equipes_esf!$C:$C, MATCH(1, (VALUE(LEFT(aps_equipes_esf!$A:$A,6))=VALUE(LEFT(B397,6)))*(aps_equipes_esf!$B:$B=C397), 0)), "")</f>
        <v>-</v>
      </c>
      <c r="L397" cm="1">
        <f t="array" aca="1" ref="L397" ca="1">IFERROR(INDEX(casos!$C:$C, MATCH(1, (VALUE(LEFT(casos!$A:$A,6))=VALUE(LEFT(B397,6)))*(casos!$B:$B=C397), 0)), "")</f>
        <v>16</v>
      </c>
      <c r="M397" cm="1">
        <f t="array" ref="M397">IFERROR(INDEX(srag!$D:$D, MATCH(1, (VALUE(LEFT(srag!$A:$A,6))=VALUE(LEFT(B397,6)))*(srag!$C:$C=C397), 0)), "")</f>
        <v>600</v>
      </c>
      <c r="N397" cm="1">
        <f t="array" aca="1" ref="N397" ca="1">IFERROR(INDEX(fesp!$E:$E, MATCH(1, (VALUE(LEFT(fesp!$A:$A,6))=VALUE(LEFT(B397,6)))*(fesp!$C:$C=C397), 0)), "")</f>
        <v>74</v>
      </c>
      <c r="O397" cm="1">
        <f t="array" aca="1" ref="O397" ca="1">IFERROR(INDEX(fesp!$F:$F, MATCH(1, (VALUE(LEFT(fesp!$A:$A,6))=VALUE(LEFT(B397,6)))*(fesp!$C:$C=C397), 0)), "")</f>
        <v>643</v>
      </c>
      <c r="P397" cm="1">
        <f t="array" aca="1" ref="P397" ca="1">IFERROR(INDEX(fesp!$G:$G, MATCH(1, (VALUE(LEFT(fesp!$A:$A,6))=VALUE(LEFT(B397,6)))*(fesp!$C:$C=C397), 0)), "")</f>
        <v>2819004</v>
      </c>
      <c r="Q397" cm="1">
        <f t="array" aca="1" ref="Q397" ca="1">IFERROR(INDEX(fesp!$H:$H, MATCH(1, (VALUE(LEFT(fesp!$A:$A,6))=VALUE(LEFT(B397,6)))*(fesp!$C:$C=C397), 0)), "")</f>
        <v>9</v>
      </c>
      <c r="R397" cm="1">
        <f t="array" aca="1" ref="R397" ca="1">IFERROR(INDEX(fesp!$I:$I, MATCH(1, (VALUE(LEFT(fesp!$A:$A,6))=VALUE(LEFT(B397,6)))*(fesp!$C:$C=C397), 0)), "")</f>
        <v>82</v>
      </c>
      <c r="S397" cm="1">
        <f t="array" aca="1" ref="S397" ca="1">IFERROR(INDEX(fesp!$J:$J, MATCH(1, (VALUE(LEFT(fesp!$A:$A,6))=VALUE(LEFT(B397,6)))*(fesp!$C:$C=C397), 0)), "")</f>
        <v>3</v>
      </c>
    </row>
    <row r="398" spans="1:19">
      <c r="A398" s="1" t="s">
        <v>27</v>
      </c>
      <c r="B398" s="3">
        <v>3509502</v>
      </c>
      <c r="C398" s="3">
        <v>2015</v>
      </c>
      <c r="D398" cm="1">
        <f t="array" ref="D398">IFERROR(INDEX(fesp!$D:$D, MATCH(1, (VALUE(LEFT(fesp!$A:$A,6))=VALUE(LEFT(B398,6)))*(fesp!$C:$C=C398), 0)), "")</f>
        <v>1164098</v>
      </c>
      <c r="E398" cm="1">
        <f t="array" aca="1" ref="E398" ca="1">IFERROR(INDEX(ft_medicos_clinicos!$C:$C, MATCH(1, (VALUE(LEFT(ft_medicos_clinicos!$A:$A,6))=VALUE(LEFT(B398,6)))*(ft_medicos_clinicos!$B:$B=C398), 0)), "")</f>
        <v>788</v>
      </c>
      <c r="F398" cm="1">
        <f t="array" aca="1" ref="F398" ca="1">IFERROR(INDEX(ft_enfermeiros!$C:$C, MATCH(1, (VALUE(LEFT(ft_enfermeiros!$A:$A,6))=VALUE(LEFT(B398,6)))*(ft_enfermeiros!$B:$B=C398), 0)), "")</f>
        <v>1908</v>
      </c>
      <c r="G398" cm="1">
        <f t="array" aca="1" ref="G398" ca="1">IFERROR(INDEX(ft_equipes_acs!$C:$C, MATCH(1, (VALUE(LEFT(ft_equipes_acs!$A:$A,6))=VALUE(LEFT(B398,6)))*(ft_equipes_acs!$B:$B=C398), 0)), "")</f>
        <v>3</v>
      </c>
      <c r="H398" cm="1">
        <f t="array" aca="1" ref="H398" ca="1">IFERROR(INDEX(ci_leitos_internacao!$C:$C, MATCH(1, (VALUE(LEFT(ci_leitos_internacao!$A:$A,6))=VALUE(LEFT(B398,6)))*(ci_leitos_internacao!$B:$B=C398), 0)), "")</f>
        <v>2957</v>
      </c>
      <c r="I398" cm="1">
        <f t="array" aca="1" ref="I398" ca="1">IFERROR(INDEX(ci_hospitais_internacao!$C:$C, MATCH(1, (VALUE(LEFT(ci_hospitais_internacao!$A:$A,6))=VALUE(LEFT(B398,6)))*(ci_hospitais_internacao!$B:$B=C398), 0)), "")</f>
        <v>7</v>
      </c>
      <c r="J398" t="str" cm="1">
        <f t="array" aca="1" ref="J398" ca="1">IFERROR(INDEX(ci_pa_clinico!$C:$C, MATCH(1, (VALUE(LEFT(ci_pa_clinico!$A:$A,6))=VALUE(LEFT(B398,6)))*(ci_pa_clinico!$B:$B=C398), 0)), "")</f>
        <v/>
      </c>
      <c r="K398" cm="1">
        <f t="array" aca="1" ref="K398" ca="1">IFERROR(INDEX(aps_equipes_esf!$C:$C, MATCH(1, (VALUE(LEFT(aps_equipes_esf!$A:$A,6))=VALUE(LEFT(B398,6)))*(aps_equipes_esf!$B:$B=C398), 0)), "")</f>
        <v>86</v>
      </c>
      <c r="L398" cm="1">
        <f t="array" aca="1" ref="L398" ca="1">IFERROR(INDEX(casos!$C:$C, MATCH(1, (VALUE(LEFT(casos!$A:$A,6))=VALUE(LEFT(B398,6)))*(casos!$B:$B=C398), 0)), "")</f>
        <v>69902</v>
      </c>
      <c r="M398" cm="1">
        <f t="array" ref="M398">IFERROR(INDEX(srag!$D:$D, MATCH(1, (VALUE(LEFT(srag!$A:$A,6))=VALUE(LEFT(B398,6)))*(srag!$C:$C=C398), 0)), "")</f>
        <v>566</v>
      </c>
      <c r="N398" cm="1">
        <f t="array" aca="1" ref="N398" ca="1">IFERROR(INDEX(fesp!$E:$E, MATCH(1, (VALUE(LEFT(fesp!$A:$A,6))=VALUE(LEFT(B398,6)))*(fesp!$C:$C=C398), 0)), "")</f>
        <v>332</v>
      </c>
      <c r="O398" cm="1">
        <f t="array" aca="1" ref="O398" ca="1">IFERROR(INDEX(fesp!$F:$F, MATCH(1, (VALUE(LEFT(fesp!$A:$A,6))=VALUE(LEFT(B398,6)))*(fesp!$C:$C=C398), 0)), "")</f>
        <v>13685</v>
      </c>
      <c r="P398" cm="1">
        <f t="array" aca="1" ref="P398" ca="1">IFERROR(INDEX(fesp!$G:$G, MATCH(1, (VALUE(LEFT(fesp!$A:$A,6))=VALUE(LEFT(B398,6)))*(fesp!$C:$C=C398), 0)), "")</f>
        <v>10498825</v>
      </c>
      <c r="Q398" cm="1">
        <f t="array" aca="1" ref="Q398" ca="1">IFERROR(INDEX(fesp!$H:$H, MATCH(1, (VALUE(LEFT(fesp!$A:$A,6))=VALUE(LEFT(B398,6)))*(fesp!$C:$C=C398), 0)), "")</f>
        <v>215</v>
      </c>
      <c r="R398" cm="1">
        <f t="array" aca="1" ref="R398" ca="1">IFERROR(INDEX(fesp!$I:$I, MATCH(1, (VALUE(LEFT(fesp!$A:$A,6))=VALUE(LEFT(B398,6)))*(fesp!$C:$C=C398), 0)), "")</f>
        <v>24642</v>
      </c>
      <c r="S398" cm="1">
        <f t="array" aca="1" ref="S398" ca="1">IFERROR(INDEX(fesp!$J:$J, MATCH(1, (VALUE(LEFT(fesp!$A:$A,6))=VALUE(LEFT(B398,6)))*(fesp!$C:$C=C398), 0)), "")</f>
        <v>647635</v>
      </c>
    </row>
    <row r="399" spans="1:19">
      <c r="A399" s="1" t="s">
        <v>27</v>
      </c>
      <c r="B399" s="3" t="s">
        <v>26</v>
      </c>
      <c r="C399" s="3">
        <v>2016</v>
      </c>
      <c r="D399" cm="1">
        <f t="array" ref="D399">IFERROR(INDEX(fesp!$D:$D, MATCH(1, (VALUE(LEFT(fesp!$A:$A,6))=VALUE(LEFT(B399,6)))*(fesp!$C:$C=C399), 0)), "")</f>
        <v>0</v>
      </c>
      <c r="E399" cm="1">
        <f t="array" aca="1" ref="E399" ca="1">IFERROR(INDEX(ft_medicos_clinicos!$C:$C, MATCH(1, (VALUE(LEFT(ft_medicos_clinicos!$A:$A,6))=VALUE(LEFT(B399,6)))*(ft_medicos_clinicos!$B:$B=C399), 0)), "")</f>
        <v>765</v>
      </c>
      <c r="F399" cm="1">
        <f t="array" aca="1" ref="F399" ca="1">IFERROR(INDEX(ft_enfermeiros!$C:$C, MATCH(1, (VALUE(LEFT(ft_enfermeiros!$A:$A,6))=VALUE(LEFT(B399,6)))*(ft_enfermeiros!$B:$B=C399), 0)), "")</f>
        <v>2040</v>
      </c>
      <c r="G399" cm="1">
        <f t="array" aca="1" ref="G399" ca="1">IFERROR(INDEX(ft_equipes_acs!$C:$C, MATCH(1, (VALUE(LEFT(ft_equipes_acs!$A:$A,6))=VALUE(LEFT(B399,6)))*(ft_equipes_acs!$B:$B=C399), 0)), "")</f>
        <v>9</v>
      </c>
      <c r="H399" cm="1">
        <f t="array" aca="1" ref="H399" ca="1">IFERROR(INDEX(ci_leitos_internacao!$C:$C, MATCH(1, (VALUE(LEFT(ci_leitos_internacao!$A:$A,6))=VALUE(LEFT(B399,6)))*(ci_leitos_internacao!$B:$B=C399), 0)), "")</f>
        <v>2918</v>
      </c>
      <c r="I399" cm="1">
        <f t="array" aca="1" ref="I399" ca="1">IFERROR(INDEX(ci_hospitais_internacao!$C:$C, MATCH(1, (VALUE(LEFT(ci_hospitais_internacao!$A:$A,6))=VALUE(LEFT(B399,6)))*(ci_hospitais_internacao!$B:$B=C399), 0)), "")</f>
        <v>7</v>
      </c>
      <c r="J399" t="str" cm="1">
        <f t="array" aca="1" ref="J399" ca="1">IFERROR(INDEX(ci_pa_clinico!$C:$C, MATCH(1, (VALUE(LEFT(ci_pa_clinico!$A:$A,6))=VALUE(LEFT(B399,6)))*(ci_pa_clinico!$B:$B=C399), 0)), "")</f>
        <v/>
      </c>
      <c r="K399" cm="1">
        <f t="array" aca="1" ref="K399" ca="1">IFERROR(INDEX(aps_equipes_esf!$C:$C, MATCH(1, (VALUE(LEFT(aps_equipes_esf!$A:$A,6))=VALUE(LEFT(B399,6)))*(aps_equipes_esf!$B:$B=C399), 0)), "")</f>
        <v>86</v>
      </c>
      <c r="L399" cm="1">
        <f t="array" aca="1" ref="L399" ca="1">IFERROR(INDEX(casos!$C:$C, MATCH(1, (VALUE(LEFT(casos!$A:$A,6))=VALUE(LEFT(B399,6)))*(casos!$B:$B=C399), 0)), "")</f>
        <v>4051</v>
      </c>
      <c r="M399" cm="1">
        <f t="array" ref="M399">IFERROR(INDEX(srag!$D:$D, MATCH(1, (VALUE(LEFT(srag!$A:$A,6))=VALUE(LEFT(B399,6)))*(srag!$C:$C=C399), 0)), "")</f>
        <v>1216</v>
      </c>
      <c r="N399" cm="1">
        <f t="array" aca="1" ref="N399" ca="1">IFERROR(INDEX(fesp!$E:$E, MATCH(1, (VALUE(LEFT(fesp!$A:$A,6))=VALUE(LEFT(B399,6)))*(fesp!$C:$C=C399), 0)), "")</f>
        <v>338</v>
      </c>
      <c r="O399" cm="1">
        <f t="array" aca="1" ref="O399" ca="1">IFERROR(INDEX(fesp!$F:$F, MATCH(1, (VALUE(LEFT(fesp!$A:$A,6))=VALUE(LEFT(B399,6)))*(fesp!$C:$C=C399), 0)), "")</f>
        <v>13250</v>
      </c>
      <c r="P399" cm="1">
        <f t="array" aca="1" ref="P399" ca="1">IFERROR(INDEX(fesp!$G:$G, MATCH(1, (VALUE(LEFT(fesp!$A:$A,6))=VALUE(LEFT(B399,6)))*(fesp!$C:$C=C399), 0)), "")</f>
        <v>10607702</v>
      </c>
      <c r="Q399" cm="1">
        <f t="array" aca="1" ref="Q399" ca="1">IFERROR(INDEX(fesp!$H:$H, MATCH(1, (VALUE(LEFT(fesp!$A:$A,6))=VALUE(LEFT(B399,6)))*(fesp!$C:$C=C399), 0)), "")</f>
        <v>346</v>
      </c>
      <c r="R399" cm="1">
        <f t="array" aca="1" ref="R399" ca="1">IFERROR(INDEX(fesp!$I:$I, MATCH(1, (VALUE(LEFT(fesp!$A:$A,6))=VALUE(LEFT(B399,6)))*(fesp!$C:$C=C399), 0)), "")</f>
        <v>5155</v>
      </c>
      <c r="S399" cm="1">
        <f t="array" aca="1" ref="S399" ca="1">IFERROR(INDEX(fesp!$J:$J, MATCH(1, (VALUE(LEFT(fesp!$A:$A,6))=VALUE(LEFT(B399,6)))*(fesp!$C:$C=C399), 0)), "")</f>
        <v>530644</v>
      </c>
    </row>
    <row r="400" spans="1:19">
      <c r="A400" s="1" t="s">
        <v>27</v>
      </c>
      <c r="B400" s="3">
        <v>3509502</v>
      </c>
      <c r="C400" s="3">
        <v>2017</v>
      </c>
      <c r="D400" cm="1">
        <f t="array" ref="D400">IFERROR(INDEX(fesp!$D:$D, MATCH(1, (VALUE(LEFT(fesp!$A:$A,6))=VALUE(LEFT(B400,6)))*(fesp!$C:$C=C400), 0)), "")</f>
        <v>0</v>
      </c>
      <c r="E400" cm="1">
        <f t="array" aca="1" ref="E400" ca="1">IFERROR(INDEX(ft_medicos_clinicos!$C:$C, MATCH(1, (VALUE(LEFT(ft_medicos_clinicos!$A:$A,6))=VALUE(LEFT(B400,6)))*(ft_medicos_clinicos!$B:$B=C400), 0)), "")</f>
        <v>785</v>
      </c>
      <c r="F400" cm="1">
        <f t="array" aca="1" ref="F400" ca="1">IFERROR(INDEX(ft_enfermeiros!$C:$C, MATCH(1, (VALUE(LEFT(ft_enfermeiros!$A:$A,6))=VALUE(LEFT(B400,6)))*(ft_enfermeiros!$B:$B=C400), 0)), "")</f>
        <v>2045</v>
      </c>
      <c r="G400" cm="1">
        <f t="array" aca="1" ref="G400" ca="1">IFERROR(INDEX(ft_equipes_acs!$C:$C, MATCH(1, (VALUE(LEFT(ft_equipes_acs!$A:$A,6))=VALUE(LEFT(B400,6)))*(ft_equipes_acs!$B:$B=C400), 0)), "")</f>
        <v>14</v>
      </c>
      <c r="H400" cm="1">
        <f t="array" aca="1" ref="H400" ca="1">IFERROR(INDEX(ci_leitos_internacao!$C:$C, MATCH(1, (VALUE(LEFT(ci_leitos_internacao!$A:$A,6))=VALUE(LEFT(B400,6)))*(ci_leitos_internacao!$B:$B=C400), 0)), "")</f>
        <v>2749</v>
      </c>
      <c r="I400" cm="1">
        <f t="array" aca="1" ref="I400" ca="1">IFERROR(INDEX(ci_hospitais_internacao!$C:$C, MATCH(1, (VALUE(LEFT(ci_hospitais_internacao!$A:$A,6))=VALUE(LEFT(B400,6)))*(ci_hospitais_internacao!$B:$B=C400), 0)), "")</f>
        <v>7</v>
      </c>
      <c r="J400" t="str" cm="1">
        <f t="array" aca="1" ref="J400" ca="1">IFERROR(INDEX(ci_pa_clinico!$C:$C, MATCH(1, (VALUE(LEFT(ci_pa_clinico!$A:$A,6))=VALUE(LEFT(B400,6)))*(ci_pa_clinico!$B:$B=C400), 0)), "")</f>
        <v/>
      </c>
      <c r="K400" cm="1">
        <f t="array" aca="1" ref="K400" ca="1">IFERROR(INDEX(aps_equipes_esf!$C:$C, MATCH(1, (VALUE(LEFT(aps_equipes_esf!$A:$A,6))=VALUE(LEFT(B400,6)))*(aps_equipes_esf!$B:$B=C400), 0)), "")</f>
        <v>93</v>
      </c>
      <c r="L400" cm="1">
        <f t="array" aca="1" ref="L400" ca="1">IFERROR(INDEX(casos!$C:$C, MATCH(1, (VALUE(LEFT(casos!$A:$A,6))=VALUE(LEFT(B400,6)))*(casos!$B:$B=C400), 0)), "")</f>
        <v>392</v>
      </c>
      <c r="M400" cm="1">
        <f t="array" ref="M400">IFERROR(INDEX(srag!$D:$D, MATCH(1, (VALUE(LEFT(srag!$A:$A,6))=VALUE(LEFT(B400,6)))*(srag!$C:$C=C400), 0)), "")</f>
        <v>880</v>
      </c>
      <c r="N400" cm="1">
        <f t="array" aca="1" ref="N400" ca="1">IFERROR(INDEX(fesp!$E:$E, MATCH(1, (VALUE(LEFT(fesp!$A:$A,6))=VALUE(LEFT(B400,6)))*(fesp!$C:$C=C400), 0)), "")</f>
        <v>297</v>
      </c>
      <c r="O400" cm="1">
        <f t="array" aca="1" ref="O400" ca="1">IFERROR(INDEX(fesp!$F:$F, MATCH(1, (VALUE(LEFT(fesp!$A:$A,6))=VALUE(LEFT(B400,6)))*(fesp!$C:$C=C400), 0)), "")</f>
        <v>13698</v>
      </c>
      <c r="P400" cm="1">
        <f t="array" aca="1" ref="P400" ca="1">IFERROR(INDEX(fesp!$G:$G, MATCH(1, (VALUE(LEFT(fesp!$A:$A,6))=VALUE(LEFT(B400,6)))*(fesp!$C:$C=C400), 0)), "")</f>
        <v>8768670</v>
      </c>
      <c r="Q400" cm="1">
        <f t="array" aca="1" ref="Q400" ca="1">IFERROR(INDEX(fesp!$H:$H, MATCH(1, (VALUE(LEFT(fesp!$A:$A,6))=VALUE(LEFT(B400,6)))*(fesp!$C:$C=C400), 0)), "")</f>
        <v>222</v>
      </c>
      <c r="R400" cm="1">
        <f t="array" aca="1" ref="R400" ca="1">IFERROR(INDEX(fesp!$I:$I, MATCH(1, (VALUE(LEFT(fesp!$A:$A,6))=VALUE(LEFT(B400,6)))*(fesp!$C:$C=C400), 0)), "")</f>
        <v>15118</v>
      </c>
      <c r="S400" cm="1">
        <f t="array" aca="1" ref="S400" ca="1">IFERROR(INDEX(fesp!$J:$J, MATCH(1, (VALUE(LEFT(fesp!$A:$A,6))=VALUE(LEFT(B400,6)))*(fesp!$C:$C=C400), 0)), "")</f>
        <v>258886</v>
      </c>
    </row>
    <row r="401" spans="1:19">
      <c r="A401" s="1" t="s">
        <v>27</v>
      </c>
      <c r="B401" s="3" t="s">
        <v>26</v>
      </c>
      <c r="C401" s="3">
        <v>2018</v>
      </c>
      <c r="D401" cm="1">
        <f t="array" ref="D401">IFERROR(INDEX(fesp!$D:$D, MATCH(1, (VALUE(LEFT(fesp!$A:$A,6))=VALUE(LEFT(B401,6)))*(fesp!$C:$C=C401), 0)), "")</f>
        <v>0</v>
      </c>
      <c r="E401" cm="1">
        <f t="array" aca="1" ref="E401" ca="1">IFERROR(INDEX(ft_medicos_clinicos!$C:$C, MATCH(1, (VALUE(LEFT(ft_medicos_clinicos!$A:$A,6))=VALUE(LEFT(B401,6)))*(ft_medicos_clinicos!$B:$B=C401), 0)), "")</f>
        <v>795</v>
      </c>
      <c r="F401" cm="1">
        <f t="array" aca="1" ref="F401" ca="1">IFERROR(INDEX(ft_enfermeiros!$C:$C, MATCH(1, (VALUE(LEFT(ft_enfermeiros!$A:$A,6))=VALUE(LEFT(B401,6)))*(ft_enfermeiros!$B:$B=C401), 0)), "")</f>
        <v>2157</v>
      </c>
      <c r="G401" cm="1">
        <f t="array" aca="1" ref="G401" ca="1">IFERROR(INDEX(ft_equipes_acs!$C:$C, MATCH(1, (VALUE(LEFT(ft_equipes_acs!$A:$A,6))=VALUE(LEFT(B401,6)))*(ft_equipes_acs!$B:$B=C401), 0)), "")</f>
        <v>18</v>
      </c>
      <c r="H401" cm="1">
        <f t="array" aca="1" ref="H401" ca="1">IFERROR(INDEX(ci_leitos_internacao!$C:$C, MATCH(1, (VALUE(LEFT(ci_leitos_internacao!$A:$A,6))=VALUE(LEFT(B401,6)))*(ci_leitos_internacao!$B:$B=C401), 0)), "")</f>
        <v>2755</v>
      </c>
      <c r="I401" cm="1">
        <f t="array" aca="1" ref="I401" ca="1">IFERROR(INDEX(ci_hospitais_internacao!$C:$C, MATCH(1, (VALUE(LEFT(ci_hospitais_internacao!$A:$A,6))=VALUE(LEFT(B401,6)))*(ci_hospitais_internacao!$B:$B=C401), 0)), "")</f>
        <v>7</v>
      </c>
      <c r="J401" t="str" cm="1">
        <f t="array" aca="1" ref="J401" ca="1">IFERROR(INDEX(ci_pa_clinico!$C:$C, MATCH(1, (VALUE(LEFT(ci_pa_clinico!$A:$A,6))=VALUE(LEFT(B401,6)))*(ci_pa_clinico!$B:$B=C401), 0)), "")</f>
        <v/>
      </c>
      <c r="K401" cm="1">
        <f t="array" aca="1" ref="K401" ca="1">IFERROR(INDEX(aps_equipes_esf!$C:$C, MATCH(1, (VALUE(LEFT(aps_equipes_esf!$A:$A,6))=VALUE(LEFT(B401,6)))*(aps_equipes_esf!$B:$B=C401), 0)), "")</f>
        <v>79</v>
      </c>
      <c r="L401" cm="1">
        <f t="array" aca="1" ref="L401" ca="1">IFERROR(INDEX(casos!$C:$C, MATCH(1, (VALUE(LEFT(casos!$A:$A,6))=VALUE(LEFT(B401,6)))*(casos!$B:$B=C401), 0)), "")</f>
        <v>483</v>
      </c>
      <c r="M401" cm="1">
        <f t="array" ref="M401">IFERROR(INDEX(srag!$D:$D, MATCH(1, (VALUE(LEFT(srag!$A:$A,6))=VALUE(LEFT(B401,6)))*(srag!$C:$C=C401), 0)), "")</f>
        <v>1267</v>
      </c>
      <c r="N401" cm="1">
        <f t="array" aca="1" ref="N401" ca="1">IFERROR(INDEX(fesp!$E:$E, MATCH(1, (VALUE(LEFT(fesp!$A:$A,6))=VALUE(LEFT(B401,6)))*(fesp!$C:$C=C401), 0)), "")</f>
        <v>351</v>
      </c>
      <c r="O401" cm="1">
        <f t="array" aca="1" ref="O401" ca="1">IFERROR(INDEX(fesp!$F:$F, MATCH(1, (VALUE(LEFT(fesp!$A:$A,6))=VALUE(LEFT(B401,6)))*(fesp!$C:$C=C401), 0)), "")</f>
        <v>10124</v>
      </c>
      <c r="P401" cm="1">
        <f t="array" aca="1" ref="P401" ca="1">IFERROR(INDEX(fesp!$G:$G, MATCH(1, (VALUE(LEFT(fesp!$A:$A,6))=VALUE(LEFT(B401,6)))*(fesp!$C:$C=C401), 0)), "")</f>
        <v>8070201</v>
      </c>
      <c r="Q401" cm="1">
        <f t="array" aca="1" ref="Q401" ca="1">IFERROR(INDEX(fesp!$H:$H, MATCH(1, (VALUE(LEFT(fesp!$A:$A,6))=VALUE(LEFT(B401,6)))*(fesp!$C:$C=C401), 0)), "")</f>
        <v>183</v>
      </c>
      <c r="R401" cm="1">
        <f t="array" aca="1" ref="R401" ca="1">IFERROR(INDEX(fesp!$I:$I, MATCH(1, (VALUE(LEFT(fesp!$A:$A,6))=VALUE(LEFT(B401,6)))*(fesp!$C:$C=C401), 0)), "")</f>
        <v>612</v>
      </c>
      <c r="S401" cm="1">
        <f t="array" aca="1" ref="S401" ca="1">IFERROR(INDEX(fesp!$J:$J, MATCH(1, (VALUE(LEFT(fesp!$A:$A,6))=VALUE(LEFT(B401,6)))*(fesp!$C:$C=C401), 0)), "")</f>
        <v>14848</v>
      </c>
    </row>
    <row r="402" spans="1:19">
      <c r="A402" s="1" t="s">
        <v>27</v>
      </c>
      <c r="B402" s="3" t="s">
        <v>26</v>
      </c>
      <c r="C402" s="3">
        <v>2019</v>
      </c>
      <c r="D402" cm="1">
        <f t="array" ref="D402">IFERROR(INDEX(fesp!$D:$D, MATCH(1, (VALUE(LEFT(fesp!$A:$A,6))=VALUE(LEFT(B402,6)))*(fesp!$C:$C=C402), 0)), "")</f>
        <v>0</v>
      </c>
      <c r="E402" cm="1">
        <f t="array" aca="1" ref="E402" ca="1">IFERROR(INDEX(ft_medicos_clinicos!$C:$C, MATCH(1, (VALUE(LEFT(ft_medicos_clinicos!$A:$A,6))=VALUE(LEFT(B402,6)))*(ft_medicos_clinicos!$B:$B=C402), 0)), "")</f>
        <v>923</v>
      </c>
      <c r="F402" cm="1">
        <f t="array" aca="1" ref="F402" ca="1">IFERROR(INDEX(ft_enfermeiros!$C:$C, MATCH(1, (VALUE(LEFT(ft_enfermeiros!$A:$A,6))=VALUE(LEFT(B402,6)))*(ft_enfermeiros!$B:$B=C402), 0)), "")</f>
        <v>2233</v>
      </c>
      <c r="G402" cm="1">
        <f t="array" aca="1" ref="G402" ca="1">IFERROR(INDEX(ft_equipes_acs!$C:$C, MATCH(1, (VALUE(LEFT(ft_equipes_acs!$A:$A,6))=VALUE(LEFT(B402,6)))*(ft_equipes_acs!$B:$B=C402), 0)), "")</f>
        <v>38</v>
      </c>
      <c r="H402" cm="1">
        <f t="array" aca="1" ref="H402" ca="1">IFERROR(INDEX(ci_leitos_internacao!$C:$C, MATCH(1, (VALUE(LEFT(ci_leitos_internacao!$A:$A,6))=VALUE(LEFT(B402,6)))*(ci_leitos_internacao!$B:$B=C402), 0)), "")</f>
        <v>2578</v>
      </c>
      <c r="I402" cm="1">
        <f t="array" aca="1" ref="I402" ca="1">IFERROR(INDEX(ci_hospitais_internacao!$C:$C, MATCH(1, (VALUE(LEFT(ci_hospitais_internacao!$A:$A,6))=VALUE(LEFT(B402,6)))*(ci_hospitais_internacao!$B:$B=C402), 0)), "")</f>
        <v>7</v>
      </c>
      <c r="J402" t="str" cm="1">
        <f t="array" aca="1" ref="J402" ca="1">IFERROR(INDEX(ci_pa_clinico!$C:$C, MATCH(1, (VALUE(LEFT(ci_pa_clinico!$A:$A,6))=VALUE(LEFT(B402,6)))*(ci_pa_clinico!$B:$B=C402), 0)), "")</f>
        <v/>
      </c>
      <c r="K402" cm="1">
        <f t="array" aca="1" ref="K402" ca="1">IFERROR(INDEX(aps_equipes_esf!$C:$C, MATCH(1, (VALUE(LEFT(aps_equipes_esf!$A:$A,6))=VALUE(LEFT(B402,6)))*(aps_equipes_esf!$B:$B=C402), 0)), "")</f>
        <v>72</v>
      </c>
      <c r="L402" cm="1">
        <f t="array" aca="1" ref="L402" ca="1">IFERROR(INDEX(casos!$C:$C, MATCH(1, (VALUE(LEFT(casos!$A:$A,6))=VALUE(LEFT(B402,6)))*(casos!$B:$B=C402), 0)), "")</f>
        <v>27413</v>
      </c>
      <c r="M402" cm="1">
        <f t="array" ref="M402">IFERROR(INDEX(srag!$D:$D, MATCH(1, (VALUE(LEFT(srag!$A:$A,6))=VALUE(LEFT(B402,6)))*(srag!$C:$C=C402), 0)), "")</f>
        <v>1040</v>
      </c>
      <c r="N402" cm="1">
        <f t="array" aca="1" ref="N402" ca="1">IFERROR(INDEX(fesp!$E:$E, MATCH(1, (VALUE(LEFT(fesp!$A:$A,6))=VALUE(LEFT(B402,6)))*(fesp!$C:$C=C402), 0)), "")</f>
        <v>357</v>
      </c>
      <c r="O402" cm="1">
        <f t="array" aca="1" ref="O402" ca="1">IFERROR(INDEX(fesp!$F:$F, MATCH(1, (VALUE(LEFT(fesp!$A:$A,6))=VALUE(LEFT(B402,6)))*(fesp!$C:$C=C402), 0)), "")</f>
        <v>12733</v>
      </c>
      <c r="P402" cm="1">
        <f t="array" aca="1" ref="P402" ca="1">IFERROR(INDEX(fesp!$G:$G, MATCH(1, (VALUE(LEFT(fesp!$A:$A,6))=VALUE(LEFT(B402,6)))*(fesp!$C:$C=C402), 0)), "")</f>
        <v>8001623</v>
      </c>
      <c r="Q402" cm="1">
        <f t="array" aca="1" ref="Q402" ca="1">IFERROR(INDEX(fesp!$H:$H, MATCH(1, (VALUE(LEFT(fesp!$A:$A,6))=VALUE(LEFT(B402,6)))*(fesp!$C:$C=C402), 0)), "")</f>
        <v>156</v>
      </c>
      <c r="R402" cm="1">
        <f t="array" aca="1" ref="R402" ca="1">IFERROR(INDEX(fesp!$I:$I, MATCH(1, (VALUE(LEFT(fesp!$A:$A,6))=VALUE(LEFT(B402,6)))*(fesp!$C:$C=C402), 0)), "")</f>
        <v>97</v>
      </c>
      <c r="S402" cm="1">
        <f t="array" aca="1" ref="S402" ca="1">IFERROR(INDEX(fesp!$J:$J, MATCH(1, (VALUE(LEFT(fesp!$A:$A,6))=VALUE(LEFT(B402,6)))*(fesp!$C:$C=C402), 0)), "")</f>
        <v>1851</v>
      </c>
    </row>
    <row r="403" spans="1:19">
      <c r="A403" s="1" t="s">
        <v>27</v>
      </c>
      <c r="B403" s="3" t="s">
        <v>26</v>
      </c>
      <c r="C403" s="3">
        <v>2020</v>
      </c>
      <c r="D403" cm="1">
        <f t="array" ref="D403">IFERROR(INDEX(fesp!$D:$D, MATCH(1, (VALUE(LEFT(fesp!$A:$A,6))=VALUE(LEFT(B403,6)))*(fesp!$C:$C=C403), 0)), "")</f>
        <v>0</v>
      </c>
      <c r="E403" cm="1">
        <f t="array" aca="1" ref="E403" ca="1">IFERROR(INDEX(ft_medicos_clinicos!$C:$C, MATCH(1, (VALUE(LEFT(ft_medicos_clinicos!$A:$A,6))=VALUE(LEFT(B403,6)))*(ft_medicos_clinicos!$B:$B=C403), 0)), "")</f>
        <v>976</v>
      </c>
      <c r="F403" cm="1">
        <f t="array" aca="1" ref="F403" ca="1">IFERROR(INDEX(ft_enfermeiros!$C:$C, MATCH(1, (VALUE(LEFT(ft_enfermeiros!$A:$A,6))=VALUE(LEFT(B403,6)))*(ft_enfermeiros!$B:$B=C403), 0)), "")</f>
        <v>2441</v>
      </c>
      <c r="G403" cm="1">
        <f t="array" aca="1" ref="G403" ca="1">IFERROR(INDEX(ft_equipes_acs!$C:$C, MATCH(1, (VALUE(LEFT(ft_equipes_acs!$A:$A,6))=VALUE(LEFT(B403,6)))*(ft_equipes_acs!$B:$B=C403), 0)), "")</f>
        <v>21</v>
      </c>
      <c r="H403" cm="1">
        <f t="array" aca="1" ref="H403" ca="1">IFERROR(INDEX(ci_leitos_internacao!$C:$C, MATCH(1, (VALUE(LEFT(ci_leitos_internacao!$A:$A,6))=VALUE(LEFT(B403,6)))*(ci_leitos_internacao!$B:$B=C403), 0)), "")</f>
        <v>2671</v>
      </c>
      <c r="I403" cm="1">
        <f t="array" aca="1" ref="I403" ca="1">IFERROR(INDEX(ci_hospitais_internacao!$C:$C, MATCH(1, (VALUE(LEFT(ci_hospitais_internacao!$A:$A,6))=VALUE(LEFT(B403,6)))*(ci_hospitais_internacao!$B:$B=C403), 0)), "")</f>
        <v>10</v>
      </c>
      <c r="J403" t="str" cm="1">
        <f t="array" aca="1" ref="J403" ca="1">IFERROR(INDEX(ci_pa_clinico!$C:$C, MATCH(1, (VALUE(LEFT(ci_pa_clinico!$A:$A,6))=VALUE(LEFT(B403,6)))*(ci_pa_clinico!$B:$B=C403), 0)), "")</f>
        <v/>
      </c>
      <c r="K403" cm="1">
        <f t="array" aca="1" ref="K403" ca="1">IFERROR(INDEX(aps_equipes_esf!$C:$C, MATCH(1, (VALUE(LEFT(aps_equipes_esf!$A:$A,6))=VALUE(LEFT(B403,6)))*(aps_equipes_esf!$B:$B=C403), 0)), "")</f>
        <v>4</v>
      </c>
      <c r="L403" cm="1">
        <f t="array" aca="1" ref="L403" ca="1">IFERROR(INDEX(casos!$C:$C, MATCH(1, (VALUE(LEFT(casos!$A:$A,6))=VALUE(LEFT(B403,6)))*(casos!$B:$B=C403), 0)), "")</f>
        <v>4348</v>
      </c>
      <c r="M403" cm="1">
        <f t="array" ref="M403">IFERROR(INDEX(srag!$D:$D, MATCH(1, (VALUE(LEFT(srag!$A:$A,6))=VALUE(LEFT(B403,6)))*(srag!$C:$C=C403), 0)), "")</f>
        <v>10458</v>
      </c>
      <c r="N403" cm="1">
        <f t="array" aca="1" ref="N403" ca="1">IFERROR(INDEX(fesp!$E:$E, MATCH(1, (VALUE(LEFT(fesp!$A:$A,6))=VALUE(LEFT(B403,6)))*(fesp!$C:$C=C403), 0)), "")</f>
        <v>332</v>
      </c>
      <c r="O403" cm="1">
        <f t="array" aca="1" ref="O403" ca="1">IFERROR(INDEX(fesp!$F:$F, MATCH(1, (VALUE(LEFT(fesp!$A:$A,6))=VALUE(LEFT(B403,6)))*(fesp!$C:$C=C403), 0)), "")</f>
        <v>6780</v>
      </c>
      <c r="P403" cm="1">
        <f t="array" aca="1" ref="P403" ca="1">IFERROR(INDEX(fesp!$G:$G, MATCH(1, (VALUE(LEFT(fesp!$A:$A,6))=VALUE(LEFT(B403,6)))*(fesp!$C:$C=C403), 0)), "")</f>
        <v>5855521</v>
      </c>
      <c r="Q403" cm="1">
        <f t="array" aca="1" ref="Q403" ca="1">IFERROR(INDEX(fesp!$H:$H, MATCH(1, (VALUE(LEFT(fesp!$A:$A,6))=VALUE(LEFT(B403,6)))*(fesp!$C:$C=C403), 0)), "")</f>
        <v>136</v>
      </c>
      <c r="R403" cm="1">
        <f t="array" aca="1" ref="R403" ca="1">IFERROR(INDEX(fesp!$I:$I, MATCH(1, (VALUE(LEFT(fesp!$A:$A,6))=VALUE(LEFT(B403,6)))*(fesp!$C:$C=C403), 0)), "")</f>
        <v>156</v>
      </c>
      <c r="S403" cm="1">
        <f t="array" aca="1" ref="S403" ca="1">IFERROR(INDEX(fesp!$J:$J, MATCH(1, (VALUE(LEFT(fesp!$A:$A,6))=VALUE(LEFT(B403,6)))*(fesp!$C:$C=C403), 0)), "")</f>
        <v>13</v>
      </c>
    </row>
    <row r="404" spans="1:19">
      <c r="A404" s="1" t="s">
        <v>27</v>
      </c>
      <c r="B404" s="3" t="s">
        <v>26</v>
      </c>
      <c r="C404" s="3">
        <v>2021</v>
      </c>
      <c r="D404" cm="1">
        <f t="array" ref="D404">IFERROR(INDEX(fesp!$D:$D, MATCH(1, (VALUE(LEFT(fesp!$A:$A,6))=VALUE(LEFT(B404,6)))*(fesp!$C:$C=C404), 0)), "")</f>
        <v>0</v>
      </c>
      <c r="E404" cm="1">
        <f t="array" aca="1" ref="E404" ca="1">IFERROR(INDEX(ft_medicos_clinicos!$C:$C, MATCH(1, (VALUE(LEFT(ft_medicos_clinicos!$A:$A,6))=VALUE(LEFT(B404,6)))*(ft_medicos_clinicos!$B:$B=C404), 0)), "")</f>
        <v>1112</v>
      </c>
      <c r="F404" cm="1">
        <f t="array" aca="1" ref="F404" ca="1">IFERROR(INDEX(ft_enfermeiros!$C:$C, MATCH(1, (VALUE(LEFT(ft_enfermeiros!$A:$A,6))=VALUE(LEFT(B404,6)))*(ft_enfermeiros!$B:$B=C404), 0)), "")</f>
        <v>2818</v>
      </c>
      <c r="G404" cm="1">
        <f t="array" aca="1" ref="G404" ca="1">IFERROR(INDEX(ft_equipes_acs!$C:$C, MATCH(1, (VALUE(LEFT(ft_equipes_acs!$A:$A,6))=VALUE(LEFT(B404,6)))*(ft_equipes_acs!$B:$B=C404), 0)), "")</f>
        <v>19</v>
      </c>
      <c r="H404" cm="1">
        <f t="array" aca="1" ref="H404" ca="1">IFERROR(INDEX(ci_leitos_internacao!$C:$C, MATCH(1, (VALUE(LEFT(ci_leitos_internacao!$A:$A,6))=VALUE(LEFT(B404,6)))*(ci_leitos_internacao!$B:$B=C404), 0)), "")</f>
        <v>2771</v>
      </c>
      <c r="I404" cm="1">
        <f t="array" aca="1" ref="I404" ca="1">IFERROR(INDEX(ci_hospitais_internacao!$C:$C, MATCH(1, (VALUE(LEFT(ci_hospitais_internacao!$A:$A,6))=VALUE(LEFT(B404,6)))*(ci_hospitais_internacao!$B:$B=C404), 0)), "")</f>
        <v>9</v>
      </c>
      <c r="J404" t="str" cm="1">
        <f t="array" aca="1" ref="J404" ca="1">IFERROR(INDEX(ci_pa_clinico!$C:$C, MATCH(1, (VALUE(LEFT(ci_pa_clinico!$A:$A,6))=VALUE(LEFT(B404,6)))*(ci_pa_clinico!$B:$B=C404), 0)), "")</f>
        <v/>
      </c>
      <c r="K404" cm="1">
        <f t="array" aca="1" ref="K404" ca="1">IFERROR(INDEX(aps_equipes_esf!$C:$C, MATCH(1, (VALUE(LEFT(aps_equipes_esf!$A:$A,6))=VALUE(LEFT(B404,6)))*(aps_equipes_esf!$B:$B=C404), 0)), "")</f>
        <v>3</v>
      </c>
      <c r="L404" cm="1">
        <f t="array" aca="1" ref="L404" ca="1">IFERROR(INDEX(casos!$C:$C, MATCH(1, (VALUE(LEFT(casos!$A:$A,6))=VALUE(LEFT(B404,6)))*(casos!$B:$B=C404), 0)), "")</f>
        <v>2619</v>
      </c>
      <c r="M404" cm="1">
        <f t="array" ref="M404">IFERROR(INDEX(srag!$D:$D, MATCH(1, (VALUE(LEFT(srag!$A:$A,6))=VALUE(LEFT(B404,6)))*(srag!$C:$C=C404), 0)), "")</f>
        <v>17401</v>
      </c>
      <c r="N404" cm="1">
        <f t="array" aca="1" ref="N404" ca="1">IFERROR(INDEX(fesp!$E:$E, MATCH(1, (VALUE(LEFT(fesp!$A:$A,6))=VALUE(LEFT(B404,6)))*(fesp!$C:$C=C404), 0)), "")</f>
        <v>376</v>
      </c>
      <c r="O404" cm="1">
        <f t="array" aca="1" ref="O404" ca="1">IFERROR(INDEX(fesp!$F:$F, MATCH(1, (VALUE(LEFT(fesp!$A:$A,6))=VALUE(LEFT(B404,6)))*(fesp!$C:$C=C404), 0)), "")</f>
        <v>10159</v>
      </c>
      <c r="P404" cm="1">
        <f t="array" aca="1" ref="P404" ca="1">IFERROR(INDEX(fesp!$G:$G, MATCH(1, (VALUE(LEFT(fesp!$A:$A,6))=VALUE(LEFT(B404,6)))*(fesp!$C:$C=C404), 0)), "")</f>
        <v>7375393</v>
      </c>
      <c r="Q404" cm="1">
        <f t="array" aca="1" ref="Q404" ca="1">IFERROR(INDEX(fesp!$H:$H, MATCH(1, (VALUE(LEFT(fesp!$A:$A,6))=VALUE(LEFT(B404,6)))*(fesp!$C:$C=C404), 0)), "")</f>
        <v>169</v>
      </c>
      <c r="R404" cm="1">
        <f t="array" aca="1" ref="R404" ca="1">IFERROR(INDEX(fesp!$I:$I, MATCH(1, (VALUE(LEFT(fesp!$A:$A,6))=VALUE(LEFT(B404,6)))*(fesp!$C:$C=C404), 0)), "")</f>
        <v>166</v>
      </c>
      <c r="S404" cm="1">
        <f t="array" aca="1" ref="S404" ca="1">IFERROR(INDEX(fesp!$J:$J, MATCH(1, (VALUE(LEFT(fesp!$A:$A,6))=VALUE(LEFT(B404,6)))*(fesp!$C:$C=C404), 0)), "")</f>
        <v>22</v>
      </c>
    </row>
    <row r="405" spans="1:19">
      <c r="A405" s="1" t="s">
        <v>27</v>
      </c>
      <c r="B405" s="3" t="s">
        <v>26</v>
      </c>
      <c r="C405" s="3">
        <v>2022</v>
      </c>
      <c r="D405" cm="1">
        <f t="array" ref="D405">IFERROR(INDEX(fesp!$D:$D, MATCH(1, (VALUE(LEFT(fesp!$A:$A,6))=VALUE(LEFT(B405,6)))*(fesp!$C:$C=C405), 0)), "")</f>
        <v>1139047</v>
      </c>
      <c r="E405" cm="1">
        <f t="array" aca="1" ref="E405" ca="1">IFERROR(INDEX(ft_medicos_clinicos!$C:$C, MATCH(1, (VALUE(LEFT(ft_medicos_clinicos!$A:$A,6))=VALUE(LEFT(B405,6)))*(ft_medicos_clinicos!$B:$B=C405), 0)), "")</f>
        <v>1277</v>
      </c>
      <c r="F405" cm="1">
        <f t="array" aca="1" ref="F405" ca="1">IFERROR(INDEX(ft_enfermeiros!$C:$C, MATCH(1, (VALUE(LEFT(ft_enfermeiros!$A:$A,6))=VALUE(LEFT(B405,6)))*(ft_enfermeiros!$B:$B=C405), 0)), "")</f>
        <v>2860</v>
      </c>
      <c r="G405" cm="1">
        <f t="array" aca="1" ref="G405" ca="1">IFERROR(INDEX(ft_equipes_acs!$C:$C, MATCH(1, (VALUE(LEFT(ft_equipes_acs!$A:$A,6))=VALUE(LEFT(B405,6)))*(ft_equipes_acs!$B:$B=C405), 0)), "")</f>
        <v>19</v>
      </c>
      <c r="H405" cm="1">
        <f t="array" aca="1" ref="H405" ca="1">IFERROR(INDEX(ci_leitos_internacao!$C:$C, MATCH(1, (VALUE(LEFT(ci_leitos_internacao!$A:$A,6))=VALUE(LEFT(B405,6)))*(ci_leitos_internacao!$B:$B=C405), 0)), "")</f>
        <v>2620</v>
      </c>
      <c r="I405" cm="1">
        <f t="array" aca="1" ref="I405" ca="1">IFERROR(INDEX(ci_hospitais_internacao!$C:$C, MATCH(1, (VALUE(LEFT(ci_hospitais_internacao!$A:$A,6))=VALUE(LEFT(B405,6)))*(ci_hospitais_internacao!$B:$B=C405), 0)), "")</f>
        <v>7</v>
      </c>
      <c r="J405" t="str" cm="1">
        <f t="array" aca="1" ref="J405" ca="1">IFERROR(INDEX(ci_pa_clinico!$C:$C, MATCH(1, (VALUE(LEFT(ci_pa_clinico!$A:$A,6))=VALUE(LEFT(B405,6)))*(ci_pa_clinico!$B:$B=C405), 0)), "")</f>
        <v/>
      </c>
      <c r="K405" cm="1">
        <f t="array" aca="1" ref="K405" ca="1">IFERROR(INDEX(aps_equipes_esf!$C:$C, MATCH(1, (VALUE(LEFT(aps_equipes_esf!$A:$A,6))=VALUE(LEFT(B405,6)))*(aps_equipes_esf!$B:$B=C405), 0)), "")</f>
        <v>3</v>
      </c>
      <c r="L405" cm="1">
        <f t="array" aca="1" ref="L405" ca="1">IFERROR(INDEX(casos!$C:$C, MATCH(1, (VALUE(LEFT(casos!$A:$A,6))=VALUE(LEFT(B405,6)))*(casos!$B:$B=C405), 0)), "")</f>
        <v>12446</v>
      </c>
      <c r="M405" cm="1">
        <f t="array" ref="M405">IFERROR(INDEX(srag!$D:$D, MATCH(1, (VALUE(LEFT(srag!$A:$A,6))=VALUE(LEFT(B405,6)))*(srag!$C:$C=C405), 0)), "")</f>
        <v>9496</v>
      </c>
      <c r="N405" cm="1">
        <f t="array" aca="1" ref="N405" ca="1">IFERROR(INDEX(fesp!$E:$E, MATCH(1, (VALUE(LEFT(fesp!$A:$A,6))=VALUE(LEFT(B405,6)))*(fesp!$C:$C=C405), 0)), "")</f>
        <v>326</v>
      </c>
      <c r="O405" cm="1">
        <f t="array" aca="1" ref="O405" ca="1">IFERROR(INDEX(fesp!$F:$F, MATCH(1, (VALUE(LEFT(fesp!$A:$A,6))=VALUE(LEFT(B405,6)))*(fesp!$C:$C=C405), 0)), "")</f>
        <v>13155</v>
      </c>
      <c r="P405" cm="1">
        <f t="array" aca="1" ref="P405" ca="1">IFERROR(INDEX(fesp!$G:$G, MATCH(1, (VALUE(LEFT(fesp!$A:$A,6))=VALUE(LEFT(B405,6)))*(fesp!$C:$C=C405), 0)), "")</f>
        <v>9060505</v>
      </c>
      <c r="Q405" cm="1">
        <f t="array" aca="1" ref="Q405" ca="1">IFERROR(INDEX(fesp!$H:$H, MATCH(1, (VALUE(LEFT(fesp!$A:$A,6))=VALUE(LEFT(B405,6)))*(fesp!$C:$C=C405), 0)), "")</f>
        <v>227</v>
      </c>
      <c r="R405" cm="1">
        <f t="array" aca="1" ref="R405" ca="1">IFERROR(INDEX(fesp!$I:$I, MATCH(1, (VALUE(LEFT(fesp!$A:$A,6))=VALUE(LEFT(B405,6)))*(fesp!$C:$C=C405), 0)), "")</f>
        <v>169</v>
      </c>
      <c r="S405" cm="1">
        <f t="array" aca="1" ref="S405" ca="1">IFERROR(INDEX(fesp!$J:$J, MATCH(1, (VALUE(LEFT(fesp!$A:$A,6))=VALUE(LEFT(B405,6)))*(fesp!$C:$C=C405), 0)), "")</f>
        <v>0</v>
      </c>
    </row>
    <row r="406" spans="1:19">
      <c r="A406" s="1" t="s">
        <v>27</v>
      </c>
      <c r="B406" s="3" t="s">
        <v>26</v>
      </c>
      <c r="C406" s="3">
        <v>2023</v>
      </c>
      <c r="D406" cm="1">
        <f t="array" ref="D406">IFERROR(INDEX(fesp!$D:$D, MATCH(1, (VALUE(LEFT(fesp!$A:$A,6))=VALUE(LEFT(B406,6)))*(fesp!$C:$C=C406), 0)), "")</f>
        <v>0</v>
      </c>
      <c r="E406" cm="1">
        <f t="array" aca="1" ref="E406" ca="1">IFERROR(INDEX(ft_medicos_clinicos!$C:$C, MATCH(1, (VALUE(LEFT(ft_medicos_clinicos!$A:$A,6))=VALUE(LEFT(B406,6)))*(ft_medicos_clinicos!$B:$B=C406), 0)), "")</f>
        <v>1331</v>
      </c>
      <c r="F406" cm="1">
        <f t="array" aca="1" ref="F406" ca="1">IFERROR(INDEX(ft_enfermeiros!$C:$C, MATCH(1, (VALUE(LEFT(ft_enfermeiros!$A:$A,6))=VALUE(LEFT(B406,6)))*(ft_enfermeiros!$B:$B=C406), 0)), "")</f>
        <v>2968</v>
      </c>
      <c r="G406" cm="1">
        <f t="array" aca="1" ref="G406" ca="1">IFERROR(INDEX(ft_equipes_acs!$C:$C, MATCH(1, (VALUE(LEFT(ft_equipes_acs!$A:$A,6))=VALUE(LEFT(B406,6)))*(ft_equipes_acs!$B:$B=C406), 0)), "")</f>
        <v>19</v>
      </c>
      <c r="H406" cm="1">
        <f t="array" aca="1" ref="H406" ca="1">IFERROR(INDEX(ci_leitos_internacao!$C:$C, MATCH(1, (VALUE(LEFT(ci_leitos_internacao!$A:$A,6))=VALUE(LEFT(B406,6)))*(ci_leitos_internacao!$B:$B=C406), 0)), "")</f>
        <v>2791</v>
      </c>
      <c r="I406" cm="1">
        <f t="array" aca="1" ref="I406" ca="1">IFERROR(INDEX(ci_hospitais_internacao!$C:$C, MATCH(1, (VALUE(LEFT(ci_hospitais_internacao!$A:$A,6))=VALUE(LEFT(B406,6)))*(ci_hospitais_internacao!$B:$B=C406), 0)), "")</f>
        <v>7</v>
      </c>
      <c r="J406" t="str" cm="1">
        <f t="array" aca="1" ref="J406" ca="1">IFERROR(INDEX(ci_pa_clinico!$C:$C, MATCH(1, (VALUE(LEFT(ci_pa_clinico!$A:$A,6))=VALUE(LEFT(B406,6)))*(ci_pa_clinico!$B:$B=C406), 0)), "")</f>
        <v/>
      </c>
      <c r="K406" cm="1">
        <f t="array" aca="1" ref="K406" ca="1">IFERROR(INDEX(aps_equipes_esf!$C:$C, MATCH(1, (VALUE(LEFT(aps_equipes_esf!$A:$A,6))=VALUE(LEFT(B406,6)))*(aps_equipes_esf!$B:$B=C406), 0)), "")</f>
        <v>3</v>
      </c>
      <c r="L406" cm="1">
        <f t="array" aca="1" ref="L406" ca="1">IFERROR(INDEX(casos!$C:$C, MATCH(1, (VALUE(LEFT(casos!$A:$A,6))=VALUE(LEFT(B406,6)))*(casos!$B:$B=C406), 0)), "")</f>
        <v>12081</v>
      </c>
      <c r="M406" cm="1">
        <f t="array" ref="M406">IFERROR(INDEX(srag!$D:$D, MATCH(1, (VALUE(LEFT(srag!$A:$A,6))=VALUE(LEFT(B406,6)))*(srag!$C:$C=C406), 0)), "")</f>
        <v>5512</v>
      </c>
      <c r="N406" cm="1">
        <f t="array" aca="1" ref="N406" ca="1">IFERROR(INDEX(fesp!$E:$E, MATCH(1, (VALUE(LEFT(fesp!$A:$A,6))=VALUE(LEFT(B406,6)))*(fesp!$C:$C=C406), 0)), "")</f>
        <v>348</v>
      </c>
      <c r="O406" cm="1">
        <f t="array" aca="1" ref="O406" ca="1">IFERROR(INDEX(fesp!$F:$F, MATCH(1, (VALUE(LEFT(fesp!$A:$A,6))=VALUE(LEFT(B406,6)))*(fesp!$C:$C=C406), 0)), "")</f>
        <v>15014</v>
      </c>
      <c r="P406" cm="1">
        <f t="array" aca="1" ref="P406" ca="1">IFERROR(INDEX(fesp!$G:$G, MATCH(1, (VALUE(LEFT(fesp!$A:$A,6))=VALUE(LEFT(B406,6)))*(fesp!$C:$C=C406), 0)), "")</f>
        <v>10502081</v>
      </c>
      <c r="Q406" cm="1">
        <f t="array" aca="1" ref="Q406" ca="1">IFERROR(INDEX(fesp!$H:$H, MATCH(1, (VALUE(LEFT(fesp!$A:$A,6))=VALUE(LEFT(B406,6)))*(fesp!$C:$C=C406), 0)), "")</f>
        <v>170</v>
      </c>
      <c r="R406" cm="1">
        <f t="array" aca="1" ref="R406" ca="1">IFERROR(INDEX(fesp!$I:$I, MATCH(1, (VALUE(LEFT(fesp!$A:$A,6))=VALUE(LEFT(B406,6)))*(fesp!$C:$C=C406), 0)), "")</f>
        <v>199</v>
      </c>
      <c r="S406" cm="1">
        <f t="array" aca="1" ref="S406" ca="1">IFERROR(INDEX(fesp!$J:$J, MATCH(1, (VALUE(LEFT(fesp!$A:$A,6))=VALUE(LEFT(B406,6)))*(fesp!$C:$C=C406), 0)), "")</f>
        <v>10279</v>
      </c>
    </row>
    <row r="407" spans="1:19">
      <c r="A407" s="1" t="s">
        <v>27</v>
      </c>
      <c r="B407" s="3" t="s">
        <v>26</v>
      </c>
      <c r="C407" s="3">
        <v>2024</v>
      </c>
      <c r="D407" cm="1">
        <f t="array" ref="D407">IFERROR(INDEX(fesp!$D:$D, MATCH(1, (VALUE(LEFT(fesp!$A:$A,6))=VALUE(LEFT(B407,6)))*(fesp!$C:$C=C407), 0)), "")</f>
        <v>0</v>
      </c>
      <c r="E407" cm="1">
        <f t="array" aca="1" ref="E407" ca="1">IFERROR(INDEX(ft_medicos_clinicos!$C:$C, MATCH(1, (VALUE(LEFT(ft_medicos_clinicos!$A:$A,6))=VALUE(LEFT(B407,6)))*(ft_medicos_clinicos!$B:$B=C407), 0)), "")</f>
        <v>1362</v>
      </c>
      <c r="F407" cm="1">
        <f t="array" aca="1" ref="F407" ca="1">IFERROR(INDEX(ft_enfermeiros!$C:$C, MATCH(1, (VALUE(LEFT(ft_enfermeiros!$A:$A,6))=VALUE(LEFT(B407,6)))*(ft_enfermeiros!$B:$B=C407), 0)), "")</f>
        <v>3082</v>
      </c>
      <c r="G407" cm="1">
        <f t="array" aca="1" ref="G407" ca="1">IFERROR(INDEX(ft_equipes_acs!$C:$C, MATCH(1, (VALUE(LEFT(ft_equipes_acs!$A:$A,6))=VALUE(LEFT(B407,6)))*(ft_equipes_acs!$B:$B=C407), 0)), "")</f>
        <v>18</v>
      </c>
      <c r="H407" cm="1">
        <f t="array" aca="1" ref="H407" ca="1">IFERROR(INDEX(ci_leitos_internacao!$C:$C, MATCH(1, (VALUE(LEFT(ci_leitos_internacao!$A:$A,6))=VALUE(LEFT(B407,6)))*(ci_leitos_internacao!$B:$B=C407), 0)), "")</f>
        <v>2846</v>
      </c>
      <c r="I407" cm="1">
        <f t="array" aca="1" ref="I407" ca="1">IFERROR(INDEX(ci_hospitais_internacao!$C:$C, MATCH(1, (VALUE(LEFT(ci_hospitais_internacao!$A:$A,6))=VALUE(LEFT(B407,6)))*(ci_hospitais_internacao!$B:$B=C407), 0)), "")</f>
        <v>7</v>
      </c>
      <c r="J407" t="str" cm="1">
        <f t="array" aca="1" ref="J407" ca="1">IFERROR(INDEX(ci_pa_clinico!$C:$C, MATCH(1, (VALUE(LEFT(ci_pa_clinico!$A:$A,6))=VALUE(LEFT(B407,6)))*(ci_pa_clinico!$B:$B=C407), 0)), "")</f>
        <v/>
      </c>
      <c r="K407" cm="1">
        <f t="array" aca="1" ref="K407" ca="1">IFERROR(INDEX(aps_equipes_esf!$C:$C, MATCH(1, (VALUE(LEFT(aps_equipes_esf!$A:$A,6))=VALUE(LEFT(B407,6)))*(aps_equipes_esf!$B:$B=C407), 0)), "")</f>
        <v>3</v>
      </c>
      <c r="L407" cm="1">
        <f t="array" aca="1" ref="L407" ca="1">IFERROR(INDEX(casos!$C:$C, MATCH(1, (VALUE(LEFT(casos!$A:$A,6))=VALUE(LEFT(B407,6)))*(casos!$B:$B=C407), 0)), "")</f>
        <v>128619</v>
      </c>
      <c r="M407" cm="1">
        <f t="array" ref="M407">IFERROR(INDEX(srag!$D:$D, MATCH(1, (VALUE(LEFT(srag!$A:$A,6))=VALUE(LEFT(B407,6)))*(srag!$C:$C=C407), 0)), "")</f>
        <v>5863</v>
      </c>
      <c r="N407" cm="1">
        <f t="array" aca="1" ref="N407" ca="1">IFERROR(INDEX(fesp!$E:$E, MATCH(1, (VALUE(LEFT(fesp!$A:$A,6))=VALUE(LEFT(B407,6)))*(fesp!$C:$C=C407), 0)), "")</f>
        <v>319</v>
      </c>
      <c r="O407" cm="1">
        <f t="array" aca="1" ref="O407" ca="1">IFERROR(INDEX(fesp!$F:$F, MATCH(1, (VALUE(LEFT(fesp!$A:$A,6))=VALUE(LEFT(B407,6)))*(fesp!$C:$C=C407), 0)), "")</f>
        <v>20806</v>
      </c>
      <c r="P407" cm="1">
        <f t="array" aca="1" ref="P407" ca="1">IFERROR(INDEX(fesp!$G:$G, MATCH(1, (VALUE(LEFT(fesp!$A:$A,6))=VALUE(LEFT(B407,6)))*(fesp!$C:$C=C407), 0)), "")</f>
        <v>11623812</v>
      </c>
      <c r="Q407" cm="1">
        <f t="array" aca="1" ref="Q407" ca="1">IFERROR(INDEX(fesp!$H:$H, MATCH(1, (VALUE(LEFT(fesp!$A:$A,6))=VALUE(LEFT(B407,6)))*(fesp!$C:$C=C407), 0)), "")</f>
        <v>115</v>
      </c>
      <c r="R407" cm="1">
        <f t="array" aca="1" ref="R407" ca="1">IFERROR(INDEX(fesp!$I:$I, MATCH(1, (VALUE(LEFT(fesp!$A:$A,6))=VALUE(LEFT(B407,6)))*(fesp!$C:$C=C407), 0)), "")</f>
        <v>174</v>
      </c>
      <c r="S407" cm="1">
        <f t="array" aca="1" ref="S407" ca="1">IFERROR(INDEX(fesp!$J:$J, MATCH(1, (VALUE(LEFT(fesp!$A:$A,6))=VALUE(LEFT(B407,6)))*(fesp!$C:$C=C407), 0)), "")</f>
        <v>21</v>
      </c>
    </row>
    <row r="408" spans="1:19">
      <c r="A408" s="1" t="s">
        <v>27</v>
      </c>
      <c r="B408" s="3">
        <v>3509502</v>
      </c>
      <c r="C408" s="3">
        <v>2025</v>
      </c>
      <c r="D408" cm="1">
        <f t="array" ref="D408">IFERROR(INDEX(fesp!$D:$D, MATCH(1, (VALUE(LEFT(fesp!$A:$A,6))=VALUE(LEFT(B408,6)))*(fesp!$C:$C=C408), 0)), "")</f>
        <v>0</v>
      </c>
      <c r="E408" cm="1">
        <f t="array" aca="1" ref="E408" ca="1">IFERROR(INDEX(ft_medicos_clinicos!$C:$C, MATCH(1, (VALUE(LEFT(ft_medicos_clinicos!$A:$A,6))=VALUE(LEFT(B408,6)))*(ft_medicos_clinicos!$B:$B=C408), 0)), "")</f>
        <v>1485</v>
      </c>
      <c r="F408" cm="1">
        <f t="array" aca="1" ref="F408" ca="1">IFERROR(INDEX(ft_enfermeiros!$C:$C, MATCH(1, (VALUE(LEFT(ft_enfermeiros!$A:$A,6))=VALUE(LEFT(B408,6)))*(ft_enfermeiros!$B:$B=C408), 0)), "")</f>
        <v>3235</v>
      </c>
      <c r="G408" cm="1">
        <f t="array" aca="1" ref="G408" ca="1">IFERROR(INDEX(ft_equipes_acs!$C:$C, MATCH(1, (VALUE(LEFT(ft_equipes_acs!$A:$A,6))=VALUE(LEFT(B408,6)))*(ft_equipes_acs!$B:$B=C408), 0)), "")</f>
        <v>18</v>
      </c>
      <c r="H408" cm="1">
        <f t="array" aca="1" ref="H408" ca="1">IFERROR(INDEX(ci_leitos_internacao!$C:$C, MATCH(1, (VALUE(LEFT(ci_leitos_internacao!$A:$A,6))=VALUE(LEFT(B408,6)))*(ci_leitos_internacao!$B:$B=C408), 0)), "")</f>
        <v>2843</v>
      </c>
      <c r="I408" cm="1">
        <f t="array" aca="1" ref="I408" ca="1">IFERROR(INDEX(ci_hospitais_internacao!$C:$C, MATCH(1, (VALUE(LEFT(ci_hospitais_internacao!$A:$A,6))=VALUE(LEFT(B408,6)))*(ci_hospitais_internacao!$B:$B=C408), 0)), "")</f>
        <v>7</v>
      </c>
      <c r="J408" t="str" cm="1">
        <f t="array" aca="1" ref="J408" ca="1">IFERROR(INDEX(ci_pa_clinico!$C:$C, MATCH(1, (VALUE(LEFT(ci_pa_clinico!$A:$A,6))=VALUE(LEFT(B408,6)))*(ci_pa_clinico!$B:$B=C408), 0)), "")</f>
        <v/>
      </c>
      <c r="K408" cm="1">
        <f t="array" aca="1" ref="K408" ca="1">IFERROR(INDEX(aps_equipes_esf!$C:$C, MATCH(1, (VALUE(LEFT(aps_equipes_esf!$A:$A,6))=VALUE(LEFT(B408,6)))*(aps_equipes_esf!$B:$B=C408), 0)), "")</f>
        <v>3</v>
      </c>
      <c r="L408" cm="1">
        <f t="array" aca="1" ref="L408" ca="1">IFERROR(INDEX(casos!$C:$C, MATCH(1, (VALUE(LEFT(casos!$A:$A,6))=VALUE(LEFT(B408,6)))*(casos!$B:$B=C408), 0)), "")</f>
        <v>50498</v>
      </c>
      <c r="M408" cm="1">
        <f t="array" ref="M408">IFERROR(INDEX(srag!$D:$D, MATCH(1, (VALUE(LEFT(srag!$A:$A,6))=VALUE(LEFT(B408,6)))*(srag!$C:$C=C408), 0)), "")</f>
        <v>5652</v>
      </c>
      <c r="N408" cm="1">
        <f t="array" aca="1" ref="N408" ca="1">IFERROR(INDEX(fesp!$E:$E, MATCH(1, (VALUE(LEFT(fesp!$A:$A,6))=VALUE(LEFT(B408,6)))*(fesp!$C:$C=C408), 0)), "")</f>
        <v>242</v>
      </c>
      <c r="O408" cm="1">
        <f t="array" aca="1" ref="O408" ca="1">IFERROR(INDEX(fesp!$F:$F, MATCH(1, (VALUE(LEFT(fesp!$A:$A,6))=VALUE(LEFT(B408,6)))*(fesp!$C:$C=C408), 0)), "")</f>
        <v>18701</v>
      </c>
      <c r="P408" cm="1">
        <f t="array" aca="1" ref="P408" ca="1">IFERROR(INDEX(fesp!$G:$G, MATCH(1, (VALUE(LEFT(fesp!$A:$A,6))=VALUE(LEFT(B408,6)))*(fesp!$C:$C=C408), 0)), "")</f>
        <v>8173593</v>
      </c>
      <c r="Q408" cm="1">
        <f t="array" aca="1" ref="Q408" ca="1">IFERROR(INDEX(fesp!$H:$H, MATCH(1, (VALUE(LEFT(fesp!$A:$A,6))=VALUE(LEFT(B408,6)))*(fesp!$C:$C=C408), 0)), "")</f>
        <v>127</v>
      </c>
      <c r="R408" cm="1">
        <f t="array" aca="1" ref="R408" ca="1">IFERROR(INDEX(fesp!$I:$I, MATCH(1, (VALUE(LEFT(fesp!$A:$A,6))=VALUE(LEFT(B408,6)))*(fesp!$C:$C=C408), 0)), "")</f>
        <v>0</v>
      </c>
      <c r="S408" cm="1">
        <f t="array" aca="1" ref="S408" ca="1">IFERROR(INDEX(fesp!$J:$J, MATCH(1, (VALUE(LEFT(fesp!$A:$A,6))=VALUE(LEFT(B408,6)))*(fesp!$C:$C=C408), 0)), "")</f>
        <v>0</v>
      </c>
    </row>
    <row r="409" spans="1:19">
      <c r="A409" s="1" t="s">
        <v>129</v>
      </c>
      <c r="B409" s="3">
        <v>3513801</v>
      </c>
      <c r="C409" s="3">
        <v>2015</v>
      </c>
      <c r="D409" cm="1">
        <f t="array" ref="D409">IFERROR(INDEX(fesp!$D:$D, MATCH(1, (VALUE(LEFT(fesp!$A:$A,6))=VALUE(LEFT(B409,6)))*(fesp!$C:$C=C409), 0)), "")</f>
        <v>412428</v>
      </c>
      <c r="E409" cm="1">
        <f t="array" aca="1" ref="E409" ca="1">IFERROR(INDEX(ft_medicos_clinicos!$C:$C, MATCH(1, (VALUE(LEFT(ft_medicos_clinicos!$A:$A,6))=VALUE(LEFT(B409,6)))*(ft_medicos_clinicos!$B:$B=C409), 0)), "")</f>
        <v>141</v>
      </c>
      <c r="F409" cm="1">
        <f t="array" aca="1" ref="F409" ca="1">IFERROR(INDEX(ft_enfermeiros!$C:$C, MATCH(1, (VALUE(LEFT(ft_enfermeiros!$A:$A,6))=VALUE(LEFT(B409,6)))*(ft_enfermeiros!$B:$B=C409), 0)), "")</f>
        <v>285</v>
      </c>
      <c r="G409" cm="1">
        <f t="array" aca="1" ref="G409" ca="1">IFERROR(INDEX(ft_equipes_acs!$C:$C, MATCH(1, (VALUE(LEFT(ft_equipes_acs!$A:$A,6))=VALUE(LEFT(B409,6)))*(ft_equipes_acs!$B:$B=C409), 0)), "")</f>
        <v>9</v>
      </c>
      <c r="H409" cm="1">
        <f t="array" aca="1" ref="H409" ca="1">IFERROR(INDEX(ci_leitos_internacao!$C:$C, MATCH(1, (VALUE(LEFT(ci_leitos_internacao!$A:$A,6))=VALUE(LEFT(B409,6)))*(ci_leitos_internacao!$B:$B=C409), 0)), "")</f>
        <v>635</v>
      </c>
      <c r="I409" cm="1">
        <f t="array" aca="1" ref="I409" ca="1">IFERROR(INDEX(ci_hospitais_internacao!$C:$C, MATCH(1, (VALUE(LEFT(ci_hospitais_internacao!$A:$A,6))=VALUE(LEFT(B409,6)))*(ci_hospitais_internacao!$B:$B=C409), 0)), "")</f>
        <v>3</v>
      </c>
      <c r="J409" cm="1">
        <f t="array" aca="1" ref="J409" ca="1">IFERROR(INDEX(ci_pa_clinico!$C:$C, MATCH(1, (VALUE(LEFT(ci_pa_clinico!$A:$A,6))=VALUE(LEFT(B409,6)))*(ci_pa_clinico!$B:$B=C409), 0)), "")</f>
        <v>4</v>
      </c>
      <c r="K409" cm="1">
        <f t="array" aca="1" ref="K409" ca="1">IFERROR(INDEX(aps_equipes_esf!$C:$C, MATCH(1, (VALUE(LEFT(aps_equipes_esf!$A:$A,6))=VALUE(LEFT(B409,6)))*(aps_equipes_esf!$B:$B=C409), 0)), "")</f>
        <v>24</v>
      </c>
      <c r="L409" cm="1">
        <f t="array" aca="1" ref="L409" ca="1">IFERROR(INDEX(casos!$C:$C, MATCH(1, (VALUE(LEFT(casos!$A:$A,6))=VALUE(LEFT(B409,6)))*(casos!$B:$B=C409), 0)), "")</f>
        <v>3587</v>
      </c>
      <c r="M409" cm="1">
        <f t="array" ref="M409">IFERROR(INDEX(srag!$D:$D, MATCH(1, (VALUE(LEFT(srag!$A:$A,6))=VALUE(LEFT(B409,6)))*(srag!$C:$C=C409), 0)), "")</f>
        <v>18</v>
      </c>
      <c r="N409" cm="1">
        <f t="array" aca="1" ref="N409" ca="1">IFERROR(INDEX(fesp!$E:$E, MATCH(1, (VALUE(LEFT(fesp!$A:$A,6))=VALUE(LEFT(B409,6)))*(fesp!$C:$C=C409), 0)), "")</f>
        <v>202</v>
      </c>
      <c r="O409" cm="1">
        <f t="array" aca="1" ref="O409" ca="1">IFERROR(INDEX(fesp!$F:$F, MATCH(1, (VALUE(LEFT(fesp!$A:$A,6))=VALUE(LEFT(B409,6)))*(fesp!$C:$C=C409), 0)), "")</f>
        <v>467</v>
      </c>
      <c r="P409" cm="1">
        <f t="array" aca="1" ref="P409" ca="1">IFERROR(INDEX(fesp!$G:$G, MATCH(1, (VALUE(LEFT(fesp!$A:$A,6))=VALUE(LEFT(B409,6)))*(fesp!$C:$C=C409), 0)), "")</f>
        <v>2465763</v>
      </c>
      <c r="Q409" cm="1">
        <f t="array" aca="1" ref="Q409" ca="1">IFERROR(INDEX(fesp!$H:$H, MATCH(1, (VALUE(LEFT(fesp!$A:$A,6))=VALUE(LEFT(B409,6)))*(fesp!$C:$C=C409), 0)), "")</f>
        <v>257</v>
      </c>
      <c r="R409" cm="1">
        <f t="array" aca="1" ref="R409" ca="1">IFERROR(INDEX(fesp!$I:$I, MATCH(1, (VALUE(LEFT(fesp!$A:$A,6))=VALUE(LEFT(B409,6)))*(fesp!$C:$C=C409), 0)), "")</f>
        <v>2998</v>
      </c>
      <c r="S409" cm="1">
        <f t="array" aca="1" ref="S409" ca="1">IFERROR(INDEX(fesp!$J:$J, MATCH(1, (VALUE(LEFT(fesp!$A:$A,6))=VALUE(LEFT(B409,6)))*(fesp!$C:$C=C409), 0)), "")</f>
        <v>151223</v>
      </c>
    </row>
    <row r="410" spans="1:19">
      <c r="A410" s="1" t="s">
        <v>129</v>
      </c>
      <c r="B410" s="3">
        <v>3513801</v>
      </c>
      <c r="C410" s="3">
        <v>2016</v>
      </c>
      <c r="D410" cm="1">
        <f t="array" ref="D410">IFERROR(INDEX(fesp!$D:$D, MATCH(1, (VALUE(LEFT(fesp!$A:$A,6))=VALUE(LEFT(B410,6)))*(fesp!$C:$C=C410), 0)), "")</f>
        <v>0</v>
      </c>
      <c r="E410" cm="1">
        <f t="array" aca="1" ref="E410" ca="1">IFERROR(INDEX(ft_medicos_clinicos!$C:$C, MATCH(1, (VALUE(LEFT(ft_medicos_clinicos!$A:$A,6))=VALUE(LEFT(B410,6)))*(ft_medicos_clinicos!$B:$B=C410), 0)), "")</f>
        <v>148</v>
      </c>
      <c r="F410" cm="1">
        <f t="array" aca="1" ref="F410" ca="1">IFERROR(INDEX(ft_enfermeiros!$C:$C, MATCH(1, (VALUE(LEFT(ft_enfermeiros!$A:$A,6))=VALUE(LEFT(B410,6)))*(ft_enfermeiros!$B:$B=C410), 0)), "")</f>
        <v>287</v>
      </c>
      <c r="G410" cm="1">
        <f t="array" aca="1" ref="G410" ca="1">IFERROR(INDEX(ft_equipes_acs!$C:$C, MATCH(1, (VALUE(LEFT(ft_equipes_acs!$A:$A,6))=VALUE(LEFT(B410,6)))*(ft_equipes_acs!$B:$B=C410), 0)), "")</f>
        <v>6</v>
      </c>
      <c r="H410" cm="1">
        <f t="array" aca="1" ref="H410" ca="1">IFERROR(INDEX(ci_leitos_internacao!$C:$C, MATCH(1, (VALUE(LEFT(ci_leitos_internacao!$A:$A,6))=VALUE(LEFT(B410,6)))*(ci_leitos_internacao!$B:$B=C410), 0)), "")</f>
        <v>635</v>
      </c>
      <c r="I410" cm="1">
        <f t="array" aca="1" ref="I410" ca="1">IFERROR(INDEX(ci_hospitais_internacao!$C:$C, MATCH(1, (VALUE(LEFT(ci_hospitais_internacao!$A:$A,6))=VALUE(LEFT(B410,6)))*(ci_hospitais_internacao!$B:$B=C410), 0)), "")</f>
        <v>3</v>
      </c>
      <c r="J410" cm="1">
        <f t="array" aca="1" ref="J410" ca="1">IFERROR(INDEX(ci_pa_clinico!$C:$C, MATCH(1, (VALUE(LEFT(ci_pa_clinico!$A:$A,6))=VALUE(LEFT(B410,6)))*(ci_pa_clinico!$B:$B=C410), 0)), "")</f>
        <v>4</v>
      </c>
      <c r="K410" cm="1">
        <f t="array" aca="1" ref="K410" ca="1">IFERROR(INDEX(aps_equipes_esf!$C:$C, MATCH(1, (VALUE(LEFT(aps_equipes_esf!$A:$A,6))=VALUE(LEFT(B410,6)))*(aps_equipes_esf!$B:$B=C410), 0)), "")</f>
        <v>25</v>
      </c>
      <c r="L410" cm="1">
        <f t="array" aca="1" ref="L410" ca="1">IFERROR(INDEX(casos!$C:$C, MATCH(1, (VALUE(LEFT(casos!$A:$A,6))=VALUE(LEFT(B410,6)))*(casos!$B:$B=C410), 0)), "")</f>
        <v>489</v>
      </c>
      <c r="M410" cm="1">
        <f t="array" ref="M410">IFERROR(INDEX(srag!$D:$D, MATCH(1, (VALUE(LEFT(srag!$A:$A,6))=VALUE(LEFT(B410,6)))*(srag!$C:$C=C410), 0)), "")</f>
        <v>162</v>
      </c>
      <c r="N410" cm="1">
        <f t="array" aca="1" ref="N410" ca="1">IFERROR(INDEX(fesp!$E:$E, MATCH(1, (VALUE(LEFT(fesp!$A:$A,6))=VALUE(LEFT(B410,6)))*(fesp!$C:$C=C410), 0)), "")</f>
        <v>168</v>
      </c>
      <c r="O410" cm="1">
        <f t="array" aca="1" ref="O410" ca="1">IFERROR(INDEX(fesp!$F:$F, MATCH(1, (VALUE(LEFT(fesp!$A:$A,6))=VALUE(LEFT(B410,6)))*(fesp!$C:$C=C410), 0)), "")</f>
        <v>450</v>
      </c>
      <c r="P410" cm="1">
        <f t="array" aca="1" ref="P410" ca="1">IFERROR(INDEX(fesp!$G:$G, MATCH(1, (VALUE(LEFT(fesp!$A:$A,6))=VALUE(LEFT(B410,6)))*(fesp!$C:$C=C410), 0)), "")</f>
        <v>2577858</v>
      </c>
      <c r="Q410" cm="1">
        <f t="array" aca="1" ref="Q410" ca="1">IFERROR(INDEX(fesp!$H:$H, MATCH(1, (VALUE(LEFT(fesp!$A:$A,6))=VALUE(LEFT(B410,6)))*(fesp!$C:$C=C410), 0)), "")</f>
        <v>315</v>
      </c>
      <c r="R410" cm="1">
        <f t="array" aca="1" ref="R410" ca="1">IFERROR(INDEX(fesp!$I:$I, MATCH(1, (VALUE(LEFT(fesp!$A:$A,6))=VALUE(LEFT(B410,6)))*(fesp!$C:$C=C410), 0)), "")</f>
        <v>1526</v>
      </c>
      <c r="S410" cm="1">
        <f t="array" aca="1" ref="S410" ca="1">IFERROR(INDEX(fesp!$J:$J, MATCH(1, (VALUE(LEFT(fesp!$A:$A,6))=VALUE(LEFT(B410,6)))*(fesp!$C:$C=C410), 0)), "")</f>
        <v>204841</v>
      </c>
    </row>
    <row r="411" spans="1:19">
      <c r="A411" s="1" t="s">
        <v>129</v>
      </c>
      <c r="B411" s="3" t="s">
        <v>128</v>
      </c>
      <c r="C411" s="3">
        <v>2017</v>
      </c>
      <c r="D411" cm="1">
        <f t="array" ref="D411">IFERROR(INDEX(fesp!$D:$D, MATCH(1, (VALUE(LEFT(fesp!$A:$A,6))=VALUE(LEFT(B411,6)))*(fesp!$C:$C=C411), 0)), "")</f>
        <v>0</v>
      </c>
      <c r="E411" cm="1">
        <f t="array" aca="1" ref="E411" ca="1">IFERROR(INDEX(ft_medicos_clinicos!$C:$C, MATCH(1, (VALUE(LEFT(ft_medicos_clinicos!$A:$A,6))=VALUE(LEFT(B411,6)))*(ft_medicos_clinicos!$B:$B=C411), 0)), "")</f>
        <v>169</v>
      </c>
      <c r="F411" cm="1">
        <f t="array" aca="1" ref="F411" ca="1">IFERROR(INDEX(ft_enfermeiros!$C:$C, MATCH(1, (VALUE(LEFT(ft_enfermeiros!$A:$A,6))=VALUE(LEFT(B411,6)))*(ft_enfermeiros!$B:$B=C411), 0)), "")</f>
        <v>276</v>
      </c>
      <c r="G411" t="str" cm="1">
        <f t="array" aca="1" ref="G411" ca="1">IFERROR(INDEX(ft_equipes_acs!$C:$C, MATCH(1, (VALUE(LEFT(ft_equipes_acs!$A:$A,6))=VALUE(LEFT(B411,6)))*(ft_equipes_acs!$B:$B=C411), 0)), "")</f>
        <v>-</v>
      </c>
      <c r="H411" cm="1">
        <f t="array" aca="1" ref="H411" ca="1">IFERROR(INDEX(ci_leitos_internacao!$C:$C, MATCH(1, (VALUE(LEFT(ci_leitos_internacao!$A:$A,6))=VALUE(LEFT(B411,6)))*(ci_leitos_internacao!$B:$B=C411), 0)), "")</f>
        <v>620</v>
      </c>
      <c r="I411" cm="1">
        <f t="array" aca="1" ref="I411" ca="1">IFERROR(INDEX(ci_hospitais_internacao!$C:$C, MATCH(1, (VALUE(LEFT(ci_hospitais_internacao!$A:$A,6))=VALUE(LEFT(B411,6)))*(ci_hospitais_internacao!$B:$B=C411), 0)), "")</f>
        <v>3</v>
      </c>
      <c r="J411" cm="1">
        <f t="array" aca="1" ref="J411" ca="1">IFERROR(INDEX(ci_pa_clinico!$C:$C, MATCH(1, (VALUE(LEFT(ci_pa_clinico!$A:$A,6))=VALUE(LEFT(B411,6)))*(ci_pa_clinico!$B:$B=C411), 0)), "")</f>
        <v>4</v>
      </c>
      <c r="K411" cm="1">
        <f t="array" aca="1" ref="K411" ca="1">IFERROR(INDEX(aps_equipes_esf!$C:$C, MATCH(1, (VALUE(LEFT(aps_equipes_esf!$A:$A,6))=VALUE(LEFT(B411,6)))*(aps_equipes_esf!$B:$B=C411), 0)), "")</f>
        <v>22</v>
      </c>
      <c r="L411" cm="1">
        <f t="array" aca="1" ref="L411" ca="1">IFERROR(INDEX(casos!$C:$C, MATCH(1, (VALUE(LEFT(casos!$A:$A,6))=VALUE(LEFT(B411,6)))*(casos!$B:$B=C411), 0)), "")</f>
        <v>21</v>
      </c>
      <c r="M411" cm="1">
        <f t="array" ref="M411">IFERROR(INDEX(srag!$D:$D, MATCH(1, (VALUE(LEFT(srag!$A:$A,6))=VALUE(LEFT(B411,6)))*(srag!$C:$C=C411), 0)), "")</f>
        <v>53</v>
      </c>
      <c r="N411" cm="1">
        <f t="array" aca="1" ref="N411" ca="1">IFERROR(INDEX(fesp!$E:$E, MATCH(1, (VALUE(LEFT(fesp!$A:$A,6))=VALUE(LEFT(B411,6)))*(fesp!$C:$C=C411), 0)), "")</f>
        <v>198</v>
      </c>
      <c r="O411" cm="1">
        <f t="array" aca="1" ref="O411" ca="1">IFERROR(INDEX(fesp!$F:$F, MATCH(1, (VALUE(LEFT(fesp!$A:$A,6))=VALUE(LEFT(B411,6)))*(fesp!$C:$C=C411), 0)), "")</f>
        <v>379</v>
      </c>
      <c r="P411" cm="1">
        <f t="array" aca="1" ref="P411" ca="1">IFERROR(INDEX(fesp!$G:$G, MATCH(1, (VALUE(LEFT(fesp!$A:$A,6))=VALUE(LEFT(B411,6)))*(fesp!$C:$C=C411), 0)), "")</f>
        <v>2799096</v>
      </c>
      <c r="Q411" cm="1">
        <f t="array" aca="1" ref="Q411" ca="1">IFERROR(INDEX(fesp!$H:$H, MATCH(1, (VALUE(LEFT(fesp!$A:$A,6))=VALUE(LEFT(B411,6)))*(fesp!$C:$C=C411), 0)), "")</f>
        <v>343</v>
      </c>
      <c r="R411" cm="1">
        <f t="array" aca="1" ref="R411" ca="1">IFERROR(INDEX(fesp!$I:$I, MATCH(1, (VALUE(LEFT(fesp!$A:$A,6))=VALUE(LEFT(B411,6)))*(fesp!$C:$C=C411), 0)), "")</f>
        <v>11929</v>
      </c>
      <c r="S411" cm="1">
        <f t="array" aca="1" ref="S411" ca="1">IFERROR(INDEX(fesp!$J:$J, MATCH(1, (VALUE(LEFT(fesp!$A:$A,6))=VALUE(LEFT(B411,6)))*(fesp!$C:$C=C411), 0)), "")</f>
        <v>111529</v>
      </c>
    </row>
    <row r="412" spans="1:19">
      <c r="A412" s="1" t="s">
        <v>129</v>
      </c>
      <c r="B412" s="3" t="s">
        <v>128</v>
      </c>
      <c r="C412" s="3">
        <v>2018</v>
      </c>
      <c r="D412" cm="1">
        <f t="array" ref="D412">IFERROR(INDEX(fesp!$D:$D, MATCH(1, (VALUE(LEFT(fesp!$A:$A,6))=VALUE(LEFT(B412,6)))*(fesp!$C:$C=C412), 0)), "")</f>
        <v>0</v>
      </c>
      <c r="E412" cm="1">
        <f t="array" aca="1" ref="E412" ca="1">IFERROR(INDEX(ft_medicos_clinicos!$C:$C, MATCH(1, (VALUE(LEFT(ft_medicos_clinicos!$A:$A,6))=VALUE(LEFT(B412,6)))*(ft_medicos_clinicos!$B:$B=C412), 0)), "")</f>
        <v>247</v>
      </c>
      <c r="F412" cm="1">
        <f t="array" aca="1" ref="F412" ca="1">IFERROR(INDEX(ft_enfermeiros!$C:$C, MATCH(1, (VALUE(LEFT(ft_enfermeiros!$A:$A,6))=VALUE(LEFT(B412,6)))*(ft_enfermeiros!$B:$B=C412), 0)), "")</f>
        <v>298</v>
      </c>
      <c r="G412" cm="1">
        <f t="array" aca="1" ref="G412" ca="1">IFERROR(INDEX(ft_equipes_acs!$C:$C, MATCH(1, (VALUE(LEFT(ft_equipes_acs!$A:$A,6))=VALUE(LEFT(B412,6)))*(ft_equipes_acs!$B:$B=C412), 0)), "")</f>
        <v>1</v>
      </c>
      <c r="H412" cm="1">
        <f t="array" aca="1" ref="H412" ca="1">IFERROR(INDEX(ci_leitos_internacao!$C:$C, MATCH(1, (VALUE(LEFT(ci_leitos_internacao!$A:$A,6))=VALUE(LEFT(B412,6)))*(ci_leitos_internacao!$B:$B=C412), 0)), "")</f>
        <v>634</v>
      </c>
      <c r="I412" cm="1">
        <f t="array" aca="1" ref="I412" ca="1">IFERROR(INDEX(ci_hospitais_internacao!$C:$C, MATCH(1, (VALUE(LEFT(ci_hospitais_internacao!$A:$A,6))=VALUE(LEFT(B412,6)))*(ci_hospitais_internacao!$B:$B=C412), 0)), "")</f>
        <v>3</v>
      </c>
      <c r="J412" cm="1">
        <f t="array" aca="1" ref="J412" ca="1">IFERROR(INDEX(ci_pa_clinico!$C:$C, MATCH(1, (VALUE(LEFT(ci_pa_clinico!$A:$A,6))=VALUE(LEFT(B412,6)))*(ci_pa_clinico!$B:$B=C412), 0)), "")</f>
        <v>4</v>
      </c>
      <c r="K412" cm="1">
        <f t="array" aca="1" ref="K412" ca="1">IFERROR(INDEX(aps_equipes_esf!$C:$C, MATCH(1, (VALUE(LEFT(aps_equipes_esf!$A:$A,6))=VALUE(LEFT(B412,6)))*(aps_equipes_esf!$B:$B=C412), 0)), "")</f>
        <v>36</v>
      </c>
      <c r="L412" cm="1">
        <f t="array" aca="1" ref="L412" ca="1">IFERROR(INDEX(casos!$C:$C, MATCH(1, (VALUE(LEFT(casos!$A:$A,6))=VALUE(LEFT(B412,6)))*(casos!$B:$B=C412), 0)), "")</f>
        <v>27</v>
      </c>
      <c r="M412" cm="1">
        <f t="array" ref="M412">IFERROR(INDEX(srag!$D:$D, MATCH(1, (VALUE(LEFT(srag!$A:$A,6))=VALUE(LEFT(B412,6)))*(srag!$C:$C=C412), 0)), "")</f>
        <v>99</v>
      </c>
      <c r="N412" cm="1">
        <f t="array" aca="1" ref="N412" ca="1">IFERROR(INDEX(fesp!$E:$E, MATCH(1, (VALUE(LEFT(fesp!$A:$A,6))=VALUE(LEFT(B412,6)))*(fesp!$C:$C=C412), 0)), "")</f>
        <v>223</v>
      </c>
      <c r="O412" cm="1">
        <f t="array" aca="1" ref="O412" ca="1">IFERROR(INDEX(fesp!$F:$F, MATCH(1, (VALUE(LEFT(fesp!$A:$A,6))=VALUE(LEFT(B412,6)))*(fesp!$C:$C=C412), 0)), "")</f>
        <v>405</v>
      </c>
      <c r="P412" cm="1">
        <f t="array" aca="1" ref="P412" ca="1">IFERROR(INDEX(fesp!$G:$G, MATCH(1, (VALUE(LEFT(fesp!$A:$A,6))=VALUE(LEFT(B412,6)))*(fesp!$C:$C=C412), 0)), "")</f>
        <v>2391821</v>
      </c>
      <c r="Q412" cm="1">
        <f t="array" aca="1" ref="Q412" ca="1">IFERROR(INDEX(fesp!$H:$H, MATCH(1, (VALUE(LEFT(fesp!$A:$A,6))=VALUE(LEFT(B412,6)))*(fesp!$C:$C=C412), 0)), "")</f>
        <v>330</v>
      </c>
      <c r="R412" cm="1">
        <f t="array" aca="1" ref="R412" ca="1">IFERROR(INDEX(fesp!$I:$I, MATCH(1, (VALUE(LEFT(fesp!$A:$A,6))=VALUE(LEFT(B412,6)))*(fesp!$C:$C=C412), 0)), "")</f>
        <v>0</v>
      </c>
      <c r="S412" cm="1">
        <f t="array" aca="1" ref="S412" ca="1">IFERROR(INDEX(fesp!$J:$J, MATCH(1, (VALUE(LEFT(fesp!$A:$A,6))=VALUE(LEFT(B412,6)))*(fesp!$C:$C=C412), 0)), "")</f>
        <v>0</v>
      </c>
    </row>
    <row r="413" spans="1:19">
      <c r="A413" s="1" t="s">
        <v>129</v>
      </c>
      <c r="B413" s="3" t="s">
        <v>128</v>
      </c>
      <c r="C413" s="3">
        <v>2019</v>
      </c>
      <c r="D413" cm="1">
        <f t="array" ref="D413">IFERROR(INDEX(fesp!$D:$D, MATCH(1, (VALUE(LEFT(fesp!$A:$A,6))=VALUE(LEFT(B413,6)))*(fesp!$C:$C=C413), 0)), "")</f>
        <v>0</v>
      </c>
      <c r="E413" cm="1">
        <f t="array" aca="1" ref="E413" ca="1">IFERROR(INDEX(ft_medicos_clinicos!$C:$C, MATCH(1, (VALUE(LEFT(ft_medicos_clinicos!$A:$A,6))=VALUE(LEFT(B413,6)))*(ft_medicos_clinicos!$B:$B=C413), 0)), "")</f>
        <v>261</v>
      </c>
      <c r="F413" cm="1">
        <f t="array" aca="1" ref="F413" ca="1">IFERROR(INDEX(ft_enfermeiros!$C:$C, MATCH(1, (VALUE(LEFT(ft_enfermeiros!$A:$A,6))=VALUE(LEFT(B413,6)))*(ft_enfermeiros!$B:$B=C413), 0)), "")</f>
        <v>318</v>
      </c>
      <c r="G413" t="str" cm="1">
        <f t="array" aca="1" ref="G413" ca="1">IFERROR(INDEX(ft_equipes_acs!$C:$C, MATCH(1, (VALUE(LEFT(ft_equipes_acs!$A:$A,6))=VALUE(LEFT(B413,6)))*(ft_equipes_acs!$B:$B=C413), 0)), "")</f>
        <v>-</v>
      </c>
      <c r="H413" cm="1">
        <f t="array" aca="1" ref="H413" ca="1">IFERROR(INDEX(ci_leitos_internacao!$C:$C, MATCH(1, (VALUE(LEFT(ci_leitos_internacao!$A:$A,6))=VALUE(LEFT(B413,6)))*(ci_leitos_internacao!$B:$B=C413), 0)), "")</f>
        <v>634</v>
      </c>
      <c r="I413" cm="1">
        <f t="array" aca="1" ref="I413" ca="1">IFERROR(INDEX(ci_hospitais_internacao!$C:$C, MATCH(1, (VALUE(LEFT(ci_hospitais_internacao!$A:$A,6))=VALUE(LEFT(B413,6)))*(ci_hospitais_internacao!$B:$B=C413), 0)), "")</f>
        <v>3</v>
      </c>
      <c r="J413" cm="1">
        <f t="array" aca="1" ref="J413" ca="1">IFERROR(INDEX(ci_pa_clinico!$C:$C, MATCH(1, (VALUE(LEFT(ci_pa_clinico!$A:$A,6))=VALUE(LEFT(B413,6)))*(ci_pa_clinico!$B:$B=C413), 0)), "")</f>
        <v>4</v>
      </c>
      <c r="K413" cm="1">
        <f t="array" aca="1" ref="K413" ca="1">IFERROR(INDEX(aps_equipes_esf!$C:$C, MATCH(1, (VALUE(LEFT(aps_equipes_esf!$A:$A,6))=VALUE(LEFT(B413,6)))*(aps_equipes_esf!$B:$B=C413), 0)), "")</f>
        <v>27</v>
      </c>
      <c r="L413" cm="1">
        <f t="array" aca="1" ref="L413" ca="1">IFERROR(INDEX(casos!$C:$C, MATCH(1, (VALUE(LEFT(casos!$A:$A,6))=VALUE(LEFT(B413,6)))*(casos!$B:$B=C413), 0)), "")</f>
        <v>496</v>
      </c>
      <c r="M413" cm="1">
        <f t="array" ref="M413">IFERROR(INDEX(srag!$D:$D, MATCH(1, (VALUE(LEFT(srag!$A:$A,6))=VALUE(LEFT(B413,6)))*(srag!$C:$C=C413), 0)), "")</f>
        <v>81</v>
      </c>
      <c r="N413" cm="1">
        <f t="array" aca="1" ref="N413" ca="1">IFERROR(INDEX(fesp!$E:$E, MATCH(1, (VALUE(LEFT(fesp!$A:$A,6))=VALUE(LEFT(B413,6)))*(fesp!$C:$C=C413), 0)), "")</f>
        <v>205</v>
      </c>
      <c r="O413" cm="1">
        <f t="array" aca="1" ref="O413" ca="1">IFERROR(INDEX(fesp!$F:$F, MATCH(1, (VALUE(LEFT(fesp!$A:$A,6))=VALUE(LEFT(B413,6)))*(fesp!$C:$C=C413), 0)), "")</f>
        <v>416</v>
      </c>
      <c r="P413" cm="1">
        <f t="array" aca="1" ref="P413" ca="1">IFERROR(INDEX(fesp!$G:$G, MATCH(1, (VALUE(LEFT(fesp!$A:$A,6))=VALUE(LEFT(B413,6)))*(fesp!$C:$C=C413), 0)), "")</f>
        <v>2495010</v>
      </c>
      <c r="Q413" cm="1">
        <f t="array" aca="1" ref="Q413" ca="1">IFERROR(INDEX(fesp!$H:$H, MATCH(1, (VALUE(LEFT(fesp!$A:$A,6))=VALUE(LEFT(B413,6)))*(fesp!$C:$C=C413), 0)), "")</f>
        <v>284</v>
      </c>
      <c r="R413" cm="1">
        <f t="array" aca="1" ref="R413" ca="1">IFERROR(INDEX(fesp!$I:$I, MATCH(1, (VALUE(LEFT(fesp!$A:$A,6))=VALUE(LEFT(B413,6)))*(fesp!$C:$C=C413), 0)), "")</f>
        <v>0</v>
      </c>
      <c r="S413" cm="1">
        <f t="array" aca="1" ref="S413" ca="1">IFERROR(INDEX(fesp!$J:$J, MATCH(1, (VALUE(LEFT(fesp!$A:$A,6))=VALUE(LEFT(B413,6)))*(fesp!$C:$C=C413), 0)), "")</f>
        <v>0</v>
      </c>
    </row>
    <row r="414" spans="1:19">
      <c r="A414" s="1" t="s">
        <v>129</v>
      </c>
      <c r="B414" s="3" t="s">
        <v>128</v>
      </c>
      <c r="C414" s="3">
        <v>2020</v>
      </c>
      <c r="D414" cm="1">
        <f t="array" ref="D414">IFERROR(INDEX(fesp!$D:$D, MATCH(1, (VALUE(LEFT(fesp!$A:$A,6))=VALUE(LEFT(B414,6)))*(fesp!$C:$C=C414), 0)), "")</f>
        <v>0</v>
      </c>
      <c r="E414" cm="1">
        <f t="array" aca="1" ref="E414" ca="1">IFERROR(INDEX(ft_medicos_clinicos!$C:$C, MATCH(1, (VALUE(LEFT(ft_medicos_clinicos!$A:$A,6))=VALUE(LEFT(B414,6)))*(ft_medicos_clinicos!$B:$B=C414), 0)), "")</f>
        <v>238</v>
      </c>
      <c r="F414" cm="1">
        <f t="array" aca="1" ref="F414" ca="1">IFERROR(INDEX(ft_enfermeiros!$C:$C, MATCH(1, (VALUE(LEFT(ft_enfermeiros!$A:$A,6))=VALUE(LEFT(B414,6)))*(ft_enfermeiros!$B:$B=C414), 0)), "")</f>
        <v>332</v>
      </c>
      <c r="G414" t="str" cm="1">
        <f t="array" aca="1" ref="G414" ca="1">IFERROR(INDEX(ft_equipes_acs!$C:$C, MATCH(1, (VALUE(LEFT(ft_equipes_acs!$A:$A,6))=VALUE(LEFT(B414,6)))*(ft_equipes_acs!$B:$B=C414), 0)), "")</f>
        <v>-</v>
      </c>
      <c r="H414" cm="1">
        <f t="array" aca="1" ref="H414" ca="1">IFERROR(INDEX(ci_leitos_internacao!$C:$C, MATCH(1, (VALUE(LEFT(ci_leitos_internacao!$A:$A,6))=VALUE(LEFT(B414,6)))*(ci_leitos_internacao!$B:$B=C414), 0)), "")</f>
        <v>642</v>
      </c>
      <c r="I414" cm="1">
        <f t="array" aca="1" ref="I414" ca="1">IFERROR(INDEX(ci_hospitais_internacao!$C:$C, MATCH(1, (VALUE(LEFT(ci_hospitais_internacao!$A:$A,6))=VALUE(LEFT(B414,6)))*(ci_hospitais_internacao!$B:$B=C414), 0)), "")</f>
        <v>3</v>
      </c>
      <c r="J414" cm="1">
        <f t="array" aca="1" ref="J414" ca="1">IFERROR(INDEX(ci_pa_clinico!$C:$C, MATCH(1, (VALUE(LEFT(ci_pa_clinico!$A:$A,6))=VALUE(LEFT(B414,6)))*(ci_pa_clinico!$B:$B=C414), 0)), "")</f>
        <v>4</v>
      </c>
      <c r="K414" t="str" cm="1">
        <f t="array" aca="1" ref="K414" ca="1">IFERROR(INDEX(aps_equipes_esf!$C:$C, MATCH(1, (VALUE(LEFT(aps_equipes_esf!$A:$A,6))=VALUE(LEFT(B414,6)))*(aps_equipes_esf!$B:$B=C414), 0)), "")</f>
        <v>-</v>
      </c>
      <c r="L414" cm="1">
        <f t="array" aca="1" ref="L414" ca="1">IFERROR(INDEX(casos!$C:$C, MATCH(1, (VALUE(LEFT(casos!$A:$A,6))=VALUE(LEFT(B414,6)))*(casos!$B:$B=C414), 0)), "")</f>
        <v>30</v>
      </c>
      <c r="M414" cm="1">
        <f t="array" ref="M414">IFERROR(INDEX(srag!$D:$D, MATCH(1, (VALUE(LEFT(srag!$A:$A,6))=VALUE(LEFT(B414,6)))*(srag!$C:$C=C414), 0)), "")</f>
        <v>4708</v>
      </c>
      <c r="N414" cm="1">
        <f t="array" aca="1" ref="N414" ca="1">IFERROR(INDEX(fesp!$E:$E, MATCH(1, (VALUE(LEFT(fesp!$A:$A,6))=VALUE(LEFT(B414,6)))*(fesp!$C:$C=C414), 0)), "")</f>
        <v>205</v>
      </c>
      <c r="O414" cm="1">
        <f t="array" aca="1" ref="O414" ca="1">IFERROR(INDEX(fesp!$F:$F, MATCH(1, (VALUE(LEFT(fesp!$A:$A,6))=VALUE(LEFT(B414,6)))*(fesp!$C:$C=C414), 0)), "")</f>
        <v>252</v>
      </c>
      <c r="P414" cm="1">
        <f t="array" aca="1" ref="P414" ca="1">IFERROR(INDEX(fesp!$G:$G, MATCH(1, (VALUE(LEFT(fesp!$A:$A,6))=VALUE(LEFT(B414,6)))*(fesp!$C:$C=C414), 0)), "")</f>
        <v>1728636</v>
      </c>
      <c r="Q414" cm="1">
        <f t="array" aca="1" ref="Q414" ca="1">IFERROR(INDEX(fesp!$H:$H, MATCH(1, (VALUE(LEFT(fesp!$A:$A,6))=VALUE(LEFT(B414,6)))*(fesp!$C:$C=C414), 0)), "")</f>
        <v>203</v>
      </c>
      <c r="R414" cm="1">
        <f t="array" aca="1" ref="R414" ca="1">IFERROR(INDEX(fesp!$I:$I, MATCH(1, (VALUE(LEFT(fesp!$A:$A,6))=VALUE(LEFT(B414,6)))*(fesp!$C:$C=C414), 0)), "")</f>
        <v>0</v>
      </c>
      <c r="S414" cm="1">
        <f t="array" aca="1" ref="S414" ca="1">IFERROR(INDEX(fesp!$J:$J, MATCH(1, (VALUE(LEFT(fesp!$A:$A,6))=VALUE(LEFT(B414,6)))*(fesp!$C:$C=C414), 0)), "")</f>
        <v>0</v>
      </c>
    </row>
    <row r="415" spans="1:19">
      <c r="A415" s="1" t="s">
        <v>129</v>
      </c>
      <c r="B415" s="3" t="s">
        <v>128</v>
      </c>
      <c r="C415" s="3">
        <v>2021</v>
      </c>
      <c r="D415" cm="1">
        <f t="array" ref="D415">IFERROR(INDEX(fesp!$D:$D, MATCH(1, (VALUE(LEFT(fesp!$A:$A,6))=VALUE(LEFT(B415,6)))*(fesp!$C:$C=C415), 0)), "")</f>
        <v>0</v>
      </c>
      <c r="E415" cm="1">
        <f t="array" aca="1" ref="E415" ca="1">IFERROR(INDEX(ft_medicos_clinicos!$C:$C, MATCH(1, (VALUE(LEFT(ft_medicos_clinicos!$A:$A,6))=VALUE(LEFT(B415,6)))*(ft_medicos_clinicos!$B:$B=C415), 0)), "")</f>
        <v>273</v>
      </c>
      <c r="F415" cm="1">
        <f t="array" aca="1" ref="F415" ca="1">IFERROR(INDEX(ft_enfermeiros!$C:$C, MATCH(1, (VALUE(LEFT(ft_enfermeiros!$A:$A,6))=VALUE(LEFT(B415,6)))*(ft_enfermeiros!$B:$B=C415), 0)), "")</f>
        <v>318</v>
      </c>
      <c r="G415" t="str" cm="1">
        <f t="array" aca="1" ref="G415" ca="1">IFERROR(INDEX(ft_equipes_acs!$C:$C, MATCH(1, (VALUE(LEFT(ft_equipes_acs!$A:$A,6))=VALUE(LEFT(B415,6)))*(ft_equipes_acs!$B:$B=C415), 0)), "")</f>
        <v>-</v>
      </c>
      <c r="H415" cm="1">
        <f t="array" aca="1" ref="H415" ca="1">IFERROR(INDEX(ci_leitos_internacao!$C:$C, MATCH(1, (VALUE(LEFT(ci_leitos_internacao!$A:$A,6))=VALUE(LEFT(B415,6)))*(ci_leitos_internacao!$B:$B=C415), 0)), "")</f>
        <v>638</v>
      </c>
      <c r="I415" cm="1">
        <f t="array" aca="1" ref="I415" ca="1">IFERROR(INDEX(ci_hospitais_internacao!$C:$C, MATCH(1, (VALUE(LEFT(ci_hospitais_internacao!$A:$A,6))=VALUE(LEFT(B415,6)))*(ci_hospitais_internacao!$B:$B=C415), 0)), "")</f>
        <v>3</v>
      </c>
      <c r="J415" cm="1">
        <f t="array" aca="1" ref="J415" ca="1">IFERROR(INDEX(ci_pa_clinico!$C:$C, MATCH(1, (VALUE(LEFT(ci_pa_clinico!$A:$A,6))=VALUE(LEFT(B415,6)))*(ci_pa_clinico!$B:$B=C415), 0)), "")</f>
        <v>4</v>
      </c>
      <c r="K415" t="str" cm="1">
        <f t="array" aca="1" ref="K415" ca="1">IFERROR(INDEX(aps_equipes_esf!$C:$C, MATCH(1, (VALUE(LEFT(aps_equipes_esf!$A:$A,6))=VALUE(LEFT(B415,6)))*(aps_equipes_esf!$B:$B=C415), 0)), "")</f>
        <v>-</v>
      </c>
      <c r="L415" cm="1">
        <f t="array" aca="1" ref="L415" ca="1">IFERROR(INDEX(casos!$C:$C, MATCH(1, (VALUE(LEFT(casos!$A:$A,6))=VALUE(LEFT(B415,6)))*(casos!$B:$B=C415), 0)), "")</f>
        <v>188</v>
      </c>
      <c r="M415" cm="1">
        <f t="array" ref="M415">IFERROR(INDEX(srag!$D:$D, MATCH(1, (VALUE(LEFT(srag!$A:$A,6))=VALUE(LEFT(B415,6)))*(srag!$C:$C=C415), 0)), "")</f>
        <v>4987</v>
      </c>
      <c r="N415" cm="1">
        <f t="array" aca="1" ref="N415" ca="1">IFERROR(INDEX(fesp!$E:$E, MATCH(1, (VALUE(LEFT(fesp!$A:$A,6))=VALUE(LEFT(B415,6)))*(fesp!$C:$C=C415), 0)), "")</f>
        <v>137</v>
      </c>
      <c r="O415" cm="1">
        <f t="array" aca="1" ref="O415" ca="1">IFERROR(INDEX(fesp!$F:$F, MATCH(1, (VALUE(LEFT(fesp!$A:$A,6))=VALUE(LEFT(B415,6)))*(fesp!$C:$C=C415), 0)), "")</f>
        <v>538</v>
      </c>
      <c r="P415" cm="1">
        <f t="array" aca="1" ref="P415" ca="1">IFERROR(INDEX(fesp!$G:$G, MATCH(1, (VALUE(LEFT(fesp!$A:$A,6))=VALUE(LEFT(B415,6)))*(fesp!$C:$C=C415), 0)), "")</f>
        <v>1890301</v>
      </c>
      <c r="Q415" cm="1">
        <f t="array" aca="1" ref="Q415" ca="1">IFERROR(INDEX(fesp!$H:$H, MATCH(1, (VALUE(LEFT(fesp!$A:$A,6))=VALUE(LEFT(B415,6)))*(fesp!$C:$C=C415), 0)), "")</f>
        <v>135</v>
      </c>
      <c r="R415" cm="1">
        <f t="array" aca="1" ref="R415" ca="1">IFERROR(INDEX(fesp!$I:$I, MATCH(1, (VALUE(LEFT(fesp!$A:$A,6))=VALUE(LEFT(B415,6)))*(fesp!$C:$C=C415), 0)), "")</f>
        <v>0</v>
      </c>
      <c r="S415" cm="1">
        <f t="array" aca="1" ref="S415" ca="1">IFERROR(INDEX(fesp!$J:$J, MATCH(1, (VALUE(LEFT(fesp!$A:$A,6))=VALUE(LEFT(B415,6)))*(fesp!$C:$C=C415), 0)), "")</f>
        <v>0</v>
      </c>
    </row>
    <row r="416" spans="1:19">
      <c r="A416" s="1" t="s">
        <v>129</v>
      </c>
      <c r="B416" s="3" t="s">
        <v>128</v>
      </c>
      <c r="C416" s="3">
        <v>2022</v>
      </c>
      <c r="D416" cm="1">
        <f t="array" ref="D416">IFERROR(INDEX(fesp!$D:$D, MATCH(1, (VALUE(LEFT(fesp!$A:$A,6))=VALUE(LEFT(B416,6)))*(fesp!$C:$C=C416), 0)), "")</f>
        <v>393237</v>
      </c>
      <c r="E416" cm="1">
        <f t="array" aca="1" ref="E416" ca="1">IFERROR(INDEX(ft_medicos_clinicos!$C:$C, MATCH(1, (VALUE(LEFT(ft_medicos_clinicos!$A:$A,6))=VALUE(LEFT(B416,6)))*(ft_medicos_clinicos!$B:$B=C416), 0)), "")</f>
        <v>344</v>
      </c>
      <c r="F416" cm="1">
        <f t="array" aca="1" ref="F416" ca="1">IFERROR(INDEX(ft_enfermeiros!$C:$C, MATCH(1, (VALUE(LEFT(ft_enfermeiros!$A:$A,6))=VALUE(LEFT(B416,6)))*(ft_enfermeiros!$B:$B=C416), 0)), "")</f>
        <v>394</v>
      </c>
      <c r="G416" t="str" cm="1">
        <f t="array" aca="1" ref="G416" ca="1">IFERROR(INDEX(ft_equipes_acs!$C:$C, MATCH(1, (VALUE(LEFT(ft_equipes_acs!$A:$A,6))=VALUE(LEFT(B416,6)))*(ft_equipes_acs!$B:$B=C416), 0)), "")</f>
        <v>-</v>
      </c>
      <c r="H416" cm="1">
        <f t="array" aca="1" ref="H416" ca="1">IFERROR(INDEX(ci_leitos_internacao!$C:$C, MATCH(1, (VALUE(LEFT(ci_leitos_internacao!$A:$A,6))=VALUE(LEFT(B416,6)))*(ci_leitos_internacao!$B:$B=C416), 0)), "")</f>
        <v>632</v>
      </c>
      <c r="I416" cm="1">
        <f t="array" aca="1" ref="I416" ca="1">IFERROR(INDEX(ci_hospitais_internacao!$C:$C, MATCH(1, (VALUE(LEFT(ci_hospitais_internacao!$A:$A,6))=VALUE(LEFT(B416,6)))*(ci_hospitais_internacao!$B:$B=C416), 0)), "")</f>
        <v>3</v>
      </c>
      <c r="J416" cm="1">
        <f t="array" aca="1" ref="J416" ca="1">IFERROR(INDEX(ci_pa_clinico!$C:$C, MATCH(1, (VALUE(LEFT(ci_pa_clinico!$A:$A,6))=VALUE(LEFT(B416,6)))*(ci_pa_clinico!$B:$B=C416), 0)), "")</f>
        <v>5</v>
      </c>
      <c r="K416" t="str" cm="1">
        <f t="array" aca="1" ref="K416" ca="1">IFERROR(INDEX(aps_equipes_esf!$C:$C, MATCH(1, (VALUE(LEFT(aps_equipes_esf!$A:$A,6))=VALUE(LEFT(B416,6)))*(aps_equipes_esf!$B:$B=C416), 0)), "")</f>
        <v>-</v>
      </c>
      <c r="L416" cm="1">
        <f t="array" aca="1" ref="L416" ca="1">IFERROR(INDEX(casos!$C:$C, MATCH(1, (VALUE(LEFT(casos!$A:$A,6))=VALUE(LEFT(B416,6)))*(casos!$B:$B=C416), 0)), "")</f>
        <v>179</v>
      </c>
      <c r="M416" cm="1">
        <f t="array" ref="M416">IFERROR(INDEX(srag!$D:$D, MATCH(1, (VALUE(LEFT(srag!$A:$A,6))=VALUE(LEFT(B416,6)))*(srag!$C:$C=C416), 0)), "")</f>
        <v>1652</v>
      </c>
      <c r="N416" cm="1">
        <f t="array" aca="1" ref="N416" ca="1">IFERROR(INDEX(fesp!$E:$E, MATCH(1, (VALUE(LEFT(fesp!$A:$A,6))=VALUE(LEFT(B416,6)))*(fesp!$C:$C=C416), 0)), "")</f>
        <v>160</v>
      </c>
      <c r="O416" cm="1">
        <f t="array" aca="1" ref="O416" ca="1">IFERROR(INDEX(fesp!$F:$F, MATCH(1, (VALUE(LEFT(fesp!$A:$A,6))=VALUE(LEFT(B416,6)))*(fesp!$C:$C=C416), 0)), "")</f>
        <v>705</v>
      </c>
      <c r="P416" cm="1">
        <f t="array" aca="1" ref="P416" ca="1">IFERROR(INDEX(fesp!$G:$G, MATCH(1, (VALUE(LEFT(fesp!$A:$A,6))=VALUE(LEFT(B416,6)))*(fesp!$C:$C=C416), 0)), "")</f>
        <v>2588163</v>
      </c>
      <c r="Q416" cm="1">
        <f t="array" aca="1" ref="Q416" ca="1">IFERROR(INDEX(fesp!$H:$H, MATCH(1, (VALUE(LEFT(fesp!$A:$A,6))=VALUE(LEFT(B416,6)))*(fesp!$C:$C=C416), 0)), "")</f>
        <v>189</v>
      </c>
      <c r="R416" cm="1">
        <f t="array" aca="1" ref="R416" ca="1">IFERROR(INDEX(fesp!$I:$I, MATCH(1, (VALUE(LEFT(fesp!$A:$A,6))=VALUE(LEFT(B416,6)))*(fesp!$C:$C=C416), 0)), "")</f>
        <v>0</v>
      </c>
      <c r="S416" cm="1">
        <f t="array" aca="1" ref="S416" ca="1">IFERROR(INDEX(fesp!$J:$J, MATCH(1, (VALUE(LEFT(fesp!$A:$A,6))=VALUE(LEFT(B416,6)))*(fesp!$C:$C=C416), 0)), "")</f>
        <v>0</v>
      </c>
    </row>
    <row r="417" spans="1:19">
      <c r="A417" s="1" t="s">
        <v>129</v>
      </c>
      <c r="B417" s="3" t="s">
        <v>128</v>
      </c>
      <c r="C417" s="3">
        <v>2023</v>
      </c>
      <c r="D417" cm="1">
        <f t="array" ref="D417">IFERROR(INDEX(fesp!$D:$D, MATCH(1, (VALUE(LEFT(fesp!$A:$A,6))=VALUE(LEFT(B417,6)))*(fesp!$C:$C=C417), 0)), "")</f>
        <v>0</v>
      </c>
      <c r="E417" cm="1">
        <f t="array" aca="1" ref="E417" ca="1">IFERROR(INDEX(ft_medicos_clinicos!$C:$C, MATCH(1, (VALUE(LEFT(ft_medicos_clinicos!$A:$A,6))=VALUE(LEFT(B417,6)))*(ft_medicos_clinicos!$B:$B=C417), 0)), "")</f>
        <v>381</v>
      </c>
      <c r="F417" cm="1">
        <f t="array" aca="1" ref="F417" ca="1">IFERROR(INDEX(ft_enfermeiros!$C:$C, MATCH(1, (VALUE(LEFT(ft_enfermeiros!$A:$A,6))=VALUE(LEFT(B417,6)))*(ft_enfermeiros!$B:$B=C417), 0)), "")</f>
        <v>409</v>
      </c>
      <c r="G417" t="str" cm="1">
        <f t="array" aca="1" ref="G417" ca="1">IFERROR(INDEX(ft_equipes_acs!$C:$C, MATCH(1, (VALUE(LEFT(ft_equipes_acs!$A:$A,6))=VALUE(LEFT(B417,6)))*(ft_equipes_acs!$B:$B=C417), 0)), "")</f>
        <v>-</v>
      </c>
      <c r="H417" cm="1">
        <f t="array" aca="1" ref="H417" ca="1">IFERROR(INDEX(ci_leitos_internacao!$C:$C, MATCH(1, (VALUE(LEFT(ci_leitos_internacao!$A:$A,6))=VALUE(LEFT(B417,6)))*(ci_leitos_internacao!$B:$B=C417), 0)), "")</f>
        <v>594</v>
      </c>
      <c r="I417" cm="1">
        <f t="array" aca="1" ref="I417" ca="1">IFERROR(INDEX(ci_hospitais_internacao!$C:$C, MATCH(1, (VALUE(LEFT(ci_hospitais_internacao!$A:$A,6))=VALUE(LEFT(B417,6)))*(ci_hospitais_internacao!$B:$B=C417), 0)), "")</f>
        <v>3</v>
      </c>
      <c r="J417" cm="1">
        <f t="array" aca="1" ref="J417" ca="1">IFERROR(INDEX(ci_pa_clinico!$C:$C, MATCH(1, (VALUE(LEFT(ci_pa_clinico!$A:$A,6))=VALUE(LEFT(B417,6)))*(ci_pa_clinico!$B:$B=C417), 0)), "")</f>
        <v>5</v>
      </c>
      <c r="K417" t="str" cm="1">
        <f t="array" aca="1" ref="K417" ca="1">IFERROR(INDEX(aps_equipes_esf!$C:$C, MATCH(1, (VALUE(LEFT(aps_equipes_esf!$A:$A,6))=VALUE(LEFT(B417,6)))*(aps_equipes_esf!$B:$B=C417), 0)), "")</f>
        <v>-</v>
      </c>
      <c r="L417" cm="1">
        <f t="array" aca="1" ref="L417" ca="1">IFERROR(INDEX(casos!$C:$C, MATCH(1, (VALUE(LEFT(casos!$A:$A,6))=VALUE(LEFT(B417,6)))*(casos!$B:$B=C417), 0)), "")</f>
        <v>192</v>
      </c>
      <c r="M417" cm="1">
        <f t="array" ref="M417">IFERROR(INDEX(srag!$D:$D, MATCH(1, (VALUE(LEFT(srag!$A:$A,6))=VALUE(LEFT(B417,6)))*(srag!$C:$C=C417), 0)), "")</f>
        <v>402</v>
      </c>
      <c r="N417" cm="1">
        <f t="array" aca="1" ref="N417" ca="1">IFERROR(INDEX(fesp!$E:$E, MATCH(1, (VALUE(LEFT(fesp!$A:$A,6))=VALUE(LEFT(B417,6)))*(fesp!$C:$C=C417), 0)), "")</f>
        <v>124</v>
      </c>
      <c r="O417" cm="1">
        <f t="array" aca="1" ref="O417" ca="1">IFERROR(INDEX(fesp!$F:$F, MATCH(1, (VALUE(LEFT(fesp!$A:$A,6))=VALUE(LEFT(B417,6)))*(fesp!$C:$C=C417), 0)), "")</f>
        <v>817</v>
      </c>
      <c r="P417" cm="1">
        <f t="array" aca="1" ref="P417" ca="1">IFERROR(INDEX(fesp!$G:$G, MATCH(1, (VALUE(LEFT(fesp!$A:$A,6))=VALUE(LEFT(B417,6)))*(fesp!$C:$C=C417), 0)), "")</f>
        <v>2869372</v>
      </c>
      <c r="Q417" cm="1">
        <f t="array" aca="1" ref="Q417" ca="1">IFERROR(INDEX(fesp!$H:$H, MATCH(1, (VALUE(LEFT(fesp!$A:$A,6))=VALUE(LEFT(B417,6)))*(fesp!$C:$C=C417), 0)), "")</f>
        <v>134</v>
      </c>
      <c r="R417" cm="1">
        <f t="array" aca="1" ref="R417" ca="1">IFERROR(INDEX(fesp!$I:$I, MATCH(1, (VALUE(LEFT(fesp!$A:$A,6))=VALUE(LEFT(B417,6)))*(fesp!$C:$C=C417), 0)), "")</f>
        <v>0</v>
      </c>
      <c r="S417" cm="1">
        <f t="array" aca="1" ref="S417" ca="1">IFERROR(INDEX(fesp!$J:$J, MATCH(1, (VALUE(LEFT(fesp!$A:$A,6))=VALUE(LEFT(B417,6)))*(fesp!$C:$C=C417), 0)), "")</f>
        <v>0</v>
      </c>
    </row>
    <row r="418" spans="1:19">
      <c r="A418" s="1" t="s">
        <v>129</v>
      </c>
      <c r="B418" s="3" t="s">
        <v>128</v>
      </c>
      <c r="C418" s="3">
        <v>2024</v>
      </c>
      <c r="D418" cm="1">
        <f t="array" ref="D418">IFERROR(INDEX(fesp!$D:$D, MATCH(1, (VALUE(LEFT(fesp!$A:$A,6))=VALUE(LEFT(B418,6)))*(fesp!$C:$C=C418), 0)), "")</f>
        <v>0</v>
      </c>
      <c r="E418" cm="1">
        <f t="array" aca="1" ref="E418" ca="1">IFERROR(INDEX(ft_medicos_clinicos!$C:$C, MATCH(1, (VALUE(LEFT(ft_medicos_clinicos!$A:$A,6))=VALUE(LEFT(B418,6)))*(ft_medicos_clinicos!$B:$B=C418), 0)), "")</f>
        <v>506</v>
      </c>
      <c r="F418" cm="1">
        <f t="array" aca="1" ref="F418" ca="1">IFERROR(INDEX(ft_enfermeiros!$C:$C, MATCH(1, (VALUE(LEFT(ft_enfermeiros!$A:$A,6))=VALUE(LEFT(B418,6)))*(ft_enfermeiros!$B:$B=C418), 0)), "")</f>
        <v>426</v>
      </c>
      <c r="G418" t="str" cm="1">
        <f t="array" aca="1" ref="G418" ca="1">IFERROR(INDEX(ft_equipes_acs!$C:$C, MATCH(1, (VALUE(LEFT(ft_equipes_acs!$A:$A,6))=VALUE(LEFT(B418,6)))*(ft_equipes_acs!$B:$B=C418), 0)), "")</f>
        <v>-</v>
      </c>
      <c r="H418" cm="1">
        <f t="array" aca="1" ref="H418" ca="1">IFERROR(INDEX(ci_leitos_internacao!$C:$C, MATCH(1, (VALUE(LEFT(ci_leitos_internacao!$A:$A,6))=VALUE(LEFT(B418,6)))*(ci_leitos_internacao!$B:$B=C418), 0)), "")</f>
        <v>488</v>
      </c>
      <c r="I418" cm="1">
        <f t="array" aca="1" ref="I418" ca="1">IFERROR(INDEX(ci_hospitais_internacao!$C:$C, MATCH(1, (VALUE(LEFT(ci_hospitais_internacao!$A:$A,6))=VALUE(LEFT(B418,6)))*(ci_hospitais_internacao!$B:$B=C418), 0)), "")</f>
        <v>3</v>
      </c>
      <c r="J418" cm="1">
        <f t="array" aca="1" ref="J418" ca="1">IFERROR(INDEX(ci_pa_clinico!$C:$C, MATCH(1, (VALUE(LEFT(ci_pa_clinico!$A:$A,6))=VALUE(LEFT(B418,6)))*(ci_pa_clinico!$B:$B=C418), 0)), "")</f>
        <v>6</v>
      </c>
      <c r="K418" t="str" cm="1">
        <f t="array" aca="1" ref="K418" ca="1">IFERROR(INDEX(aps_equipes_esf!$C:$C, MATCH(1, (VALUE(LEFT(aps_equipes_esf!$A:$A,6))=VALUE(LEFT(B418,6)))*(aps_equipes_esf!$B:$B=C418), 0)), "")</f>
        <v>-</v>
      </c>
      <c r="L418" cm="1">
        <f t="array" aca="1" ref="L418" ca="1">IFERROR(INDEX(casos!$C:$C, MATCH(1, (VALUE(LEFT(casos!$A:$A,6))=VALUE(LEFT(B418,6)))*(casos!$B:$B=C418), 0)), "")</f>
        <v>10248</v>
      </c>
      <c r="M418" cm="1">
        <f t="array" ref="M418">IFERROR(INDEX(srag!$D:$D, MATCH(1, (VALUE(LEFT(srag!$A:$A,6))=VALUE(LEFT(B418,6)))*(srag!$C:$C=C418), 0)), "")</f>
        <v>300</v>
      </c>
      <c r="N418" cm="1">
        <f t="array" aca="1" ref="N418" ca="1">IFERROR(INDEX(fesp!$E:$E, MATCH(1, (VALUE(LEFT(fesp!$A:$A,6))=VALUE(LEFT(B418,6)))*(fesp!$C:$C=C418), 0)), "")</f>
        <v>137</v>
      </c>
      <c r="O418" cm="1">
        <f t="array" aca="1" ref="O418" ca="1">IFERROR(INDEX(fesp!$F:$F, MATCH(1, (VALUE(LEFT(fesp!$A:$A,6))=VALUE(LEFT(B418,6)))*(fesp!$C:$C=C418), 0)), "")</f>
        <v>920</v>
      </c>
      <c r="P418" cm="1">
        <f t="array" aca="1" ref="P418" ca="1">IFERROR(INDEX(fesp!$G:$G, MATCH(1, (VALUE(LEFT(fesp!$A:$A,6))=VALUE(LEFT(B418,6)))*(fesp!$C:$C=C418), 0)), "")</f>
        <v>3064613</v>
      </c>
      <c r="Q418" cm="1">
        <f t="array" aca="1" ref="Q418" ca="1">IFERROR(INDEX(fesp!$H:$H, MATCH(1, (VALUE(LEFT(fesp!$A:$A,6))=VALUE(LEFT(B418,6)))*(fesp!$C:$C=C418), 0)), "")</f>
        <v>78</v>
      </c>
      <c r="R418" cm="1">
        <f t="array" aca="1" ref="R418" ca="1">IFERROR(INDEX(fesp!$I:$I, MATCH(1, (VALUE(LEFT(fesp!$A:$A,6))=VALUE(LEFT(B418,6)))*(fesp!$C:$C=C418), 0)), "")</f>
        <v>0</v>
      </c>
      <c r="S418" cm="1">
        <f t="array" aca="1" ref="S418" ca="1">IFERROR(INDEX(fesp!$J:$J, MATCH(1, (VALUE(LEFT(fesp!$A:$A,6))=VALUE(LEFT(B418,6)))*(fesp!$C:$C=C418), 0)), "")</f>
        <v>0</v>
      </c>
    </row>
    <row r="419" spans="1:19">
      <c r="A419" s="1" t="s">
        <v>129</v>
      </c>
      <c r="B419" s="3" t="s">
        <v>128</v>
      </c>
      <c r="C419" s="3">
        <v>2025</v>
      </c>
      <c r="D419" cm="1">
        <f t="array" ref="D419">IFERROR(INDEX(fesp!$D:$D, MATCH(1, (VALUE(LEFT(fesp!$A:$A,6))=VALUE(LEFT(B419,6)))*(fesp!$C:$C=C419), 0)), "")</f>
        <v>0</v>
      </c>
      <c r="E419" cm="1">
        <f t="array" aca="1" ref="E419" ca="1">IFERROR(INDEX(ft_medicos_clinicos!$C:$C, MATCH(1, (VALUE(LEFT(ft_medicos_clinicos!$A:$A,6))=VALUE(LEFT(B419,6)))*(ft_medicos_clinicos!$B:$B=C419), 0)), "")</f>
        <v>556</v>
      </c>
      <c r="F419" cm="1">
        <f t="array" aca="1" ref="F419" ca="1">IFERROR(INDEX(ft_enfermeiros!$C:$C, MATCH(1, (VALUE(LEFT(ft_enfermeiros!$A:$A,6))=VALUE(LEFT(B419,6)))*(ft_enfermeiros!$B:$B=C419), 0)), "")</f>
        <v>461</v>
      </c>
      <c r="G419" t="str" cm="1">
        <f t="array" aca="1" ref="G419" ca="1">IFERROR(INDEX(ft_equipes_acs!$C:$C, MATCH(1, (VALUE(LEFT(ft_equipes_acs!$A:$A,6))=VALUE(LEFT(B419,6)))*(ft_equipes_acs!$B:$B=C419), 0)), "")</f>
        <v>-</v>
      </c>
      <c r="H419" cm="1">
        <f t="array" aca="1" ref="H419" ca="1">IFERROR(INDEX(ci_leitos_internacao!$C:$C, MATCH(1, (VALUE(LEFT(ci_leitos_internacao!$A:$A,6))=VALUE(LEFT(B419,6)))*(ci_leitos_internacao!$B:$B=C419), 0)), "")</f>
        <v>471</v>
      </c>
      <c r="I419" cm="1">
        <f t="array" aca="1" ref="I419" ca="1">IFERROR(INDEX(ci_hospitais_internacao!$C:$C, MATCH(1, (VALUE(LEFT(ci_hospitais_internacao!$A:$A,6))=VALUE(LEFT(B419,6)))*(ci_hospitais_internacao!$B:$B=C419), 0)), "")</f>
        <v>3</v>
      </c>
      <c r="J419" cm="1">
        <f t="array" aca="1" ref="J419" ca="1">IFERROR(INDEX(ci_pa_clinico!$C:$C, MATCH(1, (VALUE(LEFT(ci_pa_clinico!$A:$A,6))=VALUE(LEFT(B419,6)))*(ci_pa_clinico!$B:$B=C419), 0)), "")</f>
        <v>6</v>
      </c>
      <c r="K419" t="str" cm="1">
        <f t="array" aca="1" ref="K419" ca="1">IFERROR(INDEX(aps_equipes_esf!$C:$C, MATCH(1, (VALUE(LEFT(aps_equipes_esf!$A:$A,6))=VALUE(LEFT(B419,6)))*(aps_equipes_esf!$B:$B=C419), 0)), "")</f>
        <v>-</v>
      </c>
      <c r="L419" cm="1">
        <f t="array" aca="1" ref="L419" ca="1">IFERROR(INDEX(casos!$C:$C, MATCH(1, (VALUE(LEFT(casos!$A:$A,6))=VALUE(LEFT(B419,6)))*(casos!$B:$B=C419), 0)), "")</f>
        <v>4482</v>
      </c>
      <c r="M419" cm="1">
        <f t="array" ref="M419">IFERROR(INDEX(srag!$D:$D, MATCH(1, (VALUE(LEFT(srag!$A:$A,6))=VALUE(LEFT(B419,6)))*(srag!$C:$C=C419), 0)), "")</f>
        <v>295</v>
      </c>
      <c r="N419" cm="1">
        <f t="array" aca="1" ref="N419" ca="1">IFERROR(INDEX(fesp!$E:$E, MATCH(1, (VALUE(LEFT(fesp!$A:$A,6))=VALUE(LEFT(B419,6)))*(fesp!$C:$C=C419), 0)), "")</f>
        <v>102</v>
      </c>
      <c r="O419" cm="1">
        <f t="array" aca="1" ref="O419" ca="1">IFERROR(INDEX(fesp!$F:$F, MATCH(1, (VALUE(LEFT(fesp!$A:$A,6))=VALUE(LEFT(B419,6)))*(fesp!$C:$C=C419), 0)), "")</f>
        <v>617</v>
      </c>
      <c r="P419" cm="1">
        <f t="array" aca="1" ref="P419" ca="1">IFERROR(INDEX(fesp!$G:$G, MATCH(1, (VALUE(LEFT(fesp!$A:$A,6))=VALUE(LEFT(B419,6)))*(fesp!$C:$C=C419), 0)), "")</f>
        <v>3213694</v>
      </c>
      <c r="Q419" cm="1">
        <f t="array" aca="1" ref="Q419" ca="1">IFERROR(INDEX(fesp!$H:$H, MATCH(1, (VALUE(LEFT(fesp!$A:$A,6))=VALUE(LEFT(B419,6)))*(fesp!$C:$C=C419), 0)), "")</f>
        <v>62</v>
      </c>
      <c r="R419" cm="1">
        <f t="array" aca="1" ref="R419" ca="1">IFERROR(INDEX(fesp!$I:$I, MATCH(1, (VALUE(LEFT(fesp!$A:$A,6))=VALUE(LEFT(B419,6)))*(fesp!$C:$C=C419), 0)), "")</f>
        <v>0</v>
      </c>
      <c r="S419" cm="1">
        <f t="array" aca="1" ref="S419" ca="1">IFERROR(INDEX(fesp!$J:$J, MATCH(1, (VALUE(LEFT(fesp!$A:$A,6))=VALUE(LEFT(B419,6)))*(fesp!$C:$C=C419), 0)), "")</f>
        <v>0</v>
      </c>
    </row>
    <row r="420" spans="1:19">
      <c r="A420" s="1" t="s">
        <v>25</v>
      </c>
      <c r="B420" s="3">
        <v>3518800</v>
      </c>
      <c r="C420" s="3">
        <v>2015</v>
      </c>
      <c r="D420" cm="1">
        <f t="array" ref="D420">IFERROR(INDEX(fesp!$D:$D, MATCH(1, (VALUE(LEFT(fesp!$A:$A,6))=VALUE(LEFT(B420,6)))*(fesp!$C:$C=C420), 0)), "")</f>
        <v>1324781</v>
      </c>
      <c r="E420" cm="1">
        <f t="array" aca="1" ref="E420" ca="1">IFERROR(INDEX(ft_medicos_clinicos!$C:$C, MATCH(1, (VALUE(LEFT(ft_medicos_clinicos!$A:$A,6))=VALUE(LEFT(B420,6)))*(ft_medicos_clinicos!$B:$B=C420), 0)), "")</f>
        <v>546</v>
      </c>
      <c r="F420" cm="1">
        <f t="array" aca="1" ref="F420" ca="1">IFERROR(INDEX(ft_enfermeiros!$C:$C, MATCH(1, (VALUE(LEFT(ft_enfermeiros!$A:$A,6))=VALUE(LEFT(B420,6)))*(ft_enfermeiros!$B:$B=C420), 0)), "")</f>
        <v>1044</v>
      </c>
      <c r="G420" cm="1">
        <f t="array" aca="1" ref="G420" ca="1">IFERROR(INDEX(ft_equipes_acs!$C:$C, MATCH(1, (VALUE(LEFT(ft_equipes_acs!$A:$A,6))=VALUE(LEFT(B420,6)))*(ft_equipes_acs!$B:$B=C420), 0)), "")</f>
        <v>26</v>
      </c>
      <c r="H420" cm="1">
        <f t="array" aca="1" ref="H420" ca="1">IFERROR(INDEX(ci_leitos_internacao!$C:$C, MATCH(1, (VALUE(LEFT(ci_leitos_internacao!$A:$A,6))=VALUE(LEFT(B420,6)))*(ci_leitos_internacao!$B:$B=C420), 0)), "")</f>
        <v>1847</v>
      </c>
      <c r="I420" cm="1">
        <f t="array" aca="1" ref="I420" ca="1">IFERROR(INDEX(ci_hospitais_internacao!$C:$C, MATCH(1, (VALUE(LEFT(ci_hospitais_internacao!$A:$A,6))=VALUE(LEFT(B420,6)))*(ci_hospitais_internacao!$B:$B=C420), 0)), "")</f>
        <v>5</v>
      </c>
      <c r="J420" t="str" cm="1">
        <f t="array" aca="1" ref="J420" ca="1">IFERROR(INDEX(ci_pa_clinico!$C:$C, MATCH(1, (VALUE(LEFT(ci_pa_clinico!$A:$A,6))=VALUE(LEFT(B420,6)))*(ci_pa_clinico!$B:$B=C420), 0)), "")</f>
        <v/>
      </c>
      <c r="K420" cm="1">
        <f t="array" aca="1" ref="K420" ca="1">IFERROR(INDEX(aps_equipes_esf!$C:$C, MATCH(1, (VALUE(LEFT(aps_equipes_esf!$A:$A,6))=VALUE(LEFT(B420,6)))*(aps_equipes_esf!$B:$B=C420), 0)), "")</f>
        <v>61</v>
      </c>
      <c r="L420" cm="1">
        <f t="array" aca="1" ref="L420" ca="1">IFERROR(INDEX(casos!$C:$C, MATCH(1, (VALUE(LEFT(casos!$A:$A,6))=VALUE(LEFT(B420,6)))*(casos!$B:$B=C420), 0)), "")</f>
        <v>22424</v>
      </c>
      <c r="M420" cm="1">
        <f t="array" ref="M420">IFERROR(INDEX(srag!$D:$D, MATCH(1, (VALUE(LEFT(srag!$A:$A,6))=VALUE(LEFT(B420,6)))*(srag!$C:$C=C420), 0)), "")</f>
        <v>68</v>
      </c>
      <c r="N420" cm="1">
        <f t="array" aca="1" ref="N420" ca="1">IFERROR(INDEX(fesp!$E:$E, MATCH(1, (VALUE(LEFT(fesp!$A:$A,6))=VALUE(LEFT(B420,6)))*(fesp!$C:$C=C420), 0)), "")</f>
        <v>298</v>
      </c>
      <c r="O420" cm="1">
        <f t="array" aca="1" ref="O420" ca="1">IFERROR(INDEX(fesp!$F:$F, MATCH(1, (VALUE(LEFT(fesp!$A:$A,6))=VALUE(LEFT(B420,6)))*(fesp!$C:$C=C420), 0)), "")</f>
        <v>2039</v>
      </c>
      <c r="P420" cm="1">
        <f t="array" aca="1" ref="P420" ca="1">IFERROR(INDEX(fesp!$G:$G, MATCH(1, (VALUE(LEFT(fesp!$A:$A,6))=VALUE(LEFT(B420,6)))*(fesp!$C:$C=C420), 0)), "")</f>
        <v>5335373</v>
      </c>
      <c r="Q420" cm="1">
        <f t="array" aca="1" ref="Q420" ca="1">IFERROR(INDEX(fesp!$H:$H, MATCH(1, (VALUE(LEFT(fesp!$A:$A,6))=VALUE(LEFT(B420,6)))*(fesp!$C:$C=C420), 0)), "")</f>
        <v>275</v>
      </c>
      <c r="R420" cm="1">
        <f t="array" aca="1" ref="R420" ca="1">IFERROR(INDEX(fesp!$I:$I, MATCH(1, (VALUE(LEFT(fesp!$A:$A,6))=VALUE(LEFT(B420,6)))*(fesp!$C:$C=C420), 0)), "")</f>
        <v>78045</v>
      </c>
      <c r="S420" cm="1">
        <f t="array" aca="1" ref="S420" ca="1">IFERROR(INDEX(fesp!$J:$J, MATCH(1, (VALUE(LEFT(fesp!$A:$A,6))=VALUE(LEFT(B420,6)))*(fesp!$C:$C=C420), 0)), "")</f>
        <v>665710</v>
      </c>
    </row>
    <row r="421" spans="1:19">
      <c r="A421" s="1" t="s">
        <v>25</v>
      </c>
      <c r="B421" s="3" t="s">
        <v>24</v>
      </c>
      <c r="C421" s="3">
        <v>2016</v>
      </c>
      <c r="D421" cm="1">
        <f t="array" ref="D421">IFERROR(INDEX(fesp!$D:$D, MATCH(1, (VALUE(LEFT(fesp!$A:$A,6))=VALUE(LEFT(B421,6)))*(fesp!$C:$C=C421), 0)), "")</f>
        <v>0</v>
      </c>
      <c r="E421" cm="1">
        <f t="array" aca="1" ref="E421" ca="1">IFERROR(INDEX(ft_medicos_clinicos!$C:$C, MATCH(1, (VALUE(LEFT(ft_medicos_clinicos!$A:$A,6))=VALUE(LEFT(B421,6)))*(ft_medicos_clinicos!$B:$B=C421), 0)), "")</f>
        <v>561</v>
      </c>
      <c r="F421" cm="1">
        <f t="array" aca="1" ref="F421" ca="1">IFERROR(INDEX(ft_enfermeiros!$C:$C, MATCH(1, (VALUE(LEFT(ft_enfermeiros!$A:$A,6))=VALUE(LEFT(B421,6)))*(ft_enfermeiros!$B:$B=C421), 0)), "")</f>
        <v>1137</v>
      </c>
      <c r="G421" cm="1">
        <f t="array" aca="1" ref="G421" ca="1">IFERROR(INDEX(ft_equipes_acs!$C:$C, MATCH(1, (VALUE(LEFT(ft_equipes_acs!$A:$A,6))=VALUE(LEFT(B421,6)))*(ft_equipes_acs!$B:$B=C421), 0)), "")</f>
        <v>33</v>
      </c>
      <c r="H421" cm="1">
        <f t="array" aca="1" ref="H421" ca="1">IFERROR(INDEX(ci_leitos_internacao!$C:$C, MATCH(1, (VALUE(LEFT(ci_leitos_internacao!$A:$A,6))=VALUE(LEFT(B421,6)))*(ci_leitos_internacao!$B:$B=C421), 0)), "")</f>
        <v>1909</v>
      </c>
      <c r="I421" cm="1">
        <f t="array" aca="1" ref="I421" ca="1">IFERROR(INDEX(ci_hospitais_internacao!$C:$C, MATCH(1, (VALUE(LEFT(ci_hospitais_internacao!$A:$A,6))=VALUE(LEFT(B421,6)))*(ci_hospitais_internacao!$B:$B=C421), 0)), "")</f>
        <v>5</v>
      </c>
      <c r="J421" t="str" cm="1">
        <f t="array" aca="1" ref="J421" ca="1">IFERROR(INDEX(ci_pa_clinico!$C:$C, MATCH(1, (VALUE(LEFT(ci_pa_clinico!$A:$A,6))=VALUE(LEFT(B421,6)))*(ci_pa_clinico!$B:$B=C421), 0)), "")</f>
        <v/>
      </c>
      <c r="K421" cm="1">
        <f t="array" aca="1" ref="K421" ca="1">IFERROR(INDEX(aps_equipes_esf!$C:$C, MATCH(1, (VALUE(LEFT(aps_equipes_esf!$A:$A,6))=VALUE(LEFT(B421,6)))*(aps_equipes_esf!$B:$B=C421), 0)), "")</f>
        <v>57</v>
      </c>
      <c r="L421" cm="1">
        <f t="array" aca="1" ref="L421" ca="1">IFERROR(INDEX(casos!$C:$C, MATCH(1, (VALUE(LEFT(casos!$A:$A,6))=VALUE(LEFT(B421,6)))*(casos!$B:$B=C421), 0)), "")</f>
        <v>1153</v>
      </c>
      <c r="M421" cm="1">
        <f t="array" ref="M421">IFERROR(INDEX(srag!$D:$D, MATCH(1, (VALUE(LEFT(srag!$A:$A,6))=VALUE(LEFT(B421,6)))*(srag!$C:$C=C421), 0)), "")</f>
        <v>565</v>
      </c>
      <c r="N421" cm="1">
        <f t="array" aca="1" ref="N421" ca="1">IFERROR(INDEX(fesp!$E:$E, MATCH(1, (VALUE(LEFT(fesp!$A:$A,6))=VALUE(LEFT(B421,6)))*(fesp!$C:$C=C421), 0)), "")</f>
        <v>286</v>
      </c>
      <c r="O421" cm="1">
        <f t="array" aca="1" ref="O421" ca="1">IFERROR(INDEX(fesp!$F:$F, MATCH(1, (VALUE(LEFT(fesp!$A:$A,6))=VALUE(LEFT(B421,6)))*(fesp!$C:$C=C421), 0)), "")</f>
        <v>1628</v>
      </c>
      <c r="P421" cm="1">
        <f t="array" aca="1" ref="P421" ca="1">IFERROR(INDEX(fesp!$G:$G, MATCH(1, (VALUE(LEFT(fesp!$A:$A,6))=VALUE(LEFT(B421,6)))*(fesp!$C:$C=C421), 0)), "")</f>
        <v>6121502</v>
      </c>
      <c r="Q421" cm="1">
        <f t="array" aca="1" ref="Q421" ca="1">IFERROR(INDEX(fesp!$H:$H, MATCH(1, (VALUE(LEFT(fesp!$A:$A,6))=VALUE(LEFT(B421,6)))*(fesp!$C:$C=C421), 0)), "")</f>
        <v>395</v>
      </c>
      <c r="R421" cm="1">
        <f t="array" aca="1" ref="R421" ca="1">IFERROR(INDEX(fesp!$I:$I, MATCH(1, (VALUE(LEFT(fesp!$A:$A,6))=VALUE(LEFT(B421,6)))*(fesp!$C:$C=C421), 0)), "")</f>
        <v>44204</v>
      </c>
      <c r="S421" cm="1">
        <f t="array" aca="1" ref="S421" ca="1">IFERROR(INDEX(fesp!$J:$J, MATCH(1, (VALUE(LEFT(fesp!$A:$A,6))=VALUE(LEFT(B421,6)))*(fesp!$C:$C=C421), 0)), "")</f>
        <v>495692</v>
      </c>
    </row>
    <row r="422" spans="1:19">
      <c r="A422" s="1" t="s">
        <v>25</v>
      </c>
      <c r="B422" s="3" t="s">
        <v>24</v>
      </c>
      <c r="C422" s="3">
        <v>2017</v>
      </c>
      <c r="D422" cm="1">
        <f t="array" ref="D422">IFERROR(INDEX(fesp!$D:$D, MATCH(1, (VALUE(LEFT(fesp!$A:$A,6))=VALUE(LEFT(B422,6)))*(fesp!$C:$C=C422), 0)), "")</f>
        <v>0</v>
      </c>
      <c r="E422" cm="1">
        <f t="array" aca="1" ref="E422" ca="1">IFERROR(INDEX(ft_medicos_clinicos!$C:$C, MATCH(1, (VALUE(LEFT(ft_medicos_clinicos!$A:$A,6))=VALUE(LEFT(B422,6)))*(ft_medicos_clinicos!$B:$B=C422), 0)), "")</f>
        <v>641</v>
      </c>
      <c r="F422" cm="1">
        <f t="array" aca="1" ref="F422" ca="1">IFERROR(INDEX(ft_enfermeiros!$C:$C, MATCH(1, (VALUE(LEFT(ft_enfermeiros!$A:$A,6))=VALUE(LEFT(B422,6)))*(ft_enfermeiros!$B:$B=C422), 0)), "")</f>
        <v>1288</v>
      </c>
      <c r="G422" cm="1">
        <f t="array" aca="1" ref="G422" ca="1">IFERROR(INDEX(ft_equipes_acs!$C:$C, MATCH(1, (VALUE(LEFT(ft_equipes_acs!$A:$A,6))=VALUE(LEFT(B422,6)))*(ft_equipes_acs!$B:$B=C422), 0)), "")</f>
        <v>33</v>
      </c>
      <c r="H422" cm="1">
        <f t="array" aca="1" ref="H422" ca="1">IFERROR(INDEX(ci_leitos_internacao!$C:$C, MATCH(1, (VALUE(LEFT(ci_leitos_internacao!$A:$A,6))=VALUE(LEFT(B422,6)))*(ci_leitos_internacao!$B:$B=C422), 0)), "")</f>
        <v>1991</v>
      </c>
      <c r="I422" cm="1">
        <f t="array" aca="1" ref="I422" ca="1">IFERROR(INDEX(ci_hospitais_internacao!$C:$C, MATCH(1, (VALUE(LEFT(ci_hospitais_internacao!$A:$A,6))=VALUE(LEFT(B422,6)))*(ci_hospitais_internacao!$B:$B=C422), 0)), "")</f>
        <v>5</v>
      </c>
      <c r="J422" t="str" cm="1">
        <f t="array" aca="1" ref="J422" ca="1">IFERROR(INDEX(ci_pa_clinico!$C:$C, MATCH(1, (VALUE(LEFT(ci_pa_clinico!$A:$A,6))=VALUE(LEFT(B422,6)))*(ci_pa_clinico!$B:$B=C422), 0)), "")</f>
        <v/>
      </c>
      <c r="K422" cm="1">
        <f t="array" aca="1" ref="K422" ca="1">IFERROR(INDEX(aps_equipes_esf!$C:$C, MATCH(1, (VALUE(LEFT(aps_equipes_esf!$A:$A,6))=VALUE(LEFT(B422,6)))*(aps_equipes_esf!$B:$B=C422), 0)), "")</f>
        <v>55</v>
      </c>
      <c r="L422" cm="1">
        <f t="array" aca="1" ref="L422" ca="1">IFERROR(INDEX(casos!$C:$C, MATCH(1, (VALUE(LEFT(casos!$A:$A,6))=VALUE(LEFT(B422,6)))*(casos!$B:$B=C422), 0)), "")</f>
        <v>364</v>
      </c>
      <c r="M422" cm="1">
        <f t="array" ref="M422">IFERROR(INDEX(srag!$D:$D, MATCH(1, (VALUE(LEFT(srag!$A:$A,6))=VALUE(LEFT(B422,6)))*(srag!$C:$C=C422), 0)), "")</f>
        <v>152</v>
      </c>
      <c r="N422" cm="1">
        <f t="array" aca="1" ref="N422" ca="1">IFERROR(INDEX(fesp!$E:$E, MATCH(1, (VALUE(LEFT(fesp!$A:$A,6))=VALUE(LEFT(B422,6)))*(fesp!$C:$C=C422), 0)), "")</f>
        <v>515</v>
      </c>
      <c r="O422" cm="1">
        <f t="array" aca="1" ref="O422" ca="1">IFERROR(INDEX(fesp!$F:$F, MATCH(1, (VALUE(LEFT(fesp!$A:$A,6))=VALUE(LEFT(B422,6)))*(fesp!$C:$C=C422), 0)), "")</f>
        <v>1291</v>
      </c>
      <c r="P422" cm="1">
        <f t="array" aca="1" ref="P422" ca="1">IFERROR(INDEX(fesp!$G:$G, MATCH(1, (VALUE(LEFT(fesp!$A:$A,6))=VALUE(LEFT(B422,6)))*(fesp!$C:$C=C422), 0)), "")</f>
        <v>6798525</v>
      </c>
      <c r="Q422" cm="1">
        <f t="array" aca="1" ref="Q422" ca="1">IFERROR(INDEX(fesp!$H:$H, MATCH(1, (VALUE(LEFT(fesp!$A:$A,6))=VALUE(LEFT(B422,6)))*(fesp!$C:$C=C422), 0)), "")</f>
        <v>559</v>
      </c>
      <c r="R422" cm="1">
        <f t="array" aca="1" ref="R422" ca="1">IFERROR(INDEX(fesp!$I:$I, MATCH(1, (VALUE(LEFT(fesp!$A:$A,6))=VALUE(LEFT(B422,6)))*(fesp!$C:$C=C422), 0)), "")</f>
        <v>70976</v>
      </c>
      <c r="S422" cm="1">
        <f t="array" aca="1" ref="S422" ca="1">IFERROR(INDEX(fesp!$J:$J, MATCH(1, (VALUE(LEFT(fesp!$A:$A,6))=VALUE(LEFT(B422,6)))*(fesp!$C:$C=C422), 0)), "")</f>
        <v>426436</v>
      </c>
    </row>
    <row r="423" spans="1:19">
      <c r="A423" s="1" t="s">
        <v>25</v>
      </c>
      <c r="B423" s="3" t="s">
        <v>24</v>
      </c>
      <c r="C423" s="3">
        <v>2018</v>
      </c>
      <c r="D423" cm="1">
        <f t="array" ref="D423">IFERROR(INDEX(fesp!$D:$D, MATCH(1, (VALUE(LEFT(fesp!$A:$A,6))=VALUE(LEFT(B423,6)))*(fesp!$C:$C=C423), 0)), "")</f>
        <v>0</v>
      </c>
      <c r="E423" cm="1">
        <f t="array" aca="1" ref="E423" ca="1">IFERROR(INDEX(ft_medicos_clinicos!$C:$C, MATCH(1, (VALUE(LEFT(ft_medicos_clinicos!$A:$A,6))=VALUE(LEFT(B423,6)))*(ft_medicos_clinicos!$B:$B=C423), 0)), "")</f>
        <v>693</v>
      </c>
      <c r="F423" cm="1">
        <f t="array" aca="1" ref="F423" ca="1">IFERROR(INDEX(ft_enfermeiros!$C:$C, MATCH(1, (VALUE(LEFT(ft_enfermeiros!$A:$A,6))=VALUE(LEFT(B423,6)))*(ft_enfermeiros!$B:$B=C423), 0)), "")</f>
        <v>1371</v>
      </c>
      <c r="G423" cm="1">
        <f t="array" aca="1" ref="G423" ca="1">IFERROR(INDEX(ft_equipes_acs!$C:$C, MATCH(1, (VALUE(LEFT(ft_equipes_acs!$A:$A,6))=VALUE(LEFT(B423,6)))*(ft_equipes_acs!$B:$B=C423), 0)), "")</f>
        <v>21</v>
      </c>
      <c r="H423" cm="1">
        <f t="array" aca="1" ref="H423" ca="1">IFERROR(INDEX(ci_leitos_internacao!$C:$C, MATCH(1, (VALUE(LEFT(ci_leitos_internacao!$A:$A,6))=VALUE(LEFT(B423,6)))*(ci_leitos_internacao!$B:$B=C423), 0)), "")</f>
        <v>2008</v>
      </c>
      <c r="I423" cm="1">
        <f t="array" aca="1" ref="I423" ca="1">IFERROR(INDEX(ci_hospitais_internacao!$C:$C, MATCH(1, (VALUE(LEFT(ci_hospitais_internacao!$A:$A,6))=VALUE(LEFT(B423,6)))*(ci_hospitais_internacao!$B:$B=C423), 0)), "")</f>
        <v>5</v>
      </c>
      <c r="J423" t="str" cm="1">
        <f t="array" aca="1" ref="J423" ca="1">IFERROR(INDEX(ci_pa_clinico!$C:$C, MATCH(1, (VALUE(LEFT(ci_pa_clinico!$A:$A,6))=VALUE(LEFT(B423,6)))*(ci_pa_clinico!$B:$B=C423), 0)), "")</f>
        <v/>
      </c>
      <c r="K423" cm="1">
        <f t="array" aca="1" ref="K423" ca="1">IFERROR(INDEX(aps_equipes_esf!$C:$C, MATCH(1, (VALUE(LEFT(aps_equipes_esf!$A:$A,6))=VALUE(LEFT(B423,6)))*(aps_equipes_esf!$B:$B=C423), 0)), "")</f>
        <v>69</v>
      </c>
      <c r="L423" cm="1">
        <f t="array" aca="1" ref="L423" ca="1">IFERROR(INDEX(casos!$C:$C, MATCH(1, (VALUE(LEFT(casos!$A:$A,6))=VALUE(LEFT(B423,6)))*(casos!$B:$B=C423), 0)), "")</f>
        <v>93</v>
      </c>
      <c r="M423" cm="1">
        <f t="array" ref="M423">IFERROR(INDEX(srag!$D:$D, MATCH(1, (VALUE(LEFT(srag!$A:$A,6))=VALUE(LEFT(B423,6)))*(srag!$C:$C=C423), 0)), "")</f>
        <v>252</v>
      </c>
      <c r="N423" cm="1">
        <f t="array" aca="1" ref="N423" ca="1">IFERROR(INDEX(fesp!$E:$E, MATCH(1, (VALUE(LEFT(fesp!$A:$A,6))=VALUE(LEFT(B423,6)))*(fesp!$C:$C=C423), 0)), "")</f>
        <v>610</v>
      </c>
      <c r="O423" cm="1">
        <f t="array" aca="1" ref="O423" ca="1">IFERROR(INDEX(fesp!$F:$F, MATCH(1, (VALUE(LEFT(fesp!$A:$A,6))=VALUE(LEFT(B423,6)))*(fesp!$C:$C=C423), 0)), "")</f>
        <v>1083</v>
      </c>
      <c r="P423" cm="1">
        <f t="array" aca="1" ref="P423" ca="1">IFERROR(INDEX(fesp!$G:$G, MATCH(1, (VALUE(LEFT(fesp!$A:$A,6))=VALUE(LEFT(B423,6)))*(fesp!$C:$C=C423), 0)), "")</f>
        <v>6205007</v>
      </c>
      <c r="Q423" cm="1">
        <f t="array" aca="1" ref="Q423" ca="1">IFERROR(INDEX(fesp!$H:$H, MATCH(1, (VALUE(LEFT(fesp!$A:$A,6))=VALUE(LEFT(B423,6)))*(fesp!$C:$C=C423), 0)), "")</f>
        <v>674</v>
      </c>
      <c r="R423" cm="1">
        <f t="array" aca="1" ref="R423" ca="1">IFERROR(INDEX(fesp!$I:$I, MATCH(1, (VALUE(LEFT(fesp!$A:$A,6))=VALUE(LEFT(B423,6)))*(fesp!$C:$C=C423), 0)), "")</f>
        <v>176</v>
      </c>
      <c r="S423" cm="1">
        <f t="array" aca="1" ref="S423" ca="1">IFERROR(INDEX(fesp!$J:$J, MATCH(1, (VALUE(LEFT(fesp!$A:$A,6))=VALUE(LEFT(B423,6)))*(fesp!$C:$C=C423), 0)), "")</f>
        <v>268</v>
      </c>
    </row>
    <row r="424" spans="1:19">
      <c r="A424" s="1" t="s">
        <v>25</v>
      </c>
      <c r="B424" s="3" t="s">
        <v>24</v>
      </c>
      <c r="C424" s="3">
        <v>2019</v>
      </c>
      <c r="D424" cm="1">
        <f t="array" ref="D424">IFERROR(INDEX(fesp!$D:$D, MATCH(1, (VALUE(LEFT(fesp!$A:$A,6))=VALUE(LEFT(B424,6)))*(fesp!$C:$C=C424), 0)), "")</f>
        <v>0</v>
      </c>
      <c r="E424" cm="1">
        <f t="array" aca="1" ref="E424" ca="1">IFERROR(INDEX(ft_medicos_clinicos!$C:$C, MATCH(1, (VALUE(LEFT(ft_medicos_clinicos!$A:$A,6))=VALUE(LEFT(B424,6)))*(ft_medicos_clinicos!$B:$B=C424), 0)), "")</f>
        <v>644</v>
      </c>
      <c r="F424" cm="1">
        <f t="array" aca="1" ref="F424" ca="1">IFERROR(INDEX(ft_enfermeiros!$C:$C, MATCH(1, (VALUE(LEFT(ft_enfermeiros!$A:$A,6))=VALUE(LEFT(B424,6)))*(ft_enfermeiros!$B:$B=C424), 0)), "")</f>
        <v>1362</v>
      </c>
      <c r="G424" cm="1">
        <f t="array" aca="1" ref="G424" ca="1">IFERROR(INDEX(ft_equipes_acs!$C:$C, MATCH(1, (VALUE(LEFT(ft_equipes_acs!$A:$A,6))=VALUE(LEFT(B424,6)))*(ft_equipes_acs!$B:$B=C424), 0)), "")</f>
        <v>34</v>
      </c>
      <c r="H424" cm="1">
        <f t="array" aca="1" ref="H424" ca="1">IFERROR(INDEX(ci_leitos_internacao!$C:$C, MATCH(1, (VALUE(LEFT(ci_leitos_internacao!$A:$A,6))=VALUE(LEFT(B424,6)))*(ci_leitos_internacao!$B:$B=C424), 0)), "")</f>
        <v>1987</v>
      </c>
      <c r="I424" cm="1">
        <f t="array" aca="1" ref="I424" ca="1">IFERROR(INDEX(ci_hospitais_internacao!$C:$C, MATCH(1, (VALUE(LEFT(ci_hospitais_internacao!$A:$A,6))=VALUE(LEFT(B424,6)))*(ci_hospitais_internacao!$B:$B=C424), 0)), "")</f>
        <v>5</v>
      </c>
      <c r="J424" t="str" cm="1">
        <f t="array" aca="1" ref="J424" ca="1">IFERROR(INDEX(ci_pa_clinico!$C:$C, MATCH(1, (VALUE(LEFT(ci_pa_clinico!$A:$A,6))=VALUE(LEFT(B424,6)))*(ci_pa_clinico!$B:$B=C424), 0)), "")</f>
        <v/>
      </c>
      <c r="K424" cm="1">
        <f t="array" aca="1" ref="K424" ca="1">IFERROR(INDEX(aps_equipes_esf!$C:$C, MATCH(1, (VALUE(LEFT(aps_equipes_esf!$A:$A,6))=VALUE(LEFT(B424,6)))*(aps_equipes_esf!$B:$B=C424), 0)), "")</f>
        <v>62</v>
      </c>
      <c r="L424" cm="1">
        <f t="array" aca="1" ref="L424" ca="1">IFERROR(INDEX(casos!$C:$C, MATCH(1, (VALUE(LEFT(casos!$A:$A,6))=VALUE(LEFT(B424,6)))*(casos!$B:$B=C424), 0)), "")</f>
        <v>5733</v>
      </c>
      <c r="M424" cm="1">
        <f t="array" ref="M424">IFERROR(INDEX(srag!$D:$D, MATCH(1, (VALUE(LEFT(srag!$A:$A,6))=VALUE(LEFT(B424,6)))*(srag!$C:$C=C424), 0)), "")</f>
        <v>304</v>
      </c>
      <c r="N424" cm="1">
        <f t="array" aca="1" ref="N424" ca="1">IFERROR(INDEX(fesp!$E:$E, MATCH(1, (VALUE(LEFT(fesp!$A:$A,6))=VALUE(LEFT(B424,6)))*(fesp!$C:$C=C424), 0)), "")</f>
        <v>507</v>
      </c>
      <c r="O424" cm="1">
        <f t="array" aca="1" ref="O424" ca="1">IFERROR(INDEX(fesp!$F:$F, MATCH(1, (VALUE(LEFT(fesp!$A:$A,6))=VALUE(LEFT(B424,6)))*(fesp!$C:$C=C424), 0)), "")</f>
        <v>1508</v>
      </c>
      <c r="P424" cm="1">
        <f t="array" aca="1" ref="P424" ca="1">IFERROR(INDEX(fesp!$G:$G, MATCH(1, (VALUE(LEFT(fesp!$A:$A,6))=VALUE(LEFT(B424,6)))*(fesp!$C:$C=C424), 0)), "")</f>
        <v>6302322</v>
      </c>
      <c r="Q424" cm="1">
        <f t="array" aca="1" ref="Q424" ca="1">IFERROR(INDEX(fesp!$H:$H, MATCH(1, (VALUE(LEFT(fesp!$A:$A,6))=VALUE(LEFT(B424,6)))*(fesp!$C:$C=C424), 0)), "")</f>
        <v>542</v>
      </c>
      <c r="R424" cm="1">
        <f t="array" aca="1" ref="R424" ca="1">IFERROR(INDEX(fesp!$I:$I, MATCH(1, (VALUE(LEFT(fesp!$A:$A,6))=VALUE(LEFT(B424,6)))*(fesp!$C:$C=C424), 0)), "")</f>
        <v>171</v>
      </c>
      <c r="S424" cm="1">
        <f t="array" aca="1" ref="S424" ca="1">IFERROR(INDEX(fesp!$J:$J, MATCH(1, (VALUE(LEFT(fesp!$A:$A,6))=VALUE(LEFT(B424,6)))*(fesp!$C:$C=C424), 0)), "")</f>
        <v>236</v>
      </c>
    </row>
    <row r="425" spans="1:19">
      <c r="A425" s="1" t="s">
        <v>25</v>
      </c>
      <c r="B425" s="3" t="s">
        <v>24</v>
      </c>
      <c r="C425" s="3">
        <v>2020</v>
      </c>
      <c r="D425" cm="1">
        <f t="array" ref="D425">IFERROR(INDEX(fesp!$D:$D, MATCH(1, (VALUE(LEFT(fesp!$A:$A,6))=VALUE(LEFT(B425,6)))*(fesp!$C:$C=C425), 0)), "")</f>
        <v>0</v>
      </c>
      <c r="E425" cm="1">
        <f t="array" aca="1" ref="E425" ca="1">IFERROR(INDEX(ft_medicos_clinicos!$C:$C, MATCH(1, (VALUE(LEFT(ft_medicos_clinicos!$A:$A,6))=VALUE(LEFT(B425,6)))*(ft_medicos_clinicos!$B:$B=C425), 0)), "")</f>
        <v>801</v>
      </c>
      <c r="F425" cm="1">
        <f t="array" aca="1" ref="F425" ca="1">IFERROR(INDEX(ft_enfermeiros!$C:$C, MATCH(1, (VALUE(LEFT(ft_enfermeiros!$A:$A,6))=VALUE(LEFT(B425,6)))*(ft_enfermeiros!$B:$B=C425), 0)), "")</f>
        <v>1481</v>
      </c>
      <c r="G425" cm="1">
        <f t="array" aca="1" ref="G425" ca="1">IFERROR(INDEX(ft_equipes_acs!$C:$C, MATCH(1, (VALUE(LEFT(ft_equipes_acs!$A:$A,6))=VALUE(LEFT(B425,6)))*(ft_equipes_acs!$B:$B=C425), 0)), "")</f>
        <v>1</v>
      </c>
      <c r="H425" cm="1">
        <f t="array" aca="1" ref="H425" ca="1">IFERROR(INDEX(ci_leitos_internacao!$C:$C, MATCH(1, (VALUE(LEFT(ci_leitos_internacao!$A:$A,6))=VALUE(LEFT(B425,6)))*(ci_leitos_internacao!$B:$B=C425), 0)), "")</f>
        <v>2047</v>
      </c>
      <c r="I425" cm="1">
        <f t="array" aca="1" ref="I425" ca="1">IFERROR(INDEX(ci_hospitais_internacao!$C:$C, MATCH(1, (VALUE(LEFT(ci_hospitais_internacao!$A:$A,6))=VALUE(LEFT(B425,6)))*(ci_hospitais_internacao!$B:$B=C425), 0)), "")</f>
        <v>6</v>
      </c>
      <c r="J425" t="str" cm="1">
        <f t="array" aca="1" ref="J425" ca="1">IFERROR(INDEX(ci_pa_clinico!$C:$C, MATCH(1, (VALUE(LEFT(ci_pa_clinico!$A:$A,6))=VALUE(LEFT(B425,6)))*(ci_pa_clinico!$B:$B=C425), 0)), "")</f>
        <v/>
      </c>
      <c r="K425" t="str" cm="1">
        <f t="array" aca="1" ref="K425" ca="1">IFERROR(INDEX(aps_equipes_esf!$C:$C, MATCH(1, (VALUE(LEFT(aps_equipes_esf!$A:$A,6))=VALUE(LEFT(B425,6)))*(aps_equipes_esf!$B:$B=C425), 0)), "")</f>
        <v>-</v>
      </c>
      <c r="L425" cm="1">
        <f t="array" aca="1" ref="L425" ca="1">IFERROR(INDEX(casos!$C:$C, MATCH(1, (VALUE(LEFT(casos!$A:$A,6))=VALUE(LEFT(B425,6)))*(casos!$B:$B=C425), 0)), "")</f>
        <v>227</v>
      </c>
      <c r="M425" cm="1">
        <f t="array" ref="M425">IFERROR(INDEX(srag!$D:$D, MATCH(1, (VALUE(LEFT(srag!$A:$A,6))=VALUE(LEFT(B425,6)))*(srag!$C:$C=C425), 0)), "")</f>
        <v>13211</v>
      </c>
      <c r="N425" cm="1">
        <f t="array" aca="1" ref="N425" ca="1">IFERROR(INDEX(fesp!$E:$E, MATCH(1, (VALUE(LEFT(fesp!$A:$A,6))=VALUE(LEFT(B425,6)))*(fesp!$C:$C=C425), 0)), "")</f>
        <v>395</v>
      </c>
      <c r="O425" cm="1">
        <f t="array" aca="1" ref="O425" ca="1">IFERROR(INDEX(fesp!$F:$F, MATCH(1, (VALUE(LEFT(fesp!$A:$A,6))=VALUE(LEFT(B425,6)))*(fesp!$C:$C=C425), 0)), "")</f>
        <v>1662</v>
      </c>
      <c r="P425" cm="1">
        <f t="array" aca="1" ref="P425" ca="1">IFERROR(INDEX(fesp!$G:$G, MATCH(1, (VALUE(LEFT(fesp!$A:$A,6))=VALUE(LEFT(B425,6)))*(fesp!$C:$C=C425), 0)), "")</f>
        <v>4897228</v>
      </c>
      <c r="Q425" cm="1">
        <f t="array" aca="1" ref="Q425" ca="1">IFERROR(INDEX(fesp!$H:$H, MATCH(1, (VALUE(LEFT(fesp!$A:$A,6))=VALUE(LEFT(B425,6)))*(fesp!$C:$C=C425), 0)), "")</f>
        <v>453</v>
      </c>
      <c r="R425" cm="1">
        <f t="array" aca="1" ref="R425" ca="1">IFERROR(INDEX(fesp!$I:$I, MATCH(1, (VALUE(LEFT(fesp!$A:$A,6))=VALUE(LEFT(B425,6)))*(fesp!$C:$C=C425), 0)), "")</f>
        <v>174</v>
      </c>
      <c r="S425" cm="1">
        <f t="array" aca="1" ref="S425" ca="1">IFERROR(INDEX(fesp!$J:$J, MATCH(1, (VALUE(LEFT(fesp!$A:$A,6))=VALUE(LEFT(B425,6)))*(fesp!$C:$C=C425), 0)), "")</f>
        <v>3</v>
      </c>
    </row>
    <row r="426" spans="1:19">
      <c r="A426" s="1" t="s">
        <v>25</v>
      </c>
      <c r="B426" s="3" t="s">
        <v>24</v>
      </c>
      <c r="C426" s="3">
        <v>2021</v>
      </c>
      <c r="D426" cm="1">
        <f t="array" ref="D426">IFERROR(INDEX(fesp!$D:$D, MATCH(1, (VALUE(LEFT(fesp!$A:$A,6))=VALUE(LEFT(B426,6)))*(fesp!$C:$C=C426), 0)), "")</f>
        <v>0</v>
      </c>
      <c r="E426" cm="1">
        <f t="array" aca="1" ref="E426" ca="1">IFERROR(INDEX(ft_medicos_clinicos!$C:$C, MATCH(1, (VALUE(LEFT(ft_medicos_clinicos!$A:$A,6))=VALUE(LEFT(B426,6)))*(ft_medicos_clinicos!$B:$B=C426), 0)), "")</f>
        <v>889</v>
      </c>
      <c r="F426" cm="1">
        <f t="array" aca="1" ref="F426" ca="1">IFERROR(INDEX(ft_enfermeiros!$C:$C, MATCH(1, (VALUE(LEFT(ft_enfermeiros!$A:$A,6))=VALUE(LEFT(B426,6)))*(ft_enfermeiros!$B:$B=C426), 0)), "")</f>
        <v>1501</v>
      </c>
      <c r="G426" cm="1">
        <f t="array" aca="1" ref="G426" ca="1">IFERROR(INDEX(ft_equipes_acs!$C:$C, MATCH(1, (VALUE(LEFT(ft_equipes_acs!$A:$A,6))=VALUE(LEFT(B426,6)))*(ft_equipes_acs!$B:$B=C426), 0)), "")</f>
        <v>1</v>
      </c>
      <c r="H426" cm="1">
        <f t="array" aca="1" ref="H426" ca="1">IFERROR(INDEX(ci_leitos_internacao!$C:$C, MATCH(1, (VALUE(LEFT(ci_leitos_internacao!$A:$A,6))=VALUE(LEFT(B426,6)))*(ci_leitos_internacao!$B:$B=C426), 0)), "")</f>
        <v>1935</v>
      </c>
      <c r="I426" cm="1">
        <f t="array" aca="1" ref="I426" ca="1">IFERROR(INDEX(ci_hospitais_internacao!$C:$C, MATCH(1, (VALUE(LEFT(ci_hospitais_internacao!$A:$A,6))=VALUE(LEFT(B426,6)))*(ci_hospitais_internacao!$B:$B=C426), 0)), "")</f>
        <v>5</v>
      </c>
      <c r="J426" t="str" cm="1">
        <f t="array" aca="1" ref="J426" ca="1">IFERROR(INDEX(ci_pa_clinico!$C:$C, MATCH(1, (VALUE(LEFT(ci_pa_clinico!$A:$A,6))=VALUE(LEFT(B426,6)))*(ci_pa_clinico!$B:$B=C426), 0)), "")</f>
        <v/>
      </c>
      <c r="K426" t="str" cm="1">
        <f t="array" aca="1" ref="K426" ca="1">IFERROR(INDEX(aps_equipes_esf!$C:$C, MATCH(1, (VALUE(LEFT(aps_equipes_esf!$A:$A,6))=VALUE(LEFT(B426,6)))*(aps_equipes_esf!$B:$B=C426), 0)), "")</f>
        <v>-</v>
      </c>
      <c r="L426" cm="1">
        <f t="array" aca="1" ref="L426" ca="1">IFERROR(INDEX(casos!$C:$C, MATCH(1, (VALUE(LEFT(casos!$A:$A,6))=VALUE(LEFT(B426,6)))*(casos!$B:$B=C426), 0)), "")</f>
        <v>805</v>
      </c>
      <c r="M426" cm="1">
        <f t="array" ref="M426">IFERROR(INDEX(srag!$D:$D, MATCH(1, (VALUE(LEFT(srag!$A:$A,6))=VALUE(LEFT(B426,6)))*(srag!$C:$C=C426), 0)), "")</f>
        <v>17740</v>
      </c>
      <c r="N426" cm="1">
        <f t="array" aca="1" ref="N426" ca="1">IFERROR(INDEX(fesp!$E:$E, MATCH(1, (VALUE(LEFT(fesp!$A:$A,6))=VALUE(LEFT(B426,6)))*(fesp!$C:$C=C426), 0)), "")</f>
        <v>379</v>
      </c>
      <c r="O426" cm="1">
        <f t="array" aca="1" ref="O426" ca="1">IFERROR(INDEX(fesp!$F:$F, MATCH(1, (VALUE(LEFT(fesp!$A:$A,6))=VALUE(LEFT(B426,6)))*(fesp!$C:$C=C426), 0)), "")</f>
        <v>1979</v>
      </c>
      <c r="P426" cm="1">
        <f t="array" aca="1" ref="P426" ca="1">IFERROR(INDEX(fesp!$G:$G, MATCH(1, (VALUE(LEFT(fesp!$A:$A,6))=VALUE(LEFT(B426,6)))*(fesp!$C:$C=C426), 0)), "")</f>
        <v>5619975</v>
      </c>
      <c r="Q426" cm="1">
        <f t="array" aca="1" ref="Q426" ca="1">IFERROR(INDEX(fesp!$H:$H, MATCH(1, (VALUE(LEFT(fesp!$A:$A,6))=VALUE(LEFT(B426,6)))*(fesp!$C:$C=C426), 0)), "")</f>
        <v>321</v>
      </c>
      <c r="R426" cm="1">
        <f t="array" aca="1" ref="R426" ca="1">IFERROR(INDEX(fesp!$I:$I, MATCH(1, (VALUE(LEFT(fesp!$A:$A,6))=VALUE(LEFT(B426,6)))*(fesp!$C:$C=C426), 0)), "")</f>
        <v>96</v>
      </c>
      <c r="S426" cm="1">
        <f t="array" aca="1" ref="S426" ca="1">IFERROR(INDEX(fesp!$J:$J, MATCH(1, (VALUE(LEFT(fesp!$A:$A,6))=VALUE(LEFT(B426,6)))*(fesp!$C:$C=C426), 0)), "")</f>
        <v>16</v>
      </c>
    </row>
    <row r="427" spans="1:19">
      <c r="A427" s="1" t="s">
        <v>25</v>
      </c>
      <c r="B427" s="3" t="s">
        <v>24</v>
      </c>
      <c r="C427" s="3">
        <v>2022</v>
      </c>
      <c r="D427" cm="1">
        <f t="array" ref="D427">IFERROR(INDEX(fesp!$D:$D, MATCH(1, (VALUE(LEFT(fesp!$A:$A,6))=VALUE(LEFT(B427,6)))*(fesp!$C:$C=C427), 0)), "")</f>
        <v>0</v>
      </c>
      <c r="E427" cm="1">
        <f t="array" aca="1" ref="E427" ca="1">IFERROR(INDEX(ft_medicos_clinicos!$C:$C, MATCH(1, (VALUE(LEFT(ft_medicos_clinicos!$A:$A,6))=VALUE(LEFT(B427,6)))*(ft_medicos_clinicos!$B:$B=C427), 0)), "")</f>
        <v>900</v>
      </c>
      <c r="F427" cm="1">
        <f t="array" aca="1" ref="F427" ca="1">IFERROR(INDEX(ft_enfermeiros!$C:$C, MATCH(1, (VALUE(LEFT(ft_enfermeiros!$A:$A,6))=VALUE(LEFT(B427,6)))*(ft_enfermeiros!$B:$B=C427), 0)), "")</f>
        <v>1528</v>
      </c>
      <c r="G427" cm="1">
        <f t="array" aca="1" ref="G427" ca="1">IFERROR(INDEX(ft_equipes_acs!$C:$C, MATCH(1, (VALUE(LEFT(ft_equipes_acs!$A:$A,6))=VALUE(LEFT(B427,6)))*(ft_equipes_acs!$B:$B=C427), 0)), "")</f>
        <v>1</v>
      </c>
      <c r="H427" cm="1">
        <f t="array" aca="1" ref="H427" ca="1">IFERROR(INDEX(ci_leitos_internacao!$C:$C, MATCH(1, (VALUE(LEFT(ci_leitos_internacao!$A:$A,6))=VALUE(LEFT(B427,6)))*(ci_leitos_internacao!$B:$B=C427), 0)), "")</f>
        <v>1917</v>
      </c>
      <c r="I427" cm="1">
        <f t="array" aca="1" ref="I427" ca="1">IFERROR(INDEX(ci_hospitais_internacao!$C:$C, MATCH(1, (VALUE(LEFT(ci_hospitais_internacao!$A:$A,6))=VALUE(LEFT(B427,6)))*(ci_hospitais_internacao!$B:$B=C427), 0)), "")</f>
        <v>5</v>
      </c>
      <c r="J427" t="str" cm="1">
        <f t="array" aca="1" ref="J427" ca="1">IFERROR(INDEX(ci_pa_clinico!$C:$C, MATCH(1, (VALUE(LEFT(ci_pa_clinico!$A:$A,6))=VALUE(LEFT(B427,6)))*(ci_pa_clinico!$B:$B=C427), 0)), "")</f>
        <v/>
      </c>
      <c r="K427" t="str" cm="1">
        <f t="array" aca="1" ref="K427" ca="1">IFERROR(INDEX(aps_equipes_esf!$C:$C, MATCH(1, (VALUE(LEFT(aps_equipes_esf!$A:$A,6))=VALUE(LEFT(B427,6)))*(aps_equipes_esf!$B:$B=C427), 0)), "")</f>
        <v>-</v>
      </c>
      <c r="L427" cm="1">
        <f t="array" aca="1" ref="L427" ca="1">IFERROR(INDEX(casos!$C:$C, MATCH(1, (VALUE(LEFT(casos!$A:$A,6))=VALUE(LEFT(B427,6)))*(casos!$B:$B=C427), 0)), "")</f>
        <v>896</v>
      </c>
      <c r="M427" cm="1">
        <f t="array" ref="M427">IFERROR(INDEX(srag!$D:$D, MATCH(1, (VALUE(LEFT(srag!$A:$A,6))=VALUE(LEFT(B427,6)))*(srag!$C:$C=C427), 0)), "")</f>
        <v>8133</v>
      </c>
      <c r="N427" cm="1">
        <f t="array" aca="1" ref="N427" ca="1">IFERROR(INDEX(fesp!$E:$E, MATCH(1, (VALUE(LEFT(fesp!$A:$A,6))=VALUE(LEFT(B427,6)))*(fesp!$C:$C=C427), 0)), "")</f>
        <v>300</v>
      </c>
      <c r="O427" cm="1">
        <f t="array" aca="1" ref="O427" ca="1">IFERROR(INDEX(fesp!$F:$F, MATCH(1, (VALUE(LEFT(fesp!$A:$A,6))=VALUE(LEFT(B427,6)))*(fesp!$C:$C=C427), 0)), "")</f>
        <v>2596</v>
      </c>
      <c r="P427" cm="1">
        <f t="array" aca="1" ref="P427" ca="1">IFERROR(INDEX(fesp!$G:$G, MATCH(1, (VALUE(LEFT(fesp!$A:$A,6))=VALUE(LEFT(B427,6)))*(fesp!$C:$C=C427), 0)), "")</f>
        <v>6198358</v>
      </c>
      <c r="Q427" cm="1">
        <f t="array" aca="1" ref="Q427" ca="1">IFERROR(INDEX(fesp!$H:$H, MATCH(1, (VALUE(LEFT(fesp!$A:$A,6))=VALUE(LEFT(B427,6)))*(fesp!$C:$C=C427), 0)), "")</f>
        <v>328</v>
      </c>
      <c r="R427" cm="1">
        <f t="array" aca="1" ref="R427" ca="1">IFERROR(INDEX(fesp!$I:$I, MATCH(1, (VALUE(LEFT(fesp!$A:$A,6))=VALUE(LEFT(B427,6)))*(fesp!$C:$C=C427), 0)), "")</f>
        <v>134</v>
      </c>
      <c r="S427" cm="1">
        <f t="array" aca="1" ref="S427" ca="1">IFERROR(INDEX(fesp!$J:$J, MATCH(1, (VALUE(LEFT(fesp!$A:$A,6))=VALUE(LEFT(B427,6)))*(fesp!$C:$C=C427), 0)), "")</f>
        <v>8</v>
      </c>
    </row>
    <row r="428" spans="1:19">
      <c r="A428" s="1" t="s">
        <v>25</v>
      </c>
      <c r="B428" s="3" t="s">
        <v>24</v>
      </c>
      <c r="C428" s="3">
        <v>2023</v>
      </c>
      <c r="D428" cm="1">
        <f t="array" ref="D428">IFERROR(INDEX(fesp!$D:$D, MATCH(1, (VALUE(LEFT(fesp!$A:$A,6))=VALUE(LEFT(B428,6)))*(fesp!$C:$C=C428), 0)), "")</f>
        <v>0</v>
      </c>
      <c r="E428" cm="1">
        <f t="array" aca="1" ref="E428" ca="1">IFERROR(INDEX(ft_medicos_clinicos!$C:$C, MATCH(1, (VALUE(LEFT(ft_medicos_clinicos!$A:$A,6))=VALUE(LEFT(B428,6)))*(ft_medicos_clinicos!$B:$B=C428), 0)), "")</f>
        <v>977</v>
      </c>
      <c r="F428" cm="1">
        <f t="array" aca="1" ref="F428" ca="1">IFERROR(INDEX(ft_enfermeiros!$C:$C, MATCH(1, (VALUE(LEFT(ft_enfermeiros!$A:$A,6))=VALUE(LEFT(B428,6)))*(ft_enfermeiros!$B:$B=C428), 0)), "")</f>
        <v>1599</v>
      </c>
      <c r="G428" cm="1">
        <f t="array" aca="1" ref="G428" ca="1">IFERROR(INDEX(ft_equipes_acs!$C:$C, MATCH(1, (VALUE(LEFT(ft_equipes_acs!$A:$A,6))=VALUE(LEFT(B428,6)))*(ft_equipes_acs!$B:$B=C428), 0)), "")</f>
        <v>1</v>
      </c>
      <c r="H428" cm="1">
        <f t="array" aca="1" ref="H428" ca="1">IFERROR(INDEX(ci_leitos_internacao!$C:$C, MATCH(1, (VALUE(LEFT(ci_leitos_internacao!$A:$A,6))=VALUE(LEFT(B428,6)))*(ci_leitos_internacao!$B:$B=C428), 0)), "")</f>
        <v>1901</v>
      </c>
      <c r="I428" cm="1">
        <f t="array" aca="1" ref="I428" ca="1">IFERROR(INDEX(ci_hospitais_internacao!$C:$C, MATCH(1, (VALUE(LEFT(ci_hospitais_internacao!$A:$A,6))=VALUE(LEFT(B428,6)))*(ci_hospitais_internacao!$B:$B=C428), 0)), "")</f>
        <v>5</v>
      </c>
      <c r="J428" t="str" cm="1">
        <f t="array" aca="1" ref="J428" ca="1">IFERROR(INDEX(ci_pa_clinico!$C:$C, MATCH(1, (VALUE(LEFT(ci_pa_clinico!$A:$A,6))=VALUE(LEFT(B428,6)))*(ci_pa_clinico!$B:$B=C428), 0)), "")</f>
        <v/>
      </c>
      <c r="K428" t="str" cm="1">
        <f t="array" aca="1" ref="K428" ca="1">IFERROR(INDEX(aps_equipes_esf!$C:$C, MATCH(1, (VALUE(LEFT(aps_equipes_esf!$A:$A,6))=VALUE(LEFT(B428,6)))*(aps_equipes_esf!$B:$B=C428), 0)), "")</f>
        <v>-</v>
      </c>
      <c r="L428" cm="1">
        <f t="array" aca="1" ref="L428" ca="1">IFERROR(INDEX(casos!$C:$C, MATCH(1, (VALUE(LEFT(casos!$A:$A,6))=VALUE(LEFT(B428,6)))*(casos!$B:$B=C428), 0)), "")</f>
        <v>1505</v>
      </c>
      <c r="M428" cm="1">
        <f t="array" ref="M428">IFERROR(INDEX(srag!$D:$D, MATCH(1, (VALUE(LEFT(srag!$A:$A,6))=VALUE(LEFT(B428,6)))*(srag!$C:$C=C428), 0)), "")</f>
        <v>3396</v>
      </c>
      <c r="N428" cm="1">
        <f t="array" aca="1" ref="N428" ca="1">IFERROR(INDEX(fesp!$E:$E, MATCH(1, (VALUE(LEFT(fesp!$A:$A,6))=VALUE(LEFT(B428,6)))*(fesp!$C:$C=C428), 0)), "")</f>
        <v>336</v>
      </c>
      <c r="O428" cm="1">
        <f t="array" aca="1" ref="O428" ca="1">IFERROR(INDEX(fesp!$F:$F, MATCH(1, (VALUE(LEFT(fesp!$A:$A,6))=VALUE(LEFT(B428,6)))*(fesp!$C:$C=C428), 0)), "")</f>
        <v>3233</v>
      </c>
      <c r="P428" cm="1">
        <f t="array" aca="1" ref="P428" ca="1">IFERROR(INDEX(fesp!$G:$G, MATCH(1, (VALUE(LEFT(fesp!$A:$A,6))=VALUE(LEFT(B428,6)))*(fesp!$C:$C=C428), 0)), "")</f>
        <v>7519587</v>
      </c>
      <c r="Q428" cm="1">
        <f t="array" aca="1" ref="Q428" ca="1">IFERROR(INDEX(fesp!$H:$H, MATCH(1, (VALUE(LEFT(fesp!$A:$A,6))=VALUE(LEFT(B428,6)))*(fesp!$C:$C=C428), 0)), "")</f>
        <v>327</v>
      </c>
      <c r="R428" cm="1">
        <f t="array" aca="1" ref="R428" ca="1">IFERROR(INDEX(fesp!$I:$I, MATCH(1, (VALUE(LEFT(fesp!$A:$A,6))=VALUE(LEFT(B428,6)))*(fesp!$C:$C=C428), 0)), "")</f>
        <v>210</v>
      </c>
      <c r="S428" cm="1">
        <f t="array" aca="1" ref="S428" ca="1">IFERROR(INDEX(fesp!$J:$J, MATCH(1, (VALUE(LEFT(fesp!$A:$A,6))=VALUE(LEFT(B428,6)))*(fesp!$C:$C=C428), 0)), "")</f>
        <v>48</v>
      </c>
    </row>
    <row r="429" spans="1:19">
      <c r="A429" s="1" t="s">
        <v>25</v>
      </c>
      <c r="B429" s="3" t="s">
        <v>24</v>
      </c>
      <c r="C429" s="3">
        <v>2024</v>
      </c>
      <c r="D429" cm="1">
        <f t="array" ref="D429">IFERROR(INDEX(fesp!$D:$D, MATCH(1, (VALUE(LEFT(fesp!$A:$A,6))=VALUE(LEFT(B429,6)))*(fesp!$C:$C=C429), 0)), "")</f>
        <v>0</v>
      </c>
      <c r="E429" cm="1">
        <f t="array" aca="1" ref="E429" ca="1">IFERROR(INDEX(ft_medicos_clinicos!$C:$C, MATCH(1, (VALUE(LEFT(ft_medicos_clinicos!$A:$A,6))=VALUE(LEFT(B429,6)))*(ft_medicos_clinicos!$B:$B=C429), 0)), "")</f>
        <v>1181</v>
      </c>
      <c r="F429" cm="1">
        <f t="array" aca="1" ref="F429" ca="1">IFERROR(INDEX(ft_enfermeiros!$C:$C, MATCH(1, (VALUE(LEFT(ft_enfermeiros!$A:$A,6))=VALUE(LEFT(B429,6)))*(ft_enfermeiros!$B:$B=C429), 0)), "")</f>
        <v>1752</v>
      </c>
      <c r="G429" cm="1">
        <f t="array" aca="1" ref="G429" ca="1">IFERROR(INDEX(ft_equipes_acs!$C:$C, MATCH(1, (VALUE(LEFT(ft_equipes_acs!$A:$A,6))=VALUE(LEFT(B429,6)))*(ft_equipes_acs!$B:$B=C429), 0)), "")</f>
        <v>1</v>
      </c>
      <c r="H429" cm="1">
        <f t="array" aca="1" ref="H429" ca="1">IFERROR(INDEX(ci_leitos_internacao!$C:$C, MATCH(1, (VALUE(LEFT(ci_leitos_internacao!$A:$A,6))=VALUE(LEFT(B429,6)))*(ci_leitos_internacao!$B:$B=C429), 0)), "")</f>
        <v>1933</v>
      </c>
      <c r="I429" cm="1">
        <f t="array" aca="1" ref="I429" ca="1">IFERROR(INDEX(ci_hospitais_internacao!$C:$C, MATCH(1, (VALUE(LEFT(ci_hospitais_internacao!$A:$A,6))=VALUE(LEFT(B429,6)))*(ci_hospitais_internacao!$B:$B=C429), 0)), "")</f>
        <v>5</v>
      </c>
      <c r="J429" t="str" cm="1">
        <f t="array" aca="1" ref="J429" ca="1">IFERROR(INDEX(ci_pa_clinico!$C:$C, MATCH(1, (VALUE(LEFT(ci_pa_clinico!$A:$A,6))=VALUE(LEFT(B429,6)))*(ci_pa_clinico!$B:$B=C429), 0)), "")</f>
        <v/>
      </c>
      <c r="K429" t="str" cm="1">
        <f t="array" aca="1" ref="K429" ca="1">IFERROR(INDEX(aps_equipes_esf!$C:$C, MATCH(1, (VALUE(LEFT(aps_equipes_esf!$A:$A,6))=VALUE(LEFT(B429,6)))*(aps_equipes_esf!$B:$B=C429), 0)), "")</f>
        <v>-</v>
      </c>
      <c r="L429" cm="1">
        <f t="array" aca="1" ref="L429" ca="1">IFERROR(INDEX(casos!$C:$C, MATCH(1, (VALUE(LEFT(casos!$A:$A,6))=VALUE(LEFT(B429,6)))*(casos!$B:$B=C429), 0)), "")</f>
        <v>68385</v>
      </c>
      <c r="M429" cm="1">
        <f t="array" ref="M429">IFERROR(INDEX(srag!$D:$D, MATCH(1, (VALUE(LEFT(srag!$A:$A,6))=VALUE(LEFT(B429,6)))*(srag!$C:$C=C429), 0)), "")</f>
        <v>2782</v>
      </c>
      <c r="N429" cm="1">
        <f t="array" aca="1" ref="N429" ca="1">IFERROR(INDEX(fesp!$E:$E, MATCH(1, (VALUE(LEFT(fesp!$A:$A,6))=VALUE(LEFT(B429,6)))*(fesp!$C:$C=C429), 0)), "")</f>
        <v>367</v>
      </c>
      <c r="O429" cm="1">
        <f t="array" aca="1" ref="O429" ca="1">IFERROR(INDEX(fesp!$F:$F, MATCH(1, (VALUE(LEFT(fesp!$A:$A,6))=VALUE(LEFT(B429,6)))*(fesp!$C:$C=C429), 0)), "")</f>
        <v>3175</v>
      </c>
      <c r="P429" cm="1">
        <f t="array" aca="1" ref="P429" ca="1">IFERROR(INDEX(fesp!$G:$G, MATCH(1, (VALUE(LEFT(fesp!$A:$A,6))=VALUE(LEFT(B429,6)))*(fesp!$C:$C=C429), 0)), "")</f>
        <v>8863284</v>
      </c>
      <c r="Q429" cm="1">
        <f t="array" aca="1" ref="Q429" ca="1">IFERROR(INDEX(fesp!$H:$H, MATCH(1, (VALUE(LEFT(fesp!$A:$A,6))=VALUE(LEFT(B429,6)))*(fesp!$C:$C=C429), 0)), "")</f>
        <v>310</v>
      </c>
      <c r="R429" cm="1">
        <f t="array" aca="1" ref="R429" ca="1">IFERROR(INDEX(fesp!$I:$I, MATCH(1, (VALUE(LEFT(fesp!$A:$A,6))=VALUE(LEFT(B429,6)))*(fesp!$C:$C=C429), 0)), "")</f>
        <v>49</v>
      </c>
      <c r="S429" cm="1">
        <f t="array" aca="1" ref="S429" ca="1">IFERROR(INDEX(fesp!$J:$J, MATCH(1, (VALUE(LEFT(fesp!$A:$A,6))=VALUE(LEFT(B429,6)))*(fesp!$C:$C=C429), 0)), "")</f>
        <v>10</v>
      </c>
    </row>
    <row r="430" spans="1:19">
      <c r="A430" s="1" t="s">
        <v>25</v>
      </c>
      <c r="B430" s="3">
        <v>3518800</v>
      </c>
      <c r="C430" s="3">
        <v>2025</v>
      </c>
      <c r="D430" cm="1">
        <f t="array" ref="D430">IFERROR(INDEX(fesp!$D:$D, MATCH(1, (VALUE(LEFT(fesp!$A:$A,6))=VALUE(LEFT(B430,6)))*(fesp!$C:$C=C430), 0)), "")</f>
        <v>0</v>
      </c>
      <c r="E430" cm="1">
        <f t="array" aca="1" ref="E430" ca="1">IFERROR(INDEX(ft_medicos_clinicos!$C:$C, MATCH(1, (VALUE(LEFT(ft_medicos_clinicos!$A:$A,6))=VALUE(LEFT(B430,6)))*(ft_medicos_clinicos!$B:$B=C430), 0)), "")</f>
        <v>1204</v>
      </c>
      <c r="F430" cm="1">
        <f t="array" aca="1" ref="F430" ca="1">IFERROR(INDEX(ft_enfermeiros!$C:$C, MATCH(1, (VALUE(LEFT(ft_enfermeiros!$A:$A,6))=VALUE(LEFT(B430,6)))*(ft_enfermeiros!$B:$B=C430), 0)), "")</f>
        <v>1881</v>
      </c>
      <c r="G430" cm="1">
        <f t="array" aca="1" ref="G430" ca="1">IFERROR(INDEX(ft_equipes_acs!$C:$C, MATCH(1, (VALUE(LEFT(ft_equipes_acs!$A:$A,6))=VALUE(LEFT(B430,6)))*(ft_equipes_acs!$B:$B=C430), 0)), "")</f>
        <v>1</v>
      </c>
      <c r="H430" cm="1">
        <f t="array" aca="1" ref="H430" ca="1">IFERROR(INDEX(ci_leitos_internacao!$C:$C, MATCH(1, (VALUE(LEFT(ci_leitos_internacao!$A:$A,6))=VALUE(LEFT(B430,6)))*(ci_leitos_internacao!$B:$B=C430), 0)), "")</f>
        <v>1894</v>
      </c>
      <c r="I430" cm="1">
        <f t="array" aca="1" ref="I430" ca="1">IFERROR(INDEX(ci_hospitais_internacao!$C:$C, MATCH(1, (VALUE(LEFT(ci_hospitais_internacao!$A:$A,6))=VALUE(LEFT(B430,6)))*(ci_hospitais_internacao!$B:$B=C430), 0)), "")</f>
        <v>5</v>
      </c>
      <c r="J430" t="str" cm="1">
        <f t="array" aca="1" ref="J430" ca="1">IFERROR(INDEX(ci_pa_clinico!$C:$C, MATCH(1, (VALUE(LEFT(ci_pa_clinico!$A:$A,6))=VALUE(LEFT(B430,6)))*(ci_pa_clinico!$B:$B=C430), 0)), "")</f>
        <v/>
      </c>
      <c r="K430" t="str" cm="1">
        <f t="array" aca="1" ref="K430" ca="1">IFERROR(INDEX(aps_equipes_esf!$C:$C, MATCH(1, (VALUE(LEFT(aps_equipes_esf!$A:$A,6))=VALUE(LEFT(B430,6)))*(aps_equipes_esf!$B:$B=C430), 0)), "")</f>
        <v>-</v>
      </c>
      <c r="L430" cm="1">
        <f t="array" aca="1" ref="L430" ca="1">IFERROR(INDEX(casos!$C:$C, MATCH(1, (VALUE(LEFT(casos!$A:$A,6))=VALUE(LEFT(B430,6)))*(casos!$B:$B=C430), 0)), "")</f>
        <v>4857</v>
      </c>
      <c r="M430" cm="1">
        <f t="array" ref="M430">IFERROR(INDEX(srag!$D:$D, MATCH(1, (VALUE(LEFT(srag!$A:$A,6))=VALUE(LEFT(B430,6)))*(srag!$C:$C=C430), 0)), "")</f>
        <v>2980</v>
      </c>
      <c r="N430" cm="1">
        <f t="array" aca="1" ref="N430" ca="1">IFERROR(INDEX(fesp!$E:$E, MATCH(1, (VALUE(LEFT(fesp!$A:$A,6))=VALUE(LEFT(B430,6)))*(fesp!$C:$C=C430), 0)), "")</f>
        <v>366</v>
      </c>
      <c r="O430" cm="1">
        <f t="array" aca="1" ref="O430" ca="1">IFERROR(INDEX(fesp!$F:$F, MATCH(1, (VALUE(LEFT(fesp!$A:$A,6))=VALUE(LEFT(B430,6)))*(fesp!$C:$C=C430), 0)), "")</f>
        <v>2287</v>
      </c>
      <c r="P430" cm="1">
        <f t="array" aca="1" ref="P430" ca="1">IFERROR(INDEX(fesp!$G:$G, MATCH(1, (VALUE(LEFT(fesp!$A:$A,6))=VALUE(LEFT(B430,6)))*(fesp!$C:$C=C430), 0)), "")</f>
        <v>8053049</v>
      </c>
      <c r="Q430" cm="1">
        <f t="array" aca="1" ref="Q430" ca="1">IFERROR(INDEX(fesp!$H:$H, MATCH(1, (VALUE(LEFT(fesp!$A:$A,6))=VALUE(LEFT(B430,6)))*(fesp!$C:$C=C430), 0)), "")</f>
        <v>232</v>
      </c>
      <c r="R430" cm="1">
        <f t="array" aca="1" ref="R430" ca="1">IFERROR(INDEX(fesp!$I:$I, MATCH(1, (VALUE(LEFT(fesp!$A:$A,6))=VALUE(LEFT(B430,6)))*(fesp!$C:$C=C430), 0)), "")</f>
        <v>114</v>
      </c>
      <c r="S430" cm="1">
        <f t="array" aca="1" ref="S430" ca="1">IFERROR(INDEX(fesp!$J:$J, MATCH(1, (VALUE(LEFT(fesp!$A:$A,6))=VALUE(LEFT(B430,6)))*(fesp!$C:$C=C430), 0)), "")</f>
        <v>7</v>
      </c>
    </row>
    <row r="431" spans="1:19">
      <c r="A431" s="1" t="s">
        <v>107</v>
      </c>
      <c r="B431" s="3">
        <v>3525904</v>
      </c>
      <c r="C431" s="3">
        <v>2015</v>
      </c>
      <c r="D431" cm="1">
        <f t="array" ref="D431">IFERROR(INDEX(fesp!$D:$D, MATCH(1, (VALUE(LEFT(fesp!$A:$A,6))=VALUE(LEFT(B431,6)))*(fesp!$C:$C=C431), 0)), "")</f>
        <v>401896</v>
      </c>
      <c r="E431" cm="1">
        <f t="array" aca="1" ref="E431" ca="1">IFERROR(INDEX(ft_medicos_clinicos!$C:$C, MATCH(1, (VALUE(LEFT(ft_medicos_clinicos!$A:$A,6))=VALUE(LEFT(B431,6)))*(ft_medicos_clinicos!$B:$B=C431), 0)), "")</f>
        <v>277</v>
      </c>
      <c r="F431" cm="1">
        <f t="array" aca="1" ref="F431" ca="1">IFERROR(INDEX(ft_enfermeiros!$C:$C, MATCH(1, (VALUE(LEFT(ft_enfermeiros!$A:$A,6))=VALUE(LEFT(B431,6)))*(ft_enfermeiros!$B:$B=C431), 0)), "")</f>
        <v>365</v>
      </c>
      <c r="G431" cm="1">
        <f t="array" aca="1" ref="G431" ca="1">IFERROR(INDEX(ft_equipes_acs!$C:$C, MATCH(1, (VALUE(LEFT(ft_equipes_acs!$A:$A,6))=VALUE(LEFT(B431,6)))*(ft_equipes_acs!$B:$B=C431), 0)), "")</f>
        <v>10</v>
      </c>
      <c r="H431" cm="1">
        <f t="array" aca="1" ref="H431" ca="1">IFERROR(INDEX(ci_leitos_internacao!$C:$C, MATCH(1, (VALUE(LEFT(ci_leitos_internacao!$A:$A,6))=VALUE(LEFT(B431,6)))*(ci_leitos_internacao!$B:$B=C431), 0)), "")</f>
        <v>800</v>
      </c>
      <c r="I431" cm="1">
        <f t="array" aca="1" ref="I431" ca="1">IFERROR(INDEX(ci_hospitais_internacao!$C:$C, MATCH(1, (VALUE(LEFT(ci_hospitais_internacao!$A:$A,6))=VALUE(LEFT(B431,6)))*(ci_hospitais_internacao!$B:$B=C431), 0)), "")</f>
        <v>2</v>
      </c>
      <c r="J431" cm="1">
        <f t="array" aca="1" ref="J431" ca="1">IFERROR(INDEX(ci_pa_clinico!$C:$C, MATCH(1, (VALUE(LEFT(ci_pa_clinico!$A:$A,6))=VALUE(LEFT(B431,6)))*(ci_pa_clinico!$B:$B=C431), 0)), "")</f>
        <v>8</v>
      </c>
      <c r="K431" cm="1">
        <f t="array" aca="1" ref="K431" ca="1">IFERROR(INDEX(aps_equipes_esf!$C:$C, MATCH(1, (VALUE(LEFT(aps_equipes_esf!$A:$A,6))=VALUE(LEFT(B431,6)))*(aps_equipes_esf!$B:$B=C431), 0)), "")</f>
        <v>5</v>
      </c>
      <c r="L431" cm="1">
        <f t="array" aca="1" ref="L431" ca="1">IFERROR(INDEX(casos!$C:$C, MATCH(1, (VALUE(LEFT(casos!$A:$A,6))=VALUE(LEFT(B431,6)))*(casos!$B:$B=C431), 0)), "")</f>
        <v>6209</v>
      </c>
      <c r="M431" cm="1">
        <f t="array" ref="M431">IFERROR(INDEX(srag!$D:$D, MATCH(1, (VALUE(LEFT(srag!$A:$A,6))=VALUE(LEFT(B431,6)))*(srag!$C:$C=C431), 0)), "")</f>
        <v>13</v>
      </c>
      <c r="N431" cm="1">
        <f t="array" aca="1" ref="N431" ca="1">IFERROR(INDEX(fesp!$E:$E, MATCH(1, (VALUE(LEFT(fesp!$A:$A,6))=VALUE(LEFT(B431,6)))*(fesp!$C:$C=C431), 0)), "")</f>
        <v>121</v>
      </c>
      <c r="O431" cm="1">
        <f t="array" aca="1" ref="O431" ca="1">IFERROR(INDEX(fesp!$F:$F, MATCH(1, (VALUE(LEFT(fesp!$A:$A,6))=VALUE(LEFT(B431,6)))*(fesp!$C:$C=C431), 0)), "")</f>
        <v>5407</v>
      </c>
      <c r="P431" cm="1">
        <f t="array" aca="1" ref="P431" ca="1">IFERROR(INDEX(fesp!$G:$G, MATCH(1, (VALUE(LEFT(fesp!$A:$A,6))=VALUE(LEFT(B431,6)))*(fesp!$C:$C=C431), 0)), "")</f>
        <v>2252236</v>
      </c>
      <c r="Q431" cm="1">
        <f t="array" aca="1" ref="Q431" ca="1">IFERROR(INDEX(fesp!$H:$H, MATCH(1, (VALUE(LEFT(fesp!$A:$A,6))=VALUE(LEFT(B431,6)))*(fesp!$C:$C=C431), 0)), "")</f>
        <v>45</v>
      </c>
      <c r="R431" cm="1">
        <f t="array" aca="1" ref="R431" ca="1">IFERROR(INDEX(fesp!$I:$I, MATCH(1, (VALUE(LEFT(fesp!$A:$A,6))=VALUE(LEFT(B431,6)))*(fesp!$C:$C=C431), 0)), "")</f>
        <v>29116</v>
      </c>
      <c r="S431" cm="1">
        <f t="array" aca="1" ref="S431" ca="1">IFERROR(INDEX(fesp!$J:$J, MATCH(1, (VALUE(LEFT(fesp!$A:$A,6))=VALUE(LEFT(B431,6)))*(fesp!$C:$C=C431), 0)), "")</f>
        <v>327067</v>
      </c>
    </row>
    <row r="432" spans="1:19">
      <c r="A432" s="1" t="s">
        <v>107</v>
      </c>
      <c r="B432" s="3">
        <v>3525904</v>
      </c>
      <c r="C432" s="3">
        <v>2016</v>
      </c>
      <c r="D432" cm="1">
        <f t="array" ref="D432">IFERROR(INDEX(fesp!$D:$D, MATCH(1, (VALUE(LEFT(fesp!$A:$A,6))=VALUE(LEFT(B432,6)))*(fesp!$C:$C=C432), 0)), "")</f>
        <v>0</v>
      </c>
      <c r="E432" cm="1">
        <f t="array" aca="1" ref="E432" ca="1">IFERROR(INDEX(ft_medicos_clinicos!$C:$C, MATCH(1, (VALUE(LEFT(ft_medicos_clinicos!$A:$A,6))=VALUE(LEFT(B432,6)))*(ft_medicos_clinicos!$B:$B=C432), 0)), "")</f>
        <v>321</v>
      </c>
      <c r="F432" cm="1">
        <f t="array" aca="1" ref="F432" ca="1">IFERROR(INDEX(ft_enfermeiros!$C:$C, MATCH(1, (VALUE(LEFT(ft_enfermeiros!$A:$A,6))=VALUE(LEFT(B432,6)))*(ft_enfermeiros!$B:$B=C432), 0)), "")</f>
        <v>435</v>
      </c>
      <c r="G432" cm="1">
        <f t="array" aca="1" ref="G432" ca="1">IFERROR(INDEX(ft_equipes_acs!$C:$C, MATCH(1, (VALUE(LEFT(ft_equipes_acs!$A:$A,6))=VALUE(LEFT(B432,6)))*(ft_equipes_acs!$B:$B=C432), 0)), "")</f>
        <v>10</v>
      </c>
      <c r="H432" cm="1">
        <f t="array" aca="1" ref="H432" ca="1">IFERROR(INDEX(ci_leitos_internacao!$C:$C, MATCH(1, (VALUE(LEFT(ci_leitos_internacao!$A:$A,6))=VALUE(LEFT(B432,6)))*(ci_leitos_internacao!$B:$B=C432), 0)), "")</f>
        <v>796</v>
      </c>
      <c r="I432" cm="1">
        <f t="array" aca="1" ref="I432" ca="1">IFERROR(INDEX(ci_hospitais_internacao!$C:$C, MATCH(1, (VALUE(LEFT(ci_hospitais_internacao!$A:$A,6))=VALUE(LEFT(B432,6)))*(ci_hospitais_internacao!$B:$B=C432), 0)), "")</f>
        <v>2</v>
      </c>
      <c r="J432" cm="1">
        <f t="array" aca="1" ref="J432" ca="1">IFERROR(INDEX(ci_pa_clinico!$C:$C, MATCH(1, (VALUE(LEFT(ci_pa_clinico!$A:$A,6))=VALUE(LEFT(B432,6)))*(ci_pa_clinico!$B:$B=C432), 0)), "")</f>
        <v>7</v>
      </c>
      <c r="K432" cm="1">
        <f t="array" aca="1" ref="K432" ca="1">IFERROR(INDEX(aps_equipes_esf!$C:$C, MATCH(1, (VALUE(LEFT(aps_equipes_esf!$A:$A,6))=VALUE(LEFT(B432,6)))*(aps_equipes_esf!$B:$B=C432), 0)), "")</f>
        <v>5</v>
      </c>
      <c r="L432" cm="1">
        <f t="array" aca="1" ref="L432" ca="1">IFERROR(INDEX(casos!$C:$C, MATCH(1, (VALUE(LEFT(casos!$A:$A,6))=VALUE(LEFT(B432,6)))*(casos!$B:$B=C432), 0)), "")</f>
        <v>710</v>
      </c>
      <c r="M432" cm="1">
        <f t="array" ref="M432">IFERROR(INDEX(srag!$D:$D, MATCH(1, (VALUE(LEFT(srag!$A:$A,6))=VALUE(LEFT(B432,6)))*(srag!$C:$C=C432), 0)), "")</f>
        <v>146</v>
      </c>
      <c r="N432" cm="1">
        <f t="array" aca="1" ref="N432" ca="1">IFERROR(INDEX(fesp!$E:$E, MATCH(1, (VALUE(LEFT(fesp!$A:$A,6))=VALUE(LEFT(B432,6)))*(fesp!$C:$C=C432), 0)), "")</f>
        <v>164</v>
      </c>
      <c r="O432" cm="1">
        <f t="array" aca="1" ref="O432" ca="1">IFERROR(INDEX(fesp!$F:$F, MATCH(1, (VALUE(LEFT(fesp!$A:$A,6))=VALUE(LEFT(B432,6)))*(fesp!$C:$C=C432), 0)), "")</f>
        <v>4642</v>
      </c>
      <c r="P432" cm="1">
        <f t="array" aca="1" ref="P432" ca="1">IFERROR(INDEX(fesp!$G:$G, MATCH(1, (VALUE(LEFT(fesp!$A:$A,6))=VALUE(LEFT(B432,6)))*(fesp!$C:$C=C432), 0)), "")</f>
        <v>2266179</v>
      </c>
      <c r="Q432" cm="1">
        <f t="array" aca="1" ref="Q432" ca="1">IFERROR(INDEX(fesp!$H:$H, MATCH(1, (VALUE(LEFT(fesp!$A:$A,6))=VALUE(LEFT(B432,6)))*(fesp!$C:$C=C432), 0)), "")</f>
        <v>26</v>
      </c>
      <c r="R432" cm="1">
        <f t="array" aca="1" ref="R432" ca="1">IFERROR(INDEX(fesp!$I:$I, MATCH(1, (VALUE(LEFT(fesp!$A:$A,6))=VALUE(LEFT(B432,6)))*(fesp!$C:$C=C432), 0)), "")</f>
        <v>35276</v>
      </c>
      <c r="S432" cm="1">
        <f t="array" aca="1" ref="S432" ca="1">IFERROR(INDEX(fesp!$J:$J, MATCH(1, (VALUE(LEFT(fesp!$A:$A,6))=VALUE(LEFT(B432,6)))*(fesp!$C:$C=C432), 0)), "")</f>
        <v>316266</v>
      </c>
    </row>
    <row r="433" spans="1:19">
      <c r="A433" s="1" t="s">
        <v>107</v>
      </c>
      <c r="B433" s="3" t="s">
        <v>106</v>
      </c>
      <c r="C433" s="3">
        <v>2017</v>
      </c>
      <c r="D433" cm="1">
        <f t="array" ref="D433">IFERROR(INDEX(fesp!$D:$D, MATCH(1, (VALUE(LEFT(fesp!$A:$A,6))=VALUE(LEFT(B433,6)))*(fesp!$C:$C=C433), 0)), "")</f>
        <v>0</v>
      </c>
      <c r="E433" cm="1">
        <f t="array" aca="1" ref="E433" ca="1">IFERROR(INDEX(ft_medicos_clinicos!$C:$C, MATCH(1, (VALUE(LEFT(ft_medicos_clinicos!$A:$A,6))=VALUE(LEFT(B433,6)))*(ft_medicos_clinicos!$B:$B=C433), 0)), "")</f>
        <v>280</v>
      </c>
      <c r="F433" cm="1">
        <f t="array" aca="1" ref="F433" ca="1">IFERROR(INDEX(ft_enfermeiros!$C:$C, MATCH(1, (VALUE(LEFT(ft_enfermeiros!$A:$A,6))=VALUE(LEFT(B433,6)))*(ft_enfermeiros!$B:$B=C433), 0)), "")</f>
        <v>429</v>
      </c>
      <c r="G433" cm="1">
        <f t="array" aca="1" ref="G433" ca="1">IFERROR(INDEX(ft_equipes_acs!$C:$C, MATCH(1, (VALUE(LEFT(ft_equipes_acs!$A:$A,6))=VALUE(LEFT(B433,6)))*(ft_equipes_acs!$B:$B=C433), 0)), "")</f>
        <v>12</v>
      </c>
      <c r="H433" cm="1">
        <f t="array" aca="1" ref="H433" ca="1">IFERROR(INDEX(ci_leitos_internacao!$C:$C, MATCH(1, (VALUE(LEFT(ci_leitos_internacao!$A:$A,6))=VALUE(LEFT(B433,6)))*(ci_leitos_internacao!$B:$B=C433), 0)), "")</f>
        <v>828</v>
      </c>
      <c r="I433" cm="1">
        <f t="array" aca="1" ref="I433" ca="1">IFERROR(INDEX(ci_hospitais_internacao!$C:$C, MATCH(1, (VALUE(LEFT(ci_hospitais_internacao!$A:$A,6))=VALUE(LEFT(B433,6)))*(ci_hospitais_internacao!$B:$B=C433), 0)), "")</f>
        <v>2</v>
      </c>
      <c r="J433" cm="1">
        <f t="array" aca="1" ref="J433" ca="1">IFERROR(INDEX(ci_pa_clinico!$C:$C, MATCH(1, (VALUE(LEFT(ci_pa_clinico!$A:$A,6))=VALUE(LEFT(B433,6)))*(ci_pa_clinico!$B:$B=C433), 0)), "")</f>
        <v>7</v>
      </c>
      <c r="K433" cm="1">
        <f t="array" aca="1" ref="K433" ca="1">IFERROR(INDEX(aps_equipes_esf!$C:$C, MATCH(1, (VALUE(LEFT(aps_equipes_esf!$A:$A,6))=VALUE(LEFT(B433,6)))*(aps_equipes_esf!$B:$B=C433), 0)), "")</f>
        <v>7</v>
      </c>
      <c r="L433" cm="1">
        <f t="array" aca="1" ref="L433" ca="1">IFERROR(INDEX(casos!$C:$C, MATCH(1, (VALUE(LEFT(casos!$A:$A,6))=VALUE(LEFT(B433,6)))*(casos!$B:$B=C433), 0)), "")</f>
        <v>61</v>
      </c>
      <c r="M433" cm="1">
        <f t="array" ref="M433">IFERROR(INDEX(srag!$D:$D, MATCH(1, (VALUE(LEFT(srag!$A:$A,6))=VALUE(LEFT(B433,6)))*(srag!$C:$C=C433), 0)), "")</f>
        <v>40</v>
      </c>
      <c r="N433" cm="1">
        <f t="array" aca="1" ref="N433" ca="1">IFERROR(INDEX(fesp!$E:$E, MATCH(1, (VALUE(LEFT(fesp!$A:$A,6))=VALUE(LEFT(B433,6)))*(fesp!$C:$C=C433), 0)), "")</f>
        <v>191</v>
      </c>
      <c r="O433" cm="1">
        <f t="array" aca="1" ref="O433" ca="1">IFERROR(INDEX(fesp!$F:$F, MATCH(1, (VALUE(LEFT(fesp!$A:$A,6))=VALUE(LEFT(B433,6)))*(fesp!$C:$C=C433), 0)), "")</f>
        <v>4908</v>
      </c>
      <c r="P433" cm="1">
        <f t="array" aca="1" ref="P433" ca="1">IFERROR(INDEX(fesp!$G:$G, MATCH(1, (VALUE(LEFT(fesp!$A:$A,6))=VALUE(LEFT(B433,6)))*(fesp!$C:$C=C433), 0)), "")</f>
        <v>2371489</v>
      </c>
      <c r="Q433" cm="1">
        <f t="array" aca="1" ref="Q433" ca="1">IFERROR(INDEX(fesp!$H:$H, MATCH(1, (VALUE(LEFT(fesp!$A:$A,6))=VALUE(LEFT(B433,6)))*(fesp!$C:$C=C433), 0)), "")</f>
        <v>34</v>
      </c>
      <c r="R433" cm="1">
        <f t="array" aca="1" ref="R433" ca="1">IFERROR(INDEX(fesp!$I:$I, MATCH(1, (VALUE(LEFT(fesp!$A:$A,6))=VALUE(LEFT(B433,6)))*(fesp!$C:$C=C433), 0)), "")</f>
        <v>32647</v>
      </c>
      <c r="S433" cm="1">
        <f t="array" aca="1" ref="S433" ca="1">IFERROR(INDEX(fesp!$J:$J, MATCH(1, (VALUE(LEFT(fesp!$A:$A,6))=VALUE(LEFT(B433,6)))*(fesp!$C:$C=C433), 0)), "")</f>
        <v>297247</v>
      </c>
    </row>
    <row r="434" spans="1:19">
      <c r="A434" s="1" t="s">
        <v>107</v>
      </c>
      <c r="B434" s="3" t="s">
        <v>106</v>
      </c>
      <c r="C434" s="3">
        <v>2018</v>
      </c>
      <c r="D434" cm="1">
        <f t="array" ref="D434">IFERROR(INDEX(fesp!$D:$D, MATCH(1, (VALUE(LEFT(fesp!$A:$A,6))=VALUE(LEFT(B434,6)))*(fesp!$C:$C=C434), 0)), "")</f>
        <v>0</v>
      </c>
      <c r="E434" cm="1">
        <f t="array" aca="1" ref="E434" ca="1">IFERROR(INDEX(ft_medicos_clinicos!$C:$C, MATCH(1, (VALUE(LEFT(ft_medicos_clinicos!$A:$A,6))=VALUE(LEFT(B434,6)))*(ft_medicos_clinicos!$B:$B=C434), 0)), "")</f>
        <v>318</v>
      </c>
      <c r="F434" cm="1">
        <f t="array" aca="1" ref="F434" ca="1">IFERROR(INDEX(ft_enfermeiros!$C:$C, MATCH(1, (VALUE(LEFT(ft_enfermeiros!$A:$A,6))=VALUE(LEFT(B434,6)))*(ft_enfermeiros!$B:$B=C434), 0)), "")</f>
        <v>448</v>
      </c>
      <c r="G434" cm="1">
        <f t="array" aca="1" ref="G434" ca="1">IFERROR(INDEX(ft_equipes_acs!$C:$C, MATCH(1, (VALUE(LEFT(ft_equipes_acs!$A:$A,6))=VALUE(LEFT(B434,6)))*(ft_equipes_acs!$B:$B=C434), 0)), "")</f>
        <v>12</v>
      </c>
      <c r="H434" cm="1">
        <f t="array" aca="1" ref="H434" ca="1">IFERROR(INDEX(ci_leitos_internacao!$C:$C, MATCH(1, (VALUE(LEFT(ci_leitos_internacao!$A:$A,6))=VALUE(LEFT(B434,6)))*(ci_leitos_internacao!$B:$B=C434), 0)), "")</f>
        <v>824</v>
      </c>
      <c r="I434" cm="1">
        <f t="array" aca="1" ref="I434" ca="1">IFERROR(INDEX(ci_hospitais_internacao!$C:$C, MATCH(1, (VALUE(LEFT(ci_hospitais_internacao!$A:$A,6))=VALUE(LEFT(B434,6)))*(ci_hospitais_internacao!$B:$B=C434), 0)), "")</f>
        <v>2</v>
      </c>
      <c r="J434" cm="1">
        <f t="array" aca="1" ref="J434" ca="1">IFERROR(INDEX(ci_pa_clinico!$C:$C, MATCH(1, (VALUE(LEFT(ci_pa_clinico!$A:$A,6))=VALUE(LEFT(B434,6)))*(ci_pa_clinico!$B:$B=C434), 0)), "")</f>
        <v>7</v>
      </c>
      <c r="K434" cm="1">
        <f t="array" aca="1" ref="K434" ca="1">IFERROR(INDEX(aps_equipes_esf!$C:$C, MATCH(1, (VALUE(LEFT(aps_equipes_esf!$A:$A,6))=VALUE(LEFT(B434,6)))*(aps_equipes_esf!$B:$B=C434), 0)), "")</f>
        <v>7</v>
      </c>
      <c r="L434" cm="1">
        <f t="array" aca="1" ref="L434" ca="1">IFERROR(INDEX(casos!$C:$C, MATCH(1, (VALUE(LEFT(casos!$A:$A,6))=VALUE(LEFT(B434,6)))*(casos!$B:$B=C434), 0)), "")</f>
        <v>57</v>
      </c>
      <c r="M434" cm="1">
        <f t="array" ref="M434">IFERROR(INDEX(srag!$D:$D, MATCH(1, (VALUE(LEFT(srag!$A:$A,6))=VALUE(LEFT(B434,6)))*(srag!$C:$C=C434), 0)), "")</f>
        <v>85</v>
      </c>
      <c r="N434" cm="1">
        <f t="array" aca="1" ref="N434" ca="1">IFERROR(INDEX(fesp!$E:$E, MATCH(1, (VALUE(LEFT(fesp!$A:$A,6))=VALUE(LEFT(B434,6)))*(fesp!$C:$C=C434), 0)), "")</f>
        <v>159</v>
      </c>
      <c r="O434" cm="1">
        <f t="array" aca="1" ref="O434" ca="1">IFERROR(INDEX(fesp!$F:$F, MATCH(1, (VALUE(LEFT(fesp!$A:$A,6))=VALUE(LEFT(B434,6)))*(fesp!$C:$C=C434), 0)), "")</f>
        <v>4526</v>
      </c>
      <c r="P434" cm="1">
        <f t="array" aca="1" ref="P434" ca="1">IFERROR(INDEX(fesp!$G:$G, MATCH(1, (VALUE(LEFT(fesp!$A:$A,6))=VALUE(LEFT(B434,6)))*(fesp!$C:$C=C434), 0)), "")</f>
        <v>2449508</v>
      </c>
      <c r="Q434" cm="1">
        <f t="array" aca="1" ref="Q434" ca="1">IFERROR(INDEX(fesp!$H:$H, MATCH(1, (VALUE(LEFT(fesp!$A:$A,6))=VALUE(LEFT(B434,6)))*(fesp!$C:$C=C434), 0)), "")</f>
        <v>42</v>
      </c>
      <c r="R434" cm="1">
        <f t="array" aca="1" ref="R434" ca="1">IFERROR(INDEX(fesp!$I:$I, MATCH(1, (VALUE(LEFT(fesp!$A:$A,6))=VALUE(LEFT(B434,6)))*(fesp!$C:$C=C434), 0)), "")</f>
        <v>19390</v>
      </c>
      <c r="S434" cm="1">
        <f t="array" aca="1" ref="S434" ca="1">IFERROR(INDEX(fesp!$J:$J, MATCH(1, (VALUE(LEFT(fesp!$A:$A,6))=VALUE(LEFT(B434,6)))*(fesp!$C:$C=C434), 0)), "")</f>
        <v>279038</v>
      </c>
    </row>
    <row r="435" spans="1:19">
      <c r="A435" s="1" t="s">
        <v>107</v>
      </c>
      <c r="B435" s="3" t="s">
        <v>106</v>
      </c>
      <c r="C435" s="3">
        <v>2019</v>
      </c>
      <c r="D435" cm="1">
        <f t="array" ref="D435">IFERROR(INDEX(fesp!$D:$D, MATCH(1, (VALUE(LEFT(fesp!$A:$A,6))=VALUE(LEFT(B435,6)))*(fesp!$C:$C=C435), 0)), "")</f>
        <v>0</v>
      </c>
      <c r="E435" cm="1">
        <f t="array" aca="1" ref="E435" ca="1">IFERROR(INDEX(ft_medicos_clinicos!$C:$C, MATCH(1, (VALUE(LEFT(ft_medicos_clinicos!$A:$A,6))=VALUE(LEFT(B435,6)))*(ft_medicos_clinicos!$B:$B=C435), 0)), "")</f>
        <v>358</v>
      </c>
      <c r="F435" cm="1">
        <f t="array" aca="1" ref="F435" ca="1">IFERROR(INDEX(ft_enfermeiros!$C:$C, MATCH(1, (VALUE(LEFT(ft_enfermeiros!$A:$A,6))=VALUE(LEFT(B435,6)))*(ft_enfermeiros!$B:$B=C435), 0)), "")</f>
        <v>489</v>
      </c>
      <c r="G435" cm="1">
        <f t="array" aca="1" ref="G435" ca="1">IFERROR(INDEX(ft_equipes_acs!$C:$C, MATCH(1, (VALUE(LEFT(ft_equipes_acs!$A:$A,6))=VALUE(LEFT(B435,6)))*(ft_equipes_acs!$B:$B=C435), 0)), "")</f>
        <v>12</v>
      </c>
      <c r="H435" cm="1">
        <f t="array" aca="1" ref="H435" ca="1">IFERROR(INDEX(ci_leitos_internacao!$C:$C, MATCH(1, (VALUE(LEFT(ci_leitos_internacao!$A:$A,6))=VALUE(LEFT(B435,6)))*(ci_leitos_internacao!$B:$B=C435), 0)), "")</f>
        <v>824</v>
      </c>
      <c r="I435" cm="1">
        <f t="array" aca="1" ref="I435" ca="1">IFERROR(INDEX(ci_hospitais_internacao!$C:$C, MATCH(1, (VALUE(LEFT(ci_hospitais_internacao!$A:$A,6))=VALUE(LEFT(B435,6)))*(ci_hospitais_internacao!$B:$B=C435), 0)), "")</f>
        <v>2</v>
      </c>
      <c r="J435" cm="1">
        <f t="array" aca="1" ref="J435" ca="1">IFERROR(INDEX(ci_pa_clinico!$C:$C, MATCH(1, (VALUE(LEFT(ci_pa_clinico!$A:$A,6))=VALUE(LEFT(B435,6)))*(ci_pa_clinico!$B:$B=C435), 0)), "")</f>
        <v>8</v>
      </c>
      <c r="K435" cm="1">
        <f t="array" aca="1" ref="K435" ca="1">IFERROR(INDEX(aps_equipes_esf!$C:$C, MATCH(1, (VALUE(LEFT(aps_equipes_esf!$A:$A,6))=VALUE(LEFT(B435,6)))*(aps_equipes_esf!$B:$B=C435), 0)), "")</f>
        <v>8</v>
      </c>
      <c r="L435" cm="1">
        <f t="array" aca="1" ref="L435" ca="1">IFERROR(INDEX(casos!$C:$C, MATCH(1, (VALUE(LEFT(casos!$A:$A,6))=VALUE(LEFT(B435,6)))*(casos!$B:$B=C435), 0)), "")</f>
        <v>3231</v>
      </c>
      <c r="M435" cm="1">
        <f t="array" ref="M435">IFERROR(INDEX(srag!$D:$D, MATCH(1, (VALUE(LEFT(srag!$A:$A,6))=VALUE(LEFT(B435,6)))*(srag!$C:$C=C435), 0)), "")</f>
        <v>70</v>
      </c>
      <c r="N435" cm="1">
        <f t="array" aca="1" ref="N435" ca="1">IFERROR(INDEX(fesp!$E:$E, MATCH(1, (VALUE(LEFT(fesp!$A:$A,6))=VALUE(LEFT(B435,6)))*(fesp!$C:$C=C435), 0)), "")</f>
        <v>168</v>
      </c>
      <c r="O435" cm="1">
        <f t="array" aca="1" ref="O435" ca="1">IFERROR(INDEX(fesp!$F:$F, MATCH(1, (VALUE(LEFT(fesp!$A:$A,6))=VALUE(LEFT(B435,6)))*(fesp!$C:$C=C435), 0)), "")</f>
        <v>4616</v>
      </c>
      <c r="P435" cm="1">
        <f t="array" aca="1" ref="P435" ca="1">IFERROR(INDEX(fesp!$G:$G, MATCH(1, (VALUE(LEFT(fesp!$A:$A,6))=VALUE(LEFT(B435,6)))*(fesp!$C:$C=C435), 0)), "")</f>
        <v>2805045</v>
      </c>
      <c r="Q435" cm="1">
        <f t="array" aca="1" ref="Q435" ca="1">IFERROR(INDEX(fesp!$H:$H, MATCH(1, (VALUE(LEFT(fesp!$A:$A,6))=VALUE(LEFT(B435,6)))*(fesp!$C:$C=C435), 0)), "")</f>
        <v>32</v>
      </c>
      <c r="R435" cm="1">
        <f t="array" aca="1" ref="R435" ca="1">IFERROR(INDEX(fesp!$I:$I, MATCH(1, (VALUE(LEFT(fesp!$A:$A,6))=VALUE(LEFT(B435,6)))*(fesp!$C:$C=C435), 0)), "")</f>
        <v>0</v>
      </c>
      <c r="S435" cm="1">
        <f t="array" aca="1" ref="S435" ca="1">IFERROR(INDEX(fesp!$J:$J, MATCH(1, (VALUE(LEFT(fesp!$A:$A,6))=VALUE(LEFT(B435,6)))*(fesp!$C:$C=C435), 0)), "")</f>
        <v>280561</v>
      </c>
    </row>
    <row r="436" spans="1:19">
      <c r="A436" s="1" t="s">
        <v>107</v>
      </c>
      <c r="B436" s="3" t="s">
        <v>106</v>
      </c>
      <c r="C436" s="3">
        <v>2020</v>
      </c>
      <c r="D436" cm="1">
        <f t="array" ref="D436">IFERROR(INDEX(fesp!$D:$D, MATCH(1, (VALUE(LEFT(fesp!$A:$A,6))=VALUE(LEFT(B436,6)))*(fesp!$C:$C=C436), 0)), "")</f>
        <v>0</v>
      </c>
      <c r="E436" cm="1">
        <f t="array" aca="1" ref="E436" ca="1">IFERROR(INDEX(ft_medicos_clinicos!$C:$C, MATCH(1, (VALUE(LEFT(ft_medicos_clinicos!$A:$A,6))=VALUE(LEFT(B436,6)))*(ft_medicos_clinicos!$B:$B=C436), 0)), "")</f>
        <v>384</v>
      </c>
      <c r="F436" cm="1">
        <f t="array" aca="1" ref="F436" ca="1">IFERROR(INDEX(ft_enfermeiros!$C:$C, MATCH(1, (VALUE(LEFT(ft_enfermeiros!$A:$A,6))=VALUE(LEFT(B436,6)))*(ft_enfermeiros!$B:$B=C436), 0)), "")</f>
        <v>554</v>
      </c>
      <c r="G436" t="str" cm="1">
        <f t="array" aca="1" ref="G436" ca="1">IFERROR(INDEX(ft_equipes_acs!$C:$C, MATCH(1, (VALUE(LEFT(ft_equipes_acs!$A:$A,6))=VALUE(LEFT(B436,6)))*(ft_equipes_acs!$B:$B=C436), 0)), "")</f>
        <v>-</v>
      </c>
      <c r="H436" cm="1">
        <f t="array" aca="1" ref="H436" ca="1">IFERROR(INDEX(ci_leitos_internacao!$C:$C, MATCH(1, (VALUE(LEFT(ci_leitos_internacao!$A:$A,6))=VALUE(LEFT(B436,6)))*(ci_leitos_internacao!$B:$B=C436), 0)), "")</f>
        <v>773</v>
      </c>
      <c r="I436" cm="1">
        <f t="array" aca="1" ref="I436" ca="1">IFERROR(INDEX(ci_hospitais_internacao!$C:$C, MATCH(1, (VALUE(LEFT(ci_hospitais_internacao!$A:$A,6))=VALUE(LEFT(B436,6)))*(ci_hospitais_internacao!$B:$B=C436), 0)), "")</f>
        <v>2</v>
      </c>
      <c r="J436" cm="1">
        <f t="array" aca="1" ref="J436" ca="1">IFERROR(INDEX(ci_pa_clinico!$C:$C, MATCH(1, (VALUE(LEFT(ci_pa_clinico!$A:$A,6))=VALUE(LEFT(B436,6)))*(ci_pa_clinico!$B:$B=C436), 0)), "")</f>
        <v>9</v>
      </c>
      <c r="K436" t="str" cm="1">
        <f t="array" aca="1" ref="K436" ca="1">IFERROR(INDEX(aps_equipes_esf!$C:$C, MATCH(1, (VALUE(LEFT(aps_equipes_esf!$A:$A,6))=VALUE(LEFT(B436,6)))*(aps_equipes_esf!$B:$B=C436), 0)), "")</f>
        <v>-</v>
      </c>
      <c r="L436" cm="1">
        <f t="array" aca="1" ref="L436" ca="1">IFERROR(INDEX(casos!$C:$C, MATCH(1, (VALUE(LEFT(casos!$A:$A,6))=VALUE(LEFT(B436,6)))*(casos!$B:$B=C436), 0)), "")</f>
        <v>180</v>
      </c>
      <c r="M436" cm="1">
        <f t="array" ref="M436">IFERROR(INDEX(srag!$D:$D, MATCH(1, (VALUE(LEFT(srag!$A:$A,6))=VALUE(LEFT(B436,6)))*(srag!$C:$C=C436), 0)), "")</f>
        <v>2812</v>
      </c>
      <c r="N436" cm="1">
        <f t="array" aca="1" ref="N436" ca="1">IFERROR(INDEX(fesp!$E:$E, MATCH(1, (VALUE(LEFT(fesp!$A:$A,6))=VALUE(LEFT(B436,6)))*(fesp!$C:$C=C436), 0)), "")</f>
        <v>157</v>
      </c>
      <c r="O436" cm="1">
        <f t="array" aca="1" ref="O436" ca="1">IFERROR(INDEX(fesp!$F:$F, MATCH(1, (VALUE(LEFT(fesp!$A:$A,6))=VALUE(LEFT(B436,6)))*(fesp!$C:$C=C436), 0)), "")</f>
        <v>4525</v>
      </c>
      <c r="P436" cm="1">
        <f t="array" aca="1" ref="P436" ca="1">IFERROR(INDEX(fesp!$G:$G, MATCH(1, (VALUE(LEFT(fesp!$A:$A,6))=VALUE(LEFT(B436,6)))*(fesp!$C:$C=C436), 0)), "")</f>
        <v>2160926</v>
      </c>
      <c r="Q436" cm="1">
        <f t="array" aca="1" ref="Q436" ca="1">IFERROR(INDEX(fesp!$H:$H, MATCH(1, (VALUE(LEFT(fesp!$A:$A,6))=VALUE(LEFT(B436,6)))*(fesp!$C:$C=C436), 0)), "")</f>
        <v>51</v>
      </c>
      <c r="R436" cm="1">
        <f t="array" aca="1" ref="R436" ca="1">IFERROR(INDEX(fesp!$I:$I, MATCH(1, (VALUE(LEFT(fesp!$A:$A,6))=VALUE(LEFT(B436,6)))*(fesp!$C:$C=C436), 0)), "")</f>
        <v>0</v>
      </c>
      <c r="S436" cm="1">
        <f t="array" aca="1" ref="S436" ca="1">IFERROR(INDEX(fesp!$J:$J, MATCH(1, (VALUE(LEFT(fesp!$A:$A,6))=VALUE(LEFT(B436,6)))*(fesp!$C:$C=C436), 0)), "")</f>
        <v>201183</v>
      </c>
    </row>
    <row r="437" spans="1:19">
      <c r="A437" s="1" t="s">
        <v>107</v>
      </c>
      <c r="B437" s="3" t="s">
        <v>106</v>
      </c>
      <c r="C437" s="3">
        <v>2021</v>
      </c>
      <c r="D437" cm="1">
        <f t="array" ref="D437">IFERROR(INDEX(fesp!$D:$D, MATCH(1, (VALUE(LEFT(fesp!$A:$A,6))=VALUE(LEFT(B437,6)))*(fesp!$C:$C=C437), 0)), "")</f>
        <v>0</v>
      </c>
      <c r="E437" cm="1">
        <f t="array" aca="1" ref="E437" ca="1">IFERROR(INDEX(ft_medicos_clinicos!$C:$C, MATCH(1, (VALUE(LEFT(ft_medicos_clinicos!$A:$A,6))=VALUE(LEFT(B437,6)))*(ft_medicos_clinicos!$B:$B=C437), 0)), "")</f>
        <v>551</v>
      </c>
      <c r="F437" cm="1">
        <f t="array" aca="1" ref="F437" ca="1">IFERROR(INDEX(ft_enfermeiros!$C:$C, MATCH(1, (VALUE(LEFT(ft_enfermeiros!$A:$A,6))=VALUE(LEFT(B437,6)))*(ft_enfermeiros!$B:$B=C437), 0)), "")</f>
        <v>715</v>
      </c>
      <c r="G437" t="str" cm="1">
        <f t="array" aca="1" ref="G437" ca="1">IFERROR(INDEX(ft_equipes_acs!$C:$C, MATCH(1, (VALUE(LEFT(ft_equipes_acs!$A:$A,6))=VALUE(LEFT(B437,6)))*(ft_equipes_acs!$B:$B=C437), 0)), "")</f>
        <v>-</v>
      </c>
      <c r="H437" cm="1">
        <f t="array" aca="1" ref="H437" ca="1">IFERROR(INDEX(ci_leitos_internacao!$C:$C, MATCH(1, (VALUE(LEFT(ci_leitos_internacao!$A:$A,6))=VALUE(LEFT(B437,6)))*(ci_leitos_internacao!$B:$B=C437), 0)), "")</f>
        <v>832</v>
      </c>
      <c r="I437" cm="1">
        <f t="array" aca="1" ref="I437" ca="1">IFERROR(INDEX(ci_hospitais_internacao!$C:$C, MATCH(1, (VALUE(LEFT(ci_hospitais_internacao!$A:$A,6))=VALUE(LEFT(B437,6)))*(ci_hospitais_internacao!$B:$B=C437), 0)), "")</f>
        <v>2</v>
      </c>
      <c r="J437" cm="1">
        <f t="array" aca="1" ref="J437" ca="1">IFERROR(INDEX(ci_pa_clinico!$C:$C, MATCH(1, (VALUE(LEFT(ci_pa_clinico!$A:$A,6))=VALUE(LEFT(B437,6)))*(ci_pa_clinico!$B:$B=C437), 0)), "")</f>
        <v>9</v>
      </c>
      <c r="K437" t="str" cm="1">
        <f t="array" aca="1" ref="K437" ca="1">IFERROR(INDEX(aps_equipes_esf!$C:$C, MATCH(1, (VALUE(LEFT(aps_equipes_esf!$A:$A,6))=VALUE(LEFT(B437,6)))*(aps_equipes_esf!$B:$B=C437), 0)), "")</f>
        <v>-</v>
      </c>
      <c r="L437" cm="1">
        <f t="array" aca="1" ref="L437" ca="1">IFERROR(INDEX(casos!$C:$C, MATCH(1, (VALUE(LEFT(casos!$A:$A,6))=VALUE(LEFT(B437,6)))*(casos!$B:$B=C437), 0)), "")</f>
        <v>568</v>
      </c>
      <c r="M437" cm="1">
        <f t="array" ref="M437">IFERROR(INDEX(srag!$D:$D, MATCH(1, (VALUE(LEFT(srag!$A:$A,6))=VALUE(LEFT(B437,6)))*(srag!$C:$C=C437), 0)), "")</f>
        <v>5369</v>
      </c>
      <c r="N437" cm="1">
        <f t="array" aca="1" ref="N437" ca="1">IFERROR(INDEX(fesp!$E:$E, MATCH(1, (VALUE(LEFT(fesp!$A:$A,6))=VALUE(LEFT(B437,6)))*(fesp!$C:$C=C437), 0)), "")</f>
        <v>113</v>
      </c>
      <c r="O437" cm="1">
        <f t="array" aca="1" ref="O437" ca="1">IFERROR(INDEX(fesp!$F:$F, MATCH(1, (VALUE(LEFT(fesp!$A:$A,6))=VALUE(LEFT(B437,6)))*(fesp!$C:$C=C437), 0)), "")</f>
        <v>4898</v>
      </c>
      <c r="P437" cm="1">
        <f t="array" aca="1" ref="P437" ca="1">IFERROR(INDEX(fesp!$G:$G, MATCH(1, (VALUE(LEFT(fesp!$A:$A,6))=VALUE(LEFT(B437,6)))*(fesp!$C:$C=C437), 0)), "")</f>
        <v>2937570</v>
      </c>
      <c r="Q437" cm="1">
        <f t="array" aca="1" ref="Q437" ca="1">IFERROR(INDEX(fesp!$H:$H, MATCH(1, (VALUE(LEFT(fesp!$A:$A,6))=VALUE(LEFT(B437,6)))*(fesp!$C:$C=C437), 0)), "")</f>
        <v>35</v>
      </c>
      <c r="R437" cm="1">
        <f t="array" aca="1" ref="R437" ca="1">IFERROR(INDEX(fesp!$I:$I, MATCH(1, (VALUE(LEFT(fesp!$A:$A,6))=VALUE(LEFT(B437,6)))*(fesp!$C:$C=C437), 0)), "")</f>
        <v>0</v>
      </c>
      <c r="S437" cm="1">
        <f t="array" aca="1" ref="S437" ca="1">IFERROR(INDEX(fesp!$J:$J, MATCH(1, (VALUE(LEFT(fesp!$A:$A,6))=VALUE(LEFT(B437,6)))*(fesp!$C:$C=C437), 0)), "")</f>
        <v>283830</v>
      </c>
    </row>
    <row r="438" spans="1:19">
      <c r="A438" s="1" t="s">
        <v>107</v>
      </c>
      <c r="B438" s="3" t="s">
        <v>106</v>
      </c>
      <c r="C438" s="3">
        <v>2022</v>
      </c>
      <c r="D438" cm="1">
        <f t="array" ref="D438">IFERROR(INDEX(fesp!$D:$D, MATCH(1, (VALUE(LEFT(fesp!$A:$A,6))=VALUE(LEFT(B438,6)))*(fesp!$C:$C=C438), 0)), "")</f>
        <v>443221</v>
      </c>
      <c r="E438" cm="1">
        <f t="array" aca="1" ref="E438" ca="1">IFERROR(INDEX(ft_medicos_clinicos!$C:$C, MATCH(1, (VALUE(LEFT(ft_medicos_clinicos!$A:$A,6))=VALUE(LEFT(B438,6)))*(ft_medicos_clinicos!$B:$B=C438), 0)), "")</f>
        <v>661</v>
      </c>
      <c r="F438" cm="1">
        <f t="array" aca="1" ref="F438" ca="1">IFERROR(INDEX(ft_enfermeiros!$C:$C, MATCH(1, (VALUE(LEFT(ft_enfermeiros!$A:$A,6))=VALUE(LEFT(B438,6)))*(ft_enfermeiros!$B:$B=C438), 0)), "")</f>
        <v>786</v>
      </c>
      <c r="G438" t="str" cm="1">
        <f t="array" aca="1" ref="G438" ca="1">IFERROR(INDEX(ft_equipes_acs!$C:$C, MATCH(1, (VALUE(LEFT(ft_equipes_acs!$A:$A,6))=VALUE(LEFT(B438,6)))*(ft_equipes_acs!$B:$B=C438), 0)), "")</f>
        <v>-</v>
      </c>
      <c r="H438" cm="1">
        <f t="array" aca="1" ref="H438" ca="1">IFERROR(INDEX(ci_leitos_internacao!$C:$C, MATCH(1, (VALUE(LEFT(ci_leitos_internacao!$A:$A,6))=VALUE(LEFT(B438,6)))*(ci_leitos_internacao!$B:$B=C438), 0)), "")</f>
        <v>841</v>
      </c>
      <c r="I438" cm="1">
        <f t="array" aca="1" ref="I438" ca="1">IFERROR(INDEX(ci_hospitais_internacao!$C:$C, MATCH(1, (VALUE(LEFT(ci_hospitais_internacao!$A:$A,6))=VALUE(LEFT(B438,6)))*(ci_hospitais_internacao!$B:$B=C438), 0)), "")</f>
        <v>2</v>
      </c>
      <c r="J438" cm="1">
        <f t="array" aca="1" ref="J438" ca="1">IFERROR(INDEX(ci_pa_clinico!$C:$C, MATCH(1, (VALUE(LEFT(ci_pa_clinico!$A:$A,6))=VALUE(LEFT(B438,6)))*(ci_pa_clinico!$B:$B=C438), 0)), "")</f>
        <v>9</v>
      </c>
      <c r="K438" t="str" cm="1">
        <f t="array" aca="1" ref="K438" ca="1">IFERROR(INDEX(aps_equipes_esf!$C:$C, MATCH(1, (VALUE(LEFT(aps_equipes_esf!$A:$A,6))=VALUE(LEFT(B438,6)))*(aps_equipes_esf!$B:$B=C438), 0)), "")</f>
        <v>-</v>
      </c>
      <c r="L438" cm="1">
        <f t="array" aca="1" ref="L438" ca="1">IFERROR(INDEX(casos!$C:$C, MATCH(1, (VALUE(LEFT(casos!$A:$A,6))=VALUE(LEFT(B438,6)))*(casos!$B:$B=C438), 0)), "")</f>
        <v>859</v>
      </c>
      <c r="M438" cm="1">
        <f t="array" ref="M438">IFERROR(INDEX(srag!$D:$D, MATCH(1, (VALUE(LEFT(srag!$A:$A,6))=VALUE(LEFT(B438,6)))*(srag!$C:$C=C438), 0)), "")</f>
        <v>1127</v>
      </c>
      <c r="N438" cm="1">
        <f t="array" aca="1" ref="N438" ca="1">IFERROR(INDEX(fesp!$E:$E, MATCH(1, (VALUE(LEFT(fesp!$A:$A,6))=VALUE(LEFT(B438,6)))*(fesp!$C:$C=C438), 0)), "")</f>
        <v>90</v>
      </c>
      <c r="O438" cm="1">
        <f t="array" aca="1" ref="O438" ca="1">IFERROR(INDEX(fesp!$F:$F, MATCH(1, (VALUE(LEFT(fesp!$A:$A,6))=VALUE(LEFT(B438,6)))*(fesp!$C:$C=C438), 0)), "")</f>
        <v>4904</v>
      </c>
      <c r="P438" cm="1">
        <f t="array" aca="1" ref="P438" ca="1">IFERROR(INDEX(fesp!$G:$G, MATCH(1, (VALUE(LEFT(fesp!$A:$A,6))=VALUE(LEFT(B438,6)))*(fesp!$C:$C=C438), 0)), "")</f>
        <v>3467548</v>
      </c>
      <c r="Q438" cm="1">
        <f t="array" aca="1" ref="Q438" ca="1">IFERROR(INDEX(fesp!$H:$H, MATCH(1, (VALUE(LEFT(fesp!$A:$A,6))=VALUE(LEFT(B438,6)))*(fesp!$C:$C=C438), 0)), "")</f>
        <v>22</v>
      </c>
      <c r="R438" cm="1">
        <f t="array" aca="1" ref="R438" ca="1">IFERROR(INDEX(fesp!$I:$I, MATCH(1, (VALUE(LEFT(fesp!$A:$A,6))=VALUE(LEFT(B438,6)))*(fesp!$C:$C=C438), 0)), "")</f>
        <v>963</v>
      </c>
      <c r="S438" cm="1">
        <f t="array" aca="1" ref="S438" ca="1">IFERROR(INDEX(fesp!$J:$J, MATCH(1, (VALUE(LEFT(fesp!$A:$A,6))=VALUE(LEFT(B438,6)))*(fesp!$C:$C=C438), 0)), "")</f>
        <v>298784</v>
      </c>
    </row>
    <row r="439" spans="1:19">
      <c r="A439" s="1" t="s">
        <v>107</v>
      </c>
      <c r="B439" s="3" t="s">
        <v>106</v>
      </c>
      <c r="C439" s="3">
        <v>2023</v>
      </c>
      <c r="D439" cm="1">
        <f t="array" ref="D439">IFERROR(INDEX(fesp!$D:$D, MATCH(1, (VALUE(LEFT(fesp!$A:$A,6))=VALUE(LEFT(B439,6)))*(fesp!$C:$C=C439), 0)), "")</f>
        <v>0</v>
      </c>
      <c r="E439" cm="1">
        <f t="array" aca="1" ref="E439" ca="1">IFERROR(INDEX(ft_medicos_clinicos!$C:$C, MATCH(1, (VALUE(LEFT(ft_medicos_clinicos!$A:$A,6))=VALUE(LEFT(B439,6)))*(ft_medicos_clinicos!$B:$B=C439), 0)), "")</f>
        <v>648</v>
      </c>
      <c r="F439" cm="1">
        <f t="array" aca="1" ref="F439" ca="1">IFERROR(INDEX(ft_enfermeiros!$C:$C, MATCH(1, (VALUE(LEFT(ft_enfermeiros!$A:$A,6))=VALUE(LEFT(B439,6)))*(ft_enfermeiros!$B:$B=C439), 0)), "")</f>
        <v>851</v>
      </c>
      <c r="G439" t="str" cm="1">
        <f t="array" aca="1" ref="G439" ca="1">IFERROR(INDEX(ft_equipes_acs!$C:$C, MATCH(1, (VALUE(LEFT(ft_equipes_acs!$A:$A,6))=VALUE(LEFT(B439,6)))*(ft_equipes_acs!$B:$B=C439), 0)), "")</f>
        <v>-</v>
      </c>
      <c r="H439" cm="1">
        <f t="array" aca="1" ref="H439" ca="1">IFERROR(INDEX(ci_leitos_internacao!$C:$C, MATCH(1, (VALUE(LEFT(ci_leitos_internacao!$A:$A,6))=VALUE(LEFT(B439,6)))*(ci_leitos_internacao!$B:$B=C439), 0)), "")</f>
        <v>876</v>
      </c>
      <c r="I439" cm="1">
        <f t="array" aca="1" ref="I439" ca="1">IFERROR(INDEX(ci_hospitais_internacao!$C:$C, MATCH(1, (VALUE(LEFT(ci_hospitais_internacao!$A:$A,6))=VALUE(LEFT(B439,6)))*(ci_hospitais_internacao!$B:$B=C439), 0)), "")</f>
        <v>2</v>
      </c>
      <c r="J439" cm="1">
        <f t="array" aca="1" ref="J439" ca="1">IFERROR(INDEX(ci_pa_clinico!$C:$C, MATCH(1, (VALUE(LEFT(ci_pa_clinico!$A:$A,6))=VALUE(LEFT(B439,6)))*(ci_pa_clinico!$B:$B=C439), 0)), "")</f>
        <v>9</v>
      </c>
      <c r="K439" t="str" cm="1">
        <f t="array" aca="1" ref="K439" ca="1">IFERROR(INDEX(aps_equipes_esf!$C:$C, MATCH(1, (VALUE(LEFT(aps_equipes_esf!$A:$A,6))=VALUE(LEFT(B439,6)))*(aps_equipes_esf!$B:$B=C439), 0)), "")</f>
        <v>-</v>
      </c>
      <c r="L439" cm="1">
        <f t="array" aca="1" ref="L439" ca="1">IFERROR(INDEX(casos!$C:$C, MATCH(1, (VALUE(LEFT(casos!$A:$A,6))=VALUE(LEFT(B439,6)))*(casos!$B:$B=C439), 0)), "")</f>
        <v>1399</v>
      </c>
      <c r="M439" cm="1">
        <f t="array" ref="M439">IFERROR(INDEX(srag!$D:$D, MATCH(1, (VALUE(LEFT(srag!$A:$A,6))=VALUE(LEFT(B439,6)))*(srag!$C:$C=C439), 0)), "")</f>
        <v>291</v>
      </c>
      <c r="N439" cm="1">
        <f t="array" aca="1" ref="N439" ca="1">IFERROR(INDEX(fesp!$E:$E, MATCH(1, (VALUE(LEFT(fesp!$A:$A,6))=VALUE(LEFT(B439,6)))*(fesp!$C:$C=C439), 0)), "")</f>
        <v>118</v>
      </c>
      <c r="O439" cm="1">
        <f t="array" aca="1" ref="O439" ca="1">IFERROR(INDEX(fesp!$F:$F, MATCH(1, (VALUE(LEFT(fesp!$A:$A,6))=VALUE(LEFT(B439,6)))*(fesp!$C:$C=C439), 0)), "")</f>
        <v>5836</v>
      </c>
      <c r="P439" cm="1">
        <f t="array" aca="1" ref="P439" ca="1">IFERROR(INDEX(fesp!$G:$G, MATCH(1, (VALUE(LEFT(fesp!$A:$A,6))=VALUE(LEFT(B439,6)))*(fesp!$C:$C=C439), 0)), "")</f>
        <v>3965400</v>
      </c>
      <c r="Q439" cm="1">
        <f t="array" aca="1" ref="Q439" ca="1">IFERROR(INDEX(fesp!$H:$H, MATCH(1, (VALUE(LEFT(fesp!$A:$A,6))=VALUE(LEFT(B439,6)))*(fesp!$C:$C=C439), 0)), "")</f>
        <v>31</v>
      </c>
      <c r="R439" cm="1">
        <f t="array" aca="1" ref="R439" ca="1">IFERROR(INDEX(fesp!$I:$I, MATCH(1, (VALUE(LEFT(fesp!$A:$A,6))=VALUE(LEFT(B439,6)))*(fesp!$C:$C=C439), 0)), "")</f>
        <v>11001</v>
      </c>
      <c r="S439" cm="1">
        <f t="array" aca="1" ref="S439" ca="1">IFERROR(INDEX(fesp!$J:$J, MATCH(1, (VALUE(LEFT(fesp!$A:$A,6))=VALUE(LEFT(B439,6)))*(fesp!$C:$C=C439), 0)), "")</f>
        <v>374295</v>
      </c>
    </row>
    <row r="440" spans="1:19">
      <c r="A440" s="1" t="s">
        <v>107</v>
      </c>
      <c r="B440" s="3" t="s">
        <v>106</v>
      </c>
      <c r="C440" s="3">
        <v>2024</v>
      </c>
      <c r="D440" cm="1">
        <f t="array" ref="D440">IFERROR(INDEX(fesp!$D:$D, MATCH(1, (VALUE(LEFT(fesp!$A:$A,6))=VALUE(LEFT(B440,6)))*(fesp!$C:$C=C440), 0)), "")</f>
        <v>0</v>
      </c>
      <c r="E440" cm="1">
        <f t="array" aca="1" ref="E440" ca="1">IFERROR(INDEX(ft_medicos_clinicos!$C:$C, MATCH(1, (VALUE(LEFT(ft_medicos_clinicos!$A:$A,6))=VALUE(LEFT(B440,6)))*(ft_medicos_clinicos!$B:$B=C440), 0)), "")</f>
        <v>652</v>
      </c>
      <c r="F440" cm="1">
        <f t="array" aca="1" ref="F440" ca="1">IFERROR(INDEX(ft_enfermeiros!$C:$C, MATCH(1, (VALUE(LEFT(ft_enfermeiros!$A:$A,6))=VALUE(LEFT(B440,6)))*(ft_enfermeiros!$B:$B=C440), 0)), "")</f>
        <v>958</v>
      </c>
      <c r="G440" t="str" cm="1">
        <f t="array" aca="1" ref="G440" ca="1">IFERROR(INDEX(ft_equipes_acs!$C:$C, MATCH(1, (VALUE(LEFT(ft_equipes_acs!$A:$A,6))=VALUE(LEFT(B440,6)))*(ft_equipes_acs!$B:$B=C440), 0)), "")</f>
        <v>-</v>
      </c>
      <c r="H440" cm="1">
        <f t="array" aca="1" ref="H440" ca="1">IFERROR(INDEX(ci_leitos_internacao!$C:$C, MATCH(1, (VALUE(LEFT(ci_leitos_internacao!$A:$A,6))=VALUE(LEFT(B440,6)))*(ci_leitos_internacao!$B:$B=C440), 0)), "")</f>
        <v>986</v>
      </c>
      <c r="I440" cm="1">
        <f t="array" aca="1" ref="I440" ca="1">IFERROR(INDEX(ci_hospitais_internacao!$C:$C, MATCH(1, (VALUE(LEFT(ci_hospitais_internacao!$A:$A,6))=VALUE(LEFT(B440,6)))*(ci_hospitais_internacao!$B:$B=C440), 0)), "")</f>
        <v>2</v>
      </c>
      <c r="J440" cm="1">
        <f t="array" aca="1" ref="J440" ca="1">IFERROR(INDEX(ci_pa_clinico!$C:$C, MATCH(1, (VALUE(LEFT(ci_pa_clinico!$A:$A,6))=VALUE(LEFT(B440,6)))*(ci_pa_clinico!$B:$B=C440), 0)), "")</f>
        <v>10</v>
      </c>
      <c r="K440" t="str" cm="1">
        <f t="array" aca="1" ref="K440" ca="1">IFERROR(INDEX(aps_equipes_esf!$C:$C, MATCH(1, (VALUE(LEFT(aps_equipes_esf!$A:$A,6))=VALUE(LEFT(B440,6)))*(aps_equipes_esf!$B:$B=C440), 0)), "")</f>
        <v>-</v>
      </c>
      <c r="L440" cm="1">
        <f t="array" aca="1" ref="L440" ca="1">IFERROR(INDEX(casos!$C:$C, MATCH(1, (VALUE(LEFT(casos!$A:$A,6))=VALUE(LEFT(B440,6)))*(casos!$B:$B=C440), 0)), "")</f>
        <v>23718</v>
      </c>
      <c r="M440" cm="1">
        <f t="array" ref="M440">IFERROR(INDEX(srag!$D:$D, MATCH(1, (VALUE(LEFT(srag!$A:$A,6))=VALUE(LEFT(B440,6)))*(srag!$C:$C=C440), 0)), "")</f>
        <v>701</v>
      </c>
      <c r="N440" cm="1">
        <f t="array" aca="1" ref="N440" ca="1">IFERROR(INDEX(fesp!$E:$E, MATCH(1, (VALUE(LEFT(fesp!$A:$A,6))=VALUE(LEFT(B440,6)))*(fesp!$C:$C=C440), 0)), "")</f>
        <v>83</v>
      </c>
      <c r="O440" cm="1">
        <f t="array" aca="1" ref="O440" ca="1">IFERROR(INDEX(fesp!$F:$F, MATCH(1, (VALUE(LEFT(fesp!$A:$A,6))=VALUE(LEFT(B440,6)))*(fesp!$C:$C=C440), 0)), "")</f>
        <v>6426</v>
      </c>
      <c r="P440" cm="1">
        <f t="array" aca="1" ref="P440" ca="1">IFERROR(INDEX(fesp!$G:$G, MATCH(1, (VALUE(LEFT(fesp!$A:$A,6))=VALUE(LEFT(B440,6)))*(fesp!$C:$C=C440), 0)), "")</f>
        <v>4703749</v>
      </c>
      <c r="Q440" cm="1">
        <f t="array" aca="1" ref="Q440" ca="1">IFERROR(INDEX(fesp!$H:$H, MATCH(1, (VALUE(LEFT(fesp!$A:$A,6))=VALUE(LEFT(B440,6)))*(fesp!$C:$C=C440), 0)), "")</f>
        <v>27</v>
      </c>
      <c r="R440" cm="1">
        <f t="array" aca="1" ref="R440" ca="1">IFERROR(INDEX(fesp!$I:$I, MATCH(1, (VALUE(LEFT(fesp!$A:$A,6))=VALUE(LEFT(B440,6)))*(fesp!$C:$C=C440), 0)), "")</f>
        <v>13396</v>
      </c>
      <c r="S440" cm="1">
        <f t="array" aca="1" ref="S440" ca="1">IFERROR(INDEX(fesp!$J:$J, MATCH(1, (VALUE(LEFT(fesp!$A:$A,6))=VALUE(LEFT(B440,6)))*(fesp!$C:$C=C440), 0)), "")</f>
        <v>558798</v>
      </c>
    </row>
    <row r="441" spans="1:19">
      <c r="A441" s="1" t="s">
        <v>107</v>
      </c>
      <c r="B441" s="3" t="s">
        <v>106</v>
      </c>
      <c r="C441" s="3">
        <v>2025</v>
      </c>
      <c r="D441" cm="1">
        <f t="array" ref="D441">IFERROR(INDEX(fesp!$D:$D, MATCH(1, (VALUE(LEFT(fesp!$A:$A,6))=VALUE(LEFT(B441,6)))*(fesp!$C:$C=C441), 0)), "")</f>
        <v>0</v>
      </c>
      <c r="E441" cm="1">
        <f t="array" aca="1" ref="E441" ca="1">IFERROR(INDEX(ft_medicos_clinicos!$C:$C, MATCH(1, (VALUE(LEFT(ft_medicos_clinicos!$A:$A,6))=VALUE(LEFT(B441,6)))*(ft_medicos_clinicos!$B:$B=C441), 0)), "")</f>
        <v>757</v>
      </c>
      <c r="F441" cm="1">
        <f t="array" aca="1" ref="F441" ca="1">IFERROR(INDEX(ft_enfermeiros!$C:$C, MATCH(1, (VALUE(LEFT(ft_enfermeiros!$A:$A,6))=VALUE(LEFT(B441,6)))*(ft_enfermeiros!$B:$B=C441), 0)), "")</f>
        <v>959</v>
      </c>
      <c r="G441" t="str" cm="1">
        <f t="array" aca="1" ref="G441" ca="1">IFERROR(INDEX(ft_equipes_acs!$C:$C, MATCH(1, (VALUE(LEFT(ft_equipes_acs!$A:$A,6))=VALUE(LEFT(B441,6)))*(ft_equipes_acs!$B:$B=C441), 0)), "")</f>
        <v>-</v>
      </c>
      <c r="H441" cm="1">
        <f t="array" aca="1" ref="H441" ca="1">IFERROR(INDEX(ci_leitos_internacao!$C:$C, MATCH(1, (VALUE(LEFT(ci_leitos_internacao!$A:$A,6))=VALUE(LEFT(B441,6)))*(ci_leitos_internacao!$B:$B=C441), 0)), "")</f>
        <v>968</v>
      </c>
      <c r="I441" cm="1">
        <f t="array" aca="1" ref="I441" ca="1">IFERROR(INDEX(ci_hospitais_internacao!$C:$C, MATCH(1, (VALUE(LEFT(ci_hospitais_internacao!$A:$A,6))=VALUE(LEFT(B441,6)))*(ci_hospitais_internacao!$B:$B=C441), 0)), "")</f>
        <v>2</v>
      </c>
      <c r="J441" cm="1">
        <f t="array" aca="1" ref="J441" ca="1">IFERROR(INDEX(ci_pa_clinico!$C:$C, MATCH(1, (VALUE(LEFT(ci_pa_clinico!$A:$A,6))=VALUE(LEFT(B441,6)))*(ci_pa_clinico!$B:$B=C441), 0)), "")</f>
        <v>10</v>
      </c>
      <c r="K441" t="str" cm="1">
        <f t="array" aca="1" ref="K441" ca="1">IFERROR(INDEX(aps_equipes_esf!$C:$C, MATCH(1, (VALUE(LEFT(aps_equipes_esf!$A:$A,6))=VALUE(LEFT(B441,6)))*(aps_equipes_esf!$B:$B=C441), 0)), "")</f>
        <v>-</v>
      </c>
      <c r="L441" cm="1">
        <f t="array" aca="1" ref="L441" ca="1">IFERROR(INDEX(casos!$C:$C, MATCH(1, (VALUE(LEFT(casos!$A:$A,6))=VALUE(LEFT(B441,6)))*(casos!$B:$B=C441), 0)), "")</f>
        <v>8344</v>
      </c>
      <c r="M441" cm="1">
        <f t="array" ref="M441">IFERROR(INDEX(srag!$D:$D, MATCH(1, (VALUE(LEFT(srag!$A:$A,6))=VALUE(LEFT(B441,6)))*(srag!$C:$C=C441), 0)), "")</f>
        <v>881</v>
      </c>
      <c r="N441" cm="1">
        <f t="array" aca="1" ref="N441" ca="1">IFERROR(INDEX(fesp!$E:$E, MATCH(1, (VALUE(LEFT(fesp!$A:$A,6))=VALUE(LEFT(B441,6)))*(fesp!$C:$C=C441), 0)), "")</f>
        <v>64</v>
      </c>
      <c r="O441" cm="1">
        <f t="array" aca="1" ref="O441" ca="1">IFERROR(INDEX(fesp!$F:$F, MATCH(1, (VALUE(LEFT(fesp!$A:$A,6))=VALUE(LEFT(B441,6)))*(fesp!$C:$C=C441), 0)), "")</f>
        <v>5743</v>
      </c>
      <c r="P441" cm="1">
        <f t="array" aca="1" ref="P441" ca="1">IFERROR(INDEX(fesp!$G:$G, MATCH(1, (VALUE(LEFT(fesp!$A:$A,6))=VALUE(LEFT(B441,6)))*(fesp!$C:$C=C441), 0)), "")</f>
        <v>4212114</v>
      </c>
      <c r="Q441" cm="1">
        <f t="array" aca="1" ref="Q441" ca="1">IFERROR(INDEX(fesp!$H:$H, MATCH(1, (VALUE(LEFT(fesp!$A:$A,6))=VALUE(LEFT(B441,6)))*(fesp!$C:$C=C441), 0)), "")</f>
        <v>20</v>
      </c>
      <c r="R441" cm="1">
        <f t="array" aca="1" ref="R441" ca="1">IFERROR(INDEX(fesp!$I:$I, MATCH(1, (VALUE(LEFT(fesp!$A:$A,6))=VALUE(LEFT(B441,6)))*(fesp!$C:$C=C441), 0)), "")</f>
        <v>9942</v>
      </c>
      <c r="S441" cm="1">
        <f t="array" aca="1" ref="S441" ca="1">IFERROR(INDEX(fesp!$J:$J, MATCH(1, (VALUE(LEFT(fesp!$A:$A,6))=VALUE(LEFT(B441,6)))*(fesp!$C:$C=C441), 0)), "")</f>
        <v>377760</v>
      </c>
    </row>
    <row r="442" spans="1:19">
      <c r="A442" s="1" t="s">
        <v>121</v>
      </c>
      <c r="B442" s="3">
        <v>3529401</v>
      </c>
      <c r="C442" s="3">
        <v>2015</v>
      </c>
      <c r="D442" cm="1">
        <f t="array" ref="D442">IFERROR(INDEX(fesp!$D:$D, MATCH(1, (VALUE(LEFT(fesp!$A:$A,6))=VALUE(LEFT(B442,6)))*(fesp!$C:$C=C442), 0)), "")</f>
        <v>453286</v>
      </c>
      <c r="E442" cm="1">
        <f t="array" aca="1" ref="E442" ca="1">IFERROR(INDEX(ft_medicos_clinicos!$C:$C, MATCH(1, (VALUE(LEFT(ft_medicos_clinicos!$A:$A,6))=VALUE(LEFT(B442,6)))*(ft_medicos_clinicos!$B:$B=C442), 0)), "")</f>
        <v>134</v>
      </c>
      <c r="F442" cm="1">
        <f t="array" aca="1" ref="F442" ca="1">IFERROR(INDEX(ft_enfermeiros!$C:$C, MATCH(1, (VALUE(LEFT(ft_enfermeiros!$A:$A,6))=VALUE(LEFT(B442,6)))*(ft_enfermeiros!$B:$B=C442), 0)), "")</f>
        <v>240</v>
      </c>
      <c r="G442" cm="1">
        <f t="array" aca="1" ref="G442" ca="1">IFERROR(INDEX(ft_equipes_acs!$C:$C, MATCH(1, (VALUE(LEFT(ft_equipes_acs!$A:$A,6))=VALUE(LEFT(B442,6)))*(ft_equipes_acs!$B:$B=C442), 0)), "")</f>
        <v>2</v>
      </c>
      <c r="H442" cm="1">
        <f t="array" aca="1" ref="H442" ca="1">IFERROR(INDEX(ci_leitos_internacao!$C:$C, MATCH(1, (VALUE(LEFT(ci_leitos_internacao!$A:$A,6))=VALUE(LEFT(B442,6)))*(ci_leitos_internacao!$B:$B=C442), 0)), "")</f>
        <v>415</v>
      </c>
      <c r="I442" cm="1">
        <f t="array" aca="1" ref="I442" ca="1">IFERROR(INDEX(ci_hospitais_internacao!$C:$C, MATCH(1, (VALUE(LEFT(ci_hospitais_internacao!$A:$A,6))=VALUE(LEFT(B442,6)))*(ci_hospitais_internacao!$B:$B=C442), 0)), "")</f>
        <v>2</v>
      </c>
      <c r="J442" cm="1">
        <f t="array" aca="1" ref="J442" ca="1">IFERROR(INDEX(ci_pa_clinico!$C:$C, MATCH(1, (VALUE(LEFT(ci_pa_clinico!$A:$A,6))=VALUE(LEFT(B442,6)))*(ci_pa_clinico!$B:$B=C442), 0)), "")</f>
        <v>5</v>
      </c>
      <c r="K442" cm="1">
        <f t="array" aca="1" ref="K442" ca="1">IFERROR(INDEX(aps_equipes_esf!$C:$C, MATCH(1, (VALUE(LEFT(aps_equipes_esf!$A:$A,6))=VALUE(LEFT(B442,6)))*(aps_equipes_esf!$B:$B=C442), 0)), "")</f>
        <v>55</v>
      </c>
      <c r="L442" cm="1">
        <f t="array" aca="1" ref="L442" ca="1">IFERROR(INDEX(casos!$C:$C, MATCH(1, (VALUE(LEFT(casos!$A:$A,6))=VALUE(LEFT(B442,6)))*(casos!$B:$B=C442), 0)), "")</f>
        <v>757</v>
      </c>
      <c r="M442" cm="1">
        <f t="array" ref="M442">IFERROR(INDEX(srag!$D:$D, MATCH(1, (VALUE(LEFT(srag!$A:$A,6))=VALUE(LEFT(B442,6)))*(srag!$C:$C=C442), 0)), "")</f>
        <v>19</v>
      </c>
      <c r="N442" cm="1">
        <f t="array" aca="1" ref="N442" ca="1">IFERROR(INDEX(fesp!$E:$E, MATCH(1, (VALUE(LEFT(fesp!$A:$A,6))=VALUE(LEFT(B442,6)))*(fesp!$C:$C=C442), 0)), "")</f>
        <v>83</v>
      </c>
      <c r="O442" cm="1">
        <f t="array" aca="1" ref="O442" ca="1">IFERROR(INDEX(fesp!$F:$F, MATCH(1, (VALUE(LEFT(fesp!$A:$A,6))=VALUE(LEFT(B442,6)))*(fesp!$C:$C=C442), 0)), "")</f>
        <v>879</v>
      </c>
      <c r="P442" cm="1">
        <f t="array" aca="1" ref="P442" ca="1">IFERROR(INDEX(fesp!$G:$G, MATCH(1, (VALUE(LEFT(fesp!$A:$A,6))=VALUE(LEFT(B442,6)))*(fesp!$C:$C=C442), 0)), "")</f>
        <v>2001978</v>
      </c>
      <c r="Q442" cm="1">
        <f t="array" aca="1" ref="Q442" ca="1">IFERROR(INDEX(fesp!$H:$H, MATCH(1, (VALUE(LEFT(fesp!$A:$A,6))=VALUE(LEFT(B442,6)))*(fesp!$C:$C=C442), 0)), "")</f>
        <v>33</v>
      </c>
      <c r="R442" cm="1">
        <f t="array" aca="1" ref="R442" ca="1">IFERROR(INDEX(fesp!$I:$I, MATCH(1, (VALUE(LEFT(fesp!$A:$A,6))=VALUE(LEFT(B442,6)))*(fesp!$C:$C=C442), 0)), "")</f>
        <v>32843</v>
      </c>
      <c r="S442" cm="1">
        <f t="array" aca="1" ref="S442" ca="1">IFERROR(INDEX(fesp!$J:$J, MATCH(1, (VALUE(LEFT(fesp!$A:$A,6))=VALUE(LEFT(B442,6)))*(fesp!$C:$C=C442), 0)), "")</f>
        <v>313485</v>
      </c>
    </row>
    <row r="443" spans="1:19">
      <c r="A443" s="1" t="s">
        <v>121</v>
      </c>
      <c r="B443" s="3" t="s">
        <v>120</v>
      </c>
      <c r="C443" s="3">
        <v>2016</v>
      </c>
      <c r="D443" cm="1">
        <f t="array" ref="D443">IFERROR(INDEX(fesp!$D:$D, MATCH(1, (VALUE(LEFT(fesp!$A:$A,6))=VALUE(LEFT(B443,6)))*(fesp!$C:$C=C443), 0)), "")</f>
        <v>0</v>
      </c>
      <c r="E443" cm="1">
        <f t="array" aca="1" ref="E443" ca="1">IFERROR(INDEX(ft_medicos_clinicos!$C:$C, MATCH(1, (VALUE(LEFT(ft_medicos_clinicos!$A:$A,6))=VALUE(LEFT(B443,6)))*(ft_medicos_clinicos!$B:$B=C443), 0)), "")</f>
        <v>134</v>
      </c>
      <c r="F443" cm="1">
        <f t="array" aca="1" ref="F443" ca="1">IFERROR(INDEX(ft_enfermeiros!$C:$C, MATCH(1, (VALUE(LEFT(ft_enfermeiros!$A:$A,6))=VALUE(LEFT(B443,6)))*(ft_enfermeiros!$B:$B=C443), 0)), "")</f>
        <v>272</v>
      </c>
      <c r="G443" cm="1">
        <f t="array" aca="1" ref="G443" ca="1">IFERROR(INDEX(ft_equipes_acs!$C:$C, MATCH(1, (VALUE(LEFT(ft_equipes_acs!$A:$A,6))=VALUE(LEFT(B443,6)))*(ft_equipes_acs!$B:$B=C443), 0)), "")</f>
        <v>2</v>
      </c>
      <c r="H443" cm="1">
        <f t="array" aca="1" ref="H443" ca="1">IFERROR(INDEX(ci_leitos_internacao!$C:$C, MATCH(1, (VALUE(LEFT(ci_leitos_internacao!$A:$A,6))=VALUE(LEFT(B443,6)))*(ci_leitos_internacao!$B:$B=C443), 0)), "")</f>
        <v>445</v>
      </c>
      <c r="I443" cm="1">
        <f t="array" aca="1" ref="I443" ca="1">IFERROR(INDEX(ci_hospitais_internacao!$C:$C, MATCH(1, (VALUE(LEFT(ci_hospitais_internacao!$A:$A,6))=VALUE(LEFT(B443,6)))*(ci_hospitais_internacao!$B:$B=C443), 0)), "")</f>
        <v>2</v>
      </c>
      <c r="J443" cm="1">
        <f t="array" aca="1" ref="J443" ca="1">IFERROR(INDEX(ci_pa_clinico!$C:$C, MATCH(1, (VALUE(LEFT(ci_pa_clinico!$A:$A,6))=VALUE(LEFT(B443,6)))*(ci_pa_clinico!$B:$B=C443), 0)), "")</f>
        <v>5</v>
      </c>
      <c r="K443" cm="1">
        <f t="array" aca="1" ref="K443" ca="1">IFERROR(INDEX(aps_equipes_esf!$C:$C, MATCH(1, (VALUE(LEFT(aps_equipes_esf!$A:$A,6))=VALUE(LEFT(B443,6)))*(aps_equipes_esf!$B:$B=C443), 0)), "")</f>
        <v>51</v>
      </c>
      <c r="L443" cm="1">
        <f t="array" aca="1" ref="L443" ca="1">IFERROR(INDEX(casos!$C:$C, MATCH(1, (VALUE(LEFT(casos!$A:$A,6))=VALUE(LEFT(B443,6)))*(casos!$B:$B=C443), 0)), "")</f>
        <v>414</v>
      </c>
      <c r="M443" cm="1">
        <f t="array" ref="M443">IFERROR(INDEX(srag!$D:$D, MATCH(1, (VALUE(LEFT(srag!$A:$A,6))=VALUE(LEFT(B443,6)))*(srag!$C:$C=C443), 0)), "")</f>
        <v>103</v>
      </c>
      <c r="N443" cm="1">
        <f t="array" aca="1" ref="N443" ca="1">IFERROR(INDEX(fesp!$E:$E, MATCH(1, (VALUE(LEFT(fesp!$A:$A,6))=VALUE(LEFT(B443,6)))*(fesp!$C:$C=C443), 0)), "")</f>
        <v>70</v>
      </c>
      <c r="O443" cm="1">
        <f t="array" aca="1" ref="O443" ca="1">IFERROR(INDEX(fesp!$F:$F, MATCH(1, (VALUE(LEFT(fesp!$A:$A,6))=VALUE(LEFT(B443,6)))*(fesp!$C:$C=C443), 0)), "")</f>
        <v>1691</v>
      </c>
      <c r="P443" cm="1">
        <f t="array" aca="1" ref="P443" ca="1">IFERROR(INDEX(fesp!$G:$G, MATCH(1, (VALUE(LEFT(fesp!$A:$A,6))=VALUE(LEFT(B443,6)))*(fesp!$C:$C=C443), 0)), "")</f>
        <v>1923985</v>
      </c>
      <c r="Q443" cm="1">
        <f t="array" aca="1" ref="Q443" ca="1">IFERROR(INDEX(fesp!$H:$H, MATCH(1, (VALUE(LEFT(fesp!$A:$A,6))=VALUE(LEFT(B443,6)))*(fesp!$C:$C=C443), 0)), "")</f>
        <v>45</v>
      </c>
      <c r="R443" cm="1">
        <f t="array" aca="1" ref="R443" ca="1">IFERROR(INDEX(fesp!$I:$I, MATCH(1, (VALUE(LEFT(fesp!$A:$A,6))=VALUE(LEFT(B443,6)))*(fesp!$C:$C=C443), 0)), "")</f>
        <v>34941</v>
      </c>
      <c r="S443" cm="1">
        <f t="array" aca="1" ref="S443" ca="1">IFERROR(INDEX(fesp!$J:$J, MATCH(1, (VALUE(LEFT(fesp!$A:$A,6))=VALUE(LEFT(B443,6)))*(fesp!$C:$C=C443), 0)), "")</f>
        <v>420656</v>
      </c>
    </row>
    <row r="444" spans="1:19">
      <c r="A444" s="1" t="s">
        <v>121</v>
      </c>
      <c r="B444" s="3" t="s">
        <v>120</v>
      </c>
      <c r="C444" s="3">
        <v>2017</v>
      </c>
      <c r="D444" cm="1">
        <f t="array" ref="D444">IFERROR(INDEX(fesp!$D:$D, MATCH(1, (VALUE(LEFT(fesp!$A:$A,6))=VALUE(LEFT(B444,6)))*(fesp!$C:$C=C444), 0)), "")</f>
        <v>0</v>
      </c>
      <c r="E444" cm="1">
        <f t="array" aca="1" ref="E444" ca="1">IFERROR(INDEX(ft_medicos_clinicos!$C:$C, MATCH(1, (VALUE(LEFT(ft_medicos_clinicos!$A:$A,6))=VALUE(LEFT(B444,6)))*(ft_medicos_clinicos!$B:$B=C444), 0)), "")</f>
        <v>159</v>
      </c>
      <c r="F444" cm="1">
        <f t="array" aca="1" ref="F444" ca="1">IFERROR(INDEX(ft_enfermeiros!$C:$C, MATCH(1, (VALUE(LEFT(ft_enfermeiros!$A:$A,6))=VALUE(LEFT(B444,6)))*(ft_enfermeiros!$B:$B=C444), 0)), "")</f>
        <v>307</v>
      </c>
      <c r="G444" cm="1">
        <f t="array" aca="1" ref="G444" ca="1">IFERROR(INDEX(ft_equipes_acs!$C:$C, MATCH(1, (VALUE(LEFT(ft_equipes_acs!$A:$A,6))=VALUE(LEFT(B444,6)))*(ft_equipes_acs!$B:$B=C444), 0)), "")</f>
        <v>2</v>
      </c>
      <c r="H444" cm="1">
        <f t="array" aca="1" ref="H444" ca="1">IFERROR(INDEX(ci_leitos_internacao!$C:$C, MATCH(1, (VALUE(LEFT(ci_leitos_internacao!$A:$A,6))=VALUE(LEFT(B444,6)))*(ci_leitos_internacao!$B:$B=C444), 0)), "")</f>
        <v>401</v>
      </c>
      <c r="I444" cm="1">
        <f t="array" aca="1" ref="I444" ca="1">IFERROR(INDEX(ci_hospitais_internacao!$C:$C, MATCH(1, (VALUE(LEFT(ci_hospitais_internacao!$A:$A,6))=VALUE(LEFT(B444,6)))*(ci_hospitais_internacao!$B:$B=C444), 0)), "")</f>
        <v>2</v>
      </c>
      <c r="J444" cm="1">
        <f t="array" aca="1" ref="J444" ca="1">IFERROR(INDEX(ci_pa_clinico!$C:$C, MATCH(1, (VALUE(LEFT(ci_pa_clinico!$A:$A,6))=VALUE(LEFT(B444,6)))*(ci_pa_clinico!$B:$B=C444), 0)), "")</f>
        <v>5</v>
      </c>
      <c r="K444" cm="1">
        <f t="array" aca="1" ref="K444" ca="1">IFERROR(INDEX(aps_equipes_esf!$C:$C, MATCH(1, (VALUE(LEFT(aps_equipes_esf!$A:$A,6))=VALUE(LEFT(B444,6)))*(aps_equipes_esf!$B:$B=C444), 0)), "")</f>
        <v>59</v>
      </c>
      <c r="L444" cm="1">
        <f t="array" aca="1" ref="L444" ca="1">IFERROR(INDEX(casos!$C:$C, MATCH(1, (VALUE(LEFT(casos!$A:$A,6))=VALUE(LEFT(B444,6)))*(casos!$B:$B=C444), 0)), "")</f>
        <v>17</v>
      </c>
      <c r="M444" cm="1">
        <f t="array" ref="M444">IFERROR(INDEX(srag!$D:$D, MATCH(1, (VALUE(LEFT(srag!$A:$A,6))=VALUE(LEFT(B444,6)))*(srag!$C:$C=C444), 0)), "")</f>
        <v>33</v>
      </c>
      <c r="N444" cm="1">
        <f t="array" aca="1" ref="N444" ca="1">IFERROR(INDEX(fesp!$E:$E, MATCH(1, (VALUE(LEFT(fesp!$A:$A,6))=VALUE(LEFT(B444,6)))*(fesp!$C:$C=C444), 0)), "")</f>
        <v>51</v>
      </c>
      <c r="O444" cm="1">
        <f t="array" aca="1" ref="O444" ca="1">IFERROR(INDEX(fesp!$F:$F, MATCH(1, (VALUE(LEFT(fesp!$A:$A,6))=VALUE(LEFT(B444,6)))*(fesp!$C:$C=C444), 0)), "")</f>
        <v>1991</v>
      </c>
      <c r="P444" cm="1">
        <f t="array" aca="1" ref="P444" ca="1">IFERROR(INDEX(fesp!$G:$G, MATCH(1, (VALUE(LEFT(fesp!$A:$A,6))=VALUE(LEFT(B444,6)))*(fesp!$C:$C=C444), 0)), "")</f>
        <v>2024849</v>
      </c>
      <c r="Q444" cm="1">
        <f t="array" aca="1" ref="Q444" ca="1">IFERROR(INDEX(fesp!$H:$H, MATCH(1, (VALUE(LEFT(fesp!$A:$A,6))=VALUE(LEFT(B444,6)))*(fesp!$C:$C=C444), 0)), "")</f>
        <v>15</v>
      </c>
      <c r="R444" cm="1">
        <f t="array" aca="1" ref="R444" ca="1">IFERROR(INDEX(fesp!$I:$I, MATCH(1, (VALUE(LEFT(fesp!$A:$A,6))=VALUE(LEFT(B444,6)))*(fesp!$C:$C=C444), 0)), "")</f>
        <v>32354</v>
      </c>
      <c r="S444" cm="1">
        <f t="array" aca="1" ref="S444" ca="1">IFERROR(INDEX(fesp!$J:$J, MATCH(1, (VALUE(LEFT(fesp!$A:$A,6))=VALUE(LEFT(B444,6)))*(fesp!$C:$C=C444), 0)), "")</f>
        <v>284047</v>
      </c>
    </row>
    <row r="445" spans="1:19">
      <c r="A445" s="1" t="s">
        <v>121</v>
      </c>
      <c r="B445" s="3" t="s">
        <v>120</v>
      </c>
      <c r="C445" s="3">
        <v>2018</v>
      </c>
      <c r="D445" cm="1">
        <f t="array" ref="D445">IFERROR(INDEX(fesp!$D:$D, MATCH(1, (VALUE(LEFT(fesp!$A:$A,6))=VALUE(LEFT(B445,6)))*(fesp!$C:$C=C445), 0)), "")</f>
        <v>0</v>
      </c>
      <c r="E445" cm="1">
        <f t="array" aca="1" ref="E445" ca="1">IFERROR(INDEX(ft_medicos_clinicos!$C:$C, MATCH(1, (VALUE(LEFT(ft_medicos_clinicos!$A:$A,6))=VALUE(LEFT(B445,6)))*(ft_medicos_clinicos!$B:$B=C445), 0)), "")</f>
        <v>160</v>
      </c>
      <c r="F445" cm="1">
        <f t="array" aca="1" ref="F445" ca="1">IFERROR(INDEX(ft_enfermeiros!$C:$C, MATCH(1, (VALUE(LEFT(ft_enfermeiros!$A:$A,6))=VALUE(LEFT(B445,6)))*(ft_enfermeiros!$B:$B=C445), 0)), "")</f>
        <v>300</v>
      </c>
      <c r="G445" cm="1">
        <f t="array" aca="1" ref="G445" ca="1">IFERROR(INDEX(ft_equipes_acs!$C:$C, MATCH(1, (VALUE(LEFT(ft_equipes_acs!$A:$A,6))=VALUE(LEFT(B445,6)))*(ft_equipes_acs!$B:$B=C445), 0)), "")</f>
        <v>2</v>
      </c>
      <c r="H445" cm="1">
        <f t="array" aca="1" ref="H445" ca="1">IFERROR(INDEX(ci_leitos_internacao!$C:$C, MATCH(1, (VALUE(LEFT(ci_leitos_internacao!$A:$A,6))=VALUE(LEFT(B445,6)))*(ci_leitos_internacao!$B:$B=C445), 0)), "")</f>
        <v>401</v>
      </c>
      <c r="I445" cm="1">
        <f t="array" aca="1" ref="I445" ca="1">IFERROR(INDEX(ci_hospitais_internacao!$C:$C, MATCH(1, (VALUE(LEFT(ci_hospitais_internacao!$A:$A,6))=VALUE(LEFT(B445,6)))*(ci_hospitais_internacao!$B:$B=C445), 0)), "")</f>
        <v>2</v>
      </c>
      <c r="J445" cm="1">
        <f t="array" aca="1" ref="J445" ca="1">IFERROR(INDEX(ci_pa_clinico!$C:$C, MATCH(1, (VALUE(LEFT(ci_pa_clinico!$A:$A,6))=VALUE(LEFT(B445,6)))*(ci_pa_clinico!$B:$B=C445), 0)), "")</f>
        <v>5</v>
      </c>
      <c r="K445" cm="1">
        <f t="array" aca="1" ref="K445" ca="1">IFERROR(INDEX(aps_equipes_esf!$C:$C, MATCH(1, (VALUE(LEFT(aps_equipes_esf!$A:$A,6))=VALUE(LEFT(B445,6)))*(aps_equipes_esf!$B:$B=C445), 0)), "")</f>
        <v>56</v>
      </c>
      <c r="L445" cm="1">
        <f t="array" aca="1" ref="L445" ca="1">IFERROR(INDEX(casos!$C:$C, MATCH(1, (VALUE(LEFT(casos!$A:$A,6))=VALUE(LEFT(B445,6)))*(casos!$B:$B=C445), 0)), "")</f>
        <v>8</v>
      </c>
      <c r="M445" cm="1">
        <f t="array" ref="M445">IFERROR(INDEX(srag!$D:$D, MATCH(1, (VALUE(LEFT(srag!$A:$A,6))=VALUE(LEFT(B445,6)))*(srag!$C:$C=C445), 0)), "")</f>
        <v>85</v>
      </c>
      <c r="N445" cm="1">
        <f t="array" aca="1" ref="N445" ca="1">IFERROR(INDEX(fesp!$E:$E, MATCH(1, (VALUE(LEFT(fesp!$A:$A,6))=VALUE(LEFT(B445,6)))*(fesp!$C:$C=C445), 0)), "")</f>
        <v>41</v>
      </c>
      <c r="O445" cm="1">
        <f t="array" aca="1" ref="O445" ca="1">IFERROR(INDEX(fesp!$F:$F, MATCH(1, (VALUE(LEFT(fesp!$A:$A,6))=VALUE(LEFT(B445,6)))*(fesp!$C:$C=C445), 0)), "")</f>
        <v>2257</v>
      </c>
      <c r="P445" cm="1">
        <f t="array" aca="1" ref="P445" ca="1">IFERROR(INDEX(fesp!$G:$G, MATCH(1, (VALUE(LEFT(fesp!$A:$A,6))=VALUE(LEFT(B445,6)))*(fesp!$C:$C=C445), 0)), "")</f>
        <v>1224783</v>
      </c>
      <c r="Q445" cm="1">
        <f t="array" aca="1" ref="Q445" ca="1">IFERROR(INDEX(fesp!$H:$H, MATCH(1, (VALUE(LEFT(fesp!$A:$A,6))=VALUE(LEFT(B445,6)))*(fesp!$C:$C=C445), 0)), "")</f>
        <v>14</v>
      </c>
      <c r="R445" cm="1">
        <f t="array" aca="1" ref="R445" ca="1">IFERROR(INDEX(fesp!$I:$I, MATCH(1, (VALUE(LEFT(fesp!$A:$A,6))=VALUE(LEFT(B445,6)))*(fesp!$C:$C=C445), 0)), "")</f>
        <v>129750</v>
      </c>
      <c r="S445" cm="1">
        <f t="array" aca="1" ref="S445" ca="1">IFERROR(INDEX(fesp!$J:$J, MATCH(1, (VALUE(LEFT(fesp!$A:$A,6))=VALUE(LEFT(B445,6)))*(fesp!$C:$C=C445), 0)), "")</f>
        <v>247865</v>
      </c>
    </row>
    <row r="446" spans="1:19">
      <c r="A446" s="1" t="s">
        <v>121</v>
      </c>
      <c r="B446" s="3" t="s">
        <v>120</v>
      </c>
      <c r="C446" s="3">
        <v>2019</v>
      </c>
      <c r="D446" cm="1">
        <f t="array" ref="D446">IFERROR(INDEX(fesp!$D:$D, MATCH(1, (VALUE(LEFT(fesp!$A:$A,6))=VALUE(LEFT(B446,6)))*(fesp!$C:$C=C446), 0)), "")</f>
        <v>0</v>
      </c>
      <c r="E446" cm="1">
        <f t="array" aca="1" ref="E446" ca="1">IFERROR(INDEX(ft_medicos_clinicos!$C:$C, MATCH(1, (VALUE(LEFT(ft_medicos_clinicos!$A:$A,6))=VALUE(LEFT(B446,6)))*(ft_medicos_clinicos!$B:$B=C446), 0)), "")</f>
        <v>253</v>
      </c>
      <c r="F446" cm="1">
        <f t="array" aca="1" ref="F446" ca="1">IFERROR(INDEX(ft_enfermeiros!$C:$C, MATCH(1, (VALUE(LEFT(ft_enfermeiros!$A:$A,6))=VALUE(LEFT(B446,6)))*(ft_enfermeiros!$B:$B=C446), 0)), "")</f>
        <v>350</v>
      </c>
      <c r="G446" cm="1">
        <f t="array" aca="1" ref="G446" ca="1">IFERROR(INDEX(ft_equipes_acs!$C:$C, MATCH(1, (VALUE(LEFT(ft_equipes_acs!$A:$A,6))=VALUE(LEFT(B446,6)))*(ft_equipes_acs!$B:$B=C446), 0)), "")</f>
        <v>2</v>
      </c>
      <c r="H446" cm="1">
        <f t="array" aca="1" ref="H446" ca="1">IFERROR(INDEX(ci_leitos_internacao!$C:$C, MATCH(1, (VALUE(LEFT(ci_leitos_internacao!$A:$A,6))=VALUE(LEFT(B446,6)))*(ci_leitos_internacao!$B:$B=C446), 0)), "")</f>
        <v>402</v>
      </c>
      <c r="I446" cm="1">
        <f t="array" aca="1" ref="I446" ca="1">IFERROR(INDEX(ci_hospitais_internacao!$C:$C, MATCH(1, (VALUE(LEFT(ci_hospitais_internacao!$A:$A,6))=VALUE(LEFT(B446,6)))*(ci_hospitais_internacao!$B:$B=C446), 0)), "")</f>
        <v>2</v>
      </c>
      <c r="J446" cm="1">
        <f t="array" aca="1" ref="J446" ca="1">IFERROR(INDEX(ci_pa_clinico!$C:$C, MATCH(1, (VALUE(LEFT(ci_pa_clinico!$A:$A,6))=VALUE(LEFT(B446,6)))*(ci_pa_clinico!$B:$B=C446), 0)), "")</f>
        <v>6</v>
      </c>
      <c r="K446" cm="1">
        <f t="array" aca="1" ref="K446" ca="1">IFERROR(INDEX(aps_equipes_esf!$C:$C, MATCH(1, (VALUE(LEFT(aps_equipes_esf!$A:$A,6))=VALUE(LEFT(B446,6)))*(aps_equipes_esf!$B:$B=C446), 0)), "")</f>
        <v>40</v>
      </c>
      <c r="L446" cm="1">
        <f t="array" aca="1" ref="L446" ca="1">IFERROR(INDEX(casos!$C:$C, MATCH(1, (VALUE(LEFT(casos!$A:$A,6))=VALUE(LEFT(B446,6)))*(casos!$B:$B=C446), 0)), "")</f>
        <v>456</v>
      </c>
      <c r="M446" cm="1">
        <f t="array" ref="M446">IFERROR(INDEX(srag!$D:$D, MATCH(1, (VALUE(LEFT(srag!$A:$A,6))=VALUE(LEFT(B446,6)))*(srag!$C:$C=C446), 0)), "")</f>
        <v>64</v>
      </c>
      <c r="N446" cm="1">
        <f t="array" aca="1" ref="N446" ca="1">IFERROR(INDEX(fesp!$E:$E, MATCH(1, (VALUE(LEFT(fesp!$A:$A,6))=VALUE(LEFT(B446,6)))*(fesp!$C:$C=C446), 0)), "")</f>
        <v>39</v>
      </c>
      <c r="O446" cm="1">
        <f t="array" aca="1" ref="O446" ca="1">IFERROR(INDEX(fesp!$F:$F, MATCH(1, (VALUE(LEFT(fesp!$A:$A,6))=VALUE(LEFT(B446,6)))*(fesp!$C:$C=C446), 0)), "")</f>
        <v>1631</v>
      </c>
      <c r="P446" cm="1">
        <f t="array" aca="1" ref="P446" ca="1">IFERROR(INDEX(fesp!$G:$G, MATCH(1, (VALUE(LEFT(fesp!$A:$A,6))=VALUE(LEFT(B446,6)))*(fesp!$C:$C=C446), 0)), "")</f>
        <v>1630074</v>
      </c>
      <c r="Q446" cm="1">
        <f t="array" aca="1" ref="Q446" ca="1">IFERROR(INDEX(fesp!$H:$H, MATCH(1, (VALUE(LEFT(fesp!$A:$A,6))=VALUE(LEFT(B446,6)))*(fesp!$C:$C=C446), 0)), "")</f>
        <v>9</v>
      </c>
      <c r="R446" cm="1">
        <f t="array" aca="1" ref="R446" ca="1">IFERROR(INDEX(fesp!$I:$I, MATCH(1, (VALUE(LEFT(fesp!$A:$A,6))=VALUE(LEFT(B446,6)))*(fesp!$C:$C=C446), 0)), "")</f>
        <v>25388</v>
      </c>
      <c r="S446" cm="1">
        <f t="array" aca="1" ref="S446" ca="1">IFERROR(INDEX(fesp!$J:$J, MATCH(1, (VALUE(LEFT(fesp!$A:$A,6))=VALUE(LEFT(B446,6)))*(fesp!$C:$C=C446), 0)), "")</f>
        <v>197106</v>
      </c>
    </row>
    <row r="447" spans="1:19">
      <c r="A447" s="1" t="s">
        <v>121</v>
      </c>
      <c r="B447" s="3" t="s">
        <v>120</v>
      </c>
      <c r="C447" s="3">
        <v>2020</v>
      </c>
      <c r="D447" cm="1">
        <f t="array" ref="D447">IFERROR(INDEX(fesp!$D:$D, MATCH(1, (VALUE(LEFT(fesp!$A:$A,6))=VALUE(LEFT(B447,6)))*(fesp!$C:$C=C447), 0)), "")</f>
        <v>0</v>
      </c>
      <c r="E447" cm="1">
        <f t="array" aca="1" ref="E447" ca="1">IFERROR(INDEX(ft_medicos_clinicos!$C:$C, MATCH(1, (VALUE(LEFT(ft_medicos_clinicos!$A:$A,6))=VALUE(LEFT(B447,6)))*(ft_medicos_clinicos!$B:$B=C447), 0)), "")</f>
        <v>319</v>
      </c>
      <c r="F447" cm="1">
        <f t="array" aca="1" ref="F447" ca="1">IFERROR(INDEX(ft_enfermeiros!$C:$C, MATCH(1, (VALUE(LEFT(ft_enfermeiros!$A:$A,6))=VALUE(LEFT(B447,6)))*(ft_enfermeiros!$B:$B=C447), 0)), "")</f>
        <v>416</v>
      </c>
      <c r="G447" t="str" cm="1">
        <f t="array" aca="1" ref="G447" ca="1">IFERROR(INDEX(ft_equipes_acs!$C:$C, MATCH(1, (VALUE(LEFT(ft_equipes_acs!$A:$A,6))=VALUE(LEFT(B447,6)))*(ft_equipes_acs!$B:$B=C447), 0)), "")</f>
        <v>-</v>
      </c>
      <c r="H447" cm="1">
        <f t="array" aca="1" ref="H447" ca="1">IFERROR(INDEX(ci_leitos_internacao!$C:$C, MATCH(1, (VALUE(LEFT(ci_leitos_internacao!$A:$A,6))=VALUE(LEFT(B447,6)))*(ci_leitos_internacao!$B:$B=C447), 0)), "")</f>
        <v>432</v>
      </c>
      <c r="I447" cm="1">
        <f t="array" aca="1" ref="I447" ca="1">IFERROR(INDEX(ci_hospitais_internacao!$C:$C, MATCH(1, (VALUE(LEFT(ci_hospitais_internacao!$A:$A,6))=VALUE(LEFT(B447,6)))*(ci_hospitais_internacao!$B:$B=C447), 0)), "")</f>
        <v>3</v>
      </c>
      <c r="J447" cm="1">
        <f t="array" aca="1" ref="J447" ca="1">IFERROR(INDEX(ci_pa_clinico!$C:$C, MATCH(1, (VALUE(LEFT(ci_pa_clinico!$A:$A,6))=VALUE(LEFT(B447,6)))*(ci_pa_clinico!$B:$B=C447), 0)), "")</f>
        <v>7</v>
      </c>
      <c r="K447" t="str" cm="1">
        <f t="array" aca="1" ref="K447" ca="1">IFERROR(INDEX(aps_equipes_esf!$C:$C, MATCH(1, (VALUE(LEFT(aps_equipes_esf!$A:$A,6))=VALUE(LEFT(B447,6)))*(aps_equipes_esf!$B:$B=C447), 0)), "")</f>
        <v>-</v>
      </c>
      <c r="L447" cm="1">
        <f t="array" aca="1" ref="L447" ca="1">IFERROR(INDEX(casos!$C:$C, MATCH(1, (VALUE(LEFT(casos!$A:$A,6))=VALUE(LEFT(B447,6)))*(casos!$B:$B=C447), 0)), "")</f>
        <v>34</v>
      </c>
      <c r="M447" cm="1">
        <f t="array" ref="M447">IFERROR(INDEX(srag!$D:$D, MATCH(1, (VALUE(LEFT(srag!$A:$A,6))=VALUE(LEFT(B447,6)))*(srag!$C:$C=C447), 0)), "")</f>
        <v>3136</v>
      </c>
      <c r="N447" cm="1">
        <f t="array" aca="1" ref="N447" ca="1">IFERROR(INDEX(fesp!$E:$E, MATCH(1, (VALUE(LEFT(fesp!$A:$A,6))=VALUE(LEFT(B447,6)))*(fesp!$C:$C=C447), 0)), "")</f>
        <v>39</v>
      </c>
      <c r="O447" cm="1">
        <f t="array" aca="1" ref="O447" ca="1">IFERROR(INDEX(fesp!$F:$F, MATCH(1, (VALUE(LEFT(fesp!$A:$A,6))=VALUE(LEFT(B447,6)))*(fesp!$C:$C=C447), 0)), "")</f>
        <v>2008</v>
      </c>
      <c r="P447" cm="1">
        <f t="array" aca="1" ref="P447" ca="1">IFERROR(INDEX(fesp!$G:$G, MATCH(1, (VALUE(LEFT(fesp!$A:$A,6))=VALUE(LEFT(B447,6)))*(fesp!$C:$C=C447), 0)), "")</f>
        <v>1378724</v>
      </c>
      <c r="Q447" cm="1">
        <f t="array" aca="1" ref="Q447" ca="1">IFERROR(INDEX(fesp!$H:$H, MATCH(1, (VALUE(LEFT(fesp!$A:$A,6))=VALUE(LEFT(B447,6)))*(fesp!$C:$C=C447), 0)), "")</f>
        <v>14</v>
      </c>
      <c r="R447" cm="1">
        <f t="array" aca="1" ref="R447" ca="1">IFERROR(INDEX(fesp!$I:$I, MATCH(1, (VALUE(LEFT(fesp!$A:$A,6))=VALUE(LEFT(B447,6)))*(fesp!$C:$C=C447), 0)), "")</f>
        <v>16733</v>
      </c>
      <c r="S447" cm="1">
        <f t="array" aca="1" ref="S447" ca="1">IFERROR(INDEX(fesp!$J:$J, MATCH(1, (VALUE(LEFT(fesp!$A:$A,6))=VALUE(LEFT(B447,6)))*(fesp!$C:$C=C447), 0)), "")</f>
        <v>85497</v>
      </c>
    </row>
    <row r="448" spans="1:19">
      <c r="A448" s="1" t="s">
        <v>121</v>
      </c>
      <c r="B448" s="3" t="s">
        <v>120</v>
      </c>
      <c r="C448" s="3">
        <v>2021</v>
      </c>
      <c r="D448" cm="1">
        <f t="array" ref="D448">IFERROR(INDEX(fesp!$D:$D, MATCH(1, (VALUE(LEFT(fesp!$A:$A,6))=VALUE(LEFT(B448,6)))*(fesp!$C:$C=C448), 0)), "")</f>
        <v>0</v>
      </c>
      <c r="E448" cm="1">
        <f t="array" aca="1" ref="E448" ca="1">IFERROR(INDEX(ft_medicos_clinicos!$C:$C, MATCH(1, (VALUE(LEFT(ft_medicos_clinicos!$A:$A,6))=VALUE(LEFT(B448,6)))*(ft_medicos_clinicos!$B:$B=C448), 0)), "")</f>
        <v>255</v>
      </c>
      <c r="F448" cm="1">
        <f t="array" aca="1" ref="F448" ca="1">IFERROR(INDEX(ft_enfermeiros!$C:$C, MATCH(1, (VALUE(LEFT(ft_enfermeiros!$A:$A,6))=VALUE(LEFT(B448,6)))*(ft_enfermeiros!$B:$B=C448), 0)), "")</f>
        <v>376</v>
      </c>
      <c r="G448" t="str" cm="1">
        <f t="array" aca="1" ref="G448" ca="1">IFERROR(INDEX(ft_equipes_acs!$C:$C, MATCH(1, (VALUE(LEFT(ft_equipes_acs!$A:$A,6))=VALUE(LEFT(B448,6)))*(ft_equipes_acs!$B:$B=C448), 0)), "")</f>
        <v>-</v>
      </c>
      <c r="H448" cm="1">
        <f t="array" aca="1" ref="H448" ca="1">IFERROR(INDEX(ci_leitos_internacao!$C:$C, MATCH(1, (VALUE(LEFT(ci_leitos_internacao!$A:$A,6))=VALUE(LEFT(B448,6)))*(ci_leitos_internacao!$B:$B=C448), 0)), "")</f>
        <v>481</v>
      </c>
      <c r="I448" cm="1">
        <f t="array" aca="1" ref="I448" ca="1">IFERROR(INDEX(ci_hospitais_internacao!$C:$C, MATCH(1, (VALUE(LEFT(ci_hospitais_internacao!$A:$A,6))=VALUE(LEFT(B448,6)))*(ci_hospitais_internacao!$B:$B=C448), 0)), "")</f>
        <v>3</v>
      </c>
      <c r="J448" cm="1">
        <f t="array" aca="1" ref="J448" ca="1">IFERROR(INDEX(ci_pa_clinico!$C:$C, MATCH(1, (VALUE(LEFT(ci_pa_clinico!$A:$A,6))=VALUE(LEFT(B448,6)))*(ci_pa_clinico!$B:$B=C448), 0)), "")</f>
        <v>6</v>
      </c>
      <c r="K448" t="str" cm="1">
        <f t="array" aca="1" ref="K448" ca="1">IFERROR(INDEX(aps_equipes_esf!$C:$C, MATCH(1, (VALUE(LEFT(aps_equipes_esf!$A:$A,6))=VALUE(LEFT(B448,6)))*(aps_equipes_esf!$B:$B=C448), 0)), "")</f>
        <v>-</v>
      </c>
      <c r="L448" cm="1">
        <f t="array" aca="1" ref="L448" ca="1">IFERROR(INDEX(casos!$C:$C, MATCH(1, (VALUE(LEFT(casos!$A:$A,6))=VALUE(LEFT(B448,6)))*(casos!$B:$B=C448), 0)), "")</f>
        <v>64</v>
      </c>
      <c r="M448" cm="1">
        <f t="array" ref="M448">IFERROR(INDEX(srag!$D:$D, MATCH(1, (VALUE(LEFT(srag!$A:$A,6))=VALUE(LEFT(B448,6)))*(srag!$C:$C=C448), 0)), "")</f>
        <v>4973</v>
      </c>
      <c r="N448" cm="1">
        <f t="array" aca="1" ref="N448" ca="1">IFERROR(INDEX(fesp!$E:$E, MATCH(1, (VALUE(LEFT(fesp!$A:$A,6))=VALUE(LEFT(B448,6)))*(fesp!$C:$C=C448), 0)), "")</f>
        <v>37</v>
      </c>
      <c r="O448" cm="1">
        <f t="array" aca="1" ref="O448" ca="1">IFERROR(INDEX(fesp!$F:$F, MATCH(1, (VALUE(LEFT(fesp!$A:$A,6))=VALUE(LEFT(B448,6)))*(fesp!$C:$C=C448), 0)), "")</f>
        <v>2532</v>
      </c>
      <c r="P448" cm="1">
        <f t="array" aca="1" ref="P448" ca="1">IFERROR(INDEX(fesp!$G:$G, MATCH(1, (VALUE(LEFT(fesp!$A:$A,6))=VALUE(LEFT(B448,6)))*(fesp!$C:$C=C448), 0)), "")</f>
        <v>1552056</v>
      </c>
      <c r="Q448" cm="1">
        <f t="array" aca="1" ref="Q448" ca="1">IFERROR(INDEX(fesp!$H:$H, MATCH(1, (VALUE(LEFT(fesp!$A:$A,6))=VALUE(LEFT(B448,6)))*(fesp!$C:$C=C448), 0)), "")</f>
        <v>12</v>
      </c>
      <c r="R448" cm="1">
        <f t="array" aca="1" ref="R448" ca="1">IFERROR(INDEX(fesp!$I:$I, MATCH(1, (VALUE(LEFT(fesp!$A:$A,6))=VALUE(LEFT(B448,6)))*(fesp!$C:$C=C448), 0)), "")</f>
        <v>2744</v>
      </c>
      <c r="S448" cm="1">
        <f t="array" aca="1" ref="S448" ca="1">IFERROR(INDEX(fesp!$J:$J, MATCH(1, (VALUE(LEFT(fesp!$A:$A,6))=VALUE(LEFT(B448,6)))*(fesp!$C:$C=C448), 0)), "")</f>
        <v>1663</v>
      </c>
    </row>
    <row r="449" spans="1:19">
      <c r="A449" s="1" t="s">
        <v>121</v>
      </c>
      <c r="B449" s="3" t="s">
        <v>120</v>
      </c>
      <c r="C449" s="3">
        <v>2022</v>
      </c>
      <c r="D449" cm="1">
        <f t="array" ref="D449">IFERROR(INDEX(fesp!$D:$D, MATCH(1, (VALUE(LEFT(fesp!$A:$A,6))=VALUE(LEFT(B449,6)))*(fesp!$C:$C=C449), 0)), "")</f>
        <v>418261</v>
      </c>
      <c r="E449" cm="1">
        <f t="array" aca="1" ref="E449" ca="1">IFERROR(INDEX(ft_medicos_clinicos!$C:$C, MATCH(1, (VALUE(LEFT(ft_medicos_clinicos!$A:$A,6))=VALUE(LEFT(B449,6)))*(ft_medicos_clinicos!$B:$B=C449), 0)), "")</f>
        <v>260</v>
      </c>
      <c r="F449" cm="1">
        <f t="array" aca="1" ref="F449" ca="1">IFERROR(INDEX(ft_enfermeiros!$C:$C, MATCH(1, (VALUE(LEFT(ft_enfermeiros!$A:$A,6))=VALUE(LEFT(B449,6)))*(ft_enfermeiros!$B:$B=C449), 0)), "")</f>
        <v>411</v>
      </c>
      <c r="G449" t="str" cm="1">
        <f t="array" aca="1" ref="G449" ca="1">IFERROR(INDEX(ft_equipes_acs!$C:$C, MATCH(1, (VALUE(LEFT(ft_equipes_acs!$A:$A,6))=VALUE(LEFT(B449,6)))*(ft_equipes_acs!$B:$B=C449), 0)), "")</f>
        <v>-</v>
      </c>
      <c r="H449" cm="1">
        <f t="array" aca="1" ref="H449" ca="1">IFERROR(INDEX(ci_leitos_internacao!$C:$C, MATCH(1, (VALUE(LEFT(ci_leitos_internacao!$A:$A,6))=VALUE(LEFT(B449,6)))*(ci_leitos_internacao!$B:$B=C449), 0)), "")</f>
        <v>481</v>
      </c>
      <c r="I449" cm="1">
        <f t="array" aca="1" ref="I449" ca="1">IFERROR(INDEX(ci_hospitais_internacao!$C:$C, MATCH(1, (VALUE(LEFT(ci_hospitais_internacao!$A:$A,6))=VALUE(LEFT(B449,6)))*(ci_hospitais_internacao!$B:$B=C449), 0)), "")</f>
        <v>2</v>
      </c>
      <c r="J449" cm="1">
        <f t="array" aca="1" ref="J449" ca="1">IFERROR(INDEX(ci_pa_clinico!$C:$C, MATCH(1, (VALUE(LEFT(ci_pa_clinico!$A:$A,6))=VALUE(LEFT(B449,6)))*(ci_pa_clinico!$B:$B=C449), 0)), "")</f>
        <v>6</v>
      </c>
      <c r="K449" t="str" cm="1">
        <f t="array" aca="1" ref="K449" ca="1">IFERROR(INDEX(aps_equipes_esf!$C:$C, MATCH(1, (VALUE(LEFT(aps_equipes_esf!$A:$A,6))=VALUE(LEFT(B449,6)))*(aps_equipes_esf!$B:$B=C449), 0)), "")</f>
        <v>-</v>
      </c>
      <c r="L449" cm="1">
        <f t="array" aca="1" ref="L449" ca="1">IFERROR(INDEX(casos!$C:$C, MATCH(1, (VALUE(LEFT(casos!$A:$A,6))=VALUE(LEFT(B449,6)))*(casos!$B:$B=C449), 0)), "")</f>
        <v>92</v>
      </c>
      <c r="M449" cm="1">
        <f t="array" ref="M449">IFERROR(INDEX(srag!$D:$D, MATCH(1, (VALUE(LEFT(srag!$A:$A,6))=VALUE(LEFT(B449,6)))*(srag!$C:$C=C449), 0)), "")</f>
        <v>1888</v>
      </c>
      <c r="N449" cm="1">
        <f t="array" aca="1" ref="N449" ca="1">IFERROR(INDEX(fesp!$E:$E, MATCH(1, (VALUE(LEFT(fesp!$A:$A,6))=VALUE(LEFT(B449,6)))*(fesp!$C:$C=C449), 0)), "")</f>
        <v>42</v>
      </c>
      <c r="O449" cm="1">
        <f t="array" aca="1" ref="O449" ca="1">IFERROR(INDEX(fesp!$F:$F, MATCH(1, (VALUE(LEFT(fesp!$A:$A,6))=VALUE(LEFT(B449,6)))*(fesp!$C:$C=C449), 0)), "")</f>
        <v>2354</v>
      </c>
      <c r="P449" cm="1">
        <f t="array" aca="1" ref="P449" ca="1">IFERROR(INDEX(fesp!$G:$G, MATCH(1, (VALUE(LEFT(fesp!$A:$A,6))=VALUE(LEFT(B449,6)))*(fesp!$C:$C=C449), 0)), "")</f>
        <v>1940577</v>
      </c>
      <c r="Q449" cm="1">
        <f t="array" aca="1" ref="Q449" ca="1">IFERROR(INDEX(fesp!$H:$H, MATCH(1, (VALUE(LEFT(fesp!$A:$A,6))=VALUE(LEFT(B449,6)))*(fesp!$C:$C=C449), 0)), "")</f>
        <v>11</v>
      </c>
      <c r="R449" cm="1">
        <f t="array" aca="1" ref="R449" ca="1">IFERROR(INDEX(fesp!$I:$I, MATCH(1, (VALUE(LEFT(fesp!$A:$A,6))=VALUE(LEFT(B449,6)))*(fesp!$C:$C=C449), 0)), "")</f>
        <v>1969</v>
      </c>
      <c r="S449" cm="1">
        <f t="array" aca="1" ref="S449" ca="1">IFERROR(INDEX(fesp!$J:$J, MATCH(1, (VALUE(LEFT(fesp!$A:$A,6))=VALUE(LEFT(B449,6)))*(fesp!$C:$C=C449), 0)), "")</f>
        <v>658</v>
      </c>
    </row>
    <row r="450" spans="1:19">
      <c r="A450" s="1" t="s">
        <v>121</v>
      </c>
      <c r="B450" s="3" t="s">
        <v>120</v>
      </c>
      <c r="C450" s="3">
        <v>2023</v>
      </c>
      <c r="D450" cm="1">
        <f t="array" ref="D450">IFERROR(INDEX(fesp!$D:$D, MATCH(1, (VALUE(LEFT(fesp!$A:$A,6))=VALUE(LEFT(B450,6)))*(fesp!$C:$C=C450), 0)), "")</f>
        <v>0</v>
      </c>
      <c r="E450" cm="1">
        <f t="array" aca="1" ref="E450" ca="1">IFERROR(INDEX(ft_medicos_clinicos!$C:$C, MATCH(1, (VALUE(LEFT(ft_medicos_clinicos!$A:$A,6))=VALUE(LEFT(B450,6)))*(ft_medicos_clinicos!$B:$B=C450), 0)), "")</f>
        <v>254</v>
      </c>
      <c r="F450" cm="1">
        <f t="array" aca="1" ref="F450" ca="1">IFERROR(INDEX(ft_enfermeiros!$C:$C, MATCH(1, (VALUE(LEFT(ft_enfermeiros!$A:$A,6))=VALUE(LEFT(B450,6)))*(ft_enfermeiros!$B:$B=C450), 0)), "")</f>
        <v>420</v>
      </c>
      <c r="G450" t="str" cm="1">
        <f t="array" aca="1" ref="G450" ca="1">IFERROR(INDEX(ft_equipes_acs!$C:$C, MATCH(1, (VALUE(LEFT(ft_equipes_acs!$A:$A,6))=VALUE(LEFT(B450,6)))*(ft_equipes_acs!$B:$B=C450), 0)), "")</f>
        <v>-</v>
      </c>
      <c r="H450" cm="1">
        <f t="array" aca="1" ref="H450" ca="1">IFERROR(INDEX(ci_leitos_internacao!$C:$C, MATCH(1, (VALUE(LEFT(ci_leitos_internacao!$A:$A,6))=VALUE(LEFT(B450,6)))*(ci_leitos_internacao!$B:$B=C450), 0)), "")</f>
        <v>528</v>
      </c>
      <c r="I450" cm="1">
        <f t="array" aca="1" ref="I450" ca="1">IFERROR(INDEX(ci_hospitais_internacao!$C:$C, MATCH(1, (VALUE(LEFT(ci_hospitais_internacao!$A:$A,6))=VALUE(LEFT(B450,6)))*(ci_hospitais_internacao!$B:$B=C450), 0)), "")</f>
        <v>2</v>
      </c>
      <c r="J450" cm="1">
        <f t="array" aca="1" ref="J450" ca="1">IFERROR(INDEX(ci_pa_clinico!$C:$C, MATCH(1, (VALUE(LEFT(ci_pa_clinico!$A:$A,6))=VALUE(LEFT(B450,6)))*(ci_pa_clinico!$B:$B=C450), 0)), "")</f>
        <v>6</v>
      </c>
      <c r="K450" t="str" cm="1">
        <f t="array" aca="1" ref="K450" ca="1">IFERROR(INDEX(aps_equipes_esf!$C:$C, MATCH(1, (VALUE(LEFT(aps_equipes_esf!$A:$A,6))=VALUE(LEFT(B450,6)))*(aps_equipes_esf!$B:$B=C450), 0)), "")</f>
        <v>-</v>
      </c>
      <c r="L450" cm="1">
        <f t="array" aca="1" ref="L450" ca="1">IFERROR(INDEX(casos!$C:$C, MATCH(1, (VALUE(LEFT(casos!$A:$A,6))=VALUE(LEFT(B450,6)))*(casos!$B:$B=C450), 0)), "")</f>
        <v>107</v>
      </c>
      <c r="M450" cm="1">
        <f t="array" ref="M450">IFERROR(INDEX(srag!$D:$D, MATCH(1, (VALUE(LEFT(srag!$A:$A,6))=VALUE(LEFT(B450,6)))*(srag!$C:$C=C450), 0)), "")</f>
        <v>1521</v>
      </c>
      <c r="N450" cm="1">
        <f t="array" aca="1" ref="N450" ca="1">IFERROR(INDEX(fesp!$E:$E, MATCH(1, (VALUE(LEFT(fesp!$A:$A,6))=VALUE(LEFT(B450,6)))*(fesp!$C:$C=C450), 0)), "")</f>
        <v>69</v>
      </c>
      <c r="O450" cm="1">
        <f t="array" aca="1" ref="O450" ca="1">IFERROR(INDEX(fesp!$F:$F, MATCH(1, (VALUE(LEFT(fesp!$A:$A,6))=VALUE(LEFT(B450,6)))*(fesp!$C:$C=C450), 0)), "")</f>
        <v>2517</v>
      </c>
      <c r="P450" cm="1">
        <f t="array" aca="1" ref="P450" ca="1">IFERROR(INDEX(fesp!$G:$G, MATCH(1, (VALUE(LEFT(fesp!$A:$A,6))=VALUE(LEFT(B450,6)))*(fesp!$C:$C=C450), 0)), "")</f>
        <v>2194503</v>
      </c>
      <c r="Q450" cm="1">
        <f t="array" aca="1" ref="Q450" ca="1">IFERROR(INDEX(fesp!$H:$H, MATCH(1, (VALUE(LEFT(fesp!$A:$A,6))=VALUE(LEFT(B450,6)))*(fesp!$C:$C=C450), 0)), "")</f>
        <v>15</v>
      </c>
      <c r="R450" cm="1">
        <f t="array" aca="1" ref="R450" ca="1">IFERROR(INDEX(fesp!$I:$I, MATCH(1, (VALUE(LEFT(fesp!$A:$A,6))=VALUE(LEFT(B450,6)))*(fesp!$C:$C=C450), 0)), "")</f>
        <v>0</v>
      </c>
      <c r="S450" cm="1">
        <f t="array" aca="1" ref="S450" ca="1">IFERROR(INDEX(fesp!$J:$J, MATCH(1, (VALUE(LEFT(fesp!$A:$A,6))=VALUE(LEFT(B450,6)))*(fesp!$C:$C=C450), 0)), "")</f>
        <v>65</v>
      </c>
    </row>
    <row r="451" spans="1:19">
      <c r="A451" s="1" t="s">
        <v>121</v>
      </c>
      <c r="B451" s="3" t="s">
        <v>120</v>
      </c>
      <c r="C451" s="3">
        <v>2024</v>
      </c>
      <c r="D451" cm="1">
        <f t="array" ref="D451">IFERROR(INDEX(fesp!$D:$D, MATCH(1, (VALUE(LEFT(fesp!$A:$A,6))=VALUE(LEFT(B451,6)))*(fesp!$C:$C=C451), 0)), "")</f>
        <v>0</v>
      </c>
      <c r="E451" cm="1">
        <f t="array" aca="1" ref="E451" ca="1">IFERROR(INDEX(ft_medicos_clinicos!$C:$C, MATCH(1, (VALUE(LEFT(ft_medicos_clinicos!$A:$A,6))=VALUE(LEFT(B451,6)))*(ft_medicos_clinicos!$B:$B=C451), 0)), "")</f>
        <v>298</v>
      </c>
      <c r="F451" cm="1">
        <f t="array" aca="1" ref="F451" ca="1">IFERROR(INDEX(ft_enfermeiros!$C:$C, MATCH(1, (VALUE(LEFT(ft_enfermeiros!$A:$A,6))=VALUE(LEFT(B451,6)))*(ft_enfermeiros!$B:$B=C451), 0)), "")</f>
        <v>418</v>
      </c>
      <c r="G451" t="str" cm="1">
        <f t="array" aca="1" ref="G451" ca="1">IFERROR(INDEX(ft_equipes_acs!$C:$C, MATCH(1, (VALUE(LEFT(ft_equipes_acs!$A:$A,6))=VALUE(LEFT(B451,6)))*(ft_equipes_acs!$B:$B=C451), 0)), "")</f>
        <v>-</v>
      </c>
      <c r="H451" cm="1">
        <f t="array" aca="1" ref="H451" ca="1">IFERROR(INDEX(ci_leitos_internacao!$C:$C, MATCH(1, (VALUE(LEFT(ci_leitos_internacao!$A:$A,6))=VALUE(LEFT(B451,6)))*(ci_leitos_internacao!$B:$B=C451), 0)), "")</f>
        <v>502</v>
      </c>
      <c r="I451" cm="1">
        <f t="array" aca="1" ref="I451" ca="1">IFERROR(INDEX(ci_hospitais_internacao!$C:$C, MATCH(1, (VALUE(LEFT(ci_hospitais_internacao!$A:$A,6))=VALUE(LEFT(B451,6)))*(ci_hospitais_internacao!$B:$B=C451), 0)), "")</f>
        <v>2</v>
      </c>
      <c r="J451" cm="1">
        <f t="array" aca="1" ref="J451" ca="1">IFERROR(INDEX(ci_pa_clinico!$C:$C, MATCH(1, (VALUE(LEFT(ci_pa_clinico!$A:$A,6))=VALUE(LEFT(B451,6)))*(ci_pa_clinico!$B:$B=C451), 0)), "")</f>
        <v>6</v>
      </c>
      <c r="K451" t="str" cm="1">
        <f t="array" aca="1" ref="K451" ca="1">IFERROR(INDEX(aps_equipes_esf!$C:$C, MATCH(1, (VALUE(LEFT(aps_equipes_esf!$A:$A,6))=VALUE(LEFT(B451,6)))*(aps_equipes_esf!$B:$B=C451), 0)), "")</f>
        <v>-</v>
      </c>
      <c r="L451" cm="1">
        <f t="array" aca="1" ref="L451" ca="1">IFERROR(INDEX(casos!$C:$C, MATCH(1, (VALUE(LEFT(casos!$A:$A,6))=VALUE(LEFT(B451,6)))*(casos!$B:$B=C451), 0)), "")</f>
        <v>10890</v>
      </c>
      <c r="M451" cm="1">
        <f t="array" ref="M451">IFERROR(INDEX(srag!$D:$D, MATCH(1, (VALUE(LEFT(srag!$A:$A,6))=VALUE(LEFT(B451,6)))*(srag!$C:$C=C451), 0)), "")</f>
        <v>1234</v>
      </c>
      <c r="N451" cm="1">
        <f t="array" aca="1" ref="N451" ca="1">IFERROR(INDEX(fesp!$E:$E, MATCH(1, (VALUE(LEFT(fesp!$A:$A,6))=VALUE(LEFT(B451,6)))*(fesp!$C:$C=C451), 0)), "")</f>
        <v>76</v>
      </c>
      <c r="O451" cm="1">
        <f t="array" aca="1" ref="O451" ca="1">IFERROR(INDEX(fesp!$F:$F, MATCH(1, (VALUE(LEFT(fesp!$A:$A,6))=VALUE(LEFT(B451,6)))*(fesp!$C:$C=C451), 0)), "")</f>
        <v>2221</v>
      </c>
      <c r="P451" cm="1">
        <f t="array" aca="1" ref="P451" ca="1">IFERROR(INDEX(fesp!$G:$G, MATCH(1, (VALUE(LEFT(fesp!$A:$A,6))=VALUE(LEFT(B451,6)))*(fesp!$C:$C=C451), 0)), "")</f>
        <v>2577467</v>
      </c>
      <c r="Q451" cm="1">
        <f t="array" aca="1" ref="Q451" ca="1">IFERROR(INDEX(fesp!$H:$H, MATCH(1, (VALUE(LEFT(fesp!$A:$A,6))=VALUE(LEFT(B451,6)))*(fesp!$C:$C=C451), 0)), "")</f>
        <v>25</v>
      </c>
      <c r="R451" cm="1">
        <f t="array" aca="1" ref="R451" ca="1">IFERROR(INDEX(fesp!$I:$I, MATCH(1, (VALUE(LEFT(fesp!$A:$A,6))=VALUE(LEFT(B451,6)))*(fesp!$C:$C=C451), 0)), "")</f>
        <v>0</v>
      </c>
      <c r="S451" cm="1">
        <f t="array" aca="1" ref="S451" ca="1">IFERROR(INDEX(fesp!$J:$J, MATCH(1, (VALUE(LEFT(fesp!$A:$A,6))=VALUE(LEFT(B451,6)))*(fesp!$C:$C=C451), 0)), "")</f>
        <v>1</v>
      </c>
    </row>
    <row r="452" spans="1:19">
      <c r="A452" s="1" t="s">
        <v>121</v>
      </c>
      <c r="B452" s="3">
        <v>3529401</v>
      </c>
      <c r="C452" s="3">
        <v>2025</v>
      </c>
      <c r="D452" cm="1">
        <f t="array" ref="D452">IFERROR(INDEX(fesp!$D:$D, MATCH(1, (VALUE(LEFT(fesp!$A:$A,6))=VALUE(LEFT(B452,6)))*(fesp!$C:$C=C452), 0)), "")</f>
        <v>0</v>
      </c>
      <c r="E452" cm="1">
        <f t="array" aca="1" ref="E452" ca="1">IFERROR(INDEX(ft_medicos_clinicos!$C:$C, MATCH(1, (VALUE(LEFT(ft_medicos_clinicos!$A:$A,6))=VALUE(LEFT(B452,6)))*(ft_medicos_clinicos!$B:$B=C452), 0)), "")</f>
        <v>347</v>
      </c>
      <c r="F452" cm="1">
        <f t="array" aca="1" ref="F452" ca="1">IFERROR(INDEX(ft_enfermeiros!$C:$C, MATCH(1, (VALUE(LEFT(ft_enfermeiros!$A:$A,6))=VALUE(LEFT(B452,6)))*(ft_enfermeiros!$B:$B=C452), 0)), "")</f>
        <v>412</v>
      </c>
      <c r="G452" t="str" cm="1">
        <f t="array" aca="1" ref="G452" ca="1">IFERROR(INDEX(ft_equipes_acs!$C:$C, MATCH(1, (VALUE(LEFT(ft_equipes_acs!$A:$A,6))=VALUE(LEFT(B452,6)))*(ft_equipes_acs!$B:$B=C452), 0)), "")</f>
        <v>-</v>
      </c>
      <c r="H452" cm="1">
        <f t="array" aca="1" ref="H452" ca="1">IFERROR(INDEX(ci_leitos_internacao!$C:$C, MATCH(1, (VALUE(LEFT(ci_leitos_internacao!$A:$A,6))=VALUE(LEFT(B452,6)))*(ci_leitos_internacao!$B:$B=C452), 0)), "")</f>
        <v>488</v>
      </c>
      <c r="I452" cm="1">
        <f t="array" aca="1" ref="I452" ca="1">IFERROR(INDEX(ci_hospitais_internacao!$C:$C, MATCH(1, (VALUE(LEFT(ci_hospitais_internacao!$A:$A,6))=VALUE(LEFT(B452,6)))*(ci_hospitais_internacao!$B:$B=C452), 0)), "")</f>
        <v>2</v>
      </c>
      <c r="J452" cm="1">
        <f t="array" aca="1" ref="J452" ca="1">IFERROR(INDEX(ci_pa_clinico!$C:$C, MATCH(1, (VALUE(LEFT(ci_pa_clinico!$A:$A,6))=VALUE(LEFT(B452,6)))*(ci_pa_clinico!$B:$B=C452), 0)), "")</f>
        <v>5</v>
      </c>
      <c r="K452" t="str" cm="1">
        <f t="array" aca="1" ref="K452" ca="1">IFERROR(INDEX(aps_equipes_esf!$C:$C, MATCH(1, (VALUE(LEFT(aps_equipes_esf!$A:$A,6))=VALUE(LEFT(B452,6)))*(aps_equipes_esf!$B:$B=C452), 0)), "")</f>
        <v>-</v>
      </c>
      <c r="L452" cm="1">
        <f t="array" aca="1" ref="L452" ca="1">IFERROR(INDEX(casos!$C:$C, MATCH(1, (VALUE(LEFT(casos!$A:$A,6))=VALUE(LEFT(B452,6)))*(casos!$B:$B=C452), 0)), "")</f>
        <v>1866</v>
      </c>
      <c r="M452" cm="1">
        <f t="array" ref="M452">IFERROR(INDEX(srag!$D:$D, MATCH(1, (VALUE(LEFT(srag!$A:$A,6))=VALUE(LEFT(B452,6)))*(srag!$C:$C=C452), 0)), "")</f>
        <v>1614</v>
      </c>
      <c r="N452" cm="1">
        <f t="array" aca="1" ref="N452" ca="1">IFERROR(INDEX(fesp!$E:$E, MATCH(1, (VALUE(LEFT(fesp!$A:$A,6))=VALUE(LEFT(B452,6)))*(fesp!$C:$C=C452), 0)), "")</f>
        <v>85</v>
      </c>
      <c r="O452" cm="1">
        <f t="array" aca="1" ref="O452" ca="1">IFERROR(INDEX(fesp!$F:$F, MATCH(1, (VALUE(LEFT(fesp!$A:$A,6))=VALUE(LEFT(B452,6)))*(fesp!$C:$C=C452), 0)), "")</f>
        <v>1634</v>
      </c>
      <c r="P452" cm="1">
        <f t="array" aca="1" ref="P452" ca="1">IFERROR(INDEX(fesp!$G:$G, MATCH(1, (VALUE(LEFT(fesp!$A:$A,6))=VALUE(LEFT(B452,6)))*(fesp!$C:$C=C452), 0)), "")</f>
        <v>2062136</v>
      </c>
      <c r="Q452" cm="1">
        <f t="array" aca="1" ref="Q452" ca="1">IFERROR(INDEX(fesp!$H:$H, MATCH(1, (VALUE(LEFT(fesp!$A:$A,6))=VALUE(LEFT(B452,6)))*(fesp!$C:$C=C452), 0)), "")</f>
        <v>12</v>
      </c>
      <c r="R452" cm="1">
        <f t="array" aca="1" ref="R452" ca="1">IFERROR(INDEX(fesp!$I:$I, MATCH(1, (VALUE(LEFT(fesp!$A:$A,6))=VALUE(LEFT(B452,6)))*(fesp!$C:$C=C452), 0)), "")</f>
        <v>0</v>
      </c>
      <c r="S452" cm="1">
        <f t="array" aca="1" ref="S452" ca="1">IFERROR(INDEX(fesp!$J:$J, MATCH(1, (VALUE(LEFT(fesp!$A:$A,6))=VALUE(LEFT(B452,6)))*(fesp!$C:$C=C452), 0)), "")</f>
        <v>1</v>
      </c>
    </row>
    <row r="453" spans="1:19">
      <c r="A453" s="1" t="s">
        <v>103</v>
      </c>
      <c r="B453" s="3">
        <v>3530607</v>
      </c>
      <c r="C453" s="3">
        <v>2015</v>
      </c>
      <c r="D453" cm="1">
        <f t="array" ref="D453">IFERROR(INDEX(fesp!$D:$D, MATCH(1, (VALUE(LEFT(fesp!$A:$A,6))=VALUE(LEFT(B453,6)))*(fesp!$C:$C=C453), 0)), "")</f>
        <v>424633</v>
      </c>
      <c r="E453" cm="1">
        <f t="array" aca="1" ref="E453" ca="1">IFERROR(INDEX(ft_medicos_clinicos!$C:$C, MATCH(1, (VALUE(LEFT(ft_medicos_clinicos!$A:$A,6))=VALUE(LEFT(B453,6)))*(ft_medicos_clinicos!$B:$B=C453), 0)), "")</f>
        <v>226</v>
      </c>
      <c r="F453" cm="1">
        <f t="array" aca="1" ref="F453" ca="1">IFERROR(INDEX(ft_enfermeiros!$C:$C, MATCH(1, (VALUE(LEFT(ft_enfermeiros!$A:$A,6))=VALUE(LEFT(B453,6)))*(ft_enfermeiros!$B:$B=C453), 0)), "")</f>
        <v>451</v>
      </c>
      <c r="G453" cm="1">
        <f t="array" aca="1" ref="G453" ca="1">IFERROR(INDEX(ft_equipes_acs!$C:$C, MATCH(1, (VALUE(LEFT(ft_equipes_acs!$A:$A,6))=VALUE(LEFT(B453,6)))*(ft_equipes_acs!$B:$B=C453), 0)), "")</f>
        <v>2</v>
      </c>
      <c r="H453" cm="1">
        <f t="array" aca="1" ref="H453" ca="1">IFERROR(INDEX(ci_leitos_internacao!$C:$C, MATCH(1, (VALUE(LEFT(ci_leitos_internacao!$A:$A,6))=VALUE(LEFT(B453,6)))*(ci_leitos_internacao!$B:$B=C453), 0)), "")</f>
        <v>875</v>
      </c>
      <c r="I453" cm="1">
        <f t="array" aca="1" ref="I453" ca="1">IFERROR(INDEX(ci_hospitais_internacao!$C:$C, MATCH(1, (VALUE(LEFT(ci_hospitais_internacao!$A:$A,6))=VALUE(LEFT(B453,6)))*(ci_hospitais_internacao!$B:$B=C453), 0)), "")</f>
        <v>4</v>
      </c>
      <c r="J453" cm="1">
        <f t="array" aca="1" ref="J453" ca="1">IFERROR(INDEX(ci_pa_clinico!$C:$C, MATCH(1, (VALUE(LEFT(ci_pa_clinico!$A:$A,6))=VALUE(LEFT(B453,6)))*(ci_pa_clinico!$B:$B=C453), 0)), "")</f>
        <v>4</v>
      </c>
      <c r="K453" cm="1">
        <f t="array" aca="1" ref="K453" ca="1">IFERROR(INDEX(aps_equipes_esf!$C:$C, MATCH(1, (VALUE(LEFT(aps_equipes_esf!$A:$A,6))=VALUE(LEFT(B453,6)))*(aps_equipes_esf!$B:$B=C453), 0)), "")</f>
        <v>5</v>
      </c>
      <c r="L453" cm="1">
        <f t="array" aca="1" ref="L453" ca="1">IFERROR(INDEX(casos!$C:$C, MATCH(1, (VALUE(LEFT(casos!$A:$A,6))=VALUE(LEFT(B453,6)))*(casos!$B:$B=C453), 0)), "")</f>
        <v>1498</v>
      </c>
      <c r="M453" cm="1">
        <f t="array" ref="M453">IFERROR(INDEX(srag!$D:$D, MATCH(1, (VALUE(LEFT(srag!$A:$A,6))=VALUE(LEFT(B453,6)))*(srag!$C:$C=C453), 0)), "")</f>
        <v>23</v>
      </c>
      <c r="N453" cm="1">
        <f t="array" aca="1" ref="N453" ca="1">IFERROR(INDEX(fesp!$E:$E, MATCH(1, (VALUE(LEFT(fesp!$A:$A,6))=VALUE(LEFT(B453,6)))*(fesp!$C:$C=C453), 0)), "")</f>
        <v>184</v>
      </c>
      <c r="O453" cm="1">
        <f t="array" aca="1" ref="O453" ca="1">IFERROR(INDEX(fesp!$F:$F, MATCH(1, (VALUE(LEFT(fesp!$A:$A,6))=VALUE(LEFT(B453,6)))*(fesp!$C:$C=C453), 0)), "")</f>
        <v>988</v>
      </c>
      <c r="P453" cm="1">
        <f t="array" aca="1" ref="P453" ca="1">IFERROR(INDEX(fesp!$G:$G, MATCH(1, (VALUE(LEFT(fesp!$A:$A,6))=VALUE(LEFT(B453,6)))*(fesp!$C:$C=C453), 0)), "")</f>
        <v>2514033</v>
      </c>
      <c r="Q453" cm="1">
        <f t="array" aca="1" ref="Q453" ca="1">IFERROR(INDEX(fesp!$H:$H, MATCH(1, (VALUE(LEFT(fesp!$A:$A,6))=VALUE(LEFT(B453,6)))*(fesp!$C:$C=C453), 0)), "")</f>
        <v>268</v>
      </c>
      <c r="R453" cm="1">
        <f t="array" aca="1" ref="R453" ca="1">IFERROR(INDEX(fesp!$I:$I, MATCH(1, (VALUE(LEFT(fesp!$A:$A,6))=VALUE(LEFT(B453,6)))*(fesp!$C:$C=C453), 0)), "")</f>
        <v>30512</v>
      </c>
      <c r="S453" cm="1">
        <f t="array" aca="1" ref="S453" ca="1">IFERROR(INDEX(fesp!$J:$J, MATCH(1, (VALUE(LEFT(fesp!$A:$A,6))=VALUE(LEFT(B453,6)))*(fesp!$C:$C=C453), 0)), "")</f>
        <v>199843</v>
      </c>
    </row>
    <row r="454" spans="1:19">
      <c r="A454" s="1" t="s">
        <v>103</v>
      </c>
      <c r="B454" s="3">
        <v>3530607</v>
      </c>
      <c r="C454" s="3">
        <v>2016</v>
      </c>
      <c r="D454" cm="1">
        <f t="array" ref="D454">IFERROR(INDEX(fesp!$D:$D, MATCH(1, (VALUE(LEFT(fesp!$A:$A,6))=VALUE(LEFT(B454,6)))*(fesp!$C:$C=C454), 0)), "")</f>
        <v>0</v>
      </c>
      <c r="E454" cm="1">
        <f t="array" aca="1" ref="E454" ca="1">IFERROR(INDEX(ft_medicos_clinicos!$C:$C, MATCH(1, (VALUE(LEFT(ft_medicos_clinicos!$A:$A,6))=VALUE(LEFT(B454,6)))*(ft_medicos_clinicos!$B:$B=C454), 0)), "")</f>
        <v>267</v>
      </c>
      <c r="F454" cm="1">
        <f t="array" aca="1" ref="F454" ca="1">IFERROR(INDEX(ft_enfermeiros!$C:$C, MATCH(1, (VALUE(LEFT(ft_enfermeiros!$A:$A,6))=VALUE(LEFT(B454,6)))*(ft_enfermeiros!$B:$B=C454), 0)), "")</f>
        <v>471</v>
      </c>
      <c r="G454" cm="1">
        <f t="array" aca="1" ref="G454" ca="1">IFERROR(INDEX(ft_equipes_acs!$C:$C, MATCH(1, (VALUE(LEFT(ft_equipes_acs!$A:$A,6))=VALUE(LEFT(B454,6)))*(ft_equipes_acs!$B:$B=C454), 0)), "")</f>
        <v>2</v>
      </c>
      <c r="H454" cm="1">
        <f t="array" aca="1" ref="H454" ca="1">IFERROR(INDEX(ci_leitos_internacao!$C:$C, MATCH(1, (VALUE(LEFT(ci_leitos_internacao!$A:$A,6))=VALUE(LEFT(B454,6)))*(ci_leitos_internacao!$B:$B=C454), 0)), "")</f>
        <v>759</v>
      </c>
      <c r="I454" cm="1">
        <f t="array" aca="1" ref="I454" ca="1">IFERROR(INDEX(ci_hospitais_internacao!$C:$C, MATCH(1, (VALUE(LEFT(ci_hospitais_internacao!$A:$A,6))=VALUE(LEFT(B454,6)))*(ci_hospitais_internacao!$B:$B=C454), 0)), "")</f>
        <v>4</v>
      </c>
      <c r="J454" cm="1">
        <f t="array" aca="1" ref="J454" ca="1">IFERROR(INDEX(ci_pa_clinico!$C:$C, MATCH(1, (VALUE(LEFT(ci_pa_clinico!$A:$A,6))=VALUE(LEFT(B454,6)))*(ci_pa_clinico!$B:$B=C454), 0)), "")</f>
        <v>3</v>
      </c>
      <c r="K454" cm="1">
        <f t="array" aca="1" ref="K454" ca="1">IFERROR(INDEX(aps_equipes_esf!$C:$C, MATCH(1, (VALUE(LEFT(aps_equipes_esf!$A:$A,6))=VALUE(LEFT(B454,6)))*(aps_equipes_esf!$B:$B=C454), 0)), "")</f>
        <v>4</v>
      </c>
      <c r="L454" cm="1">
        <f t="array" aca="1" ref="L454" ca="1">IFERROR(INDEX(casos!$C:$C, MATCH(1, (VALUE(LEFT(casos!$A:$A,6))=VALUE(LEFT(B454,6)))*(casos!$B:$B=C454), 0)), "")</f>
        <v>557</v>
      </c>
      <c r="M454" cm="1">
        <f t="array" ref="M454">IFERROR(INDEX(srag!$D:$D, MATCH(1, (VALUE(LEFT(srag!$A:$A,6))=VALUE(LEFT(B454,6)))*(srag!$C:$C=C454), 0)), "")</f>
        <v>194</v>
      </c>
      <c r="N454" cm="1">
        <f t="array" aca="1" ref="N454" ca="1">IFERROR(INDEX(fesp!$E:$E, MATCH(1, (VALUE(LEFT(fesp!$A:$A,6))=VALUE(LEFT(B454,6)))*(fesp!$C:$C=C454), 0)), "")</f>
        <v>193</v>
      </c>
      <c r="O454" cm="1">
        <f t="array" aca="1" ref="O454" ca="1">IFERROR(INDEX(fesp!$F:$F, MATCH(1, (VALUE(LEFT(fesp!$A:$A,6))=VALUE(LEFT(B454,6)))*(fesp!$C:$C=C454), 0)), "")</f>
        <v>878</v>
      </c>
      <c r="P454" cm="1">
        <f t="array" aca="1" ref="P454" ca="1">IFERROR(INDEX(fesp!$G:$G, MATCH(1, (VALUE(LEFT(fesp!$A:$A,6))=VALUE(LEFT(B454,6)))*(fesp!$C:$C=C454), 0)), "")</f>
        <v>2473199</v>
      </c>
      <c r="Q454" cm="1">
        <f t="array" aca="1" ref="Q454" ca="1">IFERROR(INDEX(fesp!$H:$H, MATCH(1, (VALUE(LEFT(fesp!$A:$A,6))=VALUE(LEFT(B454,6)))*(fesp!$C:$C=C454), 0)), "")</f>
        <v>405</v>
      </c>
      <c r="R454" cm="1">
        <f t="array" aca="1" ref="R454" ca="1">IFERROR(INDEX(fesp!$I:$I, MATCH(1, (VALUE(LEFT(fesp!$A:$A,6))=VALUE(LEFT(B454,6)))*(fesp!$C:$C=C454), 0)), "")</f>
        <v>32135</v>
      </c>
      <c r="S454" cm="1">
        <f t="array" aca="1" ref="S454" ca="1">IFERROR(INDEX(fesp!$J:$J, MATCH(1, (VALUE(LEFT(fesp!$A:$A,6))=VALUE(LEFT(B454,6)))*(fesp!$C:$C=C454), 0)), "")</f>
        <v>217339</v>
      </c>
    </row>
    <row r="455" spans="1:19">
      <c r="A455" s="1" t="s">
        <v>103</v>
      </c>
      <c r="B455" s="3" t="s">
        <v>102</v>
      </c>
      <c r="C455" s="3">
        <v>2017</v>
      </c>
      <c r="D455" cm="1">
        <f t="array" ref="D455">IFERROR(INDEX(fesp!$D:$D, MATCH(1, (VALUE(LEFT(fesp!$A:$A,6))=VALUE(LEFT(B455,6)))*(fesp!$C:$C=C455), 0)), "")</f>
        <v>0</v>
      </c>
      <c r="E455" cm="1">
        <f t="array" aca="1" ref="E455" ca="1">IFERROR(INDEX(ft_medicos_clinicos!$C:$C, MATCH(1, (VALUE(LEFT(ft_medicos_clinicos!$A:$A,6))=VALUE(LEFT(B455,6)))*(ft_medicos_clinicos!$B:$B=C455), 0)), "")</f>
        <v>319</v>
      </c>
      <c r="F455" cm="1">
        <f t="array" aca="1" ref="F455" ca="1">IFERROR(INDEX(ft_enfermeiros!$C:$C, MATCH(1, (VALUE(LEFT(ft_enfermeiros!$A:$A,6))=VALUE(LEFT(B455,6)))*(ft_enfermeiros!$B:$B=C455), 0)), "")</f>
        <v>530</v>
      </c>
      <c r="G455" cm="1">
        <f t="array" aca="1" ref="G455" ca="1">IFERROR(INDEX(ft_equipes_acs!$C:$C, MATCH(1, (VALUE(LEFT(ft_equipes_acs!$A:$A,6))=VALUE(LEFT(B455,6)))*(ft_equipes_acs!$B:$B=C455), 0)), "")</f>
        <v>2</v>
      </c>
      <c r="H455" cm="1">
        <f t="array" aca="1" ref="H455" ca="1">IFERROR(INDEX(ci_leitos_internacao!$C:$C, MATCH(1, (VALUE(LEFT(ci_leitos_internacao!$A:$A,6))=VALUE(LEFT(B455,6)))*(ci_leitos_internacao!$B:$B=C455), 0)), "")</f>
        <v>763</v>
      </c>
      <c r="I455" cm="1">
        <f t="array" aca="1" ref="I455" ca="1">IFERROR(INDEX(ci_hospitais_internacao!$C:$C, MATCH(1, (VALUE(LEFT(ci_hospitais_internacao!$A:$A,6))=VALUE(LEFT(B455,6)))*(ci_hospitais_internacao!$B:$B=C455), 0)), "")</f>
        <v>4</v>
      </c>
      <c r="J455" cm="1">
        <f t="array" aca="1" ref="J455" ca="1">IFERROR(INDEX(ci_pa_clinico!$C:$C, MATCH(1, (VALUE(LEFT(ci_pa_clinico!$A:$A,6))=VALUE(LEFT(B455,6)))*(ci_pa_clinico!$B:$B=C455), 0)), "")</f>
        <v>3</v>
      </c>
      <c r="K455" cm="1">
        <f t="array" aca="1" ref="K455" ca="1">IFERROR(INDEX(aps_equipes_esf!$C:$C, MATCH(1, (VALUE(LEFT(aps_equipes_esf!$A:$A,6))=VALUE(LEFT(B455,6)))*(aps_equipes_esf!$B:$B=C455), 0)), "")</f>
        <v>4</v>
      </c>
      <c r="L455" cm="1">
        <f t="array" aca="1" ref="L455" ca="1">IFERROR(INDEX(casos!$C:$C, MATCH(1, (VALUE(LEFT(casos!$A:$A,6))=VALUE(LEFT(B455,6)))*(casos!$B:$B=C455), 0)), "")</f>
        <v>43</v>
      </c>
      <c r="M455" cm="1">
        <f t="array" ref="M455">IFERROR(INDEX(srag!$D:$D, MATCH(1, (VALUE(LEFT(srag!$A:$A,6))=VALUE(LEFT(B455,6)))*(srag!$C:$C=C455), 0)), "")</f>
        <v>78</v>
      </c>
      <c r="N455" cm="1">
        <f t="array" aca="1" ref="N455" ca="1">IFERROR(INDEX(fesp!$E:$E, MATCH(1, (VALUE(LEFT(fesp!$A:$A,6))=VALUE(LEFT(B455,6)))*(fesp!$C:$C=C455), 0)), "")</f>
        <v>198</v>
      </c>
      <c r="O455" cm="1">
        <f t="array" aca="1" ref="O455" ca="1">IFERROR(INDEX(fesp!$F:$F, MATCH(1, (VALUE(LEFT(fesp!$A:$A,6))=VALUE(LEFT(B455,6)))*(fesp!$C:$C=C455), 0)), "")</f>
        <v>1441</v>
      </c>
      <c r="P455" cm="1">
        <f t="array" aca="1" ref="P455" ca="1">IFERROR(INDEX(fesp!$G:$G, MATCH(1, (VALUE(LEFT(fesp!$A:$A,6))=VALUE(LEFT(B455,6)))*(fesp!$C:$C=C455), 0)), "")</f>
        <v>2585224</v>
      </c>
      <c r="Q455" cm="1">
        <f t="array" aca="1" ref="Q455" ca="1">IFERROR(INDEX(fesp!$H:$H, MATCH(1, (VALUE(LEFT(fesp!$A:$A,6))=VALUE(LEFT(B455,6)))*(fesp!$C:$C=C455), 0)), "")</f>
        <v>301</v>
      </c>
      <c r="R455" cm="1">
        <f t="array" aca="1" ref="R455" ca="1">IFERROR(INDEX(fesp!$I:$I, MATCH(1, (VALUE(LEFT(fesp!$A:$A,6))=VALUE(LEFT(B455,6)))*(fesp!$C:$C=C455), 0)), "")</f>
        <v>28355</v>
      </c>
      <c r="S455" cm="1">
        <f t="array" aca="1" ref="S455" ca="1">IFERROR(INDEX(fesp!$J:$J, MATCH(1, (VALUE(LEFT(fesp!$A:$A,6))=VALUE(LEFT(B455,6)))*(fesp!$C:$C=C455), 0)), "")</f>
        <v>190749</v>
      </c>
    </row>
    <row r="456" spans="1:19">
      <c r="A456" s="1" t="s">
        <v>103</v>
      </c>
      <c r="B456" s="3" t="s">
        <v>102</v>
      </c>
      <c r="C456" s="3">
        <v>2018</v>
      </c>
      <c r="D456" cm="1">
        <f t="array" ref="D456">IFERROR(INDEX(fesp!$D:$D, MATCH(1, (VALUE(LEFT(fesp!$A:$A,6))=VALUE(LEFT(B456,6)))*(fesp!$C:$C=C456), 0)), "")</f>
        <v>0</v>
      </c>
      <c r="E456" cm="1">
        <f t="array" aca="1" ref="E456" ca="1">IFERROR(INDEX(ft_medicos_clinicos!$C:$C, MATCH(1, (VALUE(LEFT(ft_medicos_clinicos!$A:$A,6))=VALUE(LEFT(B456,6)))*(ft_medicos_clinicos!$B:$B=C456), 0)), "")</f>
        <v>363</v>
      </c>
      <c r="F456" cm="1">
        <f t="array" aca="1" ref="F456" ca="1">IFERROR(INDEX(ft_enfermeiros!$C:$C, MATCH(1, (VALUE(LEFT(ft_enfermeiros!$A:$A,6))=VALUE(LEFT(B456,6)))*(ft_enfermeiros!$B:$B=C456), 0)), "")</f>
        <v>591</v>
      </c>
      <c r="G456" cm="1">
        <f t="array" aca="1" ref="G456" ca="1">IFERROR(INDEX(ft_equipes_acs!$C:$C, MATCH(1, (VALUE(LEFT(ft_equipes_acs!$A:$A,6))=VALUE(LEFT(B456,6)))*(ft_equipes_acs!$B:$B=C456), 0)), "")</f>
        <v>2</v>
      </c>
      <c r="H456" cm="1">
        <f t="array" aca="1" ref="H456" ca="1">IFERROR(INDEX(ci_leitos_internacao!$C:$C, MATCH(1, (VALUE(LEFT(ci_leitos_internacao!$A:$A,6))=VALUE(LEFT(B456,6)))*(ci_leitos_internacao!$B:$B=C456), 0)), "")</f>
        <v>898</v>
      </c>
      <c r="I456" cm="1">
        <f t="array" aca="1" ref="I456" ca="1">IFERROR(INDEX(ci_hospitais_internacao!$C:$C, MATCH(1, (VALUE(LEFT(ci_hospitais_internacao!$A:$A,6))=VALUE(LEFT(B456,6)))*(ci_hospitais_internacao!$B:$B=C456), 0)), "")</f>
        <v>4</v>
      </c>
      <c r="J456" cm="1">
        <f t="array" aca="1" ref="J456" ca="1">IFERROR(INDEX(ci_pa_clinico!$C:$C, MATCH(1, (VALUE(LEFT(ci_pa_clinico!$A:$A,6))=VALUE(LEFT(B456,6)))*(ci_pa_clinico!$B:$B=C456), 0)), "")</f>
        <v>3</v>
      </c>
      <c r="K456" cm="1">
        <f t="array" aca="1" ref="K456" ca="1">IFERROR(INDEX(aps_equipes_esf!$C:$C, MATCH(1, (VALUE(LEFT(aps_equipes_esf!$A:$A,6))=VALUE(LEFT(B456,6)))*(aps_equipes_esf!$B:$B=C456), 0)), "")</f>
        <v>4</v>
      </c>
      <c r="L456" cm="1">
        <f t="array" aca="1" ref="L456" ca="1">IFERROR(INDEX(casos!$C:$C, MATCH(1, (VALUE(LEFT(casos!$A:$A,6))=VALUE(LEFT(B456,6)))*(casos!$B:$B=C456), 0)), "")</f>
        <v>27</v>
      </c>
      <c r="M456" cm="1">
        <f t="array" ref="M456">IFERROR(INDEX(srag!$D:$D, MATCH(1, (VALUE(LEFT(srag!$A:$A,6))=VALUE(LEFT(B456,6)))*(srag!$C:$C=C456), 0)), "")</f>
        <v>131</v>
      </c>
      <c r="N456" cm="1">
        <f t="array" aca="1" ref="N456" ca="1">IFERROR(INDEX(fesp!$E:$E, MATCH(1, (VALUE(LEFT(fesp!$A:$A,6))=VALUE(LEFT(B456,6)))*(fesp!$C:$C=C456), 0)), "")</f>
        <v>194</v>
      </c>
      <c r="O456" cm="1">
        <f t="array" aca="1" ref="O456" ca="1">IFERROR(INDEX(fesp!$F:$F, MATCH(1, (VALUE(LEFT(fesp!$A:$A,6))=VALUE(LEFT(B456,6)))*(fesp!$C:$C=C456), 0)), "")</f>
        <v>915</v>
      </c>
      <c r="P456" cm="1">
        <f t="array" aca="1" ref="P456" ca="1">IFERROR(INDEX(fesp!$G:$G, MATCH(1, (VALUE(LEFT(fesp!$A:$A,6))=VALUE(LEFT(B456,6)))*(fesp!$C:$C=C456), 0)), "")</f>
        <v>2753921</v>
      </c>
      <c r="Q456" cm="1">
        <f t="array" aca="1" ref="Q456" ca="1">IFERROR(INDEX(fesp!$H:$H, MATCH(1, (VALUE(LEFT(fesp!$A:$A,6))=VALUE(LEFT(B456,6)))*(fesp!$C:$C=C456), 0)), "")</f>
        <v>300</v>
      </c>
      <c r="R456" cm="1">
        <f t="array" aca="1" ref="R456" ca="1">IFERROR(INDEX(fesp!$I:$I, MATCH(1, (VALUE(LEFT(fesp!$A:$A,6))=VALUE(LEFT(B456,6)))*(fesp!$C:$C=C456), 0)), "")</f>
        <v>29042</v>
      </c>
      <c r="S456" cm="1">
        <f t="array" aca="1" ref="S456" ca="1">IFERROR(INDEX(fesp!$J:$J, MATCH(1, (VALUE(LEFT(fesp!$A:$A,6))=VALUE(LEFT(B456,6)))*(fesp!$C:$C=C456), 0)), "")</f>
        <v>207468</v>
      </c>
    </row>
    <row r="457" spans="1:19">
      <c r="A457" s="1" t="s">
        <v>103</v>
      </c>
      <c r="B457" s="3" t="s">
        <v>102</v>
      </c>
      <c r="C457" s="3">
        <v>2019</v>
      </c>
      <c r="D457" cm="1">
        <f t="array" ref="D457">IFERROR(INDEX(fesp!$D:$D, MATCH(1, (VALUE(LEFT(fesp!$A:$A,6))=VALUE(LEFT(B457,6)))*(fesp!$C:$C=C457), 0)), "")</f>
        <v>0</v>
      </c>
      <c r="E457" cm="1">
        <f t="array" aca="1" ref="E457" ca="1">IFERROR(INDEX(ft_medicos_clinicos!$C:$C, MATCH(1, (VALUE(LEFT(ft_medicos_clinicos!$A:$A,6))=VALUE(LEFT(B457,6)))*(ft_medicos_clinicos!$B:$B=C457), 0)), "")</f>
        <v>401</v>
      </c>
      <c r="F457" cm="1">
        <f t="array" aca="1" ref="F457" ca="1">IFERROR(INDEX(ft_enfermeiros!$C:$C, MATCH(1, (VALUE(LEFT(ft_enfermeiros!$A:$A,6))=VALUE(LEFT(B457,6)))*(ft_enfermeiros!$B:$B=C457), 0)), "")</f>
        <v>634</v>
      </c>
      <c r="G457" cm="1">
        <f t="array" aca="1" ref="G457" ca="1">IFERROR(INDEX(ft_equipes_acs!$C:$C, MATCH(1, (VALUE(LEFT(ft_equipes_acs!$A:$A,6))=VALUE(LEFT(B457,6)))*(ft_equipes_acs!$B:$B=C457), 0)), "")</f>
        <v>2</v>
      </c>
      <c r="H457" cm="1">
        <f t="array" aca="1" ref="H457" ca="1">IFERROR(INDEX(ci_leitos_internacao!$C:$C, MATCH(1, (VALUE(LEFT(ci_leitos_internacao!$A:$A,6))=VALUE(LEFT(B457,6)))*(ci_leitos_internacao!$B:$B=C457), 0)), "")</f>
        <v>896</v>
      </c>
      <c r="I457" cm="1">
        <f t="array" aca="1" ref="I457" ca="1">IFERROR(INDEX(ci_hospitais_internacao!$C:$C, MATCH(1, (VALUE(LEFT(ci_hospitais_internacao!$A:$A,6))=VALUE(LEFT(B457,6)))*(ci_hospitais_internacao!$B:$B=C457), 0)), "")</f>
        <v>4</v>
      </c>
      <c r="J457" cm="1">
        <f t="array" aca="1" ref="J457" ca="1">IFERROR(INDEX(ci_pa_clinico!$C:$C, MATCH(1, (VALUE(LEFT(ci_pa_clinico!$A:$A,6))=VALUE(LEFT(B457,6)))*(ci_pa_clinico!$B:$B=C457), 0)), "")</f>
        <v>3</v>
      </c>
      <c r="K457" cm="1">
        <f t="array" aca="1" ref="K457" ca="1">IFERROR(INDEX(aps_equipes_esf!$C:$C, MATCH(1, (VALUE(LEFT(aps_equipes_esf!$A:$A,6))=VALUE(LEFT(B457,6)))*(aps_equipes_esf!$B:$B=C457), 0)), "")</f>
        <v>4</v>
      </c>
      <c r="L457" cm="1">
        <f t="array" aca="1" ref="L457" ca="1">IFERROR(INDEX(casos!$C:$C, MATCH(1, (VALUE(LEFT(casos!$A:$A,6))=VALUE(LEFT(B457,6)))*(casos!$B:$B=C457), 0)), "")</f>
        <v>362</v>
      </c>
      <c r="M457" cm="1">
        <f t="array" ref="M457">IFERROR(INDEX(srag!$D:$D, MATCH(1, (VALUE(LEFT(srag!$A:$A,6))=VALUE(LEFT(B457,6)))*(srag!$C:$C=C457), 0)), "")</f>
        <v>78</v>
      </c>
      <c r="N457" cm="1">
        <f t="array" aca="1" ref="N457" ca="1">IFERROR(INDEX(fesp!$E:$E, MATCH(1, (VALUE(LEFT(fesp!$A:$A,6))=VALUE(LEFT(B457,6)))*(fesp!$C:$C=C457), 0)), "")</f>
        <v>152</v>
      </c>
      <c r="O457" cm="1">
        <f t="array" aca="1" ref="O457" ca="1">IFERROR(INDEX(fesp!$F:$F, MATCH(1, (VALUE(LEFT(fesp!$A:$A,6))=VALUE(LEFT(B457,6)))*(fesp!$C:$C=C457), 0)), "")</f>
        <v>1450</v>
      </c>
      <c r="P457" cm="1">
        <f t="array" aca="1" ref="P457" ca="1">IFERROR(INDEX(fesp!$G:$G, MATCH(1, (VALUE(LEFT(fesp!$A:$A,6))=VALUE(LEFT(B457,6)))*(fesp!$C:$C=C457), 0)), "")</f>
        <v>2865840</v>
      </c>
      <c r="Q457" cm="1">
        <f t="array" aca="1" ref="Q457" ca="1">IFERROR(INDEX(fesp!$H:$H, MATCH(1, (VALUE(LEFT(fesp!$A:$A,6))=VALUE(LEFT(B457,6)))*(fesp!$C:$C=C457), 0)), "")</f>
        <v>242</v>
      </c>
      <c r="R457" cm="1">
        <f t="array" aca="1" ref="R457" ca="1">IFERROR(INDEX(fesp!$I:$I, MATCH(1, (VALUE(LEFT(fesp!$A:$A,6))=VALUE(LEFT(B457,6)))*(fesp!$C:$C=C457), 0)), "")</f>
        <v>27375</v>
      </c>
      <c r="S457" cm="1">
        <f t="array" aca="1" ref="S457" ca="1">IFERROR(INDEX(fesp!$J:$J, MATCH(1, (VALUE(LEFT(fesp!$A:$A,6))=VALUE(LEFT(B457,6)))*(fesp!$C:$C=C457), 0)), "")</f>
        <v>205687</v>
      </c>
    </row>
    <row r="458" spans="1:19">
      <c r="A458" s="1" t="s">
        <v>103</v>
      </c>
      <c r="B458" s="3" t="s">
        <v>102</v>
      </c>
      <c r="C458" s="3">
        <v>2020</v>
      </c>
      <c r="D458" cm="1">
        <f t="array" ref="D458">IFERROR(INDEX(fesp!$D:$D, MATCH(1, (VALUE(LEFT(fesp!$A:$A,6))=VALUE(LEFT(B458,6)))*(fesp!$C:$C=C458), 0)), "")</f>
        <v>0</v>
      </c>
      <c r="E458" cm="1">
        <f t="array" aca="1" ref="E458" ca="1">IFERROR(INDEX(ft_medicos_clinicos!$C:$C, MATCH(1, (VALUE(LEFT(ft_medicos_clinicos!$A:$A,6))=VALUE(LEFT(B458,6)))*(ft_medicos_clinicos!$B:$B=C458), 0)), "")</f>
        <v>450</v>
      </c>
      <c r="F458" cm="1">
        <f t="array" aca="1" ref="F458" ca="1">IFERROR(INDEX(ft_enfermeiros!$C:$C, MATCH(1, (VALUE(LEFT(ft_enfermeiros!$A:$A,6))=VALUE(LEFT(B458,6)))*(ft_enfermeiros!$B:$B=C458), 0)), "")</f>
        <v>690</v>
      </c>
      <c r="G458" t="str" cm="1">
        <f t="array" aca="1" ref="G458" ca="1">IFERROR(INDEX(ft_equipes_acs!$C:$C, MATCH(1, (VALUE(LEFT(ft_equipes_acs!$A:$A,6))=VALUE(LEFT(B458,6)))*(ft_equipes_acs!$B:$B=C458), 0)), "")</f>
        <v>-</v>
      </c>
      <c r="H458" cm="1">
        <f t="array" aca="1" ref="H458" ca="1">IFERROR(INDEX(ci_leitos_internacao!$C:$C, MATCH(1, (VALUE(LEFT(ci_leitos_internacao!$A:$A,6))=VALUE(LEFT(B458,6)))*(ci_leitos_internacao!$B:$B=C458), 0)), "")</f>
        <v>877</v>
      </c>
      <c r="I458" cm="1">
        <f t="array" aca="1" ref="I458" ca="1">IFERROR(INDEX(ci_hospitais_internacao!$C:$C, MATCH(1, (VALUE(LEFT(ci_hospitais_internacao!$A:$A,6))=VALUE(LEFT(B458,6)))*(ci_hospitais_internacao!$B:$B=C458), 0)), "")</f>
        <v>4</v>
      </c>
      <c r="J458" cm="1">
        <f t="array" aca="1" ref="J458" ca="1">IFERROR(INDEX(ci_pa_clinico!$C:$C, MATCH(1, (VALUE(LEFT(ci_pa_clinico!$A:$A,6))=VALUE(LEFT(B458,6)))*(ci_pa_clinico!$B:$B=C458), 0)), "")</f>
        <v>3</v>
      </c>
      <c r="K458" t="str" cm="1">
        <f t="array" aca="1" ref="K458" ca="1">IFERROR(INDEX(aps_equipes_esf!$C:$C, MATCH(1, (VALUE(LEFT(aps_equipes_esf!$A:$A,6))=VALUE(LEFT(B458,6)))*(aps_equipes_esf!$B:$B=C458), 0)), "")</f>
        <v>-</v>
      </c>
      <c r="L458" cm="1">
        <f t="array" aca="1" ref="L458" ca="1">IFERROR(INDEX(casos!$C:$C, MATCH(1, (VALUE(LEFT(casos!$A:$A,6))=VALUE(LEFT(B458,6)))*(casos!$B:$B=C458), 0)), "")</f>
        <v>49</v>
      </c>
      <c r="M458" cm="1">
        <f t="array" ref="M458">IFERROR(INDEX(srag!$D:$D, MATCH(1, (VALUE(LEFT(srag!$A:$A,6))=VALUE(LEFT(B458,6)))*(srag!$C:$C=C458), 0)), "")</f>
        <v>3199</v>
      </c>
      <c r="N458" cm="1">
        <f t="array" aca="1" ref="N458" ca="1">IFERROR(INDEX(fesp!$E:$E, MATCH(1, (VALUE(LEFT(fesp!$A:$A,6))=VALUE(LEFT(B458,6)))*(fesp!$C:$C=C458), 0)), "")</f>
        <v>145</v>
      </c>
      <c r="O458" cm="1">
        <f t="array" aca="1" ref="O458" ca="1">IFERROR(INDEX(fesp!$F:$F, MATCH(1, (VALUE(LEFT(fesp!$A:$A,6))=VALUE(LEFT(B458,6)))*(fesp!$C:$C=C458), 0)), "")</f>
        <v>2632</v>
      </c>
      <c r="P458" cm="1">
        <f t="array" aca="1" ref="P458" ca="1">IFERROR(INDEX(fesp!$G:$G, MATCH(1, (VALUE(LEFT(fesp!$A:$A,6))=VALUE(LEFT(B458,6)))*(fesp!$C:$C=C458), 0)), "")</f>
        <v>2155053</v>
      </c>
      <c r="Q458" cm="1">
        <f t="array" aca="1" ref="Q458" ca="1">IFERROR(INDEX(fesp!$H:$H, MATCH(1, (VALUE(LEFT(fesp!$A:$A,6))=VALUE(LEFT(B458,6)))*(fesp!$C:$C=C458), 0)), "")</f>
        <v>295</v>
      </c>
      <c r="R458" cm="1">
        <f t="array" aca="1" ref="R458" ca="1">IFERROR(INDEX(fesp!$I:$I, MATCH(1, (VALUE(LEFT(fesp!$A:$A,6))=VALUE(LEFT(B458,6)))*(fesp!$C:$C=C458), 0)), "")</f>
        <v>16046</v>
      </c>
      <c r="S458" cm="1">
        <f t="array" aca="1" ref="S458" ca="1">IFERROR(INDEX(fesp!$J:$J, MATCH(1, (VALUE(LEFT(fesp!$A:$A,6))=VALUE(LEFT(B458,6)))*(fesp!$C:$C=C458), 0)), "")</f>
        <v>62546</v>
      </c>
    </row>
    <row r="459" spans="1:19">
      <c r="A459" s="1" t="s">
        <v>103</v>
      </c>
      <c r="B459" s="3" t="s">
        <v>102</v>
      </c>
      <c r="C459" s="3">
        <v>2021</v>
      </c>
      <c r="D459" cm="1">
        <f t="array" ref="D459">IFERROR(INDEX(fesp!$D:$D, MATCH(1, (VALUE(LEFT(fesp!$A:$A,6))=VALUE(LEFT(B459,6)))*(fesp!$C:$C=C459), 0)), "")</f>
        <v>0</v>
      </c>
      <c r="E459" cm="1">
        <f t="array" aca="1" ref="E459" ca="1">IFERROR(INDEX(ft_medicos_clinicos!$C:$C, MATCH(1, (VALUE(LEFT(ft_medicos_clinicos!$A:$A,6))=VALUE(LEFT(B459,6)))*(ft_medicos_clinicos!$B:$B=C459), 0)), "")</f>
        <v>472</v>
      </c>
      <c r="F459" cm="1">
        <f t="array" aca="1" ref="F459" ca="1">IFERROR(INDEX(ft_enfermeiros!$C:$C, MATCH(1, (VALUE(LEFT(ft_enfermeiros!$A:$A,6))=VALUE(LEFT(B459,6)))*(ft_enfermeiros!$B:$B=C459), 0)), "")</f>
        <v>806</v>
      </c>
      <c r="G459" t="str" cm="1">
        <f t="array" aca="1" ref="G459" ca="1">IFERROR(INDEX(ft_equipes_acs!$C:$C, MATCH(1, (VALUE(LEFT(ft_equipes_acs!$A:$A,6))=VALUE(LEFT(B459,6)))*(ft_equipes_acs!$B:$B=C459), 0)), "")</f>
        <v>-</v>
      </c>
      <c r="H459" cm="1">
        <f t="array" aca="1" ref="H459" ca="1">IFERROR(INDEX(ci_leitos_internacao!$C:$C, MATCH(1, (VALUE(LEFT(ci_leitos_internacao!$A:$A,6))=VALUE(LEFT(B459,6)))*(ci_leitos_internacao!$B:$B=C459), 0)), "")</f>
        <v>914</v>
      </c>
      <c r="I459" cm="1">
        <f t="array" aca="1" ref="I459" ca="1">IFERROR(INDEX(ci_hospitais_internacao!$C:$C, MATCH(1, (VALUE(LEFT(ci_hospitais_internacao!$A:$A,6))=VALUE(LEFT(B459,6)))*(ci_hospitais_internacao!$B:$B=C459), 0)), "")</f>
        <v>4</v>
      </c>
      <c r="J459" cm="1">
        <f t="array" aca="1" ref="J459" ca="1">IFERROR(INDEX(ci_pa_clinico!$C:$C, MATCH(1, (VALUE(LEFT(ci_pa_clinico!$A:$A,6))=VALUE(LEFT(B459,6)))*(ci_pa_clinico!$B:$B=C459), 0)), "")</f>
        <v>3</v>
      </c>
      <c r="K459" t="str" cm="1">
        <f t="array" aca="1" ref="K459" ca="1">IFERROR(INDEX(aps_equipes_esf!$C:$C, MATCH(1, (VALUE(LEFT(aps_equipes_esf!$A:$A,6))=VALUE(LEFT(B459,6)))*(aps_equipes_esf!$B:$B=C459), 0)), "")</f>
        <v>-</v>
      </c>
      <c r="L459" cm="1">
        <f t="array" aca="1" ref="L459" ca="1">IFERROR(INDEX(casos!$C:$C, MATCH(1, (VALUE(LEFT(casos!$A:$A,6))=VALUE(LEFT(B459,6)))*(casos!$B:$B=C459), 0)), "")</f>
        <v>121</v>
      </c>
      <c r="M459" cm="1">
        <f t="array" ref="M459">IFERROR(INDEX(srag!$D:$D, MATCH(1, (VALUE(LEFT(srag!$A:$A,6))=VALUE(LEFT(B459,6)))*(srag!$C:$C=C459), 0)), "")</f>
        <v>4477</v>
      </c>
      <c r="N459" cm="1">
        <f t="array" aca="1" ref="N459" ca="1">IFERROR(INDEX(fesp!$E:$E, MATCH(1, (VALUE(LEFT(fesp!$A:$A,6))=VALUE(LEFT(B459,6)))*(fesp!$C:$C=C459), 0)), "")</f>
        <v>147</v>
      </c>
      <c r="O459" cm="1">
        <f t="array" aca="1" ref="O459" ca="1">IFERROR(INDEX(fesp!$F:$F, MATCH(1, (VALUE(LEFT(fesp!$A:$A,6))=VALUE(LEFT(B459,6)))*(fesp!$C:$C=C459), 0)), "")</f>
        <v>1366</v>
      </c>
      <c r="P459" cm="1">
        <f t="array" aca="1" ref="P459" ca="1">IFERROR(INDEX(fesp!$G:$G, MATCH(1, (VALUE(LEFT(fesp!$A:$A,6))=VALUE(LEFT(B459,6)))*(fesp!$C:$C=C459), 0)), "")</f>
        <v>2840748</v>
      </c>
      <c r="Q459" cm="1">
        <f t="array" aca="1" ref="Q459" ca="1">IFERROR(INDEX(fesp!$H:$H, MATCH(1, (VALUE(LEFT(fesp!$A:$A,6))=VALUE(LEFT(B459,6)))*(fesp!$C:$C=C459), 0)), "")</f>
        <v>228</v>
      </c>
      <c r="R459" cm="1">
        <f t="array" aca="1" ref="R459" ca="1">IFERROR(INDEX(fesp!$I:$I, MATCH(1, (VALUE(LEFT(fesp!$A:$A,6))=VALUE(LEFT(B459,6)))*(fesp!$C:$C=C459), 0)), "")</f>
        <v>7646</v>
      </c>
      <c r="S459" cm="1">
        <f t="array" aca="1" ref="S459" ca="1">IFERROR(INDEX(fesp!$J:$J, MATCH(1, (VALUE(LEFT(fesp!$A:$A,6))=VALUE(LEFT(B459,6)))*(fesp!$C:$C=C459), 0)), "")</f>
        <v>10362</v>
      </c>
    </row>
    <row r="460" spans="1:19">
      <c r="A460" s="1" t="s">
        <v>103</v>
      </c>
      <c r="B460" s="3" t="s">
        <v>102</v>
      </c>
      <c r="C460" s="3">
        <v>2022</v>
      </c>
      <c r="D460" cm="1">
        <f t="array" ref="D460">IFERROR(INDEX(fesp!$D:$D, MATCH(1, (VALUE(LEFT(fesp!$A:$A,6))=VALUE(LEFT(B460,6)))*(fesp!$C:$C=C460), 0)), "")</f>
        <v>451505</v>
      </c>
      <c r="E460" cm="1">
        <f t="array" aca="1" ref="E460" ca="1">IFERROR(INDEX(ft_medicos_clinicos!$C:$C, MATCH(1, (VALUE(LEFT(ft_medicos_clinicos!$A:$A,6))=VALUE(LEFT(B460,6)))*(ft_medicos_clinicos!$B:$B=C460), 0)), "")</f>
        <v>484</v>
      </c>
      <c r="F460" cm="1">
        <f t="array" aca="1" ref="F460" ca="1">IFERROR(INDEX(ft_enfermeiros!$C:$C, MATCH(1, (VALUE(LEFT(ft_enfermeiros!$A:$A,6))=VALUE(LEFT(B460,6)))*(ft_enfermeiros!$B:$B=C460), 0)), "")</f>
        <v>758</v>
      </c>
      <c r="G460" t="str" cm="1">
        <f t="array" aca="1" ref="G460" ca="1">IFERROR(INDEX(ft_equipes_acs!$C:$C, MATCH(1, (VALUE(LEFT(ft_equipes_acs!$A:$A,6))=VALUE(LEFT(B460,6)))*(ft_equipes_acs!$B:$B=C460), 0)), "")</f>
        <v>-</v>
      </c>
      <c r="H460" cm="1">
        <f t="array" aca="1" ref="H460" ca="1">IFERROR(INDEX(ci_leitos_internacao!$C:$C, MATCH(1, (VALUE(LEFT(ci_leitos_internacao!$A:$A,6))=VALUE(LEFT(B460,6)))*(ci_leitos_internacao!$B:$B=C460), 0)), "")</f>
        <v>852</v>
      </c>
      <c r="I460" cm="1">
        <f t="array" aca="1" ref="I460" ca="1">IFERROR(INDEX(ci_hospitais_internacao!$C:$C, MATCH(1, (VALUE(LEFT(ci_hospitais_internacao!$A:$A,6))=VALUE(LEFT(B460,6)))*(ci_hospitais_internacao!$B:$B=C460), 0)), "")</f>
        <v>4</v>
      </c>
      <c r="J460" cm="1">
        <f t="array" aca="1" ref="J460" ca="1">IFERROR(INDEX(ci_pa_clinico!$C:$C, MATCH(1, (VALUE(LEFT(ci_pa_clinico!$A:$A,6))=VALUE(LEFT(B460,6)))*(ci_pa_clinico!$B:$B=C460), 0)), "")</f>
        <v>4</v>
      </c>
      <c r="K460" t="str" cm="1">
        <f t="array" aca="1" ref="K460" ca="1">IFERROR(INDEX(aps_equipes_esf!$C:$C, MATCH(1, (VALUE(LEFT(aps_equipes_esf!$A:$A,6))=VALUE(LEFT(B460,6)))*(aps_equipes_esf!$B:$B=C460), 0)), "")</f>
        <v>-</v>
      </c>
      <c r="L460" cm="1">
        <f t="array" aca="1" ref="L460" ca="1">IFERROR(INDEX(casos!$C:$C, MATCH(1, (VALUE(LEFT(casos!$A:$A,6))=VALUE(LEFT(B460,6)))*(casos!$B:$B=C460), 0)), "")</f>
        <v>190</v>
      </c>
      <c r="M460" cm="1">
        <f t="array" ref="M460">IFERROR(INDEX(srag!$D:$D, MATCH(1, (VALUE(LEFT(srag!$A:$A,6))=VALUE(LEFT(B460,6)))*(srag!$C:$C=C460), 0)), "")</f>
        <v>898</v>
      </c>
      <c r="N460" cm="1">
        <f t="array" aca="1" ref="N460" ca="1">IFERROR(INDEX(fesp!$E:$E, MATCH(1, (VALUE(LEFT(fesp!$A:$A,6))=VALUE(LEFT(B460,6)))*(fesp!$C:$C=C460), 0)), "")</f>
        <v>114</v>
      </c>
      <c r="O460" cm="1">
        <f t="array" aca="1" ref="O460" ca="1">IFERROR(INDEX(fesp!$F:$F, MATCH(1, (VALUE(LEFT(fesp!$A:$A,6))=VALUE(LEFT(B460,6)))*(fesp!$C:$C=C460), 0)), "")</f>
        <v>986</v>
      </c>
      <c r="P460" cm="1">
        <f t="array" aca="1" ref="P460" ca="1">IFERROR(INDEX(fesp!$G:$G, MATCH(1, (VALUE(LEFT(fesp!$A:$A,6))=VALUE(LEFT(B460,6)))*(fesp!$C:$C=C460), 0)), "")</f>
        <v>3040487</v>
      </c>
      <c r="Q460" cm="1">
        <f t="array" aca="1" ref="Q460" ca="1">IFERROR(INDEX(fesp!$H:$H, MATCH(1, (VALUE(LEFT(fesp!$A:$A,6))=VALUE(LEFT(B460,6)))*(fesp!$C:$C=C460), 0)), "")</f>
        <v>250</v>
      </c>
      <c r="R460" cm="1">
        <f t="array" aca="1" ref="R460" ca="1">IFERROR(INDEX(fesp!$I:$I, MATCH(1, (VALUE(LEFT(fesp!$A:$A,6))=VALUE(LEFT(B460,6)))*(fesp!$C:$C=C460), 0)), "")</f>
        <v>5345</v>
      </c>
      <c r="S460" cm="1">
        <f t="array" aca="1" ref="S460" ca="1">IFERROR(INDEX(fesp!$J:$J, MATCH(1, (VALUE(LEFT(fesp!$A:$A,6))=VALUE(LEFT(B460,6)))*(fesp!$C:$C=C460), 0)), "")</f>
        <v>53742</v>
      </c>
    </row>
    <row r="461" spans="1:19">
      <c r="A461" s="1" t="s">
        <v>103</v>
      </c>
      <c r="B461" s="3" t="s">
        <v>102</v>
      </c>
      <c r="C461" s="3">
        <v>2023</v>
      </c>
      <c r="D461" cm="1">
        <f t="array" ref="D461">IFERROR(INDEX(fesp!$D:$D, MATCH(1, (VALUE(LEFT(fesp!$A:$A,6))=VALUE(LEFT(B461,6)))*(fesp!$C:$C=C461), 0)), "")</f>
        <v>0</v>
      </c>
      <c r="E461" cm="1">
        <f t="array" aca="1" ref="E461" ca="1">IFERROR(INDEX(ft_medicos_clinicos!$C:$C, MATCH(1, (VALUE(LEFT(ft_medicos_clinicos!$A:$A,6))=VALUE(LEFT(B461,6)))*(ft_medicos_clinicos!$B:$B=C461), 0)), "")</f>
        <v>474</v>
      </c>
      <c r="F461" cm="1">
        <f t="array" aca="1" ref="F461" ca="1">IFERROR(INDEX(ft_enfermeiros!$C:$C, MATCH(1, (VALUE(LEFT(ft_enfermeiros!$A:$A,6))=VALUE(LEFT(B461,6)))*(ft_enfermeiros!$B:$B=C461), 0)), "")</f>
        <v>806</v>
      </c>
      <c r="G461" t="str" cm="1">
        <f t="array" aca="1" ref="G461" ca="1">IFERROR(INDEX(ft_equipes_acs!$C:$C, MATCH(1, (VALUE(LEFT(ft_equipes_acs!$A:$A,6))=VALUE(LEFT(B461,6)))*(ft_equipes_acs!$B:$B=C461), 0)), "")</f>
        <v>-</v>
      </c>
      <c r="H461" cm="1">
        <f t="array" aca="1" ref="H461" ca="1">IFERROR(INDEX(ci_leitos_internacao!$C:$C, MATCH(1, (VALUE(LEFT(ci_leitos_internacao!$A:$A,6))=VALUE(LEFT(B461,6)))*(ci_leitos_internacao!$B:$B=C461), 0)), "")</f>
        <v>848</v>
      </c>
      <c r="I461" cm="1">
        <f t="array" aca="1" ref="I461" ca="1">IFERROR(INDEX(ci_hospitais_internacao!$C:$C, MATCH(1, (VALUE(LEFT(ci_hospitais_internacao!$A:$A,6))=VALUE(LEFT(B461,6)))*(ci_hospitais_internacao!$B:$B=C461), 0)), "")</f>
        <v>4</v>
      </c>
      <c r="J461" cm="1">
        <f t="array" aca="1" ref="J461" ca="1">IFERROR(INDEX(ci_pa_clinico!$C:$C, MATCH(1, (VALUE(LEFT(ci_pa_clinico!$A:$A,6))=VALUE(LEFT(B461,6)))*(ci_pa_clinico!$B:$B=C461), 0)), "")</f>
        <v>4</v>
      </c>
      <c r="K461" t="str" cm="1">
        <f t="array" aca="1" ref="K461" ca="1">IFERROR(INDEX(aps_equipes_esf!$C:$C, MATCH(1, (VALUE(LEFT(aps_equipes_esf!$A:$A,6))=VALUE(LEFT(B461,6)))*(aps_equipes_esf!$B:$B=C461), 0)), "")</f>
        <v>-</v>
      </c>
      <c r="L461" cm="1">
        <f t="array" aca="1" ref="L461" ca="1">IFERROR(INDEX(casos!$C:$C, MATCH(1, (VALUE(LEFT(casos!$A:$A,6))=VALUE(LEFT(B461,6)))*(casos!$B:$B=C461), 0)), "")</f>
        <v>84</v>
      </c>
      <c r="M461" cm="1">
        <f t="array" ref="M461">IFERROR(INDEX(srag!$D:$D, MATCH(1, (VALUE(LEFT(srag!$A:$A,6))=VALUE(LEFT(B461,6)))*(srag!$C:$C=C461), 0)), "")</f>
        <v>304</v>
      </c>
      <c r="N461" cm="1">
        <f t="array" aca="1" ref="N461" ca="1">IFERROR(INDEX(fesp!$E:$E, MATCH(1, (VALUE(LEFT(fesp!$A:$A,6))=VALUE(LEFT(B461,6)))*(fesp!$C:$C=C461), 0)), "")</f>
        <v>131</v>
      </c>
      <c r="O461" cm="1">
        <f t="array" aca="1" ref="O461" ca="1">IFERROR(INDEX(fesp!$F:$F, MATCH(1, (VALUE(LEFT(fesp!$A:$A,6))=VALUE(LEFT(B461,6)))*(fesp!$C:$C=C461), 0)), "")</f>
        <v>1187</v>
      </c>
      <c r="P461" cm="1">
        <f t="array" aca="1" ref="P461" ca="1">IFERROR(INDEX(fesp!$G:$G, MATCH(1, (VALUE(LEFT(fesp!$A:$A,6))=VALUE(LEFT(B461,6)))*(fesp!$C:$C=C461), 0)), "")</f>
        <v>3190142</v>
      </c>
      <c r="Q461" cm="1">
        <f t="array" aca="1" ref="Q461" ca="1">IFERROR(INDEX(fesp!$H:$H, MATCH(1, (VALUE(LEFT(fesp!$A:$A,6))=VALUE(LEFT(B461,6)))*(fesp!$C:$C=C461), 0)), "")</f>
        <v>304</v>
      </c>
      <c r="R461" cm="1">
        <f t="array" aca="1" ref="R461" ca="1">IFERROR(INDEX(fesp!$I:$I, MATCH(1, (VALUE(LEFT(fesp!$A:$A,6))=VALUE(LEFT(B461,6)))*(fesp!$C:$C=C461), 0)), "")</f>
        <v>12871</v>
      </c>
      <c r="S461" cm="1">
        <f t="array" aca="1" ref="S461" ca="1">IFERROR(INDEX(fesp!$J:$J, MATCH(1, (VALUE(LEFT(fesp!$A:$A,6))=VALUE(LEFT(B461,6)))*(fesp!$C:$C=C461), 0)), "")</f>
        <v>97078</v>
      </c>
    </row>
    <row r="462" spans="1:19">
      <c r="A462" s="1" t="s">
        <v>103</v>
      </c>
      <c r="B462" s="3" t="s">
        <v>102</v>
      </c>
      <c r="C462" s="3">
        <v>2024</v>
      </c>
      <c r="D462" cm="1">
        <f t="array" ref="D462">IFERROR(INDEX(fesp!$D:$D, MATCH(1, (VALUE(LEFT(fesp!$A:$A,6))=VALUE(LEFT(B462,6)))*(fesp!$C:$C=C462), 0)), "")</f>
        <v>0</v>
      </c>
      <c r="E462" cm="1">
        <f t="array" aca="1" ref="E462" ca="1">IFERROR(INDEX(ft_medicos_clinicos!$C:$C, MATCH(1, (VALUE(LEFT(ft_medicos_clinicos!$A:$A,6))=VALUE(LEFT(B462,6)))*(ft_medicos_clinicos!$B:$B=C462), 0)), "")</f>
        <v>514</v>
      </c>
      <c r="F462" cm="1">
        <f t="array" aca="1" ref="F462" ca="1">IFERROR(INDEX(ft_enfermeiros!$C:$C, MATCH(1, (VALUE(LEFT(ft_enfermeiros!$A:$A,6))=VALUE(LEFT(B462,6)))*(ft_enfermeiros!$B:$B=C462), 0)), "")</f>
        <v>823</v>
      </c>
      <c r="G462" t="str" cm="1">
        <f t="array" aca="1" ref="G462" ca="1">IFERROR(INDEX(ft_equipes_acs!$C:$C, MATCH(1, (VALUE(LEFT(ft_equipes_acs!$A:$A,6))=VALUE(LEFT(B462,6)))*(ft_equipes_acs!$B:$B=C462), 0)), "")</f>
        <v>-</v>
      </c>
      <c r="H462" cm="1">
        <f t="array" aca="1" ref="H462" ca="1">IFERROR(INDEX(ci_leitos_internacao!$C:$C, MATCH(1, (VALUE(LEFT(ci_leitos_internacao!$A:$A,6))=VALUE(LEFT(B462,6)))*(ci_leitos_internacao!$B:$B=C462), 0)), "")</f>
        <v>854</v>
      </c>
      <c r="I462" cm="1">
        <f t="array" aca="1" ref="I462" ca="1">IFERROR(INDEX(ci_hospitais_internacao!$C:$C, MATCH(1, (VALUE(LEFT(ci_hospitais_internacao!$A:$A,6))=VALUE(LEFT(B462,6)))*(ci_hospitais_internacao!$B:$B=C462), 0)), "")</f>
        <v>4</v>
      </c>
      <c r="J462" cm="1">
        <f t="array" aca="1" ref="J462" ca="1">IFERROR(INDEX(ci_pa_clinico!$C:$C, MATCH(1, (VALUE(LEFT(ci_pa_clinico!$A:$A,6))=VALUE(LEFT(B462,6)))*(ci_pa_clinico!$B:$B=C462), 0)), "")</f>
        <v>4</v>
      </c>
      <c r="K462" t="str" cm="1">
        <f t="array" aca="1" ref="K462" ca="1">IFERROR(INDEX(aps_equipes_esf!$C:$C, MATCH(1, (VALUE(LEFT(aps_equipes_esf!$A:$A,6))=VALUE(LEFT(B462,6)))*(aps_equipes_esf!$B:$B=C462), 0)), "")</f>
        <v>-</v>
      </c>
      <c r="L462" cm="1">
        <f t="array" aca="1" ref="L462" ca="1">IFERROR(INDEX(casos!$C:$C, MATCH(1, (VALUE(LEFT(casos!$A:$A,6))=VALUE(LEFT(B462,6)))*(casos!$B:$B=C462), 0)), "")</f>
        <v>20888</v>
      </c>
      <c r="M462" cm="1">
        <f t="array" ref="M462">IFERROR(INDEX(srag!$D:$D, MATCH(1, (VALUE(LEFT(srag!$A:$A,6))=VALUE(LEFT(B462,6)))*(srag!$C:$C=C462), 0)), "")</f>
        <v>324</v>
      </c>
      <c r="N462" cm="1">
        <f t="array" aca="1" ref="N462" ca="1">IFERROR(INDEX(fesp!$E:$E, MATCH(1, (VALUE(LEFT(fesp!$A:$A,6))=VALUE(LEFT(B462,6)))*(fesp!$C:$C=C462), 0)), "")</f>
        <v>137</v>
      </c>
      <c r="O462" cm="1">
        <f t="array" aca="1" ref="O462" ca="1">IFERROR(INDEX(fesp!$F:$F, MATCH(1, (VALUE(LEFT(fesp!$A:$A,6))=VALUE(LEFT(B462,6)))*(fesp!$C:$C=C462), 0)), "")</f>
        <v>1266</v>
      </c>
      <c r="P462" cm="1">
        <f t="array" aca="1" ref="P462" ca="1">IFERROR(INDEX(fesp!$G:$G, MATCH(1, (VALUE(LEFT(fesp!$A:$A,6))=VALUE(LEFT(B462,6)))*(fesp!$C:$C=C462), 0)), "")</f>
        <v>3680801</v>
      </c>
      <c r="Q462" cm="1">
        <f t="array" aca="1" ref="Q462" ca="1">IFERROR(INDEX(fesp!$H:$H, MATCH(1, (VALUE(LEFT(fesp!$A:$A,6))=VALUE(LEFT(B462,6)))*(fesp!$C:$C=C462), 0)), "")</f>
        <v>265</v>
      </c>
      <c r="R462" cm="1">
        <f t="array" aca="1" ref="R462" ca="1">IFERROR(INDEX(fesp!$I:$I, MATCH(1, (VALUE(LEFT(fesp!$A:$A,6))=VALUE(LEFT(B462,6)))*(fesp!$C:$C=C462), 0)), "")</f>
        <v>13984</v>
      </c>
      <c r="S462" cm="1">
        <f t="array" aca="1" ref="S462" ca="1">IFERROR(INDEX(fesp!$J:$J, MATCH(1, (VALUE(LEFT(fesp!$A:$A,6))=VALUE(LEFT(B462,6)))*(fesp!$C:$C=C462), 0)), "")</f>
        <v>114879</v>
      </c>
    </row>
    <row r="463" spans="1:19">
      <c r="A463" s="1" t="s">
        <v>103</v>
      </c>
      <c r="B463" s="3">
        <v>3530607</v>
      </c>
      <c r="C463" s="3">
        <v>2025</v>
      </c>
      <c r="D463" cm="1">
        <f t="array" ref="D463">IFERROR(INDEX(fesp!$D:$D, MATCH(1, (VALUE(LEFT(fesp!$A:$A,6))=VALUE(LEFT(B463,6)))*(fesp!$C:$C=C463), 0)), "")</f>
        <v>0</v>
      </c>
      <c r="E463" cm="1">
        <f t="array" aca="1" ref="E463" ca="1">IFERROR(INDEX(ft_medicos_clinicos!$C:$C, MATCH(1, (VALUE(LEFT(ft_medicos_clinicos!$A:$A,6))=VALUE(LEFT(B463,6)))*(ft_medicos_clinicos!$B:$B=C463), 0)), "")</f>
        <v>537</v>
      </c>
      <c r="F463" cm="1">
        <f t="array" aca="1" ref="F463" ca="1">IFERROR(INDEX(ft_enfermeiros!$C:$C, MATCH(1, (VALUE(LEFT(ft_enfermeiros!$A:$A,6))=VALUE(LEFT(B463,6)))*(ft_enfermeiros!$B:$B=C463), 0)), "")</f>
        <v>874</v>
      </c>
      <c r="G463" t="str" cm="1">
        <f t="array" aca="1" ref="G463" ca="1">IFERROR(INDEX(ft_equipes_acs!$C:$C, MATCH(1, (VALUE(LEFT(ft_equipes_acs!$A:$A,6))=VALUE(LEFT(B463,6)))*(ft_equipes_acs!$B:$B=C463), 0)), "")</f>
        <v>-</v>
      </c>
      <c r="H463" cm="1">
        <f t="array" aca="1" ref="H463" ca="1">IFERROR(INDEX(ci_leitos_internacao!$C:$C, MATCH(1, (VALUE(LEFT(ci_leitos_internacao!$A:$A,6))=VALUE(LEFT(B463,6)))*(ci_leitos_internacao!$B:$B=C463), 0)), "")</f>
        <v>841</v>
      </c>
      <c r="I463" cm="1">
        <f t="array" aca="1" ref="I463" ca="1">IFERROR(INDEX(ci_hospitais_internacao!$C:$C, MATCH(1, (VALUE(LEFT(ci_hospitais_internacao!$A:$A,6))=VALUE(LEFT(B463,6)))*(ci_hospitais_internacao!$B:$B=C463), 0)), "")</f>
        <v>5</v>
      </c>
      <c r="J463" cm="1">
        <f t="array" aca="1" ref="J463" ca="1">IFERROR(INDEX(ci_pa_clinico!$C:$C, MATCH(1, (VALUE(LEFT(ci_pa_clinico!$A:$A,6))=VALUE(LEFT(B463,6)))*(ci_pa_clinico!$B:$B=C463), 0)), "")</f>
        <v>4</v>
      </c>
      <c r="K463" t="str" cm="1">
        <f t="array" aca="1" ref="K463" ca="1">IFERROR(INDEX(aps_equipes_esf!$C:$C, MATCH(1, (VALUE(LEFT(aps_equipes_esf!$A:$A,6))=VALUE(LEFT(B463,6)))*(aps_equipes_esf!$B:$B=C463), 0)), "")</f>
        <v>-</v>
      </c>
      <c r="L463" cm="1">
        <f t="array" aca="1" ref="L463" ca="1">IFERROR(INDEX(casos!$C:$C, MATCH(1, (VALUE(LEFT(casos!$A:$A,6))=VALUE(LEFT(B463,6)))*(casos!$B:$B=C463), 0)), "")</f>
        <v>717</v>
      </c>
      <c r="M463" cm="1">
        <f t="array" ref="M463">IFERROR(INDEX(srag!$D:$D, MATCH(1, (VALUE(LEFT(srag!$A:$A,6))=VALUE(LEFT(B463,6)))*(srag!$C:$C=C463), 0)), "")</f>
        <v>518</v>
      </c>
      <c r="N463" cm="1">
        <f t="array" aca="1" ref="N463" ca="1">IFERROR(INDEX(fesp!$E:$E, MATCH(1, (VALUE(LEFT(fesp!$A:$A,6))=VALUE(LEFT(B463,6)))*(fesp!$C:$C=C463), 0)), "")</f>
        <v>101</v>
      </c>
      <c r="O463" cm="1">
        <f t="array" aca="1" ref="O463" ca="1">IFERROR(INDEX(fesp!$F:$F, MATCH(1, (VALUE(LEFT(fesp!$A:$A,6))=VALUE(LEFT(B463,6)))*(fesp!$C:$C=C463), 0)), "")</f>
        <v>1621</v>
      </c>
      <c r="P463" cm="1">
        <f t="array" aca="1" ref="P463" ca="1">IFERROR(INDEX(fesp!$G:$G, MATCH(1, (VALUE(LEFT(fesp!$A:$A,6))=VALUE(LEFT(B463,6)))*(fesp!$C:$C=C463), 0)), "")</f>
        <v>3290882</v>
      </c>
      <c r="Q463" cm="1">
        <f t="array" aca="1" ref="Q463" ca="1">IFERROR(INDEX(fesp!$H:$H, MATCH(1, (VALUE(LEFT(fesp!$A:$A,6))=VALUE(LEFT(B463,6)))*(fesp!$C:$C=C463), 0)), "")</f>
        <v>354</v>
      </c>
      <c r="R463" cm="1">
        <f t="array" aca="1" ref="R463" ca="1">IFERROR(INDEX(fesp!$I:$I, MATCH(1, (VALUE(LEFT(fesp!$A:$A,6))=VALUE(LEFT(B463,6)))*(fesp!$C:$C=C463), 0)), "")</f>
        <v>22239</v>
      </c>
      <c r="S463" cm="1">
        <f t="array" aca="1" ref="S463" ca="1">IFERROR(INDEX(fesp!$J:$J, MATCH(1, (VALUE(LEFT(fesp!$A:$A,6))=VALUE(LEFT(B463,6)))*(fesp!$C:$C=C463), 0)), "")</f>
        <v>386345</v>
      </c>
    </row>
    <row r="464" spans="1:19">
      <c r="A464" s="1" t="s">
        <v>55</v>
      </c>
      <c r="B464" s="3">
        <v>3534401</v>
      </c>
      <c r="C464" s="3">
        <v>2015</v>
      </c>
      <c r="D464" cm="1">
        <f t="array" ref="D464">IFERROR(INDEX(fesp!$D:$D, MATCH(1, (VALUE(LEFT(fesp!$A:$A,6))=VALUE(LEFT(B464,6)))*(fesp!$C:$C=C464), 0)), "")</f>
        <v>694844</v>
      </c>
      <c r="E464" cm="1">
        <f t="array" aca="1" ref="E464" ca="1">IFERROR(INDEX(ft_medicos_clinicos!$C:$C, MATCH(1, (VALUE(LEFT(ft_medicos_clinicos!$A:$A,6))=VALUE(LEFT(B464,6)))*(ft_medicos_clinicos!$B:$B=C464), 0)), "")</f>
        <v>374</v>
      </c>
      <c r="F464" cm="1">
        <f t="array" aca="1" ref="F464" ca="1">IFERROR(INDEX(ft_enfermeiros!$C:$C, MATCH(1, (VALUE(LEFT(ft_enfermeiros!$A:$A,6))=VALUE(LEFT(B464,6)))*(ft_enfermeiros!$B:$B=C464), 0)), "")</f>
        <v>683</v>
      </c>
      <c r="G464" cm="1">
        <f t="array" aca="1" ref="G464" ca="1">IFERROR(INDEX(ft_equipes_acs!$C:$C, MATCH(1, (VALUE(LEFT(ft_equipes_acs!$A:$A,6))=VALUE(LEFT(B464,6)))*(ft_equipes_acs!$B:$B=C464), 0)), "")</f>
        <v>1</v>
      </c>
      <c r="H464" cm="1">
        <f t="array" aca="1" ref="H464" ca="1">IFERROR(INDEX(ci_leitos_internacao!$C:$C, MATCH(1, (VALUE(LEFT(ci_leitos_internacao!$A:$A,6))=VALUE(LEFT(B464,6)))*(ci_leitos_internacao!$B:$B=C464), 0)), "")</f>
        <v>1008</v>
      </c>
      <c r="I464" cm="1">
        <f t="array" aca="1" ref="I464" ca="1">IFERROR(INDEX(ci_hospitais_internacao!$C:$C, MATCH(1, (VALUE(LEFT(ci_hospitais_internacao!$A:$A,6))=VALUE(LEFT(B464,6)))*(ci_hospitais_internacao!$B:$B=C464), 0)), "")</f>
        <v>2</v>
      </c>
      <c r="J464" t="str" cm="1">
        <f t="array" aca="1" ref="J464" ca="1">IFERROR(INDEX(ci_pa_clinico!$C:$C, MATCH(1, (VALUE(LEFT(ci_pa_clinico!$A:$A,6))=VALUE(LEFT(B464,6)))*(ci_pa_clinico!$B:$B=C464), 0)), "")</f>
        <v/>
      </c>
      <c r="K464" cm="1">
        <f t="array" aca="1" ref="K464" ca="1">IFERROR(INDEX(aps_equipes_esf!$C:$C, MATCH(1, (VALUE(LEFT(aps_equipes_esf!$A:$A,6))=VALUE(LEFT(B464,6)))*(aps_equipes_esf!$B:$B=C464), 0)), "")</f>
        <v>55</v>
      </c>
      <c r="L464" cm="1">
        <f t="array" aca="1" ref="L464" ca="1">IFERROR(INDEX(casos!$C:$C, MATCH(1, (VALUE(LEFT(casos!$A:$A,6))=VALUE(LEFT(B464,6)))*(casos!$B:$B=C464), 0)), "")</f>
        <v>2046</v>
      </c>
      <c r="M464" cm="1">
        <f t="array" ref="M464">IFERROR(INDEX(srag!$D:$D, MATCH(1, (VALUE(LEFT(srag!$A:$A,6))=VALUE(LEFT(B464,6)))*(srag!$C:$C=C464), 0)), "")</f>
        <v>33</v>
      </c>
      <c r="N464" cm="1">
        <f t="array" aca="1" ref="N464" ca="1">IFERROR(INDEX(fesp!$E:$E, MATCH(1, (VALUE(LEFT(fesp!$A:$A,6))=VALUE(LEFT(B464,6)))*(fesp!$C:$C=C464), 0)), "")</f>
        <v>180</v>
      </c>
      <c r="O464" cm="1">
        <f t="array" aca="1" ref="O464" ca="1">IFERROR(INDEX(fesp!$F:$F, MATCH(1, (VALUE(LEFT(fesp!$A:$A,6))=VALUE(LEFT(B464,6)))*(fesp!$C:$C=C464), 0)), "")</f>
        <v>324</v>
      </c>
      <c r="P464" cm="1">
        <f t="array" aca="1" ref="P464" ca="1">IFERROR(INDEX(fesp!$G:$G, MATCH(1, (VALUE(LEFT(fesp!$A:$A,6))=VALUE(LEFT(B464,6)))*(fesp!$C:$C=C464), 0)), "")</f>
        <v>4787486</v>
      </c>
      <c r="Q464" cm="1">
        <f t="array" aca="1" ref="Q464" ca="1">IFERROR(INDEX(fesp!$H:$H, MATCH(1, (VALUE(LEFT(fesp!$A:$A,6))=VALUE(LEFT(B464,6)))*(fesp!$C:$C=C464), 0)), "")</f>
        <v>322</v>
      </c>
      <c r="R464" cm="1">
        <f t="array" aca="1" ref="R464" ca="1">IFERROR(INDEX(fesp!$I:$I, MATCH(1, (VALUE(LEFT(fesp!$A:$A,6))=VALUE(LEFT(B464,6)))*(fesp!$C:$C=C464), 0)), "")</f>
        <v>70540</v>
      </c>
      <c r="S464" cm="1">
        <f t="array" aca="1" ref="S464" ca="1">IFERROR(INDEX(fesp!$J:$J, MATCH(1, (VALUE(LEFT(fesp!$A:$A,6))=VALUE(LEFT(B464,6)))*(fesp!$C:$C=C464), 0)), "")</f>
        <v>471184</v>
      </c>
    </row>
    <row r="465" spans="1:19">
      <c r="A465" s="1" t="s">
        <v>55</v>
      </c>
      <c r="B465" s="3" t="s">
        <v>54</v>
      </c>
      <c r="C465" s="3">
        <v>2016</v>
      </c>
      <c r="D465" cm="1">
        <f t="array" ref="D465">IFERROR(INDEX(fesp!$D:$D, MATCH(1, (VALUE(LEFT(fesp!$A:$A,6))=VALUE(LEFT(B465,6)))*(fesp!$C:$C=C465), 0)), "")</f>
        <v>0</v>
      </c>
      <c r="E465" cm="1">
        <f t="array" aca="1" ref="E465" ca="1">IFERROR(INDEX(ft_medicos_clinicos!$C:$C, MATCH(1, (VALUE(LEFT(ft_medicos_clinicos!$A:$A,6))=VALUE(LEFT(B465,6)))*(ft_medicos_clinicos!$B:$B=C465), 0)), "")</f>
        <v>385</v>
      </c>
      <c r="F465" cm="1">
        <f t="array" aca="1" ref="F465" ca="1">IFERROR(INDEX(ft_enfermeiros!$C:$C, MATCH(1, (VALUE(LEFT(ft_enfermeiros!$A:$A,6))=VALUE(LEFT(B465,6)))*(ft_enfermeiros!$B:$B=C465), 0)), "")</f>
        <v>746</v>
      </c>
      <c r="G465" cm="1">
        <f t="array" aca="1" ref="G465" ca="1">IFERROR(INDEX(ft_equipes_acs!$C:$C, MATCH(1, (VALUE(LEFT(ft_equipes_acs!$A:$A,6))=VALUE(LEFT(B465,6)))*(ft_equipes_acs!$B:$B=C465), 0)), "")</f>
        <v>8</v>
      </c>
      <c r="H465" cm="1">
        <f t="array" aca="1" ref="H465" ca="1">IFERROR(INDEX(ci_leitos_internacao!$C:$C, MATCH(1, (VALUE(LEFT(ci_leitos_internacao!$A:$A,6))=VALUE(LEFT(B465,6)))*(ci_leitos_internacao!$B:$B=C465), 0)), "")</f>
        <v>1006</v>
      </c>
      <c r="I465" cm="1">
        <f t="array" aca="1" ref="I465" ca="1">IFERROR(INDEX(ci_hospitais_internacao!$C:$C, MATCH(1, (VALUE(LEFT(ci_hospitais_internacao!$A:$A,6))=VALUE(LEFT(B465,6)))*(ci_hospitais_internacao!$B:$B=C465), 0)), "")</f>
        <v>2</v>
      </c>
      <c r="J465" t="str" cm="1">
        <f t="array" aca="1" ref="J465" ca="1">IFERROR(INDEX(ci_pa_clinico!$C:$C, MATCH(1, (VALUE(LEFT(ci_pa_clinico!$A:$A,6))=VALUE(LEFT(B465,6)))*(ci_pa_clinico!$B:$B=C465), 0)), "")</f>
        <v/>
      </c>
      <c r="K465" cm="1">
        <f t="array" aca="1" ref="K465" ca="1">IFERROR(INDEX(aps_equipes_esf!$C:$C, MATCH(1, (VALUE(LEFT(aps_equipes_esf!$A:$A,6))=VALUE(LEFT(B465,6)))*(aps_equipes_esf!$B:$B=C465), 0)), "")</f>
        <v>68</v>
      </c>
      <c r="L465" cm="1">
        <f t="array" aca="1" ref="L465" ca="1">IFERROR(INDEX(casos!$C:$C, MATCH(1, (VALUE(LEFT(casos!$A:$A,6))=VALUE(LEFT(B465,6)))*(casos!$B:$B=C465), 0)), "")</f>
        <v>572</v>
      </c>
      <c r="M465" cm="1">
        <f t="array" ref="M465">IFERROR(INDEX(srag!$D:$D, MATCH(1, (VALUE(LEFT(srag!$A:$A,6))=VALUE(LEFT(B465,6)))*(srag!$C:$C=C465), 0)), "")</f>
        <v>186</v>
      </c>
      <c r="N465" cm="1">
        <f t="array" aca="1" ref="N465" ca="1">IFERROR(INDEX(fesp!$E:$E, MATCH(1, (VALUE(LEFT(fesp!$A:$A,6))=VALUE(LEFT(B465,6)))*(fesp!$C:$C=C465), 0)), "")</f>
        <v>141</v>
      </c>
      <c r="O465" cm="1">
        <f t="array" aca="1" ref="O465" ca="1">IFERROR(INDEX(fesp!$F:$F, MATCH(1, (VALUE(LEFT(fesp!$A:$A,6))=VALUE(LEFT(B465,6)))*(fesp!$C:$C=C465), 0)), "")</f>
        <v>309</v>
      </c>
      <c r="P465" cm="1">
        <f t="array" aca="1" ref="P465" ca="1">IFERROR(INDEX(fesp!$G:$G, MATCH(1, (VALUE(LEFT(fesp!$A:$A,6))=VALUE(LEFT(B465,6)))*(fesp!$C:$C=C465), 0)), "")</f>
        <v>4805787</v>
      </c>
      <c r="Q465" cm="1">
        <f t="array" aca="1" ref="Q465" ca="1">IFERROR(INDEX(fesp!$H:$H, MATCH(1, (VALUE(LEFT(fesp!$A:$A,6))=VALUE(LEFT(B465,6)))*(fesp!$C:$C=C465), 0)), "")</f>
        <v>151</v>
      </c>
      <c r="R465" cm="1">
        <f t="array" aca="1" ref="R465" ca="1">IFERROR(INDEX(fesp!$I:$I, MATCH(1, (VALUE(LEFT(fesp!$A:$A,6))=VALUE(LEFT(B465,6)))*(fesp!$C:$C=C465), 0)), "")</f>
        <v>70113</v>
      </c>
      <c r="S465" cm="1">
        <f t="array" aca="1" ref="S465" ca="1">IFERROR(INDEX(fesp!$J:$J, MATCH(1, (VALUE(LEFT(fesp!$A:$A,6))=VALUE(LEFT(B465,6)))*(fesp!$C:$C=C465), 0)), "")</f>
        <v>604007</v>
      </c>
    </row>
    <row r="466" spans="1:19">
      <c r="A466" s="1" t="s">
        <v>55</v>
      </c>
      <c r="B466" s="3" t="s">
        <v>54</v>
      </c>
      <c r="C466" s="3">
        <v>2017</v>
      </c>
      <c r="D466" cm="1">
        <f t="array" ref="D466">IFERROR(INDEX(fesp!$D:$D, MATCH(1, (VALUE(LEFT(fesp!$A:$A,6))=VALUE(LEFT(B466,6)))*(fesp!$C:$C=C466), 0)), "")</f>
        <v>0</v>
      </c>
      <c r="E466" cm="1">
        <f t="array" aca="1" ref="E466" ca="1">IFERROR(INDEX(ft_medicos_clinicos!$C:$C, MATCH(1, (VALUE(LEFT(ft_medicos_clinicos!$A:$A,6))=VALUE(LEFT(B466,6)))*(ft_medicos_clinicos!$B:$B=C466), 0)), "")</f>
        <v>418</v>
      </c>
      <c r="F466" cm="1">
        <f t="array" aca="1" ref="F466" ca="1">IFERROR(INDEX(ft_enfermeiros!$C:$C, MATCH(1, (VALUE(LEFT(ft_enfermeiros!$A:$A,6))=VALUE(LEFT(B466,6)))*(ft_enfermeiros!$B:$B=C466), 0)), "")</f>
        <v>690</v>
      </c>
      <c r="G466" cm="1">
        <f t="array" aca="1" ref="G466" ca="1">IFERROR(INDEX(ft_equipes_acs!$C:$C, MATCH(1, (VALUE(LEFT(ft_equipes_acs!$A:$A,6))=VALUE(LEFT(B466,6)))*(ft_equipes_acs!$B:$B=C466), 0)), "")</f>
        <v>19</v>
      </c>
      <c r="H466" cm="1">
        <f t="array" aca="1" ref="H466" ca="1">IFERROR(INDEX(ci_leitos_internacao!$C:$C, MATCH(1, (VALUE(LEFT(ci_leitos_internacao!$A:$A,6))=VALUE(LEFT(B466,6)))*(ci_leitos_internacao!$B:$B=C466), 0)), "")</f>
        <v>1000</v>
      </c>
      <c r="I466" cm="1">
        <f t="array" aca="1" ref="I466" ca="1">IFERROR(INDEX(ci_hospitais_internacao!$C:$C, MATCH(1, (VALUE(LEFT(ci_hospitais_internacao!$A:$A,6))=VALUE(LEFT(B466,6)))*(ci_hospitais_internacao!$B:$B=C466), 0)), "")</f>
        <v>2</v>
      </c>
      <c r="J466" t="str" cm="1">
        <f t="array" aca="1" ref="J466" ca="1">IFERROR(INDEX(ci_pa_clinico!$C:$C, MATCH(1, (VALUE(LEFT(ci_pa_clinico!$A:$A,6))=VALUE(LEFT(B466,6)))*(ci_pa_clinico!$B:$B=C466), 0)), "")</f>
        <v/>
      </c>
      <c r="K466" cm="1">
        <f t="array" aca="1" ref="K466" ca="1">IFERROR(INDEX(aps_equipes_esf!$C:$C, MATCH(1, (VALUE(LEFT(aps_equipes_esf!$A:$A,6))=VALUE(LEFT(B466,6)))*(aps_equipes_esf!$B:$B=C466), 0)), "")</f>
        <v>57</v>
      </c>
      <c r="L466" cm="1">
        <f t="array" aca="1" ref="L466" ca="1">IFERROR(INDEX(casos!$C:$C, MATCH(1, (VALUE(LEFT(casos!$A:$A,6))=VALUE(LEFT(B466,6)))*(casos!$B:$B=C466), 0)), "")</f>
        <v>14</v>
      </c>
      <c r="M466" cm="1">
        <f t="array" ref="M466">IFERROR(INDEX(srag!$D:$D, MATCH(1, (VALUE(LEFT(srag!$A:$A,6))=VALUE(LEFT(B466,6)))*(srag!$C:$C=C466), 0)), "")</f>
        <v>62</v>
      </c>
      <c r="N466" cm="1">
        <f t="array" aca="1" ref="N466" ca="1">IFERROR(INDEX(fesp!$E:$E, MATCH(1, (VALUE(LEFT(fesp!$A:$A,6))=VALUE(LEFT(B466,6)))*(fesp!$C:$C=C466), 0)), "")</f>
        <v>117</v>
      </c>
      <c r="O466" cm="1">
        <f t="array" aca="1" ref="O466" ca="1">IFERROR(INDEX(fesp!$F:$F, MATCH(1, (VALUE(LEFT(fesp!$A:$A,6))=VALUE(LEFT(B466,6)))*(fesp!$C:$C=C466), 0)), "")</f>
        <v>211</v>
      </c>
      <c r="P466" cm="1">
        <f t="array" aca="1" ref="P466" ca="1">IFERROR(INDEX(fesp!$G:$G, MATCH(1, (VALUE(LEFT(fesp!$A:$A,6))=VALUE(LEFT(B466,6)))*(fesp!$C:$C=C466), 0)), "")</f>
        <v>4430686</v>
      </c>
      <c r="Q466" cm="1">
        <f t="array" aca="1" ref="Q466" ca="1">IFERROR(INDEX(fesp!$H:$H, MATCH(1, (VALUE(LEFT(fesp!$A:$A,6))=VALUE(LEFT(B466,6)))*(fesp!$C:$C=C466), 0)), "")</f>
        <v>149</v>
      </c>
      <c r="R466" cm="1">
        <f t="array" aca="1" ref="R466" ca="1">IFERROR(INDEX(fesp!$I:$I, MATCH(1, (VALUE(LEFT(fesp!$A:$A,6))=VALUE(LEFT(B466,6)))*(fesp!$C:$C=C466), 0)), "")</f>
        <v>40895</v>
      </c>
      <c r="S466" cm="1">
        <f t="array" aca="1" ref="S466" ca="1">IFERROR(INDEX(fesp!$J:$J, MATCH(1, (VALUE(LEFT(fesp!$A:$A,6))=VALUE(LEFT(B466,6)))*(fesp!$C:$C=C466), 0)), "")</f>
        <v>436064</v>
      </c>
    </row>
    <row r="467" spans="1:19">
      <c r="A467" s="1" t="s">
        <v>55</v>
      </c>
      <c r="B467" s="3" t="s">
        <v>54</v>
      </c>
      <c r="C467" s="3">
        <v>2018</v>
      </c>
      <c r="D467" cm="1">
        <f t="array" ref="D467">IFERROR(INDEX(fesp!$D:$D, MATCH(1, (VALUE(LEFT(fesp!$A:$A,6))=VALUE(LEFT(B467,6)))*(fesp!$C:$C=C467), 0)), "")</f>
        <v>0</v>
      </c>
      <c r="E467" cm="1">
        <f t="array" aca="1" ref="E467" ca="1">IFERROR(INDEX(ft_medicos_clinicos!$C:$C, MATCH(1, (VALUE(LEFT(ft_medicos_clinicos!$A:$A,6))=VALUE(LEFT(B467,6)))*(ft_medicos_clinicos!$B:$B=C467), 0)), "")</f>
        <v>455</v>
      </c>
      <c r="F467" cm="1">
        <f t="array" aca="1" ref="F467" ca="1">IFERROR(INDEX(ft_enfermeiros!$C:$C, MATCH(1, (VALUE(LEFT(ft_enfermeiros!$A:$A,6))=VALUE(LEFT(B467,6)))*(ft_enfermeiros!$B:$B=C467), 0)), "")</f>
        <v>653</v>
      </c>
      <c r="G467" cm="1">
        <f t="array" aca="1" ref="G467" ca="1">IFERROR(INDEX(ft_equipes_acs!$C:$C, MATCH(1, (VALUE(LEFT(ft_equipes_acs!$A:$A,6))=VALUE(LEFT(B467,6)))*(ft_equipes_acs!$B:$B=C467), 0)), "")</f>
        <v>44</v>
      </c>
      <c r="H467" cm="1">
        <f t="array" aca="1" ref="H467" ca="1">IFERROR(INDEX(ci_leitos_internacao!$C:$C, MATCH(1, (VALUE(LEFT(ci_leitos_internacao!$A:$A,6))=VALUE(LEFT(B467,6)))*(ci_leitos_internacao!$B:$B=C467), 0)), "")</f>
        <v>916</v>
      </c>
      <c r="I467" cm="1">
        <f t="array" aca="1" ref="I467" ca="1">IFERROR(INDEX(ci_hospitais_internacao!$C:$C, MATCH(1, (VALUE(LEFT(ci_hospitais_internacao!$A:$A,6))=VALUE(LEFT(B467,6)))*(ci_hospitais_internacao!$B:$B=C467), 0)), "")</f>
        <v>2</v>
      </c>
      <c r="J467" t="str" cm="1">
        <f t="array" aca="1" ref="J467" ca="1">IFERROR(INDEX(ci_pa_clinico!$C:$C, MATCH(1, (VALUE(LEFT(ci_pa_clinico!$A:$A,6))=VALUE(LEFT(B467,6)))*(ci_pa_clinico!$B:$B=C467), 0)), "")</f>
        <v/>
      </c>
      <c r="K467" cm="1">
        <f t="array" aca="1" ref="K467" ca="1">IFERROR(INDEX(aps_equipes_esf!$C:$C, MATCH(1, (VALUE(LEFT(aps_equipes_esf!$A:$A,6))=VALUE(LEFT(B467,6)))*(aps_equipes_esf!$B:$B=C467), 0)), "")</f>
        <v>36</v>
      </c>
      <c r="L467" cm="1">
        <f t="array" aca="1" ref="L467" ca="1">IFERROR(INDEX(casos!$C:$C, MATCH(1, (VALUE(LEFT(casos!$A:$A,6))=VALUE(LEFT(B467,6)))*(casos!$B:$B=C467), 0)), "")</f>
        <v>21</v>
      </c>
      <c r="M467" cm="1">
        <f t="array" ref="M467">IFERROR(INDEX(srag!$D:$D, MATCH(1, (VALUE(LEFT(srag!$A:$A,6))=VALUE(LEFT(B467,6)))*(srag!$C:$C=C467), 0)), "")</f>
        <v>150</v>
      </c>
      <c r="N467" cm="1">
        <f t="array" aca="1" ref="N467" ca="1">IFERROR(INDEX(fesp!$E:$E, MATCH(1, (VALUE(LEFT(fesp!$A:$A,6))=VALUE(LEFT(B467,6)))*(fesp!$C:$C=C467), 0)), "")</f>
        <v>149</v>
      </c>
      <c r="O467" cm="1">
        <f t="array" aca="1" ref="O467" ca="1">IFERROR(INDEX(fesp!$F:$F, MATCH(1, (VALUE(LEFT(fesp!$A:$A,6))=VALUE(LEFT(B467,6)))*(fesp!$C:$C=C467), 0)), "")</f>
        <v>217</v>
      </c>
      <c r="P467" cm="1">
        <f t="array" aca="1" ref="P467" ca="1">IFERROR(INDEX(fesp!$G:$G, MATCH(1, (VALUE(LEFT(fesp!$A:$A,6))=VALUE(LEFT(B467,6)))*(fesp!$C:$C=C467), 0)), "")</f>
        <v>5416829</v>
      </c>
      <c r="Q467" cm="1">
        <f t="array" aca="1" ref="Q467" ca="1">IFERROR(INDEX(fesp!$H:$H, MATCH(1, (VALUE(LEFT(fesp!$A:$A,6))=VALUE(LEFT(B467,6)))*(fesp!$C:$C=C467), 0)), "")</f>
        <v>126</v>
      </c>
      <c r="R467" cm="1">
        <f t="array" aca="1" ref="R467" ca="1">IFERROR(INDEX(fesp!$I:$I, MATCH(1, (VALUE(LEFT(fesp!$A:$A,6))=VALUE(LEFT(B467,6)))*(fesp!$C:$C=C467), 0)), "")</f>
        <v>39621</v>
      </c>
      <c r="S467" cm="1">
        <f t="array" aca="1" ref="S467" ca="1">IFERROR(INDEX(fesp!$J:$J, MATCH(1, (VALUE(LEFT(fesp!$A:$A,6))=VALUE(LEFT(B467,6)))*(fesp!$C:$C=C467), 0)), "")</f>
        <v>456988</v>
      </c>
    </row>
    <row r="468" spans="1:19">
      <c r="A468" s="1" t="s">
        <v>55</v>
      </c>
      <c r="B468" s="3">
        <v>3534401</v>
      </c>
      <c r="C468" s="3">
        <v>2019</v>
      </c>
      <c r="D468" cm="1">
        <f t="array" ref="D468">IFERROR(INDEX(fesp!$D:$D, MATCH(1, (VALUE(LEFT(fesp!$A:$A,6))=VALUE(LEFT(B468,6)))*(fesp!$C:$C=C468), 0)), "")</f>
        <v>0</v>
      </c>
      <c r="E468" cm="1">
        <f t="array" aca="1" ref="E468" ca="1">IFERROR(INDEX(ft_medicos_clinicos!$C:$C, MATCH(1, (VALUE(LEFT(ft_medicos_clinicos!$A:$A,6))=VALUE(LEFT(B468,6)))*(ft_medicos_clinicos!$B:$B=C468), 0)), "")</f>
        <v>511</v>
      </c>
      <c r="F468" cm="1">
        <f t="array" aca="1" ref="F468" ca="1">IFERROR(INDEX(ft_enfermeiros!$C:$C, MATCH(1, (VALUE(LEFT(ft_enfermeiros!$A:$A,6))=VALUE(LEFT(B468,6)))*(ft_enfermeiros!$B:$B=C468), 0)), "")</f>
        <v>690</v>
      </c>
      <c r="G468" cm="1">
        <f t="array" aca="1" ref="G468" ca="1">IFERROR(INDEX(ft_equipes_acs!$C:$C, MATCH(1, (VALUE(LEFT(ft_equipes_acs!$A:$A,6))=VALUE(LEFT(B468,6)))*(ft_equipes_acs!$B:$B=C468), 0)), "")</f>
        <v>35</v>
      </c>
      <c r="H468" cm="1">
        <f t="array" aca="1" ref="H468" ca="1">IFERROR(INDEX(ci_leitos_internacao!$C:$C, MATCH(1, (VALUE(LEFT(ci_leitos_internacao!$A:$A,6))=VALUE(LEFT(B468,6)))*(ci_leitos_internacao!$B:$B=C468), 0)), "")</f>
        <v>878</v>
      </c>
      <c r="I468" cm="1">
        <f t="array" aca="1" ref="I468" ca="1">IFERROR(INDEX(ci_hospitais_internacao!$C:$C, MATCH(1, (VALUE(LEFT(ci_hospitais_internacao!$A:$A,6))=VALUE(LEFT(B468,6)))*(ci_hospitais_internacao!$B:$B=C468), 0)), "")</f>
        <v>2</v>
      </c>
      <c r="J468" t="str" cm="1">
        <f t="array" aca="1" ref="J468" ca="1">IFERROR(INDEX(ci_pa_clinico!$C:$C, MATCH(1, (VALUE(LEFT(ci_pa_clinico!$A:$A,6))=VALUE(LEFT(B468,6)))*(ci_pa_clinico!$B:$B=C468), 0)), "")</f>
        <v/>
      </c>
      <c r="K468" cm="1">
        <f t="array" aca="1" ref="K468" ca="1">IFERROR(INDEX(aps_equipes_esf!$C:$C, MATCH(1, (VALUE(LEFT(aps_equipes_esf!$A:$A,6))=VALUE(LEFT(B468,6)))*(aps_equipes_esf!$B:$B=C468), 0)), "")</f>
        <v>48</v>
      </c>
      <c r="L468" cm="1">
        <f t="array" aca="1" ref="L468" ca="1">IFERROR(INDEX(casos!$C:$C, MATCH(1, (VALUE(LEFT(casos!$A:$A,6))=VALUE(LEFT(B468,6)))*(casos!$B:$B=C468), 0)), "")</f>
        <v>634</v>
      </c>
      <c r="M468" cm="1">
        <f t="array" ref="M468">IFERROR(INDEX(srag!$D:$D, MATCH(1, (VALUE(LEFT(srag!$A:$A,6))=VALUE(LEFT(B468,6)))*(srag!$C:$C=C468), 0)), "")</f>
        <v>141</v>
      </c>
      <c r="N468" cm="1">
        <f t="array" aca="1" ref="N468" ca="1">IFERROR(INDEX(fesp!$E:$E, MATCH(1, (VALUE(LEFT(fesp!$A:$A,6))=VALUE(LEFT(B468,6)))*(fesp!$C:$C=C468), 0)), "")</f>
        <v>154</v>
      </c>
      <c r="O468" cm="1">
        <f t="array" aca="1" ref="O468" ca="1">IFERROR(INDEX(fesp!$F:$F, MATCH(1, (VALUE(LEFT(fesp!$A:$A,6))=VALUE(LEFT(B468,6)))*(fesp!$C:$C=C468), 0)), "")</f>
        <v>223</v>
      </c>
      <c r="P468" cm="1">
        <f t="array" aca="1" ref="P468" ca="1">IFERROR(INDEX(fesp!$G:$G, MATCH(1, (VALUE(LEFT(fesp!$A:$A,6))=VALUE(LEFT(B468,6)))*(fesp!$C:$C=C468), 0)), "")</f>
        <v>4162384</v>
      </c>
      <c r="Q468" cm="1">
        <f t="array" aca="1" ref="Q468" ca="1">IFERROR(INDEX(fesp!$H:$H, MATCH(1, (VALUE(LEFT(fesp!$A:$A,6))=VALUE(LEFT(B468,6)))*(fesp!$C:$C=C468), 0)), "")</f>
        <v>119</v>
      </c>
      <c r="R468" cm="1">
        <f t="array" aca="1" ref="R468" ca="1">IFERROR(INDEX(fesp!$I:$I, MATCH(1, (VALUE(LEFT(fesp!$A:$A,6))=VALUE(LEFT(B468,6)))*(fesp!$C:$C=C468), 0)), "")</f>
        <v>42521</v>
      </c>
      <c r="S468" cm="1">
        <f t="array" aca="1" ref="S468" ca="1">IFERROR(INDEX(fesp!$J:$J, MATCH(1, (VALUE(LEFT(fesp!$A:$A,6))=VALUE(LEFT(B468,6)))*(fesp!$C:$C=C468), 0)), "")</f>
        <v>440179</v>
      </c>
    </row>
    <row r="469" spans="1:19">
      <c r="A469" s="1" t="s">
        <v>55</v>
      </c>
      <c r="B469" s="3" t="s">
        <v>54</v>
      </c>
      <c r="C469" s="3">
        <v>2020</v>
      </c>
      <c r="D469" cm="1">
        <f t="array" ref="D469">IFERROR(INDEX(fesp!$D:$D, MATCH(1, (VALUE(LEFT(fesp!$A:$A,6))=VALUE(LEFT(B469,6)))*(fesp!$C:$C=C469), 0)), "")</f>
        <v>0</v>
      </c>
      <c r="E469" cm="1">
        <f t="array" aca="1" ref="E469" ca="1">IFERROR(INDEX(ft_medicos_clinicos!$C:$C, MATCH(1, (VALUE(LEFT(ft_medicos_clinicos!$A:$A,6))=VALUE(LEFT(B469,6)))*(ft_medicos_clinicos!$B:$B=C469), 0)), "")</f>
        <v>526</v>
      </c>
      <c r="F469" cm="1">
        <f t="array" aca="1" ref="F469" ca="1">IFERROR(INDEX(ft_enfermeiros!$C:$C, MATCH(1, (VALUE(LEFT(ft_enfermeiros!$A:$A,6))=VALUE(LEFT(B469,6)))*(ft_enfermeiros!$B:$B=C469), 0)), "")</f>
        <v>801</v>
      </c>
      <c r="G469" cm="1">
        <f t="array" aca="1" ref="G469" ca="1">IFERROR(INDEX(ft_equipes_acs!$C:$C, MATCH(1, (VALUE(LEFT(ft_equipes_acs!$A:$A,6))=VALUE(LEFT(B469,6)))*(ft_equipes_acs!$B:$B=C469), 0)), "")</f>
        <v>25</v>
      </c>
      <c r="H469" cm="1">
        <f t="array" aca="1" ref="H469" ca="1">IFERROR(INDEX(ci_leitos_internacao!$C:$C, MATCH(1, (VALUE(LEFT(ci_leitos_internacao!$A:$A,6))=VALUE(LEFT(B469,6)))*(ci_leitos_internacao!$B:$B=C469), 0)), "")</f>
        <v>957</v>
      </c>
      <c r="I469" cm="1">
        <f t="array" aca="1" ref="I469" ca="1">IFERROR(INDEX(ci_hospitais_internacao!$C:$C, MATCH(1, (VALUE(LEFT(ci_hospitais_internacao!$A:$A,6))=VALUE(LEFT(B469,6)))*(ci_hospitais_internacao!$B:$B=C469), 0)), "")</f>
        <v>3</v>
      </c>
      <c r="J469" t="str" cm="1">
        <f t="array" aca="1" ref="J469" ca="1">IFERROR(INDEX(ci_pa_clinico!$C:$C, MATCH(1, (VALUE(LEFT(ci_pa_clinico!$A:$A,6))=VALUE(LEFT(B469,6)))*(ci_pa_clinico!$B:$B=C469), 0)), "")</f>
        <v/>
      </c>
      <c r="K469" cm="1">
        <f t="array" aca="1" ref="K469" ca="1">IFERROR(INDEX(aps_equipes_esf!$C:$C, MATCH(1, (VALUE(LEFT(aps_equipes_esf!$A:$A,6))=VALUE(LEFT(B469,6)))*(aps_equipes_esf!$B:$B=C469), 0)), "")</f>
        <v>4</v>
      </c>
      <c r="L469" cm="1">
        <f t="array" aca="1" ref="L469" ca="1">IFERROR(INDEX(casos!$C:$C, MATCH(1, (VALUE(LEFT(casos!$A:$A,6))=VALUE(LEFT(B469,6)))*(casos!$B:$B=C469), 0)), "")</f>
        <v>210</v>
      </c>
      <c r="M469" cm="1">
        <f t="array" ref="M469">IFERROR(INDEX(srag!$D:$D, MATCH(1, (VALUE(LEFT(srag!$A:$A,6))=VALUE(LEFT(B469,6)))*(srag!$C:$C=C469), 0)), "")</f>
        <v>6213</v>
      </c>
      <c r="N469" cm="1">
        <f t="array" aca="1" ref="N469" ca="1">IFERROR(INDEX(fesp!$E:$E, MATCH(1, (VALUE(LEFT(fesp!$A:$A,6))=VALUE(LEFT(B469,6)))*(fesp!$C:$C=C469), 0)), "")</f>
        <v>122</v>
      </c>
      <c r="O469" cm="1">
        <f t="array" aca="1" ref="O469" ca="1">IFERROR(INDEX(fesp!$F:$F, MATCH(1, (VALUE(LEFT(fesp!$A:$A,6))=VALUE(LEFT(B469,6)))*(fesp!$C:$C=C469), 0)), "")</f>
        <v>156</v>
      </c>
      <c r="P469" cm="1">
        <f t="array" aca="1" ref="P469" ca="1">IFERROR(INDEX(fesp!$G:$G, MATCH(1, (VALUE(LEFT(fesp!$A:$A,6))=VALUE(LEFT(B469,6)))*(fesp!$C:$C=C469), 0)), "")</f>
        <v>4760170</v>
      </c>
      <c r="Q469" cm="1">
        <f t="array" aca="1" ref="Q469" ca="1">IFERROR(INDEX(fesp!$H:$H, MATCH(1, (VALUE(LEFT(fesp!$A:$A,6))=VALUE(LEFT(B469,6)))*(fesp!$C:$C=C469), 0)), "")</f>
        <v>64</v>
      </c>
      <c r="R469" cm="1">
        <f t="array" aca="1" ref="R469" ca="1">IFERROR(INDEX(fesp!$I:$I, MATCH(1, (VALUE(LEFT(fesp!$A:$A,6))=VALUE(LEFT(B469,6)))*(fesp!$C:$C=C469), 0)), "")</f>
        <v>39816</v>
      </c>
      <c r="S469" cm="1">
        <f t="array" aca="1" ref="S469" ca="1">IFERROR(INDEX(fesp!$J:$J, MATCH(1, (VALUE(LEFT(fesp!$A:$A,6))=VALUE(LEFT(B469,6)))*(fesp!$C:$C=C469), 0)), "")</f>
        <v>375087</v>
      </c>
    </row>
    <row r="470" spans="1:19">
      <c r="A470" s="1" t="s">
        <v>55</v>
      </c>
      <c r="B470" s="3" t="s">
        <v>54</v>
      </c>
      <c r="C470" s="3">
        <v>2021</v>
      </c>
      <c r="D470" cm="1">
        <f t="array" ref="D470">IFERROR(INDEX(fesp!$D:$D, MATCH(1, (VALUE(LEFT(fesp!$A:$A,6))=VALUE(LEFT(B470,6)))*(fesp!$C:$C=C470), 0)), "")</f>
        <v>0</v>
      </c>
      <c r="E470" cm="1">
        <f t="array" aca="1" ref="E470" ca="1">IFERROR(INDEX(ft_medicos_clinicos!$C:$C, MATCH(1, (VALUE(LEFT(ft_medicos_clinicos!$A:$A,6))=VALUE(LEFT(B470,6)))*(ft_medicos_clinicos!$B:$B=C470), 0)), "")</f>
        <v>547</v>
      </c>
      <c r="F470" cm="1">
        <f t="array" aca="1" ref="F470" ca="1">IFERROR(INDEX(ft_enfermeiros!$C:$C, MATCH(1, (VALUE(LEFT(ft_enfermeiros!$A:$A,6))=VALUE(LEFT(B470,6)))*(ft_enfermeiros!$B:$B=C470), 0)), "")</f>
        <v>1067</v>
      </c>
      <c r="G470" cm="1">
        <f t="array" aca="1" ref="G470" ca="1">IFERROR(INDEX(ft_equipes_acs!$C:$C, MATCH(1, (VALUE(LEFT(ft_equipes_acs!$A:$A,6))=VALUE(LEFT(B470,6)))*(ft_equipes_acs!$B:$B=C470), 0)), "")</f>
        <v>25</v>
      </c>
      <c r="H470" cm="1">
        <f t="array" aca="1" ref="H470" ca="1">IFERROR(INDEX(ci_leitos_internacao!$C:$C, MATCH(1, (VALUE(LEFT(ci_leitos_internacao!$A:$A,6))=VALUE(LEFT(B470,6)))*(ci_leitos_internacao!$B:$B=C470), 0)), "")</f>
        <v>908</v>
      </c>
      <c r="I470" cm="1">
        <f t="array" aca="1" ref="I470" ca="1">IFERROR(INDEX(ci_hospitais_internacao!$C:$C, MATCH(1, (VALUE(LEFT(ci_hospitais_internacao!$A:$A,6))=VALUE(LEFT(B470,6)))*(ci_hospitais_internacao!$B:$B=C470), 0)), "")</f>
        <v>2</v>
      </c>
      <c r="J470" t="str" cm="1">
        <f t="array" aca="1" ref="J470" ca="1">IFERROR(INDEX(ci_pa_clinico!$C:$C, MATCH(1, (VALUE(LEFT(ci_pa_clinico!$A:$A,6))=VALUE(LEFT(B470,6)))*(ci_pa_clinico!$B:$B=C470), 0)), "")</f>
        <v/>
      </c>
      <c r="K470" cm="1">
        <f t="array" aca="1" ref="K470" ca="1">IFERROR(INDEX(aps_equipes_esf!$C:$C, MATCH(1, (VALUE(LEFT(aps_equipes_esf!$A:$A,6))=VALUE(LEFT(B470,6)))*(aps_equipes_esf!$B:$B=C470), 0)), "")</f>
        <v>4</v>
      </c>
      <c r="L470" cm="1">
        <f t="array" aca="1" ref="L470" ca="1">IFERROR(INDEX(casos!$C:$C, MATCH(1, (VALUE(LEFT(casos!$A:$A,6))=VALUE(LEFT(B470,6)))*(casos!$B:$B=C470), 0)), "")</f>
        <v>162</v>
      </c>
      <c r="M470" cm="1">
        <f t="array" ref="M470">IFERROR(INDEX(srag!$D:$D, MATCH(1, (VALUE(LEFT(srag!$A:$A,6))=VALUE(LEFT(B470,6)))*(srag!$C:$C=C470), 0)), "")</f>
        <v>7927</v>
      </c>
      <c r="N470" cm="1">
        <f t="array" aca="1" ref="N470" ca="1">IFERROR(INDEX(fesp!$E:$E, MATCH(1, (VALUE(LEFT(fesp!$A:$A,6))=VALUE(LEFT(B470,6)))*(fesp!$C:$C=C470), 0)), "")</f>
        <v>108</v>
      </c>
      <c r="O470" cm="1">
        <f t="array" aca="1" ref="O470" ca="1">IFERROR(INDEX(fesp!$F:$F, MATCH(1, (VALUE(LEFT(fesp!$A:$A,6))=VALUE(LEFT(B470,6)))*(fesp!$C:$C=C470), 0)), "")</f>
        <v>429</v>
      </c>
      <c r="P470" cm="1">
        <f t="array" aca="1" ref="P470" ca="1">IFERROR(INDEX(fesp!$G:$G, MATCH(1, (VALUE(LEFT(fesp!$A:$A,6))=VALUE(LEFT(B470,6)))*(fesp!$C:$C=C470), 0)), "")</f>
        <v>5407889</v>
      </c>
      <c r="Q470" cm="1">
        <f t="array" aca="1" ref="Q470" ca="1">IFERROR(INDEX(fesp!$H:$H, MATCH(1, (VALUE(LEFT(fesp!$A:$A,6))=VALUE(LEFT(B470,6)))*(fesp!$C:$C=C470), 0)), "")</f>
        <v>72</v>
      </c>
      <c r="R470" cm="1">
        <f t="array" aca="1" ref="R470" ca="1">IFERROR(INDEX(fesp!$I:$I, MATCH(1, (VALUE(LEFT(fesp!$A:$A,6))=VALUE(LEFT(B470,6)))*(fesp!$C:$C=C470), 0)), "")</f>
        <v>29718</v>
      </c>
      <c r="S470" cm="1">
        <f t="array" aca="1" ref="S470" ca="1">IFERROR(INDEX(fesp!$J:$J, MATCH(1, (VALUE(LEFT(fesp!$A:$A,6))=VALUE(LEFT(B470,6)))*(fesp!$C:$C=C470), 0)), "")</f>
        <v>304542</v>
      </c>
    </row>
    <row r="471" spans="1:19">
      <c r="A471" s="1" t="s">
        <v>55</v>
      </c>
      <c r="B471" s="3" t="s">
        <v>54</v>
      </c>
      <c r="C471" s="3">
        <v>2022</v>
      </c>
      <c r="D471" cm="1">
        <f t="array" ref="D471">IFERROR(INDEX(fesp!$D:$D, MATCH(1, (VALUE(LEFT(fesp!$A:$A,6))=VALUE(LEFT(B471,6)))*(fesp!$C:$C=C471), 0)), "")</f>
        <v>728615</v>
      </c>
      <c r="E471" cm="1">
        <f t="array" aca="1" ref="E471" ca="1">IFERROR(INDEX(ft_medicos_clinicos!$C:$C, MATCH(1, (VALUE(LEFT(ft_medicos_clinicos!$A:$A,6))=VALUE(LEFT(B471,6)))*(ft_medicos_clinicos!$B:$B=C471), 0)), "")</f>
        <v>584</v>
      </c>
      <c r="F471" cm="1">
        <f t="array" aca="1" ref="F471" ca="1">IFERROR(INDEX(ft_enfermeiros!$C:$C, MATCH(1, (VALUE(LEFT(ft_enfermeiros!$A:$A,6))=VALUE(LEFT(B471,6)))*(ft_enfermeiros!$B:$B=C471), 0)), "")</f>
        <v>1025</v>
      </c>
      <c r="G471" t="str" cm="1">
        <f t="array" aca="1" ref="G471" ca="1">IFERROR(INDEX(ft_equipes_acs!$C:$C, MATCH(1, (VALUE(LEFT(ft_equipes_acs!$A:$A,6))=VALUE(LEFT(B471,6)))*(ft_equipes_acs!$B:$B=C471), 0)), "")</f>
        <v>-</v>
      </c>
      <c r="H471" cm="1">
        <f t="array" aca="1" ref="H471" ca="1">IFERROR(INDEX(ci_leitos_internacao!$C:$C, MATCH(1, (VALUE(LEFT(ci_leitos_internacao!$A:$A,6))=VALUE(LEFT(B471,6)))*(ci_leitos_internacao!$B:$B=C471), 0)), "")</f>
        <v>980</v>
      </c>
      <c r="I471" cm="1">
        <f t="array" aca="1" ref="I471" ca="1">IFERROR(INDEX(ci_hospitais_internacao!$C:$C, MATCH(1, (VALUE(LEFT(ci_hospitais_internacao!$A:$A,6))=VALUE(LEFT(B471,6)))*(ci_hospitais_internacao!$B:$B=C471), 0)), "")</f>
        <v>2</v>
      </c>
      <c r="J471" t="str" cm="1">
        <f t="array" aca="1" ref="J471" ca="1">IFERROR(INDEX(ci_pa_clinico!$C:$C, MATCH(1, (VALUE(LEFT(ci_pa_clinico!$A:$A,6))=VALUE(LEFT(B471,6)))*(ci_pa_clinico!$B:$B=C471), 0)), "")</f>
        <v/>
      </c>
      <c r="K471" t="str" cm="1">
        <f t="array" aca="1" ref="K471" ca="1">IFERROR(INDEX(aps_equipes_esf!$C:$C, MATCH(1, (VALUE(LEFT(aps_equipes_esf!$A:$A,6))=VALUE(LEFT(B471,6)))*(aps_equipes_esf!$B:$B=C471), 0)), "")</f>
        <v>-</v>
      </c>
      <c r="L471" cm="1">
        <f t="array" aca="1" ref="L471" ca="1">IFERROR(INDEX(casos!$C:$C, MATCH(1, (VALUE(LEFT(casos!$A:$A,6))=VALUE(LEFT(B471,6)))*(casos!$B:$B=C471), 0)), "")</f>
        <v>406</v>
      </c>
      <c r="M471" cm="1">
        <f t="array" ref="M471">IFERROR(INDEX(srag!$D:$D, MATCH(1, (VALUE(LEFT(srag!$A:$A,6))=VALUE(LEFT(B471,6)))*(srag!$C:$C=C471), 0)), "")</f>
        <v>2562</v>
      </c>
      <c r="N471" cm="1">
        <f t="array" aca="1" ref="N471" ca="1">IFERROR(INDEX(fesp!$E:$E, MATCH(1, (VALUE(LEFT(fesp!$A:$A,6))=VALUE(LEFT(B471,6)))*(fesp!$C:$C=C471), 0)), "")</f>
        <v>154</v>
      </c>
      <c r="O471" cm="1">
        <f t="array" aca="1" ref="O471" ca="1">IFERROR(INDEX(fesp!$F:$F, MATCH(1, (VALUE(LEFT(fesp!$A:$A,6))=VALUE(LEFT(B471,6)))*(fesp!$C:$C=C471), 0)), "")</f>
        <v>396</v>
      </c>
      <c r="P471" cm="1">
        <f t="array" aca="1" ref="P471" ca="1">IFERROR(INDEX(fesp!$G:$G, MATCH(1, (VALUE(LEFT(fesp!$A:$A,6))=VALUE(LEFT(B471,6)))*(fesp!$C:$C=C471), 0)), "")</f>
        <v>4621920</v>
      </c>
      <c r="Q471" cm="1">
        <f t="array" aca="1" ref="Q471" ca="1">IFERROR(INDEX(fesp!$H:$H, MATCH(1, (VALUE(LEFT(fesp!$A:$A,6))=VALUE(LEFT(B471,6)))*(fesp!$C:$C=C471), 0)), "")</f>
        <v>81</v>
      </c>
      <c r="R471" cm="1">
        <f t="array" aca="1" ref="R471" ca="1">IFERROR(INDEX(fesp!$I:$I, MATCH(1, (VALUE(LEFT(fesp!$A:$A,6))=VALUE(LEFT(B471,6)))*(fesp!$C:$C=C471), 0)), "")</f>
        <v>38866</v>
      </c>
      <c r="S471" cm="1">
        <f t="array" aca="1" ref="S471" ca="1">IFERROR(INDEX(fesp!$J:$J, MATCH(1, (VALUE(LEFT(fesp!$A:$A,6))=VALUE(LEFT(B471,6)))*(fesp!$C:$C=C471), 0)), "")</f>
        <v>624943</v>
      </c>
    </row>
    <row r="472" spans="1:19">
      <c r="A472" s="1" t="s">
        <v>55</v>
      </c>
      <c r="B472" s="3" t="s">
        <v>54</v>
      </c>
      <c r="C472" s="3">
        <v>2023</v>
      </c>
      <c r="D472" cm="1">
        <f t="array" ref="D472">IFERROR(INDEX(fesp!$D:$D, MATCH(1, (VALUE(LEFT(fesp!$A:$A,6))=VALUE(LEFT(B472,6)))*(fesp!$C:$C=C472), 0)), "")</f>
        <v>0</v>
      </c>
      <c r="E472" cm="1">
        <f t="array" aca="1" ref="E472" ca="1">IFERROR(INDEX(ft_medicos_clinicos!$C:$C, MATCH(1, (VALUE(LEFT(ft_medicos_clinicos!$A:$A,6))=VALUE(LEFT(B472,6)))*(ft_medicos_clinicos!$B:$B=C472), 0)), "")</f>
        <v>582</v>
      </c>
      <c r="F472" cm="1">
        <f t="array" aca="1" ref="F472" ca="1">IFERROR(INDEX(ft_enfermeiros!$C:$C, MATCH(1, (VALUE(LEFT(ft_enfermeiros!$A:$A,6))=VALUE(LEFT(B472,6)))*(ft_enfermeiros!$B:$B=C472), 0)), "")</f>
        <v>1064</v>
      </c>
      <c r="G472" t="str" cm="1">
        <f t="array" aca="1" ref="G472" ca="1">IFERROR(INDEX(ft_equipes_acs!$C:$C, MATCH(1, (VALUE(LEFT(ft_equipes_acs!$A:$A,6))=VALUE(LEFT(B472,6)))*(ft_equipes_acs!$B:$B=C472), 0)), "")</f>
        <v>-</v>
      </c>
      <c r="H472" cm="1">
        <f t="array" aca="1" ref="H472" ca="1">IFERROR(INDEX(ci_leitos_internacao!$C:$C, MATCH(1, (VALUE(LEFT(ci_leitos_internacao!$A:$A,6))=VALUE(LEFT(B472,6)))*(ci_leitos_internacao!$B:$B=C472), 0)), "")</f>
        <v>949</v>
      </c>
      <c r="I472" cm="1">
        <f t="array" aca="1" ref="I472" ca="1">IFERROR(INDEX(ci_hospitais_internacao!$C:$C, MATCH(1, (VALUE(LEFT(ci_hospitais_internacao!$A:$A,6))=VALUE(LEFT(B472,6)))*(ci_hospitais_internacao!$B:$B=C472), 0)), "")</f>
        <v>2</v>
      </c>
      <c r="J472" t="str" cm="1">
        <f t="array" aca="1" ref="J472" ca="1">IFERROR(INDEX(ci_pa_clinico!$C:$C, MATCH(1, (VALUE(LEFT(ci_pa_clinico!$A:$A,6))=VALUE(LEFT(B472,6)))*(ci_pa_clinico!$B:$B=C472), 0)), "")</f>
        <v/>
      </c>
      <c r="K472" t="str" cm="1">
        <f t="array" aca="1" ref="K472" ca="1">IFERROR(INDEX(aps_equipes_esf!$C:$C, MATCH(1, (VALUE(LEFT(aps_equipes_esf!$A:$A,6))=VALUE(LEFT(B472,6)))*(aps_equipes_esf!$B:$B=C472), 0)), "")</f>
        <v>-</v>
      </c>
      <c r="L472" cm="1">
        <f t="array" aca="1" ref="L472" ca="1">IFERROR(INDEX(casos!$C:$C, MATCH(1, (VALUE(LEFT(casos!$A:$A,6))=VALUE(LEFT(B472,6)))*(casos!$B:$B=C472), 0)), "")</f>
        <v>1163</v>
      </c>
      <c r="M472" cm="1">
        <f t="array" ref="M472">IFERROR(INDEX(srag!$D:$D, MATCH(1, (VALUE(LEFT(srag!$A:$A,6))=VALUE(LEFT(B472,6)))*(srag!$C:$C=C472), 0)), "")</f>
        <v>1387</v>
      </c>
      <c r="N472" cm="1">
        <f t="array" aca="1" ref="N472" ca="1">IFERROR(INDEX(fesp!$E:$E, MATCH(1, (VALUE(LEFT(fesp!$A:$A,6))=VALUE(LEFT(B472,6)))*(fesp!$C:$C=C472), 0)), "")</f>
        <v>143</v>
      </c>
      <c r="O472" cm="1">
        <f t="array" aca="1" ref="O472" ca="1">IFERROR(INDEX(fesp!$F:$F, MATCH(1, (VALUE(LEFT(fesp!$A:$A,6))=VALUE(LEFT(B472,6)))*(fesp!$C:$C=C472), 0)), "")</f>
        <v>708</v>
      </c>
      <c r="P472" cm="1">
        <f t="array" aca="1" ref="P472" ca="1">IFERROR(INDEX(fesp!$G:$G, MATCH(1, (VALUE(LEFT(fesp!$A:$A,6))=VALUE(LEFT(B472,6)))*(fesp!$C:$C=C472), 0)), "")</f>
        <v>5935969</v>
      </c>
      <c r="Q472" cm="1">
        <f t="array" aca="1" ref="Q472" ca="1">IFERROR(INDEX(fesp!$H:$H, MATCH(1, (VALUE(LEFT(fesp!$A:$A,6))=VALUE(LEFT(B472,6)))*(fesp!$C:$C=C472), 0)), "")</f>
        <v>84</v>
      </c>
      <c r="R472" cm="1">
        <f t="array" aca="1" ref="R472" ca="1">IFERROR(INDEX(fesp!$I:$I, MATCH(1, (VALUE(LEFT(fesp!$A:$A,6))=VALUE(LEFT(B472,6)))*(fesp!$C:$C=C472), 0)), "")</f>
        <v>35511</v>
      </c>
      <c r="S472" cm="1">
        <f t="array" aca="1" ref="S472" ca="1">IFERROR(INDEX(fesp!$J:$J, MATCH(1, (VALUE(LEFT(fesp!$A:$A,6))=VALUE(LEFT(B472,6)))*(fesp!$C:$C=C472), 0)), "")</f>
        <v>627061</v>
      </c>
    </row>
    <row r="473" spans="1:19">
      <c r="A473" s="1" t="s">
        <v>55</v>
      </c>
      <c r="B473" s="3" t="s">
        <v>54</v>
      </c>
      <c r="C473" s="3">
        <v>2024</v>
      </c>
      <c r="D473" cm="1">
        <f t="array" ref="D473">IFERROR(INDEX(fesp!$D:$D, MATCH(1, (VALUE(LEFT(fesp!$A:$A,6))=VALUE(LEFT(B473,6)))*(fesp!$C:$C=C473), 0)), "")</f>
        <v>0</v>
      </c>
      <c r="E473" cm="1">
        <f t="array" aca="1" ref="E473" ca="1">IFERROR(INDEX(ft_medicos_clinicos!$C:$C, MATCH(1, (VALUE(LEFT(ft_medicos_clinicos!$A:$A,6))=VALUE(LEFT(B473,6)))*(ft_medicos_clinicos!$B:$B=C473), 0)), "")</f>
        <v>684</v>
      </c>
      <c r="F473" cm="1">
        <f t="array" aca="1" ref="F473" ca="1">IFERROR(INDEX(ft_enfermeiros!$C:$C, MATCH(1, (VALUE(LEFT(ft_enfermeiros!$A:$A,6))=VALUE(LEFT(B473,6)))*(ft_enfermeiros!$B:$B=C473), 0)), "")</f>
        <v>1135</v>
      </c>
      <c r="G473" t="str" cm="1">
        <f t="array" aca="1" ref="G473" ca="1">IFERROR(INDEX(ft_equipes_acs!$C:$C, MATCH(1, (VALUE(LEFT(ft_equipes_acs!$A:$A,6))=VALUE(LEFT(B473,6)))*(ft_equipes_acs!$B:$B=C473), 0)), "")</f>
        <v>-</v>
      </c>
      <c r="H473" cm="1">
        <f t="array" aca="1" ref="H473" ca="1">IFERROR(INDEX(ci_leitos_internacao!$C:$C, MATCH(1, (VALUE(LEFT(ci_leitos_internacao!$A:$A,6))=VALUE(LEFT(B473,6)))*(ci_leitos_internacao!$B:$B=C473), 0)), "")</f>
        <v>978</v>
      </c>
      <c r="I473" cm="1">
        <f t="array" aca="1" ref="I473" ca="1">IFERROR(INDEX(ci_hospitais_internacao!$C:$C, MATCH(1, (VALUE(LEFT(ci_hospitais_internacao!$A:$A,6))=VALUE(LEFT(B473,6)))*(ci_hospitais_internacao!$B:$B=C473), 0)), "")</f>
        <v>2</v>
      </c>
      <c r="J473" t="str" cm="1">
        <f t="array" aca="1" ref="J473" ca="1">IFERROR(INDEX(ci_pa_clinico!$C:$C, MATCH(1, (VALUE(LEFT(ci_pa_clinico!$A:$A,6))=VALUE(LEFT(B473,6)))*(ci_pa_clinico!$B:$B=C473), 0)), "")</f>
        <v/>
      </c>
      <c r="K473" t="str" cm="1">
        <f t="array" aca="1" ref="K473" ca="1">IFERROR(INDEX(aps_equipes_esf!$C:$C, MATCH(1, (VALUE(LEFT(aps_equipes_esf!$A:$A,6))=VALUE(LEFT(B473,6)))*(aps_equipes_esf!$B:$B=C473), 0)), "")</f>
        <v>-</v>
      </c>
      <c r="L473" cm="1">
        <f t="array" aca="1" ref="L473" ca="1">IFERROR(INDEX(casos!$C:$C, MATCH(1, (VALUE(LEFT(casos!$A:$A,6))=VALUE(LEFT(B473,6)))*(casos!$B:$B=C473), 0)), "")</f>
        <v>20653</v>
      </c>
      <c r="M473" cm="1">
        <f t="array" ref="M473">IFERROR(INDEX(srag!$D:$D, MATCH(1, (VALUE(LEFT(srag!$A:$A,6))=VALUE(LEFT(B473,6)))*(srag!$C:$C=C473), 0)), "")</f>
        <v>1188</v>
      </c>
      <c r="N473" cm="1">
        <f t="array" aca="1" ref="N473" ca="1">IFERROR(INDEX(fesp!$E:$E, MATCH(1, (VALUE(LEFT(fesp!$A:$A,6))=VALUE(LEFT(B473,6)))*(fesp!$C:$C=C473), 0)), "")</f>
        <v>195</v>
      </c>
      <c r="O473" cm="1">
        <f t="array" aca="1" ref="O473" ca="1">IFERROR(INDEX(fesp!$F:$F, MATCH(1, (VALUE(LEFT(fesp!$A:$A,6))=VALUE(LEFT(B473,6)))*(fesp!$C:$C=C473), 0)), "")</f>
        <v>978</v>
      </c>
      <c r="P473" cm="1">
        <f t="array" aca="1" ref="P473" ca="1">IFERROR(INDEX(fesp!$G:$G, MATCH(1, (VALUE(LEFT(fesp!$A:$A,6))=VALUE(LEFT(B473,6)))*(fesp!$C:$C=C473), 0)), "")</f>
        <v>6142537</v>
      </c>
      <c r="Q473" cm="1">
        <f t="array" aca="1" ref="Q473" ca="1">IFERROR(INDEX(fesp!$H:$H, MATCH(1, (VALUE(LEFT(fesp!$A:$A,6))=VALUE(LEFT(B473,6)))*(fesp!$C:$C=C473), 0)), "")</f>
        <v>102</v>
      </c>
      <c r="R473" cm="1">
        <f t="array" aca="1" ref="R473" ca="1">IFERROR(INDEX(fesp!$I:$I, MATCH(1, (VALUE(LEFT(fesp!$A:$A,6))=VALUE(LEFT(B473,6)))*(fesp!$C:$C=C473), 0)), "")</f>
        <v>33498</v>
      </c>
      <c r="S473" cm="1">
        <f t="array" aca="1" ref="S473" ca="1">IFERROR(INDEX(fesp!$J:$J, MATCH(1, (VALUE(LEFT(fesp!$A:$A,6))=VALUE(LEFT(B473,6)))*(fesp!$C:$C=C473), 0)), "")</f>
        <v>644720</v>
      </c>
    </row>
    <row r="474" spans="1:19">
      <c r="A474" s="1" t="s">
        <v>55</v>
      </c>
      <c r="B474" s="3" t="s">
        <v>54</v>
      </c>
      <c r="C474" s="3">
        <v>2025</v>
      </c>
      <c r="D474" cm="1">
        <f t="array" ref="D474">IFERROR(INDEX(fesp!$D:$D, MATCH(1, (VALUE(LEFT(fesp!$A:$A,6))=VALUE(LEFT(B474,6)))*(fesp!$C:$C=C474), 0)), "")</f>
        <v>0</v>
      </c>
      <c r="E474" cm="1">
        <f t="array" aca="1" ref="E474" ca="1">IFERROR(INDEX(ft_medicos_clinicos!$C:$C, MATCH(1, (VALUE(LEFT(ft_medicos_clinicos!$A:$A,6))=VALUE(LEFT(B474,6)))*(ft_medicos_clinicos!$B:$B=C474), 0)), "")</f>
        <v>633</v>
      </c>
      <c r="F474" cm="1">
        <f t="array" aca="1" ref="F474" ca="1">IFERROR(INDEX(ft_enfermeiros!$C:$C, MATCH(1, (VALUE(LEFT(ft_enfermeiros!$A:$A,6))=VALUE(LEFT(B474,6)))*(ft_enfermeiros!$B:$B=C474), 0)), "")</f>
        <v>1168</v>
      </c>
      <c r="G474" t="str" cm="1">
        <f t="array" aca="1" ref="G474" ca="1">IFERROR(INDEX(ft_equipes_acs!$C:$C, MATCH(1, (VALUE(LEFT(ft_equipes_acs!$A:$A,6))=VALUE(LEFT(B474,6)))*(ft_equipes_acs!$B:$B=C474), 0)), "")</f>
        <v>-</v>
      </c>
      <c r="H474" cm="1">
        <f t="array" aca="1" ref="H474" ca="1">IFERROR(INDEX(ci_leitos_internacao!$C:$C, MATCH(1, (VALUE(LEFT(ci_leitos_internacao!$A:$A,6))=VALUE(LEFT(B474,6)))*(ci_leitos_internacao!$B:$B=C474), 0)), "")</f>
        <v>979</v>
      </c>
      <c r="I474" cm="1">
        <f t="array" aca="1" ref="I474" ca="1">IFERROR(INDEX(ci_hospitais_internacao!$C:$C, MATCH(1, (VALUE(LEFT(ci_hospitais_internacao!$A:$A,6))=VALUE(LEFT(B474,6)))*(ci_hospitais_internacao!$B:$B=C474), 0)), "")</f>
        <v>2</v>
      </c>
      <c r="J474" t="str" cm="1">
        <f t="array" aca="1" ref="J474" ca="1">IFERROR(INDEX(ci_pa_clinico!$C:$C, MATCH(1, (VALUE(LEFT(ci_pa_clinico!$A:$A,6))=VALUE(LEFT(B474,6)))*(ci_pa_clinico!$B:$B=C474), 0)), "")</f>
        <v/>
      </c>
      <c r="K474" t="str" cm="1">
        <f t="array" aca="1" ref="K474" ca="1">IFERROR(INDEX(aps_equipes_esf!$C:$C, MATCH(1, (VALUE(LEFT(aps_equipes_esf!$A:$A,6))=VALUE(LEFT(B474,6)))*(aps_equipes_esf!$B:$B=C474), 0)), "")</f>
        <v>-</v>
      </c>
      <c r="L474" cm="1">
        <f t="array" aca="1" ref="L474" ca="1">IFERROR(INDEX(casos!$C:$C, MATCH(1, (VALUE(LEFT(casos!$A:$A,6))=VALUE(LEFT(B474,6)))*(casos!$B:$B=C474), 0)), "")</f>
        <v>10452</v>
      </c>
      <c r="M474" cm="1">
        <f t="array" ref="M474">IFERROR(INDEX(srag!$D:$D, MATCH(1, (VALUE(LEFT(srag!$A:$A,6))=VALUE(LEFT(B474,6)))*(srag!$C:$C=C474), 0)), "")</f>
        <v>1301</v>
      </c>
      <c r="N474" cm="1">
        <f t="array" aca="1" ref="N474" ca="1">IFERROR(INDEX(fesp!$E:$E, MATCH(1, (VALUE(LEFT(fesp!$A:$A,6))=VALUE(LEFT(B474,6)))*(fesp!$C:$C=C474), 0)), "")</f>
        <v>217</v>
      </c>
      <c r="O474" cm="1">
        <f t="array" aca="1" ref="O474" ca="1">IFERROR(INDEX(fesp!$F:$F, MATCH(1, (VALUE(LEFT(fesp!$A:$A,6))=VALUE(LEFT(B474,6)))*(fesp!$C:$C=C474), 0)), "")</f>
        <v>729</v>
      </c>
      <c r="P474" cm="1">
        <f t="array" aca="1" ref="P474" ca="1">IFERROR(INDEX(fesp!$G:$G, MATCH(1, (VALUE(LEFT(fesp!$A:$A,6))=VALUE(LEFT(B474,6)))*(fesp!$C:$C=C474), 0)), "")</f>
        <v>5160807</v>
      </c>
      <c r="Q474" cm="1">
        <f t="array" aca="1" ref="Q474" ca="1">IFERROR(INDEX(fesp!$H:$H, MATCH(1, (VALUE(LEFT(fesp!$A:$A,6))=VALUE(LEFT(B474,6)))*(fesp!$C:$C=C474), 0)), "")</f>
        <v>56</v>
      </c>
      <c r="R474" cm="1">
        <f t="array" aca="1" ref="R474" ca="1">IFERROR(INDEX(fesp!$I:$I, MATCH(1, (VALUE(LEFT(fesp!$A:$A,6))=VALUE(LEFT(B474,6)))*(fesp!$C:$C=C474), 0)), "")</f>
        <v>28749</v>
      </c>
      <c r="S474" cm="1">
        <f t="array" aca="1" ref="S474" ca="1">IFERROR(INDEX(fesp!$J:$J, MATCH(1, (VALUE(LEFT(fesp!$A:$A,6))=VALUE(LEFT(B474,6)))*(fesp!$C:$C=C474), 0)), "")</f>
        <v>492164</v>
      </c>
    </row>
    <row r="475" spans="1:19">
      <c r="A475" s="1" t="s">
        <v>111</v>
      </c>
      <c r="B475" s="3">
        <v>3538709</v>
      </c>
      <c r="C475" s="3">
        <v>2015</v>
      </c>
      <c r="D475" cm="1">
        <f t="array" ref="D475">IFERROR(INDEX(fesp!$D:$D, MATCH(1, (VALUE(LEFT(fesp!$A:$A,6))=VALUE(LEFT(B475,6)))*(fesp!$C:$C=C475), 0)), "")</f>
        <v>391449</v>
      </c>
      <c r="E475" cm="1">
        <f t="array" aca="1" ref="E475" ca="1">IFERROR(INDEX(ft_medicos_clinicos!$C:$C, MATCH(1, (VALUE(LEFT(ft_medicos_clinicos!$A:$A,6))=VALUE(LEFT(B475,6)))*(ft_medicos_clinicos!$B:$B=C475), 0)), "")</f>
        <v>376</v>
      </c>
      <c r="F475" cm="1">
        <f t="array" aca="1" ref="F475" ca="1">IFERROR(INDEX(ft_enfermeiros!$C:$C, MATCH(1, (VALUE(LEFT(ft_enfermeiros!$A:$A,6))=VALUE(LEFT(B475,6)))*(ft_enfermeiros!$B:$B=C475), 0)), "")</f>
        <v>517</v>
      </c>
      <c r="G475" t="str" cm="1">
        <f t="array" aca="1" ref="G475" ca="1">IFERROR(INDEX(ft_equipes_acs!$C:$C, MATCH(1, (VALUE(LEFT(ft_equipes_acs!$A:$A,6))=VALUE(LEFT(B475,6)))*(ft_equipes_acs!$B:$B=C475), 0)), "")</f>
        <v/>
      </c>
      <c r="H475" cm="1">
        <f t="array" aca="1" ref="H475" ca="1">IFERROR(INDEX(ci_leitos_internacao!$C:$C, MATCH(1, (VALUE(LEFT(ci_leitos_internacao!$A:$A,6))=VALUE(LEFT(B475,6)))*(ci_leitos_internacao!$B:$B=C475), 0)), "")</f>
        <v>761</v>
      </c>
      <c r="I475" cm="1">
        <f t="array" aca="1" ref="I475" ca="1">IFERROR(INDEX(ci_hospitais_internacao!$C:$C, MATCH(1, (VALUE(LEFT(ci_hospitais_internacao!$A:$A,6))=VALUE(LEFT(B475,6)))*(ci_hospitais_internacao!$B:$B=C475), 0)), "")</f>
        <v>2</v>
      </c>
      <c r="J475" cm="1">
        <f t="array" aca="1" ref="J475" ca="1">IFERROR(INDEX(ci_pa_clinico!$C:$C, MATCH(1, (VALUE(LEFT(ci_pa_clinico!$A:$A,6))=VALUE(LEFT(B475,6)))*(ci_pa_clinico!$B:$B=C475), 0)), "")</f>
        <v>1</v>
      </c>
      <c r="K475" cm="1">
        <f t="array" aca="1" ref="K475" ca="1">IFERROR(INDEX(aps_equipes_esf!$C:$C, MATCH(1, (VALUE(LEFT(aps_equipes_esf!$A:$A,6))=VALUE(LEFT(B475,6)))*(aps_equipes_esf!$B:$B=C475), 0)), "")</f>
        <v>32</v>
      </c>
      <c r="L475" cm="1">
        <f t="array" aca="1" ref="L475" ca="1">IFERROR(INDEX(casos!$C:$C, MATCH(1, (VALUE(LEFT(casos!$A:$A,6))=VALUE(LEFT(B475,6)))*(casos!$B:$B=C475), 0)), "")</f>
        <v>3770</v>
      </c>
      <c r="M475" cm="1">
        <f t="array" ref="M475">IFERROR(INDEX(srag!$D:$D, MATCH(1, (VALUE(LEFT(srag!$A:$A,6))=VALUE(LEFT(B475,6)))*(srag!$C:$C=C475), 0)), "")</f>
        <v>11</v>
      </c>
      <c r="N475" cm="1">
        <f t="array" aca="1" ref="N475" ca="1">IFERROR(INDEX(fesp!$E:$E, MATCH(1, (VALUE(LEFT(fesp!$A:$A,6))=VALUE(LEFT(B475,6)))*(fesp!$C:$C=C475), 0)), "")</f>
        <v>78</v>
      </c>
      <c r="O475" cm="1">
        <f t="array" aca="1" ref="O475" ca="1">IFERROR(INDEX(fesp!$F:$F, MATCH(1, (VALUE(LEFT(fesp!$A:$A,6))=VALUE(LEFT(B475,6)))*(fesp!$C:$C=C475), 0)), "")</f>
        <v>2227</v>
      </c>
      <c r="P475" cm="1">
        <f t="array" aca="1" ref="P475" ca="1">IFERROR(INDEX(fesp!$G:$G, MATCH(1, (VALUE(LEFT(fesp!$A:$A,6))=VALUE(LEFT(B475,6)))*(fesp!$C:$C=C475), 0)), "")</f>
        <v>1411878</v>
      </c>
      <c r="Q475" cm="1">
        <f t="array" aca="1" ref="Q475" ca="1">IFERROR(INDEX(fesp!$H:$H, MATCH(1, (VALUE(LEFT(fesp!$A:$A,6))=VALUE(LEFT(B475,6)))*(fesp!$C:$C=C475), 0)), "")</f>
        <v>60</v>
      </c>
      <c r="R475" cm="1">
        <f t="array" aca="1" ref="R475" ca="1">IFERROR(INDEX(fesp!$I:$I, MATCH(1, (VALUE(LEFT(fesp!$A:$A,6))=VALUE(LEFT(B475,6)))*(fesp!$C:$C=C475), 0)), "")</f>
        <v>26675</v>
      </c>
      <c r="S475" cm="1">
        <f t="array" aca="1" ref="S475" ca="1">IFERROR(INDEX(fesp!$J:$J, MATCH(1, (VALUE(LEFT(fesp!$A:$A,6))=VALUE(LEFT(B475,6)))*(fesp!$C:$C=C475), 0)), "")</f>
        <v>337735</v>
      </c>
    </row>
    <row r="476" spans="1:19">
      <c r="A476" s="1" t="s">
        <v>111</v>
      </c>
      <c r="B476" s="3" t="s">
        <v>110</v>
      </c>
      <c r="C476" s="3">
        <v>2016</v>
      </c>
      <c r="D476" cm="1">
        <f t="array" ref="D476">IFERROR(INDEX(fesp!$D:$D, MATCH(1, (VALUE(LEFT(fesp!$A:$A,6))=VALUE(LEFT(B476,6)))*(fesp!$C:$C=C476), 0)), "")</f>
        <v>0</v>
      </c>
      <c r="E476" cm="1">
        <f t="array" aca="1" ref="E476" ca="1">IFERROR(INDEX(ft_medicos_clinicos!$C:$C, MATCH(1, (VALUE(LEFT(ft_medicos_clinicos!$A:$A,6))=VALUE(LEFT(B476,6)))*(ft_medicos_clinicos!$B:$B=C476), 0)), "")</f>
        <v>386</v>
      </c>
      <c r="F476" cm="1">
        <f t="array" aca="1" ref="F476" ca="1">IFERROR(INDEX(ft_enfermeiros!$C:$C, MATCH(1, (VALUE(LEFT(ft_enfermeiros!$A:$A,6))=VALUE(LEFT(B476,6)))*(ft_enfermeiros!$B:$B=C476), 0)), "")</f>
        <v>529</v>
      </c>
      <c r="G476" t="str" cm="1">
        <f t="array" aca="1" ref="G476" ca="1">IFERROR(INDEX(ft_equipes_acs!$C:$C, MATCH(1, (VALUE(LEFT(ft_equipes_acs!$A:$A,6))=VALUE(LEFT(B476,6)))*(ft_equipes_acs!$B:$B=C476), 0)), "")</f>
        <v/>
      </c>
      <c r="H476" cm="1">
        <f t="array" aca="1" ref="H476" ca="1">IFERROR(INDEX(ci_leitos_internacao!$C:$C, MATCH(1, (VALUE(LEFT(ci_leitos_internacao!$A:$A,6))=VALUE(LEFT(B476,6)))*(ci_leitos_internacao!$B:$B=C476), 0)), "")</f>
        <v>754</v>
      </c>
      <c r="I476" cm="1">
        <f t="array" aca="1" ref="I476" ca="1">IFERROR(INDEX(ci_hospitais_internacao!$C:$C, MATCH(1, (VALUE(LEFT(ci_hospitais_internacao!$A:$A,6))=VALUE(LEFT(B476,6)))*(ci_hospitais_internacao!$B:$B=C476), 0)), "")</f>
        <v>2</v>
      </c>
      <c r="J476" cm="1">
        <f t="array" aca="1" ref="J476" ca="1">IFERROR(INDEX(ci_pa_clinico!$C:$C, MATCH(1, (VALUE(LEFT(ci_pa_clinico!$A:$A,6))=VALUE(LEFT(B476,6)))*(ci_pa_clinico!$B:$B=C476), 0)), "")</f>
        <v>1</v>
      </c>
      <c r="K476" cm="1">
        <f t="array" aca="1" ref="K476" ca="1">IFERROR(INDEX(aps_equipes_esf!$C:$C, MATCH(1, (VALUE(LEFT(aps_equipes_esf!$A:$A,6))=VALUE(LEFT(B476,6)))*(aps_equipes_esf!$B:$B=C476), 0)), "")</f>
        <v>32</v>
      </c>
      <c r="L476" cm="1">
        <f t="array" aca="1" ref="L476" ca="1">IFERROR(INDEX(casos!$C:$C, MATCH(1, (VALUE(LEFT(casos!$A:$A,6))=VALUE(LEFT(B476,6)))*(casos!$B:$B=C476), 0)), "")</f>
        <v>2379</v>
      </c>
      <c r="M476" cm="1">
        <f t="array" ref="M476">IFERROR(INDEX(srag!$D:$D, MATCH(1, (VALUE(LEFT(srag!$A:$A,6))=VALUE(LEFT(B476,6)))*(srag!$C:$C=C476), 0)), "")</f>
        <v>152</v>
      </c>
      <c r="N476" cm="1">
        <f t="array" aca="1" ref="N476" ca="1">IFERROR(INDEX(fesp!$E:$E, MATCH(1, (VALUE(LEFT(fesp!$A:$A,6))=VALUE(LEFT(B476,6)))*(fesp!$C:$C=C476), 0)), "")</f>
        <v>87</v>
      </c>
      <c r="O476" cm="1">
        <f t="array" aca="1" ref="O476" ca="1">IFERROR(INDEX(fesp!$F:$F, MATCH(1, (VALUE(LEFT(fesp!$A:$A,6))=VALUE(LEFT(B476,6)))*(fesp!$C:$C=C476), 0)), "")</f>
        <v>2402</v>
      </c>
      <c r="P476" cm="1">
        <f t="array" aca="1" ref="P476" ca="1">IFERROR(INDEX(fesp!$G:$G, MATCH(1, (VALUE(LEFT(fesp!$A:$A,6))=VALUE(LEFT(B476,6)))*(fesp!$C:$C=C476), 0)), "")</f>
        <v>2420891</v>
      </c>
      <c r="Q476" cm="1">
        <f t="array" aca="1" ref="Q476" ca="1">IFERROR(INDEX(fesp!$H:$H, MATCH(1, (VALUE(LEFT(fesp!$A:$A,6))=VALUE(LEFT(B476,6)))*(fesp!$C:$C=C476), 0)), "")</f>
        <v>65</v>
      </c>
      <c r="R476" cm="1">
        <f t="array" aca="1" ref="R476" ca="1">IFERROR(INDEX(fesp!$I:$I, MATCH(1, (VALUE(LEFT(fesp!$A:$A,6))=VALUE(LEFT(B476,6)))*(fesp!$C:$C=C476), 0)), "")</f>
        <v>37790</v>
      </c>
      <c r="S476" cm="1">
        <f t="array" aca="1" ref="S476" ca="1">IFERROR(INDEX(fesp!$J:$J, MATCH(1, (VALUE(LEFT(fesp!$A:$A,6))=VALUE(LEFT(B476,6)))*(fesp!$C:$C=C476), 0)), "")</f>
        <v>456488</v>
      </c>
    </row>
    <row r="477" spans="1:19">
      <c r="A477" s="1" t="s">
        <v>111</v>
      </c>
      <c r="B477" s="3" t="s">
        <v>110</v>
      </c>
      <c r="C477" s="3">
        <v>2017</v>
      </c>
      <c r="D477" cm="1">
        <f t="array" ref="D477">IFERROR(INDEX(fesp!$D:$D, MATCH(1, (VALUE(LEFT(fesp!$A:$A,6))=VALUE(LEFT(B477,6)))*(fesp!$C:$C=C477), 0)), "")</f>
        <v>0</v>
      </c>
      <c r="E477" cm="1">
        <f t="array" aca="1" ref="E477" ca="1">IFERROR(INDEX(ft_medicos_clinicos!$C:$C, MATCH(1, (VALUE(LEFT(ft_medicos_clinicos!$A:$A,6))=VALUE(LEFT(B477,6)))*(ft_medicos_clinicos!$B:$B=C477), 0)), "")</f>
        <v>415</v>
      </c>
      <c r="F477" cm="1">
        <f t="array" aca="1" ref="F477" ca="1">IFERROR(INDEX(ft_enfermeiros!$C:$C, MATCH(1, (VALUE(LEFT(ft_enfermeiros!$A:$A,6))=VALUE(LEFT(B477,6)))*(ft_enfermeiros!$B:$B=C477), 0)), "")</f>
        <v>504</v>
      </c>
      <c r="G477" t="str" cm="1">
        <f t="array" aca="1" ref="G477" ca="1">IFERROR(INDEX(ft_equipes_acs!$C:$C, MATCH(1, (VALUE(LEFT(ft_equipes_acs!$A:$A,6))=VALUE(LEFT(B477,6)))*(ft_equipes_acs!$B:$B=C477), 0)), "")</f>
        <v/>
      </c>
      <c r="H477" cm="1">
        <f t="array" aca="1" ref="H477" ca="1">IFERROR(INDEX(ci_leitos_internacao!$C:$C, MATCH(1, (VALUE(LEFT(ci_leitos_internacao!$A:$A,6))=VALUE(LEFT(B477,6)))*(ci_leitos_internacao!$B:$B=C477), 0)), "")</f>
        <v>715</v>
      </c>
      <c r="I477" cm="1">
        <f t="array" aca="1" ref="I477" ca="1">IFERROR(INDEX(ci_hospitais_internacao!$C:$C, MATCH(1, (VALUE(LEFT(ci_hospitais_internacao!$A:$A,6))=VALUE(LEFT(B477,6)))*(ci_hospitais_internacao!$B:$B=C477), 0)), "")</f>
        <v>2</v>
      </c>
      <c r="J477" cm="1">
        <f t="array" aca="1" ref="J477" ca="1">IFERROR(INDEX(ci_pa_clinico!$C:$C, MATCH(1, (VALUE(LEFT(ci_pa_clinico!$A:$A,6))=VALUE(LEFT(B477,6)))*(ci_pa_clinico!$B:$B=C477), 0)), "")</f>
        <v>1</v>
      </c>
      <c r="K477" cm="1">
        <f t="array" aca="1" ref="K477" ca="1">IFERROR(INDEX(aps_equipes_esf!$C:$C, MATCH(1, (VALUE(LEFT(aps_equipes_esf!$A:$A,6))=VALUE(LEFT(B477,6)))*(aps_equipes_esf!$B:$B=C477), 0)), "")</f>
        <v>34</v>
      </c>
      <c r="L477" cm="1">
        <f t="array" aca="1" ref="L477" ca="1">IFERROR(INDEX(casos!$C:$C, MATCH(1, (VALUE(LEFT(casos!$A:$A,6))=VALUE(LEFT(B477,6)))*(casos!$B:$B=C477), 0)), "")</f>
        <v>68</v>
      </c>
      <c r="M477" cm="1">
        <f t="array" ref="M477">IFERROR(INDEX(srag!$D:$D, MATCH(1, (VALUE(LEFT(srag!$A:$A,6))=VALUE(LEFT(B477,6)))*(srag!$C:$C=C477), 0)), "")</f>
        <v>44</v>
      </c>
      <c r="N477" cm="1">
        <f t="array" aca="1" ref="N477" ca="1">IFERROR(INDEX(fesp!$E:$E, MATCH(1, (VALUE(LEFT(fesp!$A:$A,6))=VALUE(LEFT(B477,6)))*(fesp!$C:$C=C477), 0)), "")</f>
        <v>83</v>
      </c>
      <c r="O477" cm="1">
        <f t="array" aca="1" ref="O477" ca="1">IFERROR(INDEX(fesp!$F:$F, MATCH(1, (VALUE(LEFT(fesp!$A:$A,6))=VALUE(LEFT(B477,6)))*(fesp!$C:$C=C477), 0)), "")</f>
        <v>1735</v>
      </c>
      <c r="P477" cm="1">
        <f t="array" aca="1" ref="P477" ca="1">IFERROR(INDEX(fesp!$G:$G, MATCH(1, (VALUE(LEFT(fesp!$A:$A,6))=VALUE(LEFT(B477,6)))*(fesp!$C:$C=C477), 0)), "")</f>
        <v>2276852</v>
      </c>
      <c r="Q477" cm="1">
        <f t="array" aca="1" ref="Q477" ca="1">IFERROR(INDEX(fesp!$H:$H, MATCH(1, (VALUE(LEFT(fesp!$A:$A,6))=VALUE(LEFT(B477,6)))*(fesp!$C:$C=C477), 0)), "")</f>
        <v>45</v>
      </c>
      <c r="R477" cm="1">
        <f t="array" aca="1" ref="R477" ca="1">IFERROR(INDEX(fesp!$I:$I, MATCH(1, (VALUE(LEFT(fesp!$A:$A,6))=VALUE(LEFT(B477,6)))*(fesp!$C:$C=C477), 0)), "")</f>
        <v>45899</v>
      </c>
      <c r="S477" cm="1">
        <f t="array" aca="1" ref="S477" ca="1">IFERROR(INDEX(fesp!$J:$J, MATCH(1, (VALUE(LEFT(fesp!$A:$A,6))=VALUE(LEFT(B477,6)))*(fesp!$C:$C=C477), 0)), "")</f>
        <v>255807</v>
      </c>
    </row>
    <row r="478" spans="1:19">
      <c r="A478" s="1" t="s">
        <v>111</v>
      </c>
      <c r="B478" s="3" t="s">
        <v>110</v>
      </c>
      <c r="C478" s="3">
        <v>2018</v>
      </c>
      <c r="D478" cm="1">
        <f t="array" ref="D478">IFERROR(INDEX(fesp!$D:$D, MATCH(1, (VALUE(LEFT(fesp!$A:$A,6))=VALUE(LEFT(B478,6)))*(fesp!$C:$C=C478), 0)), "")</f>
        <v>0</v>
      </c>
      <c r="E478" cm="1">
        <f t="array" aca="1" ref="E478" ca="1">IFERROR(INDEX(ft_medicos_clinicos!$C:$C, MATCH(1, (VALUE(LEFT(ft_medicos_clinicos!$A:$A,6))=VALUE(LEFT(B478,6)))*(ft_medicos_clinicos!$B:$B=C478), 0)), "")</f>
        <v>448</v>
      </c>
      <c r="F478" cm="1">
        <f t="array" aca="1" ref="F478" ca="1">IFERROR(INDEX(ft_enfermeiros!$C:$C, MATCH(1, (VALUE(LEFT(ft_enfermeiros!$A:$A,6))=VALUE(LEFT(B478,6)))*(ft_enfermeiros!$B:$B=C478), 0)), "")</f>
        <v>518</v>
      </c>
      <c r="G478" t="str" cm="1">
        <f t="array" aca="1" ref="G478" ca="1">IFERROR(INDEX(ft_equipes_acs!$C:$C, MATCH(1, (VALUE(LEFT(ft_equipes_acs!$A:$A,6))=VALUE(LEFT(B478,6)))*(ft_equipes_acs!$B:$B=C478), 0)), "")</f>
        <v/>
      </c>
      <c r="H478" cm="1">
        <f t="array" aca="1" ref="H478" ca="1">IFERROR(INDEX(ci_leitos_internacao!$C:$C, MATCH(1, (VALUE(LEFT(ci_leitos_internacao!$A:$A,6))=VALUE(LEFT(B478,6)))*(ci_leitos_internacao!$B:$B=C478), 0)), "")</f>
        <v>757</v>
      </c>
      <c r="I478" cm="1">
        <f t="array" aca="1" ref="I478" ca="1">IFERROR(INDEX(ci_hospitais_internacao!$C:$C, MATCH(1, (VALUE(LEFT(ci_hospitais_internacao!$A:$A,6))=VALUE(LEFT(B478,6)))*(ci_hospitais_internacao!$B:$B=C478), 0)), "")</f>
        <v>3</v>
      </c>
      <c r="J478" cm="1">
        <f t="array" aca="1" ref="J478" ca="1">IFERROR(INDEX(ci_pa_clinico!$C:$C, MATCH(1, (VALUE(LEFT(ci_pa_clinico!$A:$A,6))=VALUE(LEFT(B478,6)))*(ci_pa_clinico!$B:$B=C478), 0)), "")</f>
        <v>1</v>
      </c>
      <c r="K478" cm="1">
        <f t="array" aca="1" ref="K478" ca="1">IFERROR(INDEX(aps_equipes_esf!$C:$C, MATCH(1, (VALUE(LEFT(aps_equipes_esf!$A:$A,6))=VALUE(LEFT(B478,6)))*(aps_equipes_esf!$B:$B=C478), 0)), "")</f>
        <v>34</v>
      </c>
      <c r="L478" cm="1">
        <f t="array" aca="1" ref="L478" ca="1">IFERROR(INDEX(casos!$C:$C, MATCH(1, (VALUE(LEFT(casos!$A:$A,6))=VALUE(LEFT(B478,6)))*(casos!$B:$B=C478), 0)), "")</f>
        <v>14</v>
      </c>
      <c r="M478" cm="1">
        <f t="array" ref="M478">IFERROR(INDEX(srag!$D:$D, MATCH(1, (VALUE(LEFT(srag!$A:$A,6))=VALUE(LEFT(B478,6)))*(srag!$C:$C=C478), 0)), "")</f>
        <v>81</v>
      </c>
      <c r="N478" cm="1">
        <f t="array" aca="1" ref="N478" ca="1">IFERROR(INDEX(fesp!$E:$E, MATCH(1, (VALUE(LEFT(fesp!$A:$A,6))=VALUE(LEFT(B478,6)))*(fesp!$C:$C=C478), 0)), "")</f>
        <v>102</v>
      </c>
      <c r="O478" cm="1">
        <f t="array" aca="1" ref="O478" ca="1">IFERROR(INDEX(fesp!$F:$F, MATCH(1, (VALUE(LEFT(fesp!$A:$A,6))=VALUE(LEFT(B478,6)))*(fesp!$C:$C=C478), 0)), "")</f>
        <v>1863</v>
      </c>
      <c r="P478" cm="1">
        <f t="array" aca="1" ref="P478" ca="1">IFERROR(INDEX(fesp!$G:$G, MATCH(1, (VALUE(LEFT(fesp!$A:$A,6))=VALUE(LEFT(B478,6)))*(fesp!$C:$C=C478), 0)), "")</f>
        <v>1907379</v>
      </c>
      <c r="Q478" cm="1">
        <f t="array" aca="1" ref="Q478" ca="1">IFERROR(INDEX(fesp!$H:$H, MATCH(1, (VALUE(LEFT(fesp!$A:$A,6))=VALUE(LEFT(B478,6)))*(fesp!$C:$C=C478), 0)), "")</f>
        <v>50</v>
      </c>
      <c r="R478" cm="1">
        <f t="array" aca="1" ref="R478" ca="1">IFERROR(INDEX(fesp!$I:$I, MATCH(1, (VALUE(LEFT(fesp!$A:$A,6))=VALUE(LEFT(B478,6)))*(fesp!$C:$C=C478), 0)), "")</f>
        <v>33060</v>
      </c>
      <c r="S478" cm="1">
        <f t="array" aca="1" ref="S478" ca="1">IFERROR(INDEX(fesp!$J:$J, MATCH(1, (VALUE(LEFT(fesp!$A:$A,6))=VALUE(LEFT(B478,6)))*(fesp!$C:$C=C478), 0)), "")</f>
        <v>233303</v>
      </c>
    </row>
    <row r="479" spans="1:19">
      <c r="A479" s="1" t="s">
        <v>111</v>
      </c>
      <c r="B479" s="3" t="s">
        <v>110</v>
      </c>
      <c r="C479" s="3">
        <v>2019</v>
      </c>
      <c r="D479" cm="1">
        <f t="array" ref="D479">IFERROR(INDEX(fesp!$D:$D, MATCH(1, (VALUE(LEFT(fesp!$A:$A,6))=VALUE(LEFT(B479,6)))*(fesp!$C:$C=C479), 0)), "")</f>
        <v>0</v>
      </c>
      <c r="E479" cm="1">
        <f t="array" aca="1" ref="E479" ca="1">IFERROR(INDEX(ft_medicos_clinicos!$C:$C, MATCH(1, (VALUE(LEFT(ft_medicos_clinicos!$A:$A,6))=VALUE(LEFT(B479,6)))*(ft_medicos_clinicos!$B:$B=C479), 0)), "")</f>
        <v>464</v>
      </c>
      <c r="F479" cm="1">
        <f t="array" aca="1" ref="F479" ca="1">IFERROR(INDEX(ft_enfermeiros!$C:$C, MATCH(1, (VALUE(LEFT(ft_enfermeiros!$A:$A,6))=VALUE(LEFT(B479,6)))*(ft_enfermeiros!$B:$B=C479), 0)), "")</f>
        <v>531</v>
      </c>
      <c r="G479" t="str" cm="1">
        <f t="array" aca="1" ref="G479" ca="1">IFERROR(INDEX(ft_equipes_acs!$C:$C, MATCH(1, (VALUE(LEFT(ft_equipes_acs!$A:$A,6))=VALUE(LEFT(B479,6)))*(ft_equipes_acs!$B:$B=C479), 0)), "")</f>
        <v/>
      </c>
      <c r="H479" cm="1">
        <f t="array" aca="1" ref="H479" ca="1">IFERROR(INDEX(ci_leitos_internacao!$C:$C, MATCH(1, (VALUE(LEFT(ci_leitos_internacao!$A:$A,6))=VALUE(LEFT(B479,6)))*(ci_leitos_internacao!$B:$B=C479), 0)), "")</f>
        <v>711</v>
      </c>
      <c r="I479" cm="1">
        <f t="array" aca="1" ref="I479" ca="1">IFERROR(INDEX(ci_hospitais_internacao!$C:$C, MATCH(1, (VALUE(LEFT(ci_hospitais_internacao!$A:$A,6))=VALUE(LEFT(B479,6)))*(ci_hospitais_internacao!$B:$B=C479), 0)), "")</f>
        <v>3</v>
      </c>
      <c r="J479" cm="1">
        <f t="array" aca="1" ref="J479" ca="1">IFERROR(INDEX(ci_pa_clinico!$C:$C, MATCH(1, (VALUE(LEFT(ci_pa_clinico!$A:$A,6))=VALUE(LEFT(B479,6)))*(ci_pa_clinico!$B:$B=C479), 0)), "")</f>
        <v>2</v>
      </c>
      <c r="K479" cm="1">
        <f t="array" aca="1" ref="K479" ca="1">IFERROR(INDEX(aps_equipes_esf!$C:$C, MATCH(1, (VALUE(LEFT(aps_equipes_esf!$A:$A,6))=VALUE(LEFT(B479,6)))*(aps_equipes_esf!$B:$B=C479), 0)), "")</f>
        <v>32</v>
      </c>
      <c r="L479" cm="1">
        <f t="array" aca="1" ref="L479" ca="1">IFERROR(INDEX(casos!$C:$C, MATCH(1, (VALUE(LEFT(casos!$A:$A,6))=VALUE(LEFT(B479,6)))*(casos!$B:$B=C479), 0)), "")</f>
        <v>4126</v>
      </c>
      <c r="M479" cm="1">
        <f t="array" ref="M479">IFERROR(INDEX(srag!$D:$D, MATCH(1, (VALUE(LEFT(srag!$A:$A,6))=VALUE(LEFT(B479,6)))*(srag!$C:$C=C479), 0)), "")</f>
        <v>37</v>
      </c>
      <c r="N479" cm="1">
        <f t="array" aca="1" ref="N479" ca="1">IFERROR(INDEX(fesp!$E:$E, MATCH(1, (VALUE(LEFT(fesp!$A:$A,6))=VALUE(LEFT(B479,6)))*(fesp!$C:$C=C479), 0)), "")</f>
        <v>64</v>
      </c>
      <c r="O479" cm="1">
        <f t="array" aca="1" ref="O479" ca="1">IFERROR(INDEX(fesp!$F:$F, MATCH(1, (VALUE(LEFT(fesp!$A:$A,6))=VALUE(LEFT(B479,6)))*(fesp!$C:$C=C479), 0)), "")</f>
        <v>1735</v>
      </c>
      <c r="P479" cm="1">
        <f t="array" aca="1" ref="P479" ca="1">IFERROR(INDEX(fesp!$G:$G, MATCH(1, (VALUE(LEFT(fesp!$A:$A,6))=VALUE(LEFT(B479,6)))*(fesp!$C:$C=C479), 0)), "")</f>
        <v>2546450</v>
      </c>
      <c r="Q479" cm="1">
        <f t="array" aca="1" ref="Q479" ca="1">IFERROR(INDEX(fesp!$H:$H, MATCH(1, (VALUE(LEFT(fesp!$A:$A,6))=VALUE(LEFT(B479,6)))*(fesp!$C:$C=C479), 0)), "")</f>
        <v>73</v>
      </c>
      <c r="R479" cm="1">
        <f t="array" aca="1" ref="R479" ca="1">IFERROR(INDEX(fesp!$I:$I, MATCH(1, (VALUE(LEFT(fesp!$A:$A,6))=VALUE(LEFT(B479,6)))*(fesp!$C:$C=C479), 0)), "")</f>
        <v>19024</v>
      </c>
      <c r="S479" cm="1">
        <f t="array" aca="1" ref="S479" ca="1">IFERROR(INDEX(fesp!$J:$J, MATCH(1, (VALUE(LEFT(fesp!$A:$A,6))=VALUE(LEFT(B479,6)))*(fesp!$C:$C=C479), 0)), "")</f>
        <v>187462</v>
      </c>
    </row>
    <row r="480" spans="1:19">
      <c r="A480" s="1" t="s">
        <v>111</v>
      </c>
      <c r="B480" s="3" t="s">
        <v>110</v>
      </c>
      <c r="C480" s="3">
        <v>2020</v>
      </c>
      <c r="D480" cm="1">
        <f t="array" ref="D480">IFERROR(INDEX(fesp!$D:$D, MATCH(1, (VALUE(LEFT(fesp!$A:$A,6))=VALUE(LEFT(B480,6)))*(fesp!$C:$C=C480), 0)), "")</f>
        <v>0</v>
      </c>
      <c r="E480" cm="1">
        <f t="array" aca="1" ref="E480" ca="1">IFERROR(INDEX(ft_medicos_clinicos!$C:$C, MATCH(1, (VALUE(LEFT(ft_medicos_clinicos!$A:$A,6))=VALUE(LEFT(B480,6)))*(ft_medicos_clinicos!$B:$B=C480), 0)), "")</f>
        <v>507</v>
      </c>
      <c r="F480" cm="1">
        <f t="array" aca="1" ref="F480" ca="1">IFERROR(INDEX(ft_enfermeiros!$C:$C, MATCH(1, (VALUE(LEFT(ft_enfermeiros!$A:$A,6))=VALUE(LEFT(B480,6)))*(ft_enfermeiros!$B:$B=C480), 0)), "")</f>
        <v>589</v>
      </c>
      <c r="G480" t="str" cm="1">
        <f t="array" aca="1" ref="G480" ca="1">IFERROR(INDEX(ft_equipes_acs!$C:$C, MATCH(1, (VALUE(LEFT(ft_equipes_acs!$A:$A,6))=VALUE(LEFT(B480,6)))*(ft_equipes_acs!$B:$B=C480), 0)), "")</f>
        <v/>
      </c>
      <c r="H480" cm="1">
        <f t="array" aca="1" ref="H480" ca="1">IFERROR(INDEX(ci_leitos_internacao!$C:$C, MATCH(1, (VALUE(LEFT(ci_leitos_internacao!$A:$A,6))=VALUE(LEFT(B480,6)))*(ci_leitos_internacao!$B:$B=C480), 0)), "")</f>
        <v>699</v>
      </c>
      <c r="I480" cm="1">
        <f t="array" aca="1" ref="I480" ca="1">IFERROR(INDEX(ci_hospitais_internacao!$C:$C, MATCH(1, (VALUE(LEFT(ci_hospitais_internacao!$A:$A,6))=VALUE(LEFT(B480,6)))*(ci_hospitais_internacao!$B:$B=C480), 0)), "")</f>
        <v>3</v>
      </c>
      <c r="J480" cm="1">
        <f t="array" aca="1" ref="J480" ca="1">IFERROR(INDEX(ci_pa_clinico!$C:$C, MATCH(1, (VALUE(LEFT(ci_pa_clinico!$A:$A,6))=VALUE(LEFT(B480,6)))*(ci_pa_clinico!$B:$B=C480), 0)), "")</f>
        <v>2</v>
      </c>
      <c r="K480" t="str" cm="1">
        <f t="array" aca="1" ref="K480" ca="1">IFERROR(INDEX(aps_equipes_esf!$C:$C, MATCH(1, (VALUE(LEFT(aps_equipes_esf!$A:$A,6))=VALUE(LEFT(B480,6)))*(aps_equipes_esf!$B:$B=C480), 0)), "")</f>
        <v>-</v>
      </c>
      <c r="L480" cm="1">
        <f t="array" aca="1" ref="L480" ca="1">IFERROR(INDEX(casos!$C:$C, MATCH(1, (VALUE(LEFT(casos!$A:$A,6))=VALUE(LEFT(B480,6)))*(casos!$B:$B=C480), 0)), "")</f>
        <v>1453</v>
      </c>
      <c r="M480" cm="1">
        <f t="array" ref="M480">IFERROR(INDEX(srag!$D:$D, MATCH(1, (VALUE(LEFT(srag!$A:$A,6))=VALUE(LEFT(B480,6)))*(srag!$C:$C=C480), 0)), "")</f>
        <v>3507</v>
      </c>
      <c r="N480" cm="1">
        <f t="array" aca="1" ref="N480" ca="1">IFERROR(INDEX(fesp!$E:$E, MATCH(1, (VALUE(LEFT(fesp!$A:$A,6))=VALUE(LEFT(B480,6)))*(fesp!$C:$C=C480), 0)), "")</f>
        <v>56</v>
      </c>
      <c r="O480" cm="1">
        <f t="array" aca="1" ref="O480" ca="1">IFERROR(INDEX(fesp!$F:$F, MATCH(1, (VALUE(LEFT(fesp!$A:$A,6))=VALUE(LEFT(B480,6)))*(fesp!$C:$C=C480), 0)), "")</f>
        <v>1775</v>
      </c>
      <c r="P480" cm="1">
        <f t="array" aca="1" ref="P480" ca="1">IFERROR(INDEX(fesp!$G:$G, MATCH(1, (VALUE(LEFT(fesp!$A:$A,6))=VALUE(LEFT(B480,6)))*(fesp!$C:$C=C480), 0)), "")</f>
        <v>1801979</v>
      </c>
      <c r="Q480" cm="1">
        <f t="array" aca="1" ref="Q480" ca="1">IFERROR(INDEX(fesp!$H:$H, MATCH(1, (VALUE(LEFT(fesp!$A:$A,6))=VALUE(LEFT(B480,6)))*(fesp!$C:$C=C480), 0)), "")</f>
        <v>54</v>
      </c>
      <c r="R480" cm="1">
        <f t="array" aca="1" ref="R480" ca="1">IFERROR(INDEX(fesp!$I:$I, MATCH(1, (VALUE(LEFT(fesp!$A:$A,6))=VALUE(LEFT(B480,6)))*(fesp!$C:$C=C480), 0)), "")</f>
        <v>23889</v>
      </c>
      <c r="S480" cm="1">
        <f t="array" aca="1" ref="S480" ca="1">IFERROR(INDEX(fesp!$J:$J, MATCH(1, (VALUE(LEFT(fesp!$A:$A,6))=VALUE(LEFT(B480,6)))*(fesp!$C:$C=C480), 0)), "")</f>
        <v>186248</v>
      </c>
    </row>
    <row r="481" spans="1:19">
      <c r="A481" s="1" t="s">
        <v>111</v>
      </c>
      <c r="B481" s="3" t="s">
        <v>110</v>
      </c>
      <c r="C481" s="3">
        <v>2021</v>
      </c>
      <c r="D481" cm="1">
        <f t="array" ref="D481">IFERROR(INDEX(fesp!$D:$D, MATCH(1, (VALUE(LEFT(fesp!$A:$A,6))=VALUE(LEFT(B481,6)))*(fesp!$C:$C=C481), 0)), "")</f>
        <v>0</v>
      </c>
      <c r="E481" cm="1">
        <f t="array" aca="1" ref="E481" ca="1">IFERROR(INDEX(ft_medicos_clinicos!$C:$C, MATCH(1, (VALUE(LEFT(ft_medicos_clinicos!$A:$A,6))=VALUE(LEFT(B481,6)))*(ft_medicos_clinicos!$B:$B=C481), 0)), "")</f>
        <v>505</v>
      </c>
      <c r="F481" cm="1">
        <f t="array" aca="1" ref="F481" ca="1">IFERROR(INDEX(ft_enfermeiros!$C:$C, MATCH(1, (VALUE(LEFT(ft_enfermeiros!$A:$A,6))=VALUE(LEFT(B481,6)))*(ft_enfermeiros!$B:$B=C481), 0)), "")</f>
        <v>599</v>
      </c>
      <c r="G481" t="str" cm="1">
        <f t="array" aca="1" ref="G481" ca="1">IFERROR(INDEX(ft_equipes_acs!$C:$C, MATCH(1, (VALUE(LEFT(ft_equipes_acs!$A:$A,6))=VALUE(LEFT(B481,6)))*(ft_equipes_acs!$B:$B=C481), 0)), "")</f>
        <v/>
      </c>
      <c r="H481" cm="1">
        <f t="array" aca="1" ref="H481" ca="1">IFERROR(INDEX(ci_leitos_internacao!$C:$C, MATCH(1, (VALUE(LEFT(ci_leitos_internacao!$A:$A,6))=VALUE(LEFT(B481,6)))*(ci_leitos_internacao!$B:$B=C481), 0)), "")</f>
        <v>690</v>
      </c>
      <c r="I481" cm="1">
        <f t="array" aca="1" ref="I481" ca="1">IFERROR(INDEX(ci_hospitais_internacao!$C:$C, MATCH(1, (VALUE(LEFT(ci_hospitais_internacao!$A:$A,6))=VALUE(LEFT(B481,6)))*(ci_hospitais_internacao!$B:$B=C481), 0)), "")</f>
        <v>3</v>
      </c>
      <c r="J481" cm="1">
        <f t="array" aca="1" ref="J481" ca="1">IFERROR(INDEX(ci_pa_clinico!$C:$C, MATCH(1, (VALUE(LEFT(ci_pa_clinico!$A:$A,6))=VALUE(LEFT(B481,6)))*(ci_pa_clinico!$B:$B=C481), 0)), "")</f>
        <v>2</v>
      </c>
      <c r="K481" t="str" cm="1">
        <f t="array" aca="1" ref="K481" ca="1">IFERROR(INDEX(aps_equipes_esf!$C:$C, MATCH(1, (VALUE(LEFT(aps_equipes_esf!$A:$A,6))=VALUE(LEFT(B481,6)))*(aps_equipes_esf!$B:$B=C481), 0)), "")</f>
        <v>-</v>
      </c>
      <c r="L481" cm="1">
        <f t="array" aca="1" ref="L481" ca="1">IFERROR(INDEX(casos!$C:$C, MATCH(1, (VALUE(LEFT(casos!$A:$A,6))=VALUE(LEFT(B481,6)))*(casos!$B:$B=C481), 0)), "")</f>
        <v>5430</v>
      </c>
      <c r="M481" cm="1">
        <f t="array" ref="M481">IFERROR(INDEX(srag!$D:$D, MATCH(1, (VALUE(LEFT(srag!$A:$A,6))=VALUE(LEFT(B481,6)))*(srag!$C:$C=C481), 0)), "")</f>
        <v>6074</v>
      </c>
      <c r="N481" cm="1">
        <f t="array" aca="1" ref="N481" ca="1">IFERROR(INDEX(fesp!$E:$E, MATCH(1, (VALUE(LEFT(fesp!$A:$A,6))=VALUE(LEFT(B481,6)))*(fesp!$C:$C=C481), 0)), "")</f>
        <v>59</v>
      </c>
      <c r="O481" cm="1">
        <f t="array" aca="1" ref="O481" ca="1">IFERROR(INDEX(fesp!$F:$F, MATCH(1, (VALUE(LEFT(fesp!$A:$A,6))=VALUE(LEFT(B481,6)))*(fesp!$C:$C=C481), 0)), "")</f>
        <v>2349</v>
      </c>
      <c r="P481" cm="1">
        <f t="array" aca="1" ref="P481" ca="1">IFERROR(INDEX(fesp!$G:$G, MATCH(1, (VALUE(LEFT(fesp!$A:$A,6))=VALUE(LEFT(B481,6)))*(fesp!$C:$C=C481), 0)), "")</f>
        <v>1585858</v>
      </c>
      <c r="Q481" cm="1">
        <f t="array" aca="1" ref="Q481" ca="1">IFERROR(INDEX(fesp!$H:$H, MATCH(1, (VALUE(LEFT(fesp!$A:$A,6))=VALUE(LEFT(B481,6)))*(fesp!$C:$C=C481), 0)), "")</f>
        <v>53</v>
      </c>
      <c r="R481" cm="1">
        <f t="array" aca="1" ref="R481" ca="1">IFERROR(INDEX(fesp!$I:$I, MATCH(1, (VALUE(LEFT(fesp!$A:$A,6))=VALUE(LEFT(B481,6)))*(fesp!$C:$C=C481), 0)), "")</f>
        <v>28675</v>
      </c>
      <c r="S481" cm="1">
        <f t="array" aca="1" ref="S481" ca="1">IFERROR(INDEX(fesp!$J:$J, MATCH(1, (VALUE(LEFT(fesp!$A:$A,6))=VALUE(LEFT(B481,6)))*(fesp!$C:$C=C481), 0)), "")</f>
        <v>250526</v>
      </c>
    </row>
    <row r="482" spans="1:19">
      <c r="A482" s="1" t="s">
        <v>111</v>
      </c>
      <c r="B482" s="3" t="s">
        <v>110</v>
      </c>
      <c r="C482" s="3">
        <v>2022</v>
      </c>
      <c r="D482" cm="1">
        <f t="array" ref="D482">IFERROR(INDEX(fesp!$D:$D, MATCH(1, (VALUE(LEFT(fesp!$A:$A,6))=VALUE(LEFT(B482,6)))*(fesp!$C:$C=C482), 0)), "")</f>
        <v>423323</v>
      </c>
      <c r="E482" cm="1">
        <f t="array" aca="1" ref="E482" ca="1">IFERROR(INDEX(ft_medicos_clinicos!$C:$C, MATCH(1, (VALUE(LEFT(ft_medicos_clinicos!$A:$A,6))=VALUE(LEFT(B482,6)))*(ft_medicos_clinicos!$B:$B=C482), 0)), "")</f>
        <v>555</v>
      </c>
      <c r="F482" cm="1">
        <f t="array" aca="1" ref="F482" ca="1">IFERROR(INDEX(ft_enfermeiros!$C:$C, MATCH(1, (VALUE(LEFT(ft_enfermeiros!$A:$A,6))=VALUE(LEFT(B482,6)))*(ft_enfermeiros!$B:$B=C482), 0)), "")</f>
        <v>656</v>
      </c>
      <c r="G482" t="str" cm="1">
        <f t="array" aca="1" ref="G482" ca="1">IFERROR(INDEX(ft_equipes_acs!$C:$C, MATCH(1, (VALUE(LEFT(ft_equipes_acs!$A:$A,6))=VALUE(LEFT(B482,6)))*(ft_equipes_acs!$B:$B=C482), 0)), "")</f>
        <v/>
      </c>
      <c r="H482" cm="1">
        <f t="array" aca="1" ref="H482" ca="1">IFERROR(INDEX(ci_leitos_internacao!$C:$C, MATCH(1, (VALUE(LEFT(ci_leitos_internacao!$A:$A,6))=VALUE(LEFT(B482,6)))*(ci_leitos_internacao!$B:$B=C482), 0)), "")</f>
        <v>760</v>
      </c>
      <c r="I482" cm="1">
        <f t="array" aca="1" ref="I482" ca="1">IFERROR(INDEX(ci_hospitais_internacao!$C:$C, MATCH(1, (VALUE(LEFT(ci_hospitais_internacao!$A:$A,6))=VALUE(LEFT(B482,6)))*(ci_hospitais_internacao!$B:$B=C482), 0)), "")</f>
        <v>4</v>
      </c>
      <c r="J482" cm="1">
        <f t="array" aca="1" ref="J482" ca="1">IFERROR(INDEX(ci_pa_clinico!$C:$C, MATCH(1, (VALUE(LEFT(ci_pa_clinico!$A:$A,6))=VALUE(LEFT(B482,6)))*(ci_pa_clinico!$B:$B=C482), 0)), "")</f>
        <v>2</v>
      </c>
      <c r="K482" t="str" cm="1">
        <f t="array" aca="1" ref="K482" ca="1">IFERROR(INDEX(aps_equipes_esf!$C:$C, MATCH(1, (VALUE(LEFT(aps_equipes_esf!$A:$A,6))=VALUE(LEFT(B482,6)))*(aps_equipes_esf!$B:$B=C482), 0)), "")</f>
        <v>-</v>
      </c>
      <c r="L482" cm="1">
        <f t="array" aca="1" ref="L482" ca="1">IFERROR(INDEX(casos!$C:$C, MATCH(1, (VALUE(LEFT(casos!$A:$A,6))=VALUE(LEFT(B482,6)))*(casos!$B:$B=C482), 0)), "")</f>
        <v>1513</v>
      </c>
      <c r="M482" cm="1">
        <f t="array" ref="M482">IFERROR(INDEX(srag!$D:$D, MATCH(1, (VALUE(LEFT(srag!$A:$A,6))=VALUE(LEFT(B482,6)))*(srag!$C:$C=C482), 0)), "")</f>
        <v>3449</v>
      </c>
      <c r="N482" cm="1">
        <f t="array" aca="1" ref="N482" ca="1">IFERROR(INDEX(fesp!$E:$E, MATCH(1, (VALUE(LEFT(fesp!$A:$A,6))=VALUE(LEFT(B482,6)))*(fesp!$C:$C=C482), 0)), "")</f>
        <v>70</v>
      </c>
      <c r="O482" cm="1">
        <f t="array" aca="1" ref="O482" ca="1">IFERROR(INDEX(fesp!$F:$F, MATCH(1, (VALUE(LEFT(fesp!$A:$A,6))=VALUE(LEFT(B482,6)))*(fesp!$C:$C=C482), 0)), "")</f>
        <v>2687</v>
      </c>
      <c r="P482" cm="1">
        <f t="array" aca="1" ref="P482" ca="1">IFERROR(INDEX(fesp!$G:$G, MATCH(1, (VALUE(LEFT(fesp!$A:$A,6))=VALUE(LEFT(B482,6)))*(fesp!$C:$C=C482), 0)), "")</f>
        <v>2519177</v>
      </c>
      <c r="Q482" cm="1">
        <f t="array" aca="1" ref="Q482" ca="1">IFERROR(INDEX(fesp!$H:$H, MATCH(1, (VALUE(LEFT(fesp!$A:$A,6))=VALUE(LEFT(B482,6)))*(fesp!$C:$C=C482), 0)), "")</f>
        <v>87</v>
      </c>
      <c r="R482" cm="1">
        <f t="array" aca="1" ref="R482" ca="1">IFERROR(INDEX(fesp!$I:$I, MATCH(1, (VALUE(LEFT(fesp!$A:$A,6))=VALUE(LEFT(B482,6)))*(fesp!$C:$C=C482), 0)), "")</f>
        <v>14118</v>
      </c>
      <c r="S482" cm="1">
        <f t="array" aca="1" ref="S482" ca="1">IFERROR(INDEX(fesp!$J:$J, MATCH(1, (VALUE(LEFT(fesp!$A:$A,6))=VALUE(LEFT(B482,6)))*(fesp!$C:$C=C482), 0)), "")</f>
        <v>110791</v>
      </c>
    </row>
    <row r="483" spans="1:19">
      <c r="A483" s="1" t="s">
        <v>111</v>
      </c>
      <c r="B483" s="3" t="s">
        <v>110</v>
      </c>
      <c r="C483" s="3">
        <v>2023</v>
      </c>
      <c r="D483" cm="1">
        <f t="array" ref="D483">IFERROR(INDEX(fesp!$D:$D, MATCH(1, (VALUE(LEFT(fesp!$A:$A,6))=VALUE(LEFT(B483,6)))*(fesp!$C:$C=C483), 0)), "")</f>
        <v>0</v>
      </c>
      <c r="E483" cm="1">
        <f t="array" aca="1" ref="E483" ca="1">IFERROR(INDEX(ft_medicos_clinicos!$C:$C, MATCH(1, (VALUE(LEFT(ft_medicos_clinicos!$A:$A,6))=VALUE(LEFT(B483,6)))*(ft_medicos_clinicos!$B:$B=C483), 0)), "")</f>
        <v>585</v>
      </c>
      <c r="F483" cm="1">
        <f t="array" aca="1" ref="F483" ca="1">IFERROR(INDEX(ft_enfermeiros!$C:$C, MATCH(1, (VALUE(LEFT(ft_enfermeiros!$A:$A,6))=VALUE(LEFT(B483,6)))*(ft_enfermeiros!$B:$B=C483), 0)), "")</f>
        <v>722</v>
      </c>
      <c r="G483" t="str" cm="1">
        <f t="array" aca="1" ref="G483" ca="1">IFERROR(INDEX(ft_equipes_acs!$C:$C, MATCH(1, (VALUE(LEFT(ft_equipes_acs!$A:$A,6))=VALUE(LEFT(B483,6)))*(ft_equipes_acs!$B:$B=C483), 0)), "")</f>
        <v/>
      </c>
      <c r="H483" cm="1">
        <f t="array" aca="1" ref="H483" ca="1">IFERROR(INDEX(ci_leitos_internacao!$C:$C, MATCH(1, (VALUE(LEFT(ci_leitos_internacao!$A:$A,6))=VALUE(LEFT(B483,6)))*(ci_leitos_internacao!$B:$B=C483), 0)), "")</f>
        <v>734</v>
      </c>
      <c r="I483" cm="1">
        <f t="array" aca="1" ref="I483" ca="1">IFERROR(INDEX(ci_hospitais_internacao!$C:$C, MATCH(1, (VALUE(LEFT(ci_hospitais_internacao!$A:$A,6))=VALUE(LEFT(B483,6)))*(ci_hospitais_internacao!$B:$B=C483), 0)), "")</f>
        <v>4</v>
      </c>
      <c r="J483" cm="1">
        <f t="array" aca="1" ref="J483" ca="1">IFERROR(INDEX(ci_pa_clinico!$C:$C, MATCH(1, (VALUE(LEFT(ci_pa_clinico!$A:$A,6))=VALUE(LEFT(B483,6)))*(ci_pa_clinico!$B:$B=C483), 0)), "")</f>
        <v>2</v>
      </c>
      <c r="K483" t="str" cm="1">
        <f t="array" aca="1" ref="K483" ca="1">IFERROR(INDEX(aps_equipes_esf!$C:$C, MATCH(1, (VALUE(LEFT(aps_equipes_esf!$A:$A,6))=VALUE(LEFT(B483,6)))*(aps_equipes_esf!$B:$B=C483), 0)), "")</f>
        <v>-</v>
      </c>
      <c r="L483" cm="1">
        <f t="array" aca="1" ref="L483" ca="1">IFERROR(INDEX(casos!$C:$C, MATCH(1, (VALUE(LEFT(casos!$A:$A,6))=VALUE(LEFT(B483,6)))*(casos!$B:$B=C483), 0)), "")</f>
        <v>3330</v>
      </c>
      <c r="M483" cm="1">
        <f t="array" ref="M483">IFERROR(INDEX(srag!$D:$D, MATCH(1, (VALUE(LEFT(srag!$A:$A,6))=VALUE(LEFT(B483,6)))*(srag!$C:$C=C483), 0)), "")</f>
        <v>1646</v>
      </c>
      <c r="N483" cm="1">
        <f t="array" aca="1" ref="N483" ca="1">IFERROR(INDEX(fesp!$E:$E, MATCH(1, (VALUE(LEFT(fesp!$A:$A,6))=VALUE(LEFT(B483,6)))*(fesp!$C:$C=C483), 0)), "")</f>
        <v>99</v>
      </c>
      <c r="O483" cm="1">
        <f t="array" aca="1" ref="O483" ca="1">IFERROR(INDEX(fesp!$F:$F, MATCH(1, (VALUE(LEFT(fesp!$A:$A,6))=VALUE(LEFT(B483,6)))*(fesp!$C:$C=C483), 0)), "")</f>
        <v>2635</v>
      </c>
      <c r="P483" cm="1">
        <f t="array" aca="1" ref="P483" ca="1">IFERROR(INDEX(fesp!$G:$G, MATCH(1, (VALUE(LEFT(fesp!$A:$A,6))=VALUE(LEFT(B483,6)))*(fesp!$C:$C=C483), 0)), "")</f>
        <v>2427371</v>
      </c>
      <c r="Q483" cm="1">
        <f t="array" aca="1" ref="Q483" ca="1">IFERROR(INDEX(fesp!$H:$H, MATCH(1, (VALUE(LEFT(fesp!$A:$A,6))=VALUE(LEFT(B483,6)))*(fesp!$C:$C=C483), 0)), "")</f>
        <v>123</v>
      </c>
      <c r="R483" cm="1">
        <f t="array" aca="1" ref="R483" ca="1">IFERROR(INDEX(fesp!$I:$I, MATCH(1, (VALUE(LEFT(fesp!$A:$A,6))=VALUE(LEFT(B483,6)))*(fesp!$C:$C=C483), 0)), "")</f>
        <v>5026</v>
      </c>
      <c r="S483" cm="1">
        <f t="array" aca="1" ref="S483" ca="1">IFERROR(INDEX(fesp!$J:$J, MATCH(1, (VALUE(LEFT(fesp!$A:$A,6))=VALUE(LEFT(B483,6)))*(fesp!$C:$C=C483), 0)), "")</f>
        <v>15347</v>
      </c>
    </row>
    <row r="484" spans="1:19">
      <c r="A484" s="1" t="s">
        <v>111</v>
      </c>
      <c r="B484" s="3" t="s">
        <v>110</v>
      </c>
      <c r="C484" s="3">
        <v>2024</v>
      </c>
      <c r="D484" cm="1">
        <f t="array" ref="D484">IFERROR(INDEX(fesp!$D:$D, MATCH(1, (VALUE(LEFT(fesp!$A:$A,6))=VALUE(LEFT(B484,6)))*(fesp!$C:$C=C484), 0)), "")</f>
        <v>0</v>
      </c>
      <c r="E484" cm="1">
        <f t="array" aca="1" ref="E484" ca="1">IFERROR(INDEX(ft_medicos_clinicos!$C:$C, MATCH(1, (VALUE(LEFT(ft_medicos_clinicos!$A:$A,6))=VALUE(LEFT(B484,6)))*(ft_medicos_clinicos!$B:$B=C484), 0)), "")</f>
        <v>542</v>
      </c>
      <c r="F484" cm="1">
        <f t="array" aca="1" ref="F484" ca="1">IFERROR(INDEX(ft_enfermeiros!$C:$C, MATCH(1, (VALUE(LEFT(ft_enfermeiros!$A:$A,6))=VALUE(LEFT(B484,6)))*(ft_enfermeiros!$B:$B=C484), 0)), "")</f>
        <v>777</v>
      </c>
      <c r="G484" t="str" cm="1">
        <f t="array" aca="1" ref="G484" ca="1">IFERROR(INDEX(ft_equipes_acs!$C:$C, MATCH(1, (VALUE(LEFT(ft_equipes_acs!$A:$A,6))=VALUE(LEFT(B484,6)))*(ft_equipes_acs!$B:$B=C484), 0)), "")</f>
        <v/>
      </c>
      <c r="H484" cm="1">
        <f t="array" aca="1" ref="H484" ca="1">IFERROR(INDEX(ci_leitos_internacao!$C:$C, MATCH(1, (VALUE(LEFT(ci_leitos_internacao!$A:$A,6))=VALUE(LEFT(B484,6)))*(ci_leitos_internacao!$B:$B=C484), 0)), "")</f>
        <v>766</v>
      </c>
      <c r="I484" cm="1">
        <f t="array" aca="1" ref="I484" ca="1">IFERROR(INDEX(ci_hospitais_internacao!$C:$C, MATCH(1, (VALUE(LEFT(ci_hospitais_internacao!$A:$A,6))=VALUE(LEFT(B484,6)))*(ci_hospitais_internacao!$B:$B=C484), 0)), "")</f>
        <v>4</v>
      </c>
      <c r="J484" cm="1">
        <f t="array" aca="1" ref="J484" ca="1">IFERROR(INDEX(ci_pa_clinico!$C:$C, MATCH(1, (VALUE(LEFT(ci_pa_clinico!$A:$A,6))=VALUE(LEFT(B484,6)))*(ci_pa_clinico!$B:$B=C484), 0)), "")</f>
        <v>2</v>
      </c>
      <c r="K484" t="str" cm="1">
        <f t="array" aca="1" ref="K484" ca="1">IFERROR(INDEX(aps_equipes_esf!$C:$C, MATCH(1, (VALUE(LEFT(aps_equipes_esf!$A:$A,6))=VALUE(LEFT(B484,6)))*(aps_equipes_esf!$B:$B=C484), 0)), "")</f>
        <v>-</v>
      </c>
      <c r="L484" cm="1">
        <f t="array" aca="1" ref="L484" ca="1">IFERROR(INDEX(casos!$C:$C, MATCH(1, (VALUE(LEFT(casos!$A:$A,6))=VALUE(LEFT(B484,6)))*(casos!$B:$B=C484), 0)), "")</f>
        <v>30136</v>
      </c>
      <c r="M484" cm="1">
        <f t="array" ref="M484">IFERROR(INDEX(srag!$D:$D, MATCH(1, (VALUE(LEFT(srag!$A:$A,6))=VALUE(LEFT(B484,6)))*(srag!$C:$C=C484), 0)), "")</f>
        <v>652</v>
      </c>
      <c r="N484" cm="1">
        <f t="array" aca="1" ref="N484" ca="1">IFERROR(INDEX(fesp!$E:$E, MATCH(1, (VALUE(LEFT(fesp!$A:$A,6))=VALUE(LEFT(B484,6)))*(fesp!$C:$C=C484), 0)), "")</f>
        <v>97</v>
      </c>
      <c r="O484" cm="1">
        <f t="array" aca="1" ref="O484" ca="1">IFERROR(INDEX(fesp!$F:$F, MATCH(1, (VALUE(LEFT(fesp!$A:$A,6))=VALUE(LEFT(B484,6)))*(fesp!$C:$C=C484), 0)), "")</f>
        <v>9359</v>
      </c>
      <c r="P484" cm="1">
        <f t="array" aca="1" ref="P484" ca="1">IFERROR(INDEX(fesp!$G:$G, MATCH(1, (VALUE(LEFT(fesp!$A:$A,6))=VALUE(LEFT(B484,6)))*(fesp!$C:$C=C484), 0)), "")</f>
        <v>3404885</v>
      </c>
      <c r="Q484" cm="1">
        <f t="array" aca="1" ref="Q484" ca="1">IFERROR(INDEX(fesp!$H:$H, MATCH(1, (VALUE(LEFT(fesp!$A:$A,6))=VALUE(LEFT(B484,6)))*(fesp!$C:$C=C484), 0)), "")</f>
        <v>162</v>
      </c>
      <c r="R484" cm="1">
        <f t="array" aca="1" ref="R484" ca="1">IFERROR(INDEX(fesp!$I:$I, MATCH(1, (VALUE(LEFT(fesp!$A:$A,6))=VALUE(LEFT(B484,6)))*(fesp!$C:$C=C484), 0)), "")</f>
        <v>4311</v>
      </c>
      <c r="S484" cm="1">
        <f t="array" aca="1" ref="S484" ca="1">IFERROR(INDEX(fesp!$J:$J, MATCH(1, (VALUE(LEFT(fesp!$A:$A,6))=VALUE(LEFT(B484,6)))*(fesp!$C:$C=C484), 0)), "")</f>
        <v>3971</v>
      </c>
    </row>
    <row r="485" spans="1:19">
      <c r="A485" s="1" t="s">
        <v>111</v>
      </c>
      <c r="B485" s="3">
        <v>3538709</v>
      </c>
      <c r="C485" s="3">
        <v>2025</v>
      </c>
      <c r="D485" cm="1">
        <f t="array" ref="D485">IFERROR(INDEX(fesp!$D:$D, MATCH(1, (VALUE(LEFT(fesp!$A:$A,6))=VALUE(LEFT(B485,6)))*(fesp!$C:$C=C485), 0)), "")</f>
        <v>0</v>
      </c>
      <c r="E485" cm="1">
        <f t="array" aca="1" ref="E485" ca="1">IFERROR(INDEX(ft_medicos_clinicos!$C:$C, MATCH(1, (VALUE(LEFT(ft_medicos_clinicos!$A:$A,6))=VALUE(LEFT(B485,6)))*(ft_medicos_clinicos!$B:$B=C485), 0)), "")</f>
        <v>541</v>
      </c>
      <c r="F485" cm="1">
        <f t="array" aca="1" ref="F485" ca="1">IFERROR(INDEX(ft_enfermeiros!$C:$C, MATCH(1, (VALUE(LEFT(ft_enfermeiros!$A:$A,6))=VALUE(LEFT(B485,6)))*(ft_enfermeiros!$B:$B=C485), 0)), "")</f>
        <v>835</v>
      </c>
      <c r="G485" t="str" cm="1">
        <f t="array" aca="1" ref="G485" ca="1">IFERROR(INDEX(ft_equipes_acs!$C:$C, MATCH(1, (VALUE(LEFT(ft_equipes_acs!$A:$A,6))=VALUE(LEFT(B485,6)))*(ft_equipes_acs!$B:$B=C485), 0)), "")</f>
        <v/>
      </c>
      <c r="H485" cm="1">
        <f t="array" aca="1" ref="H485" ca="1">IFERROR(INDEX(ci_leitos_internacao!$C:$C, MATCH(1, (VALUE(LEFT(ci_leitos_internacao!$A:$A,6))=VALUE(LEFT(B485,6)))*(ci_leitos_internacao!$B:$B=C485), 0)), "")</f>
        <v>766</v>
      </c>
      <c r="I485" cm="1">
        <f t="array" aca="1" ref="I485" ca="1">IFERROR(INDEX(ci_hospitais_internacao!$C:$C, MATCH(1, (VALUE(LEFT(ci_hospitais_internacao!$A:$A,6))=VALUE(LEFT(B485,6)))*(ci_hospitais_internacao!$B:$B=C485), 0)), "")</f>
        <v>4</v>
      </c>
      <c r="J485" cm="1">
        <f t="array" aca="1" ref="J485" ca="1">IFERROR(INDEX(ci_pa_clinico!$C:$C, MATCH(1, (VALUE(LEFT(ci_pa_clinico!$A:$A,6))=VALUE(LEFT(B485,6)))*(ci_pa_clinico!$B:$B=C485), 0)), "")</f>
        <v>3</v>
      </c>
      <c r="K485" t="str" cm="1">
        <f t="array" aca="1" ref="K485" ca="1">IFERROR(INDEX(aps_equipes_esf!$C:$C, MATCH(1, (VALUE(LEFT(aps_equipes_esf!$A:$A,6))=VALUE(LEFT(B485,6)))*(aps_equipes_esf!$B:$B=C485), 0)), "")</f>
        <v>-</v>
      </c>
      <c r="L485" cm="1">
        <f t="array" aca="1" ref="L485" ca="1">IFERROR(INDEX(casos!$C:$C, MATCH(1, (VALUE(LEFT(casos!$A:$A,6))=VALUE(LEFT(B485,6)))*(casos!$B:$B=C485), 0)), "")</f>
        <v>6189</v>
      </c>
      <c r="M485" cm="1">
        <f t="array" ref="M485">IFERROR(INDEX(srag!$D:$D, MATCH(1, (VALUE(LEFT(srag!$A:$A,6))=VALUE(LEFT(B485,6)))*(srag!$C:$C=C485), 0)), "")</f>
        <v>590</v>
      </c>
      <c r="N485" cm="1">
        <f t="array" aca="1" ref="N485" ca="1">IFERROR(INDEX(fesp!$E:$E, MATCH(1, (VALUE(LEFT(fesp!$A:$A,6))=VALUE(LEFT(B485,6)))*(fesp!$C:$C=C485), 0)), "")</f>
        <v>83</v>
      </c>
      <c r="O485" cm="1">
        <f t="array" aca="1" ref="O485" ca="1">IFERROR(INDEX(fesp!$F:$F, MATCH(1, (VALUE(LEFT(fesp!$A:$A,6))=VALUE(LEFT(B485,6)))*(fesp!$C:$C=C485), 0)), "")</f>
        <v>3339</v>
      </c>
      <c r="P485" cm="1">
        <f t="array" aca="1" ref="P485" ca="1">IFERROR(INDEX(fesp!$G:$G, MATCH(1, (VALUE(LEFT(fesp!$A:$A,6))=VALUE(LEFT(B485,6)))*(fesp!$C:$C=C485), 0)), "")</f>
        <v>3050463</v>
      </c>
      <c r="Q485" cm="1">
        <f t="array" aca="1" ref="Q485" ca="1">IFERROR(INDEX(fesp!$H:$H, MATCH(1, (VALUE(LEFT(fesp!$A:$A,6))=VALUE(LEFT(B485,6)))*(fesp!$C:$C=C485), 0)), "")</f>
        <v>154</v>
      </c>
      <c r="R485" cm="1">
        <f t="array" aca="1" ref="R485" ca="1">IFERROR(INDEX(fesp!$I:$I, MATCH(1, (VALUE(LEFT(fesp!$A:$A,6))=VALUE(LEFT(B485,6)))*(fesp!$C:$C=C485), 0)), "")</f>
        <v>5194</v>
      </c>
      <c r="S485" cm="1">
        <f t="array" aca="1" ref="S485" ca="1">IFERROR(INDEX(fesp!$J:$J, MATCH(1, (VALUE(LEFT(fesp!$A:$A,6))=VALUE(LEFT(B485,6)))*(fesp!$C:$C=C485), 0)), "")</f>
        <v>24836</v>
      </c>
    </row>
    <row r="486" spans="1:19">
      <c r="A486" s="1" t="s">
        <v>57</v>
      </c>
      <c r="B486" s="3">
        <v>3543402</v>
      </c>
      <c r="C486" s="3">
        <v>2015</v>
      </c>
      <c r="D486" cm="1">
        <f t="array" ref="D486">IFERROR(INDEX(fesp!$D:$D, MATCH(1, (VALUE(LEFT(fesp!$A:$A,6))=VALUE(LEFT(B486,6)))*(fesp!$C:$C=C486), 0)), "")</f>
        <v>666323</v>
      </c>
      <c r="E486" cm="1">
        <f t="array" aca="1" ref="E486" ca="1">IFERROR(INDEX(ft_medicos_clinicos!$C:$C, MATCH(1, (VALUE(LEFT(ft_medicos_clinicos!$A:$A,6))=VALUE(LEFT(B486,6)))*(ft_medicos_clinicos!$B:$B=C486), 0)), "")</f>
        <v>329</v>
      </c>
      <c r="F486" cm="1">
        <f t="array" aca="1" ref="F486" ca="1">IFERROR(INDEX(ft_enfermeiros!$C:$C, MATCH(1, (VALUE(LEFT(ft_enfermeiros!$A:$A,6))=VALUE(LEFT(B486,6)))*(ft_enfermeiros!$B:$B=C486), 0)), "")</f>
        <v>958</v>
      </c>
      <c r="G486" cm="1">
        <f t="array" aca="1" ref="G486" ca="1">IFERROR(INDEX(ft_equipes_acs!$C:$C, MATCH(1, (VALUE(LEFT(ft_equipes_acs!$A:$A,6))=VALUE(LEFT(B486,6)))*(ft_equipes_acs!$B:$B=C486), 0)), "")</f>
        <v>13</v>
      </c>
      <c r="H486" cm="1">
        <f t="array" aca="1" ref="H486" ca="1">IFERROR(INDEX(ci_leitos_internacao!$C:$C, MATCH(1, (VALUE(LEFT(ci_leitos_internacao!$A:$A,6))=VALUE(LEFT(B486,6)))*(ci_leitos_internacao!$B:$B=C486), 0)), "")</f>
        <v>2044</v>
      </c>
      <c r="I486" cm="1">
        <f t="array" aca="1" ref="I486" ca="1">IFERROR(INDEX(ci_hospitais_internacao!$C:$C, MATCH(1, (VALUE(LEFT(ci_hospitais_internacao!$A:$A,6))=VALUE(LEFT(B486,6)))*(ci_hospitais_internacao!$B:$B=C486), 0)), "")</f>
        <v>9</v>
      </c>
      <c r="J486" t="str" cm="1">
        <f t="array" aca="1" ref="J486" ca="1">IFERROR(INDEX(ci_pa_clinico!$C:$C, MATCH(1, (VALUE(LEFT(ci_pa_clinico!$A:$A,6))=VALUE(LEFT(B486,6)))*(ci_pa_clinico!$B:$B=C486), 0)), "")</f>
        <v/>
      </c>
      <c r="K486" cm="1">
        <f t="array" aca="1" ref="K486" ca="1">IFERROR(INDEX(aps_equipes_esf!$C:$C, MATCH(1, (VALUE(LEFT(aps_equipes_esf!$A:$A,6))=VALUE(LEFT(B486,6)))*(aps_equipes_esf!$B:$B=C486), 0)), "")</f>
        <v>18</v>
      </c>
      <c r="L486" cm="1">
        <f t="array" aca="1" ref="L486" ca="1">IFERROR(INDEX(casos!$C:$C, MATCH(1, (VALUE(LEFT(casos!$A:$A,6))=VALUE(LEFT(B486,6)))*(casos!$B:$B=C486), 0)), "")</f>
        <v>5585</v>
      </c>
      <c r="M486" cm="1">
        <f t="array" ref="M486">IFERROR(INDEX(srag!$D:$D, MATCH(1, (VALUE(LEFT(srag!$A:$A,6))=VALUE(LEFT(B486,6)))*(srag!$C:$C=C486), 0)), "")</f>
        <v>72</v>
      </c>
      <c r="N486" cm="1">
        <f t="array" aca="1" ref="N486" ca="1">IFERROR(INDEX(fesp!$E:$E, MATCH(1, (VALUE(LEFT(fesp!$A:$A,6))=VALUE(LEFT(B486,6)))*(fesp!$C:$C=C486), 0)), "")</f>
        <v>441</v>
      </c>
      <c r="O486" cm="1">
        <f t="array" aca="1" ref="O486" ca="1">IFERROR(INDEX(fesp!$F:$F, MATCH(1, (VALUE(LEFT(fesp!$A:$A,6))=VALUE(LEFT(B486,6)))*(fesp!$C:$C=C486), 0)), "")</f>
        <v>9874</v>
      </c>
      <c r="P486" cm="1">
        <f t="array" aca="1" ref="P486" ca="1">IFERROR(INDEX(fesp!$G:$G, MATCH(1, (VALUE(LEFT(fesp!$A:$A,6))=VALUE(LEFT(B486,6)))*(fesp!$C:$C=C486), 0)), "")</f>
        <v>5807582</v>
      </c>
      <c r="Q486" cm="1">
        <f t="array" aca="1" ref="Q486" ca="1">IFERROR(INDEX(fesp!$H:$H, MATCH(1, (VALUE(LEFT(fesp!$A:$A,6))=VALUE(LEFT(B486,6)))*(fesp!$C:$C=C486), 0)), "")</f>
        <v>170</v>
      </c>
      <c r="R486" cm="1">
        <f t="array" aca="1" ref="R486" ca="1">IFERROR(INDEX(fesp!$I:$I, MATCH(1, (VALUE(LEFT(fesp!$A:$A,6))=VALUE(LEFT(B486,6)))*(fesp!$C:$C=C486), 0)), "")</f>
        <v>42701</v>
      </c>
      <c r="S486" cm="1">
        <f t="array" aca="1" ref="S486" ca="1">IFERROR(INDEX(fesp!$J:$J, MATCH(1, (VALUE(LEFT(fesp!$A:$A,6))=VALUE(LEFT(B486,6)))*(fesp!$C:$C=C486), 0)), "")</f>
        <v>419211</v>
      </c>
    </row>
    <row r="487" spans="1:19">
      <c r="A487" s="1" t="s">
        <v>57</v>
      </c>
      <c r="B487" s="3">
        <v>3543402</v>
      </c>
      <c r="C487" s="3">
        <v>2016</v>
      </c>
      <c r="D487" cm="1">
        <f t="array" ref="D487">IFERROR(INDEX(fesp!$D:$D, MATCH(1, (VALUE(LEFT(fesp!$A:$A,6))=VALUE(LEFT(B487,6)))*(fesp!$C:$C=C487), 0)), "")</f>
        <v>0</v>
      </c>
      <c r="E487" cm="1">
        <f t="array" aca="1" ref="E487" ca="1">IFERROR(INDEX(ft_medicos_clinicos!$C:$C, MATCH(1, (VALUE(LEFT(ft_medicos_clinicos!$A:$A,6))=VALUE(LEFT(B487,6)))*(ft_medicos_clinicos!$B:$B=C487), 0)), "")</f>
        <v>344</v>
      </c>
      <c r="F487" cm="1">
        <f t="array" aca="1" ref="F487" ca="1">IFERROR(INDEX(ft_enfermeiros!$C:$C, MATCH(1, (VALUE(LEFT(ft_enfermeiros!$A:$A,6))=VALUE(LEFT(B487,6)))*(ft_enfermeiros!$B:$B=C487), 0)), "")</f>
        <v>1048</v>
      </c>
      <c r="G487" cm="1">
        <f t="array" aca="1" ref="G487" ca="1">IFERROR(INDEX(ft_equipes_acs!$C:$C, MATCH(1, (VALUE(LEFT(ft_equipes_acs!$A:$A,6))=VALUE(LEFT(B487,6)))*(ft_equipes_acs!$B:$B=C487), 0)), "")</f>
        <v>14</v>
      </c>
      <c r="H487" cm="1">
        <f t="array" aca="1" ref="H487" ca="1">IFERROR(INDEX(ci_leitos_internacao!$C:$C, MATCH(1, (VALUE(LEFT(ci_leitos_internacao!$A:$A,6))=VALUE(LEFT(B487,6)))*(ci_leitos_internacao!$B:$B=C487), 0)), "")</f>
        <v>2160</v>
      </c>
      <c r="I487" cm="1">
        <f t="array" aca="1" ref="I487" ca="1">IFERROR(INDEX(ci_hospitais_internacao!$C:$C, MATCH(1, (VALUE(LEFT(ci_hospitais_internacao!$A:$A,6))=VALUE(LEFT(B487,6)))*(ci_hospitais_internacao!$B:$B=C487), 0)), "")</f>
        <v>9</v>
      </c>
      <c r="J487" t="str" cm="1">
        <f t="array" aca="1" ref="J487" ca="1">IFERROR(INDEX(ci_pa_clinico!$C:$C, MATCH(1, (VALUE(LEFT(ci_pa_clinico!$A:$A,6))=VALUE(LEFT(B487,6)))*(ci_pa_clinico!$B:$B=C487), 0)), "")</f>
        <v/>
      </c>
      <c r="K487" cm="1">
        <f t="array" aca="1" ref="K487" ca="1">IFERROR(INDEX(aps_equipes_esf!$C:$C, MATCH(1, (VALUE(LEFT(aps_equipes_esf!$A:$A,6))=VALUE(LEFT(B487,6)))*(aps_equipes_esf!$B:$B=C487), 0)), "")</f>
        <v>20</v>
      </c>
      <c r="L487" cm="1">
        <f t="array" aca="1" ref="L487" ca="1">IFERROR(INDEX(casos!$C:$C, MATCH(1, (VALUE(LEFT(casos!$A:$A,6))=VALUE(LEFT(B487,6)))*(casos!$B:$B=C487), 0)), "")</f>
        <v>36251</v>
      </c>
      <c r="M487" cm="1">
        <f t="array" ref="M487">IFERROR(INDEX(srag!$D:$D, MATCH(1, (VALUE(LEFT(srag!$A:$A,6))=VALUE(LEFT(B487,6)))*(srag!$C:$C=C487), 0)), "")</f>
        <v>473</v>
      </c>
      <c r="N487" cm="1">
        <f t="array" aca="1" ref="N487" ca="1">IFERROR(INDEX(fesp!$E:$E, MATCH(1, (VALUE(LEFT(fesp!$A:$A,6))=VALUE(LEFT(B487,6)))*(fesp!$C:$C=C487), 0)), "")</f>
        <v>426</v>
      </c>
      <c r="O487" cm="1">
        <f t="array" aca="1" ref="O487" ca="1">IFERROR(INDEX(fesp!$F:$F, MATCH(1, (VALUE(LEFT(fesp!$A:$A,6))=VALUE(LEFT(B487,6)))*(fesp!$C:$C=C487), 0)), "")</f>
        <v>8808</v>
      </c>
      <c r="P487" cm="1">
        <f t="array" aca="1" ref="P487" ca="1">IFERROR(INDEX(fesp!$G:$G, MATCH(1, (VALUE(LEFT(fesp!$A:$A,6))=VALUE(LEFT(B487,6)))*(fesp!$C:$C=C487), 0)), "")</f>
        <v>6600071</v>
      </c>
      <c r="Q487" cm="1">
        <f t="array" aca="1" ref="Q487" ca="1">IFERROR(INDEX(fesp!$H:$H, MATCH(1, (VALUE(LEFT(fesp!$A:$A,6))=VALUE(LEFT(B487,6)))*(fesp!$C:$C=C487), 0)), "")</f>
        <v>187</v>
      </c>
      <c r="R487" cm="1">
        <f t="array" aca="1" ref="R487" ca="1">IFERROR(INDEX(fesp!$I:$I, MATCH(1, (VALUE(LEFT(fesp!$A:$A,6))=VALUE(LEFT(B487,6)))*(fesp!$C:$C=C487), 0)), "")</f>
        <v>39785</v>
      </c>
      <c r="S487" cm="1">
        <f t="array" aca="1" ref="S487" ca="1">IFERROR(INDEX(fesp!$J:$J, MATCH(1, (VALUE(LEFT(fesp!$A:$A,6))=VALUE(LEFT(B487,6)))*(fesp!$C:$C=C487), 0)), "")</f>
        <v>479828</v>
      </c>
    </row>
    <row r="488" spans="1:19">
      <c r="A488" s="1" t="s">
        <v>57</v>
      </c>
      <c r="B488" s="3">
        <v>3543402</v>
      </c>
      <c r="C488" s="3">
        <v>2017</v>
      </c>
      <c r="D488" cm="1">
        <f t="array" ref="D488">IFERROR(INDEX(fesp!$D:$D, MATCH(1, (VALUE(LEFT(fesp!$A:$A,6))=VALUE(LEFT(B488,6)))*(fesp!$C:$C=C488), 0)), "")</f>
        <v>0</v>
      </c>
      <c r="E488" cm="1">
        <f t="array" aca="1" ref="E488" ca="1">IFERROR(INDEX(ft_medicos_clinicos!$C:$C, MATCH(1, (VALUE(LEFT(ft_medicos_clinicos!$A:$A,6))=VALUE(LEFT(B488,6)))*(ft_medicos_clinicos!$B:$B=C488), 0)), "")</f>
        <v>325</v>
      </c>
      <c r="F488" cm="1">
        <f t="array" aca="1" ref="F488" ca="1">IFERROR(INDEX(ft_enfermeiros!$C:$C, MATCH(1, (VALUE(LEFT(ft_enfermeiros!$A:$A,6))=VALUE(LEFT(B488,6)))*(ft_enfermeiros!$B:$B=C488), 0)), "")</f>
        <v>1139</v>
      </c>
      <c r="G488" cm="1">
        <f t="array" aca="1" ref="G488" ca="1">IFERROR(INDEX(ft_equipes_acs!$C:$C, MATCH(1, (VALUE(LEFT(ft_equipes_acs!$A:$A,6))=VALUE(LEFT(B488,6)))*(ft_equipes_acs!$B:$B=C488), 0)), "")</f>
        <v>13</v>
      </c>
      <c r="H488" cm="1">
        <f t="array" aca="1" ref="H488" ca="1">IFERROR(INDEX(ci_leitos_internacao!$C:$C, MATCH(1, (VALUE(LEFT(ci_leitos_internacao!$A:$A,6))=VALUE(LEFT(B488,6)))*(ci_leitos_internacao!$B:$B=C488), 0)), "")</f>
        <v>2160</v>
      </c>
      <c r="I488" cm="1">
        <f t="array" aca="1" ref="I488" ca="1">IFERROR(INDEX(ci_hospitais_internacao!$C:$C, MATCH(1, (VALUE(LEFT(ci_hospitais_internacao!$A:$A,6))=VALUE(LEFT(B488,6)))*(ci_hospitais_internacao!$B:$B=C488), 0)), "")</f>
        <v>9</v>
      </c>
      <c r="J488" t="str" cm="1">
        <f t="array" aca="1" ref="J488" ca="1">IFERROR(INDEX(ci_pa_clinico!$C:$C, MATCH(1, (VALUE(LEFT(ci_pa_clinico!$A:$A,6))=VALUE(LEFT(B488,6)))*(ci_pa_clinico!$B:$B=C488), 0)), "")</f>
        <v/>
      </c>
      <c r="K488" cm="1">
        <f t="array" aca="1" ref="K488" ca="1">IFERROR(INDEX(aps_equipes_esf!$C:$C, MATCH(1, (VALUE(LEFT(aps_equipes_esf!$A:$A,6))=VALUE(LEFT(B488,6)))*(aps_equipes_esf!$B:$B=C488), 0)), "")</f>
        <v>20</v>
      </c>
      <c r="L488" cm="1">
        <f t="array" aca="1" ref="L488" ca="1">IFERROR(INDEX(casos!$C:$C, MATCH(1, (VALUE(LEFT(casos!$A:$A,6))=VALUE(LEFT(B488,6)))*(casos!$B:$B=C488), 0)), "")</f>
        <v>288</v>
      </c>
      <c r="M488" cm="1">
        <f t="array" ref="M488">IFERROR(INDEX(srag!$D:$D, MATCH(1, (VALUE(LEFT(srag!$A:$A,6))=VALUE(LEFT(B488,6)))*(srag!$C:$C=C488), 0)), "")</f>
        <v>212</v>
      </c>
      <c r="N488" cm="1">
        <f t="array" aca="1" ref="N488" ca="1">IFERROR(INDEX(fesp!$E:$E, MATCH(1, (VALUE(LEFT(fesp!$A:$A,6))=VALUE(LEFT(B488,6)))*(fesp!$C:$C=C488), 0)), "")</f>
        <v>423</v>
      </c>
      <c r="O488" cm="1">
        <f t="array" aca="1" ref="O488" ca="1">IFERROR(INDEX(fesp!$F:$F, MATCH(1, (VALUE(LEFT(fesp!$A:$A,6))=VALUE(LEFT(B488,6)))*(fesp!$C:$C=C488), 0)), "")</f>
        <v>9284</v>
      </c>
      <c r="P488" cm="1">
        <f t="array" aca="1" ref="P488" ca="1">IFERROR(INDEX(fesp!$G:$G, MATCH(1, (VALUE(LEFT(fesp!$A:$A,6))=VALUE(LEFT(B488,6)))*(fesp!$C:$C=C488), 0)), "")</f>
        <v>6794748</v>
      </c>
      <c r="Q488" cm="1">
        <f t="array" aca="1" ref="Q488" ca="1">IFERROR(INDEX(fesp!$H:$H, MATCH(1, (VALUE(LEFT(fesp!$A:$A,6))=VALUE(LEFT(B488,6)))*(fesp!$C:$C=C488), 0)), "")</f>
        <v>156</v>
      </c>
      <c r="R488" cm="1">
        <f t="array" aca="1" ref="R488" ca="1">IFERROR(INDEX(fesp!$I:$I, MATCH(1, (VALUE(LEFT(fesp!$A:$A,6))=VALUE(LEFT(B488,6)))*(fesp!$C:$C=C488), 0)), "")</f>
        <v>36837</v>
      </c>
      <c r="S488" cm="1">
        <f t="array" aca="1" ref="S488" ca="1">IFERROR(INDEX(fesp!$J:$J, MATCH(1, (VALUE(LEFT(fesp!$A:$A,6))=VALUE(LEFT(B488,6)))*(fesp!$C:$C=C488), 0)), "")</f>
        <v>463917</v>
      </c>
    </row>
    <row r="489" spans="1:19">
      <c r="A489" s="1" t="s">
        <v>57</v>
      </c>
      <c r="B489" s="3" t="s">
        <v>56</v>
      </c>
      <c r="C489" s="3">
        <v>2018</v>
      </c>
      <c r="D489" cm="1">
        <f t="array" ref="D489">IFERROR(INDEX(fesp!$D:$D, MATCH(1, (VALUE(LEFT(fesp!$A:$A,6))=VALUE(LEFT(B489,6)))*(fesp!$C:$C=C489), 0)), "")</f>
        <v>0</v>
      </c>
      <c r="E489" cm="1">
        <f t="array" aca="1" ref="E489" ca="1">IFERROR(INDEX(ft_medicos_clinicos!$C:$C, MATCH(1, (VALUE(LEFT(ft_medicos_clinicos!$A:$A,6))=VALUE(LEFT(B489,6)))*(ft_medicos_clinicos!$B:$B=C489), 0)), "")</f>
        <v>397</v>
      </c>
      <c r="F489" cm="1">
        <f t="array" aca="1" ref="F489" ca="1">IFERROR(INDEX(ft_enfermeiros!$C:$C, MATCH(1, (VALUE(LEFT(ft_enfermeiros!$A:$A,6))=VALUE(LEFT(B489,6)))*(ft_enfermeiros!$B:$B=C489), 0)), "")</f>
        <v>1205</v>
      </c>
      <c r="G489" cm="1">
        <f t="array" aca="1" ref="G489" ca="1">IFERROR(INDEX(ft_equipes_acs!$C:$C, MATCH(1, (VALUE(LEFT(ft_equipes_acs!$A:$A,6))=VALUE(LEFT(B489,6)))*(ft_equipes_acs!$B:$B=C489), 0)), "")</f>
        <v>13</v>
      </c>
      <c r="H489" cm="1">
        <f t="array" aca="1" ref="H489" ca="1">IFERROR(INDEX(ci_leitos_internacao!$C:$C, MATCH(1, (VALUE(LEFT(ci_leitos_internacao!$A:$A,6))=VALUE(LEFT(B489,6)))*(ci_leitos_internacao!$B:$B=C489), 0)), "")</f>
        <v>2188</v>
      </c>
      <c r="I489" cm="1">
        <f t="array" aca="1" ref="I489" ca="1">IFERROR(INDEX(ci_hospitais_internacao!$C:$C, MATCH(1, (VALUE(LEFT(ci_hospitais_internacao!$A:$A,6))=VALUE(LEFT(B489,6)))*(ci_hospitais_internacao!$B:$B=C489), 0)), "")</f>
        <v>9</v>
      </c>
      <c r="J489" t="str" cm="1">
        <f t="array" aca="1" ref="J489" ca="1">IFERROR(INDEX(ci_pa_clinico!$C:$C, MATCH(1, (VALUE(LEFT(ci_pa_clinico!$A:$A,6))=VALUE(LEFT(B489,6)))*(ci_pa_clinico!$B:$B=C489), 0)), "")</f>
        <v/>
      </c>
      <c r="K489" cm="1">
        <f t="array" aca="1" ref="K489" ca="1">IFERROR(INDEX(aps_equipes_esf!$C:$C, MATCH(1, (VALUE(LEFT(aps_equipes_esf!$A:$A,6))=VALUE(LEFT(B489,6)))*(aps_equipes_esf!$B:$B=C489), 0)), "")</f>
        <v>21</v>
      </c>
      <c r="L489" cm="1">
        <f t="array" aca="1" ref="L489" ca="1">IFERROR(INDEX(casos!$C:$C, MATCH(1, (VALUE(LEFT(casos!$A:$A,6))=VALUE(LEFT(B489,6)))*(casos!$B:$B=C489), 0)), "")</f>
        <v>285</v>
      </c>
      <c r="M489" cm="1">
        <f t="array" ref="M489">IFERROR(INDEX(srag!$D:$D, MATCH(1, (VALUE(LEFT(srag!$A:$A,6))=VALUE(LEFT(B489,6)))*(srag!$C:$C=C489), 0)), "")</f>
        <v>347</v>
      </c>
      <c r="N489" cm="1">
        <f t="array" aca="1" ref="N489" ca="1">IFERROR(INDEX(fesp!$E:$E, MATCH(1, (VALUE(LEFT(fesp!$A:$A,6))=VALUE(LEFT(B489,6)))*(fesp!$C:$C=C489), 0)), "")</f>
        <v>341</v>
      </c>
      <c r="O489" cm="1">
        <f t="array" aca="1" ref="O489" ca="1">IFERROR(INDEX(fesp!$F:$F, MATCH(1, (VALUE(LEFT(fesp!$A:$A,6))=VALUE(LEFT(B489,6)))*(fesp!$C:$C=C489), 0)), "")</f>
        <v>8471</v>
      </c>
      <c r="P489" cm="1">
        <f t="array" aca="1" ref="P489" ca="1">IFERROR(INDEX(fesp!$G:$G, MATCH(1, (VALUE(LEFT(fesp!$A:$A,6))=VALUE(LEFT(B489,6)))*(fesp!$C:$C=C489), 0)), "")</f>
        <v>6858031</v>
      </c>
      <c r="Q489" cm="1">
        <f t="array" aca="1" ref="Q489" ca="1">IFERROR(INDEX(fesp!$H:$H, MATCH(1, (VALUE(LEFT(fesp!$A:$A,6))=VALUE(LEFT(B489,6)))*(fesp!$C:$C=C489), 0)), "")</f>
        <v>141</v>
      </c>
      <c r="R489" cm="1">
        <f t="array" aca="1" ref="R489" ca="1">IFERROR(INDEX(fesp!$I:$I, MATCH(1, (VALUE(LEFT(fesp!$A:$A,6))=VALUE(LEFT(B489,6)))*(fesp!$C:$C=C489), 0)), "")</f>
        <v>24928</v>
      </c>
      <c r="S489" cm="1">
        <f t="array" aca="1" ref="S489" ca="1">IFERROR(INDEX(fesp!$J:$J, MATCH(1, (VALUE(LEFT(fesp!$A:$A,6))=VALUE(LEFT(B489,6)))*(fesp!$C:$C=C489), 0)), "")</f>
        <v>478766</v>
      </c>
    </row>
    <row r="490" spans="1:19">
      <c r="A490" s="1" t="s">
        <v>57</v>
      </c>
      <c r="B490" s="3" t="s">
        <v>56</v>
      </c>
      <c r="C490" s="3">
        <v>2019</v>
      </c>
      <c r="D490" cm="1">
        <f t="array" ref="D490">IFERROR(INDEX(fesp!$D:$D, MATCH(1, (VALUE(LEFT(fesp!$A:$A,6))=VALUE(LEFT(B490,6)))*(fesp!$C:$C=C490), 0)), "")</f>
        <v>0</v>
      </c>
      <c r="E490" cm="1">
        <f t="array" aca="1" ref="E490" ca="1">IFERROR(INDEX(ft_medicos_clinicos!$C:$C, MATCH(1, (VALUE(LEFT(ft_medicos_clinicos!$A:$A,6))=VALUE(LEFT(B490,6)))*(ft_medicos_clinicos!$B:$B=C490), 0)), "")</f>
        <v>445</v>
      </c>
      <c r="F490" cm="1">
        <f t="array" aca="1" ref="F490" ca="1">IFERROR(INDEX(ft_enfermeiros!$C:$C, MATCH(1, (VALUE(LEFT(ft_enfermeiros!$A:$A,6))=VALUE(LEFT(B490,6)))*(ft_enfermeiros!$B:$B=C490), 0)), "")</f>
        <v>1272</v>
      </c>
      <c r="G490" cm="1">
        <f t="array" aca="1" ref="G490" ca="1">IFERROR(INDEX(ft_equipes_acs!$C:$C, MATCH(1, (VALUE(LEFT(ft_equipes_acs!$A:$A,6))=VALUE(LEFT(B490,6)))*(ft_equipes_acs!$B:$B=C490), 0)), "")</f>
        <v>13</v>
      </c>
      <c r="H490" cm="1">
        <f t="array" aca="1" ref="H490" ca="1">IFERROR(INDEX(ci_leitos_internacao!$C:$C, MATCH(1, (VALUE(LEFT(ci_leitos_internacao!$A:$A,6))=VALUE(LEFT(B490,6)))*(ci_leitos_internacao!$B:$B=C490), 0)), "")</f>
        <v>2183</v>
      </c>
      <c r="I490" cm="1">
        <f t="array" aca="1" ref="I490" ca="1">IFERROR(INDEX(ci_hospitais_internacao!$C:$C, MATCH(1, (VALUE(LEFT(ci_hospitais_internacao!$A:$A,6))=VALUE(LEFT(B490,6)))*(ci_hospitais_internacao!$B:$B=C490), 0)), "")</f>
        <v>8</v>
      </c>
      <c r="J490" t="str" cm="1">
        <f t="array" aca="1" ref="J490" ca="1">IFERROR(INDEX(ci_pa_clinico!$C:$C, MATCH(1, (VALUE(LEFT(ci_pa_clinico!$A:$A,6))=VALUE(LEFT(B490,6)))*(ci_pa_clinico!$B:$B=C490), 0)), "")</f>
        <v/>
      </c>
      <c r="K490" cm="1">
        <f t="array" aca="1" ref="K490" ca="1">IFERROR(INDEX(aps_equipes_esf!$C:$C, MATCH(1, (VALUE(LEFT(aps_equipes_esf!$A:$A,6))=VALUE(LEFT(B490,6)))*(aps_equipes_esf!$B:$B=C490), 0)), "")</f>
        <v>24</v>
      </c>
      <c r="L490" cm="1">
        <f t="array" aca="1" ref="L490" ca="1">IFERROR(INDEX(casos!$C:$C, MATCH(1, (VALUE(LEFT(casos!$A:$A,6))=VALUE(LEFT(B490,6)))*(casos!$B:$B=C490), 0)), "")</f>
        <v>15367</v>
      </c>
      <c r="M490" cm="1">
        <f t="array" ref="M490">IFERROR(INDEX(srag!$D:$D, MATCH(1, (VALUE(LEFT(srag!$A:$A,6))=VALUE(LEFT(B490,6)))*(srag!$C:$C=C490), 0)), "")</f>
        <v>289</v>
      </c>
      <c r="N490" cm="1">
        <f t="array" aca="1" ref="N490" ca="1">IFERROR(INDEX(fesp!$E:$E, MATCH(1, (VALUE(LEFT(fesp!$A:$A,6))=VALUE(LEFT(B490,6)))*(fesp!$C:$C=C490), 0)), "")</f>
        <v>453</v>
      </c>
      <c r="O490" cm="1">
        <f t="array" aca="1" ref="O490" ca="1">IFERROR(INDEX(fesp!$F:$F, MATCH(1, (VALUE(LEFT(fesp!$A:$A,6))=VALUE(LEFT(B490,6)))*(fesp!$C:$C=C490), 0)), "")</f>
        <v>8116</v>
      </c>
      <c r="P490" cm="1">
        <f t="array" aca="1" ref="P490" ca="1">IFERROR(INDEX(fesp!$G:$G, MATCH(1, (VALUE(LEFT(fesp!$A:$A,6))=VALUE(LEFT(B490,6)))*(fesp!$C:$C=C490), 0)), "")</f>
        <v>6927693</v>
      </c>
      <c r="Q490" cm="1">
        <f t="array" aca="1" ref="Q490" ca="1">IFERROR(INDEX(fesp!$H:$H, MATCH(1, (VALUE(LEFT(fesp!$A:$A,6))=VALUE(LEFT(B490,6)))*(fesp!$C:$C=C490), 0)), "")</f>
        <v>124</v>
      </c>
      <c r="R490" cm="1">
        <f t="array" aca="1" ref="R490" ca="1">IFERROR(INDEX(fesp!$I:$I, MATCH(1, (VALUE(LEFT(fesp!$A:$A,6))=VALUE(LEFT(B490,6)))*(fesp!$C:$C=C490), 0)), "")</f>
        <v>24481</v>
      </c>
      <c r="S490" cm="1">
        <f t="array" aca="1" ref="S490" ca="1">IFERROR(INDEX(fesp!$J:$J, MATCH(1, (VALUE(LEFT(fesp!$A:$A,6))=VALUE(LEFT(B490,6)))*(fesp!$C:$C=C490), 0)), "")</f>
        <v>495624</v>
      </c>
    </row>
    <row r="491" spans="1:19">
      <c r="A491" s="1" t="s">
        <v>57</v>
      </c>
      <c r="B491" s="3" t="s">
        <v>56</v>
      </c>
      <c r="C491" s="3">
        <v>2020</v>
      </c>
      <c r="D491" cm="1">
        <f t="array" ref="D491">IFERROR(INDEX(fesp!$D:$D, MATCH(1, (VALUE(LEFT(fesp!$A:$A,6))=VALUE(LEFT(B491,6)))*(fesp!$C:$C=C491), 0)), "")</f>
        <v>0</v>
      </c>
      <c r="E491" cm="1">
        <f t="array" aca="1" ref="E491" ca="1">IFERROR(INDEX(ft_medicos_clinicos!$C:$C, MATCH(1, (VALUE(LEFT(ft_medicos_clinicos!$A:$A,6))=VALUE(LEFT(B491,6)))*(ft_medicos_clinicos!$B:$B=C491), 0)), "")</f>
        <v>579</v>
      </c>
      <c r="F491" cm="1">
        <f t="array" aca="1" ref="F491" ca="1">IFERROR(INDEX(ft_enfermeiros!$C:$C, MATCH(1, (VALUE(LEFT(ft_enfermeiros!$A:$A,6))=VALUE(LEFT(B491,6)))*(ft_enfermeiros!$B:$B=C491), 0)), "")</f>
        <v>1359</v>
      </c>
      <c r="G491" cm="1">
        <f t="array" aca="1" ref="G491" ca="1">IFERROR(INDEX(ft_equipes_acs!$C:$C, MATCH(1, (VALUE(LEFT(ft_equipes_acs!$A:$A,6))=VALUE(LEFT(B491,6)))*(ft_equipes_acs!$B:$B=C491), 0)), "")</f>
        <v>13</v>
      </c>
      <c r="H491" cm="1">
        <f t="array" aca="1" ref="H491" ca="1">IFERROR(INDEX(ci_leitos_internacao!$C:$C, MATCH(1, (VALUE(LEFT(ci_leitos_internacao!$A:$A,6))=VALUE(LEFT(B491,6)))*(ci_leitos_internacao!$B:$B=C491), 0)), "")</f>
        <v>2194</v>
      </c>
      <c r="I491" cm="1">
        <f t="array" aca="1" ref="I491" ca="1">IFERROR(INDEX(ci_hospitais_internacao!$C:$C, MATCH(1, (VALUE(LEFT(ci_hospitais_internacao!$A:$A,6))=VALUE(LEFT(B491,6)))*(ci_hospitais_internacao!$B:$B=C491), 0)), "")</f>
        <v>9</v>
      </c>
      <c r="J491" t="str" cm="1">
        <f t="array" aca="1" ref="J491" ca="1">IFERROR(INDEX(ci_pa_clinico!$C:$C, MATCH(1, (VALUE(LEFT(ci_pa_clinico!$A:$A,6))=VALUE(LEFT(B491,6)))*(ci_pa_clinico!$B:$B=C491), 0)), "")</f>
        <v/>
      </c>
      <c r="K491" t="str" cm="1">
        <f t="array" aca="1" ref="K491" ca="1">IFERROR(INDEX(aps_equipes_esf!$C:$C, MATCH(1, (VALUE(LEFT(aps_equipes_esf!$A:$A,6))=VALUE(LEFT(B491,6)))*(aps_equipes_esf!$B:$B=C491), 0)), "")</f>
        <v>-</v>
      </c>
      <c r="L491" cm="1">
        <f t="array" aca="1" ref="L491" ca="1">IFERROR(INDEX(casos!$C:$C, MATCH(1, (VALUE(LEFT(casos!$A:$A,6))=VALUE(LEFT(B491,6)))*(casos!$B:$B=C491), 0)), "")</f>
        <v>18303</v>
      </c>
      <c r="M491" cm="1">
        <f t="array" ref="M491">IFERROR(INDEX(srag!$D:$D, MATCH(1, (VALUE(LEFT(srag!$A:$A,6))=VALUE(LEFT(B491,6)))*(srag!$C:$C=C491), 0)), "")</f>
        <v>5119</v>
      </c>
      <c r="N491" cm="1">
        <f t="array" aca="1" ref="N491" ca="1">IFERROR(INDEX(fesp!$E:$E, MATCH(1, (VALUE(LEFT(fesp!$A:$A,6))=VALUE(LEFT(B491,6)))*(fesp!$C:$C=C491), 0)), "")</f>
        <v>316</v>
      </c>
      <c r="O491" cm="1">
        <f t="array" aca="1" ref="O491" ca="1">IFERROR(INDEX(fesp!$F:$F, MATCH(1, (VALUE(LEFT(fesp!$A:$A,6))=VALUE(LEFT(B491,6)))*(fesp!$C:$C=C491), 0)), "")</f>
        <v>4505</v>
      </c>
      <c r="P491" cm="1">
        <f t="array" aca="1" ref="P491" ca="1">IFERROR(INDEX(fesp!$G:$G, MATCH(1, (VALUE(LEFT(fesp!$A:$A,6))=VALUE(LEFT(B491,6)))*(fesp!$C:$C=C491), 0)), "")</f>
        <v>5254554</v>
      </c>
      <c r="Q491" cm="1">
        <f t="array" aca="1" ref="Q491" ca="1">IFERROR(INDEX(fesp!$H:$H, MATCH(1, (VALUE(LEFT(fesp!$A:$A,6))=VALUE(LEFT(B491,6)))*(fesp!$C:$C=C491), 0)), "")</f>
        <v>121</v>
      </c>
      <c r="R491" cm="1">
        <f t="array" aca="1" ref="R491" ca="1">IFERROR(INDEX(fesp!$I:$I, MATCH(1, (VALUE(LEFT(fesp!$A:$A,6))=VALUE(LEFT(B491,6)))*(fesp!$C:$C=C491), 0)), "")</f>
        <v>23479</v>
      </c>
      <c r="S491" cm="1">
        <f t="array" aca="1" ref="S491" ca="1">IFERROR(INDEX(fesp!$J:$J, MATCH(1, (VALUE(LEFT(fesp!$A:$A,6))=VALUE(LEFT(B491,6)))*(fesp!$C:$C=C491), 0)), "")</f>
        <v>328323</v>
      </c>
    </row>
    <row r="492" spans="1:19">
      <c r="A492" s="1" t="s">
        <v>57</v>
      </c>
      <c r="B492" s="3" t="s">
        <v>56</v>
      </c>
      <c r="C492" s="3">
        <v>2021</v>
      </c>
      <c r="D492" cm="1">
        <f t="array" ref="D492">IFERROR(INDEX(fesp!$D:$D, MATCH(1, (VALUE(LEFT(fesp!$A:$A,6))=VALUE(LEFT(B492,6)))*(fesp!$C:$C=C492), 0)), "")</f>
        <v>0</v>
      </c>
      <c r="E492" cm="1">
        <f t="array" aca="1" ref="E492" ca="1">IFERROR(INDEX(ft_medicos_clinicos!$C:$C, MATCH(1, (VALUE(LEFT(ft_medicos_clinicos!$A:$A,6))=VALUE(LEFT(B492,6)))*(ft_medicos_clinicos!$B:$B=C492), 0)), "")</f>
        <v>662</v>
      </c>
      <c r="F492" cm="1">
        <f t="array" aca="1" ref="F492" ca="1">IFERROR(INDEX(ft_enfermeiros!$C:$C, MATCH(1, (VALUE(LEFT(ft_enfermeiros!$A:$A,6))=VALUE(LEFT(B492,6)))*(ft_enfermeiros!$B:$B=C492), 0)), "")</f>
        <v>1440</v>
      </c>
      <c r="G492" cm="1">
        <f t="array" aca="1" ref="G492" ca="1">IFERROR(INDEX(ft_equipes_acs!$C:$C, MATCH(1, (VALUE(LEFT(ft_equipes_acs!$A:$A,6))=VALUE(LEFT(B492,6)))*(ft_equipes_acs!$B:$B=C492), 0)), "")</f>
        <v>13</v>
      </c>
      <c r="H492" cm="1">
        <f t="array" aca="1" ref="H492" ca="1">IFERROR(INDEX(ci_leitos_internacao!$C:$C, MATCH(1, (VALUE(LEFT(ci_leitos_internacao!$A:$A,6))=VALUE(LEFT(B492,6)))*(ci_leitos_internacao!$B:$B=C492), 0)), "")</f>
        <v>2205</v>
      </c>
      <c r="I492" cm="1">
        <f t="array" aca="1" ref="I492" ca="1">IFERROR(INDEX(ci_hospitais_internacao!$C:$C, MATCH(1, (VALUE(LEFT(ci_hospitais_internacao!$A:$A,6))=VALUE(LEFT(B492,6)))*(ci_hospitais_internacao!$B:$B=C492), 0)), "")</f>
        <v>10</v>
      </c>
      <c r="J492" t="str" cm="1">
        <f t="array" aca="1" ref="J492" ca="1">IFERROR(INDEX(ci_pa_clinico!$C:$C, MATCH(1, (VALUE(LEFT(ci_pa_clinico!$A:$A,6))=VALUE(LEFT(B492,6)))*(ci_pa_clinico!$B:$B=C492), 0)), "")</f>
        <v/>
      </c>
      <c r="K492" t="str" cm="1">
        <f t="array" aca="1" ref="K492" ca="1">IFERROR(INDEX(aps_equipes_esf!$C:$C, MATCH(1, (VALUE(LEFT(aps_equipes_esf!$A:$A,6))=VALUE(LEFT(B492,6)))*(aps_equipes_esf!$B:$B=C492), 0)), "")</f>
        <v>-</v>
      </c>
      <c r="L492" cm="1">
        <f t="array" aca="1" ref="L492" ca="1">IFERROR(INDEX(casos!$C:$C, MATCH(1, (VALUE(LEFT(casos!$A:$A,6))=VALUE(LEFT(B492,6)))*(casos!$B:$B=C492), 0)), "")</f>
        <v>481</v>
      </c>
      <c r="M492" cm="1">
        <f t="array" ref="M492">IFERROR(INDEX(srag!$D:$D, MATCH(1, (VALUE(LEFT(srag!$A:$A,6))=VALUE(LEFT(B492,6)))*(srag!$C:$C=C492), 0)), "")</f>
        <v>7440</v>
      </c>
      <c r="N492" cm="1">
        <f t="array" aca="1" ref="N492" ca="1">IFERROR(INDEX(fesp!$E:$E, MATCH(1, (VALUE(LEFT(fesp!$A:$A,6))=VALUE(LEFT(B492,6)))*(fesp!$C:$C=C492), 0)), "")</f>
        <v>256</v>
      </c>
      <c r="O492" cm="1">
        <f t="array" aca="1" ref="O492" ca="1">IFERROR(INDEX(fesp!$F:$F, MATCH(1, (VALUE(LEFT(fesp!$A:$A,6))=VALUE(LEFT(B492,6)))*(fesp!$C:$C=C492), 0)), "")</f>
        <v>5301</v>
      </c>
      <c r="P492" cm="1">
        <f t="array" aca="1" ref="P492" ca="1">IFERROR(INDEX(fesp!$G:$G, MATCH(1, (VALUE(LEFT(fesp!$A:$A,6))=VALUE(LEFT(B492,6)))*(fesp!$C:$C=C492), 0)), "")</f>
        <v>5880511</v>
      </c>
      <c r="Q492" cm="1">
        <f t="array" aca="1" ref="Q492" ca="1">IFERROR(INDEX(fesp!$H:$H, MATCH(1, (VALUE(LEFT(fesp!$A:$A,6))=VALUE(LEFT(B492,6)))*(fesp!$C:$C=C492), 0)), "")</f>
        <v>126</v>
      </c>
      <c r="R492" cm="1">
        <f t="array" aca="1" ref="R492" ca="1">IFERROR(INDEX(fesp!$I:$I, MATCH(1, (VALUE(LEFT(fesp!$A:$A,6))=VALUE(LEFT(B492,6)))*(fesp!$C:$C=C492), 0)), "")</f>
        <v>22790</v>
      </c>
      <c r="S492" cm="1">
        <f t="array" aca="1" ref="S492" ca="1">IFERROR(INDEX(fesp!$J:$J, MATCH(1, (VALUE(LEFT(fesp!$A:$A,6))=VALUE(LEFT(B492,6)))*(fesp!$C:$C=C492), 0)), "")</f>
        <v>339166</v>
      </c>
    </row>
    <row r="493" spans="1:19">
      <c r="A493" s="1" t="s">
        <v>57</v>
      </c>
      <c r="B493" s="3" t="s">
        <v>56</v>
      </c>
      <c r="C493" s="3">
        <v>2022</v>
      </c>
      <c r="D493" cm="1">
        <f t="array" ref="D493">IFERROR(INDEX(fesp!$D:$D, MATCH(1, (VALUE(LEFT(fesp!$A:$A,6))=VALUE(LEFT(B493,6)))*(fesp!$C:$C=C493), 0)), "")</f>
        <v>698642</v>
      </c>
      <c r="E493" cm="1">
        <f t="array" aca="1" ref="E493" ca="1">IFERROR(INDEX(ft_medicos_clinicos!$C:$C, MATCH(1, (VALUE(LEFT(ft_medicos_clinicos!$A:$A,6))=VALUE(LEFT(B493,6)))*(ft_medicos_clinicos!$B:$B=C493), 0)), "")</f>
        <v>800</v>
      </c>
      <c r="F493" cm="1">
        <f t="array" aca="1" ref="F493" ca="1">IFERROR(INDEX(ft_enfermeiros!$C:$C, MATCH(1, (VALUE(LEFT(ft_enfermeiros!$A:$A,6))=VALUE(LEFT(B493,6)))*(ft_enfermeiros!$B:$B=C493), 0)), "")</f>
        <v>1553</v>
      </c>
      <c r="G493" cm="1">
        <f t="array" aca="1" ref="G493" ca="1">IFERROR(INDEX(ft_equipes_acs!$C:$C, MATCH(1, (VALUE(LEFT(ft_equipes_acs!$A:$A,6))=VALUE(LEFT(B493,6)))*(ft_equipes_acs!$B:$B=C493), 0)), "")</f>
        <v>13</v>
      </c>
      <c r="H493" cm="1">
        <f t="array" aca="1" ref="H493" ca="1">IFERROR(INDEX(ci_leitos_internacao!$C:$C, MATCH(1, (VALUE(LEFT(ci_leitos_internacao!$A:$A,6))=VALUE(LEFT(B493,6)))*(ci_leitos_internacao!$B:$B=C493), 0)), "")</f>
        <v>2265</v>
      </c>
      <c r="I493" cm="1">
        <f t="array" aca="1" ref="I493" ca="1">IFERROR(INDEX(ci_hospitais_internacao!$C:$C, MATCH(1, (VALUE(LEFT(ci_hospitais_internacao!$A:$A,6))=VALUE(LEFT(B493,6)))*(ci_hospitais_internacao!$B:$B=C493), 0)), "")</f>
        <v>11</v>
      </c>
      <c r="J493" t="str" cm="1">
        <f t="array" aca="1" ref="J493" ca="1">IFERROR(INDEX(ci_pa_clinico!$C:$C, MATCH(1, (VALUE(LEFT(ci_pa_clinico!$A:$A,6))=VALUE(LEFT(B493,6)))*(ci_pa_clinico!$B:$B=C493), 0)), "")</f>
        <v/>
      </c>
      <c r="K493" t="str" cm="1">
        <f t="array" aca="1" ref="K493" ca="1">IFERROR(INDEX(aps_equipes_esf!$C:$C, MATCH(1, (VALUE(LEFT(aps_equipes_esf!$A:$A,6))=VALUE(LEFT(B493,6)))*(aps_equipes_esf!$B:$B=C493), 0)), "")</f>
        <v>-</v>
      </c>
      <c r="L493" cm="1">
        <f t="array" aca="1" ref="L493" ca="1">IFERROR(INDEX(casos!$C:$C, MATCH(1, (VALUE(LEFT(casos!$A:$A,6))=VALUE(LEFT(B493,6)))*(casos!$B:$B=C493), 0)), "")</f>
        <v>8284</v>
      </c>
      <c r="M493" cm="1">
        <f t="array" ref="M493">IFERROR(INDEX(srag!$D:$D, MATCH(1, (VALUE(LEFT(srag!$A:$A,6))=VALUE(LEFT(B493,6)))*(srag!$C:$C=C493), 0)), "")</f>
        <v>3145</v>
      </c>
      <c r="N493" cm="1">
        <f t="array" aca="1" ref="N493" ca="1">IFERROR(INDEX(fesp!$E:$E, MATCH(1, (VALUE(LEFT(fesp!$A:$A,6))=VALUE(LEFT(B493,6)))*(fesp!$C:$C=C493), 0)), "")</f>
        <v>281</v>
      </c>
      <c r="O493" cm="1">
        <f t="array" aca="1" ref="O493" ca="1">IFERROR(INDEX(fesp!$F:$F, MATCH(1, (VALUE(LEFT(fesp!$A:$A,6))=VALUE(LEFT(B493,6)))*(fesp!$C:$C=C493), 0)), "")</f>
        <v>6297</v>
      </c>
      <c r="P493" cm="1">
        <f t="array" aca="1" ref="P493" ca="1">IFERROR(INDEX(fesp!$G:$G, MATCH(1, (VALUE(LEFT(fesp!$A:$A,6))=VALUE(LEFT(B493,6)))*(fesp!$C:$C=C493), 0)), "")</f>
        <v>6359244</v>
      </c>
      <c r="Q493" cm="1">
        <f t="array" aca="1" ref="Q493" ca="1">IFERROR(INDEX(fesp!$H:$H, MATCH(1, (VALUE(LEFT(fesp!$A:$A,6))=VALUE(LEFT(B493,6)))*(fesp!$C:$C=C493), 0)), "")</f>
        <v>127</v>
      </c>
      <c r="R493" cm="1">
        <f t="array" aca="1" ref="R493" ca="1">IFERROR(INDEX(fesp!$I:$I, MATCH(1, (VALUE(LEFT(fesp!$A:$A,6))=VALUE(LEFT(B493,6)))*(fesp!$C:$C=C493), 0)), "")</f>
        <v>24062</v>
      </c>
      <c r="S493" cm="1">
        <f t="array" aca="1" ref="S493" ca="1">IFERROR(INDEX(fesp!$J:$J, MATCH(1, (VALUE(LEFT(fesp!$A:$A,6))=VALUE(LEFT(B493,6)))*(fesp!$C:$C=C493), 0)), "")</f>
        <v>419122</v>
      </c>
    </row>
    <row r="494" spans="1:19">
      <c r="A494" s="1" t="s">
        <v>57</v>
      </c>
      <c r="B494" s="3" t="s">
        <v>56</v>
      </c>
      <c r="C494" s="3">
        <v>2023</v>
      </c>
      <c r="D494" cm="1">
        <f t="array" ref="D494">IFERROR(INDEX(fesp!$D:$D, MATCH(1, (VALUE(LEFT(fesp!$A:$A,6))=VALUE(LEFT(B494,6)))*(fesp!$C:$C=C494), 0)), "")</f>
        <v>0</v>
      </c>
      <c r="E494" cm="1">
        <f t="array" aca="1" ref="E494" ca="1">IFERROR(INDEX(ft_medicos_clinicos!$C:$C, MATCH(1, (VALUE(LEFT(ft_medicos_clinicos!$A:$A,6))=VALUE(LEFT(B494,6)))*(ft_medicos_clinicos!$B:$B=C494), 0)), "")</f>
        <v>939</v>
      </c>
      <c r="F494" cm="1">
        <f t="array" aca="1" ref="F494" ca="1">IFERROR(INDEX(ft_enfermeiros!$C:$C, MATCH(1, (VALUE(LEFT(ft_enfermeiros!$A:$A,6))=VALUE(LEFT(B494,6)))*(ft_enfermeiros!$B:$B=C494), 0)), "")</f>
        <v>1741</v>
      </c>
      <c r="G494" cm="1">
        <f t="array" aca="1" ref="G494" ca="1">IFERROR(INDEX(ft_equipes_acs!$C:$C, MATCH(1, (VALUE(LEFT(ft_equipes_acs!$A:$A,6))=VALUE(LEFT(B494,6)))*(ft_equipes_acs!$B:$B=C494), 0)), "")</f>
        <v>13</v>
      </c>
      <c r="H494" cm="1">
        <f t="array" aca="1" ref="H494" ca="1">IFERROR(INDEX(ci_leitos_internacao!$C:$C, MATCH(1, (VALUE(LEFT(ci_leitos_internacao!$A:$A,6))=VALUE(LEFT(B494,6)))*(ci_leitos_internacao!$B:$B=C494), 0)), "")</f>
        <v>2265</v>
      </c>
      <c r="I494" cm="1">
        <f t="array" aca="1" ref="I494" ca="1">IFERROR(INDEX(ci_hospitais_internacao!$C:$C, MATCH(1, (VALUE(LEFT(ci_hospitais_internacao!$A:$A,6))=VALUE(LEFT(B494,6)))*(ci_hospitais_internacao!$B:$B=C494), 0)), "")</f>
        <v>11</v>
      </c>
      <c r="J494" t="str" cm="1">
        <f t="array" aca="1" ref="J494" ca="1">IFERROR(INDEX(ci_pa_clinico!$C:$C, MATCH(1, (VALUE(LEFT(ci_pa_clinico!$A:$A,6))=VALUE(LEFT(B494,6)))*(ci_pa_clinico!$B:$B=C494), 0)), "")</f>
        <v/>
      </c>
      <c r="K494" t="str" cm="1">
        <f t="array" aca="1" ref="K494" ca="1">IFERROR(INDEX(aps_equipes_esf!$C:$C, MATCH(1, (VALUE(LEFT(aps_equipes_esf!$A:$A,6))=VALUE(LEFT(B494,6)))*(aps_equipes_esf!$B:$B=C494), 0)), "")</f>
        <v>-</v>
      </c>
      <c r="L494" cm="1">
        <f t="array" aca="1" ref="L494" ca="1">IFERROR(INDEX(casos!$C:$C, MATCH(1, (VALUE(LEFT(casos!$A:$A,6))=VALUE(LEFT(B494,6)))*(casos!$B:$B=C494), 0)), "")</f>
        <v>13261</v>
      </c>
      <c r="M494" cm="1">
        <f t="array" ref="M494">IFERROR(INDEX(srag!$D:$D, MATCH(1, (VALUE(LEFT(srag!$A:$A,6))=VALUE(LEFT(B494,6)))*(srag!$C:$C=C494), 0)), "")</f>
        <v>1887</v>
      </c>
      <c r="N494" cm="1">
        <f t="array" aca="1" ref="N494" ca="1">IFERROR(INDEX(fesp!$E:$E, MATCH(1, (VALUE(LEFT(fesp!$A:$A,6))=VALUE(LEFT(B494,6)))*(fesp!$C:$C=C494), 0)), "")</f>
        <v>303</v>
      </c>
      <c r="O494" cm="1">
        <f t="array" aca="1" ref="O494" ca="1">IFERROR(INDEX(fesp!$F:$F, MATCH(1, (VALUE(LEFT(fesp!$A:$A,6))=VALUE(LEFT(B494,6)))*(fesp!$C:$C=C494), 0)), "")</f>
        <v>6416</v>
      </c>
      <c r="P494" cm="1">
        <f t="array" aca="1" ref="P494" ca="1">IFERROR(INDEX(fesp!$G:$G, MATCH(1, (VALUE(LEFT(fesp!$A:$A,6))=VALUE(LEFT(B494,6)))*(fesp!$C:$C=C494), 0)), "")</f>
        <v>7204981</v>
      </c>
      <c r="Q494" cm="1">
        <f t="array" aca="1" ref="Q494" ca="1">IFERROR(INDEX(fesp!$H:$H, MATCH(1, (VALUE(LEFT(fesp!$A:$A,6))=VALUE(LEFT(B494,6)))*(fesp!$C:$C=C494), 0)), "")</f>
        <v>159</v>
      </c>
      <c r="R494" cm="1">
        <f t="array" aca="1" ref="R494" ca="1">IFERROR(INDEX(fesp!$I:$I, MATCH(1, (VALUE(LEFT(fesp!$A:$A,6))=VALUE(LEFT(B494,6)))*(fesp!$C:$C=C494), 0)), "")</f>
        <v>22244</v>
      </c>
      <c r="S494" cm="1">
        <f t="array" aca="1" ref="S494" ca="1">IFERROR(INDEX(fesp!$J:$J, MATCH(1, (VALUE(LEFT(fesp!$A:$A,6))=VALUE(LEFT(B494,6)))*(fesp!$C:$C=C494), 0)), "")</f>
        <v>410703</v>
      </c>
    </row>
    <row r="495" spans="1:19">
      <c r="A495" s="1" t="s">
        <v>57</v>
      </c>
      <c r="B495" s="3" t="s">
        <v>56</v>
      </c>
      <c r="C495" s="3">
        <v>2024</v>
      </c>
      <c r="D495" cm="1">
        <f t="array" ref="D495">IFERROR(INDEX(fesp!$D:$D, MATCH(1, (VALUE(LEFT(fesp!$A:$A,6))=VALUE(LEFT(B495,6)))*(fesp!$C:$C=C495), 0)), "")</f>
        <v>0</v>
      </c>
      <c r="E495" cm="1">
        <f t="array" aca="1" ref="E495" ca="1">IFERROR(INDEX(ft_medicos_clinicos!$C:$C, MATCH(1, (VALUE(LEFT(ft_medicos_clinicos!$A:$A,6))=VALUE(LEFT(B495,6)))*(ft_medicos_clinicos!$B:$B=C495), 0)), "")</f>
        <v>985</v>
      </c>
      <c r="F495" cm="1">
        <f t="array" aca="1" ref="F495" ca="1">IFERROR(INDEX(ft_enfermeiros!$C:$C, MATCH(1, (VALUE(LEFT(ft_enfermeiros!$A:$A,6))=VALUE(LEFT(B495,6)))*(ft_enfermeiros!$B:$B=C495), 0)), "")</f>
        <v>1920</v>
      </c>
      <c r="G495" cm="1">
        <f t="array" aca="1" ref="G495" ca="1">IFERROR(INDEX(ft_equipes_acs!$C:$C, MATCH(1, (VALUE(LEFT(ft_equipes_acs!$A:$A,6))=VALUE(LEFT(B495,6)))*(ft_equipes_acs!$B:$B=C495), 0)), "")</f>
        <v>13</v>
      </c>
      <c r="H495" cm="1">
        <f t="array" aca="1" ref="H495" ca="1">IFERROR(INDEX(ci_leitos_internacao!$C:$C, MATCH(1, (VALUE(LEFT(ci_leitos_internacao!$A:$A,6))=VALUE(LEFT(B495,6)))*(ci_leitos_internacao!$B:$B=C495), 0)), "")</f>
        <v>2249</v>
      </c>
      <c r="I495" cm="1">
        <f t="array" aca="1" ref="I495" ca="1">IFERROR(INDEX(ci_hospitais_internacao!$C:$C, MATCH(1, (VALUE(LEFT(ci_hospitais_internacao!$A:$A,6))=VALUE(LEFT(B495,6)))*(ci_hospitais_internacao!$B:$B=C495), 0)), "")</f>
        <v>11</v>
      </c>
      <c r="J495" t="str" cm="1">
        <f t="array" aca="1" ref="J495" ca="1">IFERROR(INDEX(ci_pa_clinico!$C:$C, MATCH(1, (VALUE(LEFT(ci_pa_clinico!$A:$A,6))=VALUE(LEFT(B495,6)))*(ci_pa_clinico!$B:$B=C495), 0)), "")</f>
        <v/>
      </c>
      <c r="K495" t="str" cm="1">
        <f t="array" aca="1" ref="K495" ca="1">IFERROR(INDEX(aps_equipes_esf!$C:$C, MATCH(1, (VALUE(LEFT(aps_equipes_esf!$A:$A,6))=VALUE(LEFT(B495,6)))*(aps_equipes_esf!$B:$B=C495), 0)), "")</f>
        <v>-</v>
      </c>
      <c r="L495" cm="1">
        <f t="array" aca="1" ref="L495" ca="1">IFERROR(INDEX(casos!$C:$C, MATCH(1, (VALUE(LEFT(casos!$A:$A,6))=VALUE(LEFT(B495,6)))*(casos!$B:$B=C495), 0)), "")</f>
        <v>46607</v>
      </c>
      <c r="M495" cm="1">
        <f t="array" ref="M495">IFERROR(INDEX(srag!$D:$D, MATCH(1, (VALUE(LEFT(srag!$A:$A,6))=VALUE(LEFT(B495,6)))*(srag!$C:$C=C495), 0)), "")</f>
        <v>1957</v>
      </c>
      <c r="N495" cm="1">
        <f t="array" aca="1" ref="N495" ca="1">IFERROR(INDEX(fesp!$E:$E, MATCH(1, (VALUE(LEFT(fesp!$A:$A,6))=VALUE(LEFT(B495,6)))*(fesp!$C:$C=C495), 0)), "")</f>
        <v>367</v>
      </c>
      <c r="O495" cm="1">
        <f t="array" aca="1" ref="O495" ca="1">IFERROR(INDEX(fesp!$F:$F, MATCH(1, (VALUE(LEFT(fesp!$A:$A,6))=VALUE(LEFT(B495,6)))*(fesp!$C:$C=C495), 0)), "")</f>
        <v>10007</v>
      </c>
      <c r="P495" cm="1">
        <f t="array" aca="1" ref="P495" ca="1">IFERROR(INDEX(fesp!$G:$G, MATCH(1, (VALUE(LEFT(fesp!$A:$A,6))=VALUE(LEFT(B495,6)))*(fesp!$C:$C=C495), 0)), "")</f>
        <v>7485900</v>
      </c>
      <c r="Q495" cm="1">
        <f t="array" aca="1" ref="Q495" ca="1">IFERROR(INDEX(fesp!$H:$H, MATCH(1, (VALUE(LEFT(fesp!$A:$A,6))=VALUE(LEFT(B495,6)))*(fesp!$C:$C=C495), 0)), "")</f>
        <v>156</v>
      </c>
      <c r="R495" cm="1">
        <f t="array" aca="1" ref="R495" ca="1">IFERROR(INDEX(fesp!$I:$I, MATCH(1, (VALUE(LEFT(fesp!$A:$A,6))=VALUE(LEFT(B495,6)))*(fesp!$C:$C=C495), 0)), "")</f>
        <v>18852</v>
      </c>
      <c r="S495" cm="1">
        <f t="array" aca="1" ref="S495" ca="1">IFERROR(INDEX(fesp!$J:$J, MATCH(1, (VALUE(LEFT(fesp!$A:$A,6))=VALUE(LEFT(B495,6)))*(fesp!$C:$C=C495), 0)), "")</f>
        <v>396084</v>
      </c>
    </row>
    <row r="496" spans="1:19">
      <c r="A496" s="1" t="s">
        <v>57</v>
      </c>
      <c r="B496" s="3" t="s">
        <v>56</v>
      </c>
      <c r="C496" s="3">
        <v>2025</v>
      </c>
      <c r="D496" cm="1">
        <f t="array" ref="D496">IFERROR(INDEX(fesp!$D:$D, MATCH(1, (VALUE(LEFT(fesp!$A:$A,6))=VALUE(LEFT(B496,6)))*(fesp!$C:$C=C496), 0)), "")</f>
        <v>0</v>
      </c>
      <c r="E496" cm="1">
        <f t="array" aca="1" ref="E496" ca="1">IFERROR(INDEX(ft_medicos_clinicos!$C:$C, MATCH(1, (VALUE(LEFT(ft_medicos_clinicos!$A:$A,6))=VALUE(LEFT(B496,6)))*(ft_medicos_clinicos!$B:$B=C496), 0)), "")</f>
        <v>1037</v>
      </c>
      <c r="F496" cm="1">
        <f t="array" aca="1" ref="F496" ca="1">IFERROR(INDEX(ft_enfermeiros!$C:$C, MATCH(1, (VALUE(LEFT(ft_enfermeiros!$A:$A,6))=VALUE(LEFT(B496,6)))*(ft_enfermeiros!$B:$B=C496), 0)), "")</f>
        <v>2094</v>
      </c>
      <c r="G496" cm="1">
        <f t="array" aca="1" ref="G496" ca="1">IFERROR(INDEX(ft_equipes_acs!$C:$C, MATCH(1, (VALUE(LEFT(ft_equipes_acs!$A:$A,6))=VALUE(LEFT(B496,6)))*(ft_equipes_acs!$B:$B=C496), 0)), "")</f>
        <v>13</v>
      </c>
      <c r="H496" cm="1">
        <f t="array" aca="1" ref="H496" ca="1">IFERROR(INDEX(ci_leitos_internacao!$C:$C, MATCH(1, (VALUE(LEFT(ci_leitos_internacao!$A:$A,6))=VALUE(LEFT(B496,6)))*(ci_leitos_internacao!$B:$B=C496), 0)), "")</f>
        <v>2275</v>
      </c>
      <c r="I496" cm="1">
        <f t="array" aca="1" ref="I496" ca="1">IFERROR(INDEX(ci_hospitais_internacao!$C:$C, MATCH(1, (VALUE(LEFT(ci_hospitais_internacao!$A:$A,6))=VALUE(LEFT(B496,6)))*(ci_hospitais_internacao!$B:$B=C496), 0)), "")</f>
        <v>11</v>
      </c>
      <c r="J496" t="str" cm="1">
        <f t="array" aca="1" ref="J496" ca="1">IFERROR(INDEX(ci_pa_clinico!$C:$C, MATCH(1, (VALUE(LEFT(ci_pa_clinico!$A:$A,6))=VALUE(LEFT(B496,6)))*(ci_pa_clinico!$B:$B=C496), 0)), "")</f>
        <v/>
      </c>
      <c r="K496" t="str" cm="1">
        <f t="array" aca="1" ref="K496" ca="1">IFERROR(INDEX(aps_equipes_esf!$C:$C, MATCH(1, (VALUE(LEFT(aps_equipes_esf!$A:$A,6))=VALUE(LEFT(B496,6)))*(aps_equipes_esf!$B:$B=C496), 0)), "")</f>
        <v>-</v>
      </c>
      <c r="L496" cm="1">
        <f t="array" aca="1" ref="L496" ca="1">IFERROR(INDEX(casos!$C:$C, MATCH(1, (VALUE(LEFT(casos!$A:$A,6))=VALUE(LEFT(B496,6)))*(casos!$B:$B=C496), 0)), "")</f>
        <v>23919</v>
      </c>
      <c r="M496" cm="1">
        <f t="array" ref="M496">IFERROR(INDEX(srag!$D:$D, MATCH(1, (VALUE(LEFT(srag!$A:$A,6))=VALUE(LEFT(B496,6)))*(srag!$C:$C=C496), 0)), "")</f>
        <v>1371</v>
      </c>
      <c r="N496" cm="1">
        <f t="array" aca="1" ref="N496" ca="1">IFERROR(INDEX(fesp!$E:$E, MATCH(1, (VALUE(LEFT(fesp!$A:$A,6))=VALUE(LEFT(B496,6)))*(fesp!$C:$C=C496), 0)), "")</f>
        <v>366</v>
      </c>
      <c r="O496" cm="1">
        <f t="array" aca="1" ref="O496" ca="1">IFERROR(INDEX(fesp!$F:$F, MATCH(1, (VALUE(LEFT(fesp!$A:$A,6))=VALUE(LEFT(B496,6)))*(fesp!$C:$C=C496), 0)), "")</f>
        <v>8226</v>
      </c>
      <c r="P496" cm="1">
        <f t="array" aca="1" ref="P496" ca="1">IFERROR(INDEX(fesp!$G:$G, MATCH(1, (VALUE(LEFT(fesp!$A:$A,6))=VALUE(LEFT(B496,6)))*(fesp!$C:$C=C496), 0)), "")</f>
        <v>6885564</v>
      </c>
      <c r="Q496" cm="1">
        <f t="array" aca="1" ref="Q496" ca="1">IFERROR(INDEX(fesp!$H:$H, MATCH(1, (VALUE(LEFT(fesp!$A:$A,6))=VALUE(LEFT(B496,6)))*(fesp!$C:$C=C496), 0)), "")</f>
        <v>117</v>
      </c>
      <c r="R496" cm="1">
        <f t="array" aca="1" ref="R496" ca="1">IFERROR(INDEX(fesp!$I:$I, MATCH(1, (VALUE(LEFT(fesp!$A:$A,6))=VALUE(LEFT(B496,6)))*(fesp!$C:$C=C496), 0)), "")</f>
        <v>18105</v>
      </c>
      <c r="S496" cm="1">
        <f t="array" aca="1" ref="S496" ca="1">IFERROR(INDEX(fesp!$J:$J, MATCH(1, (VALUE(LEFT(fesp!$A:$A,6))=VALUE(LEFT(B496,6)))*(fesp!$C:$C=C496), 0)), "")</f>
        <v>419302</v>
      </c>
    </row>
    <row r="497" spans="1:19">
      <c r="A497" s="1" t="s">
        <v>49</v>
      </c>
      <c r="B497" s="3">
        <v>3547809</v>
      </c>
      <c r="C497" s="3">
        <v>2015</v>
      </c>
      <c r="D497" cm="1">
        <f t="array" ref="D497">IFERROR(INDEX(fesp!$D:$D, MATCH(1, (VALUE(LEFT(fesp!$A:$A,6))=VALUE(LEFT(B497,6)))*(fesp!$C:$C=C497), 0)), "")</f>
        <v>710210</v>
      </c>
      <c r="E497" cm="1">
        <f t="array" aca="1" ref="E497" ca="1">IFERROR(INDEX(ft_medicos_clinicos!$C:$C, MATCH(1, (VALUE(LEFT(ft_medicos_clinicos!$A:$A,6))=VALUE(LEFT(B497,6)))*(ft_medicos_clinicos!$B:$B=C497), 0)), "")</f>
        <v>250</v>
      </c>
      <c r="F497" cm="1">
        <f t="array" aca="1" ref="F497" ca="1">IFERROR(INDEX(ft_enfermeiros!$C:$C, MATCH(1, (VALUE(LEFT(ft_enfermeiros!$A:$A,6))=VALUE(LEFT(B497,6)))*(ft_enfermeiros!$B:$B=C497), 0)), "")</f>
        <v>576</v>
      </c>
      <c r="G497" cm="1">
        <f t="array" aca="1" ref="G497" ca="1">IFERROR(INDEX(ft_equipes_acs!$C:$C, MATCH(1, (VALUE(LEFT(ft_equipes_acs!$A:$A,6))=VALUE(LEFT(B497,6)))*(ft_equipes_acs!$B:$B=C497), 0)), "")</f>
        <v>2</v>
      </c>
      <c r="H497" cm="1">
        <f t="array" aca="1" ref="H497" ca="1">IFERROR(INDEX(ci_leitos_internacao!$C:$C, MATCH(1, (VALUE(LEFT(ci_leitos_internacao!$A:$A,6))=VALUE(LEFT(B497,6)))*(ci_leitos_internacao!$B:$B=C497), 0)), "")</f>
        <v>1245</v>
      </c>
      <c r="I497" cm="1">
        <f t="array" aca="1" ref="I497" ca="1">IFERROR(INDEX(ci_hospitais_internacao!$C:$C, MATCH(1, (VALUE(LEFT(ci_hospitais_internacao!$A:$A,6))=VALUE(LEFT(B497,6)))*(ci_hospitais_internacao!$B:$B=C497), 0)), "")</f>
        <v>2</v>
      </c>
      <c r="J497" t="str" cm="1">
        <f t="array" aca="1" ref="J497" ca="1">IFERROR(INDEX(ci_pa_clinico!$C:$C, MATCH(1, (VALUE(LEFT(ci_pa_clinico!$A:$A,6))=VALUE(LEFT(B497,6)))*(ci_pa_clinico!$B:$B=C497), 0)), "")</f>
        <v/>
      </c>
      <c r="K497" cm="1">
        <f t="array" aca="1" ref="K497" ca="1">IFERROR(INDEX(aps_equipes_esf!$C:$C, MATCH(1, (VALUE(LEFT(aps_equipes_esf!$A:$A,6))=VALUE(LEFT(B497,6)))*(aps_equipes_esf!$B:$B=C497), 0)), "")</f>
        <v>38</v>
      </c>
      <c r="L497" cm="1">
        <f t="array" aca="1" ref="L497" ca="1">IFERROR(INDEX(casos!$C:$C, MATCH(1, (VALUE(LEFT(casos!$A:$A,6))=VALUE(LEFT(B497,6)))*(casos!$B:$B=C497), 0)), "")</f>
        <v>2356</v>
      </c>
      <c r="M497" cm="1">
        <f t="array" ref="M497">IFERROR(INDEX(srag!$D:$D, MATCH(1, (VALUE(LEFT(srag!$A:$A,6))=VALUE(LEFT(B497,6)))*(srag!$C:$C=C497), 0)), "")</f>
        <v>41</v>
      </c>
      <c r="N497" cm="1">
        <f t="array" aca="1" ref="N497" ca="1">IFERROR(INDEX(fesp!$E:$E, MATCH(1, (VALUE(LEFT(fesp!$A:$A,6))=VALUE(LEFT(B497,6)))*(fesp!$C:$C=C497), 0)), "")</f>
        <v>221</v>
      </c>
      <c r="O497" cm="1">
        <f t="array" aca="1" ref="O497" ca="1">IFERROR(INDEX(fesp!$F:$F, MATCH(1, (VALUE(LEFT(fesp!$A:$A,6))=VALUE(LEFT(B497,6)))*(fesp!$C:$C=C497), 0)), "")</f>
        <v>2621</v>
      </c>
      <c r="P497" cm="1">
        <f t="array" aca="1" ref="P497" ca="1">IFERROR(INDEX(fesp!$G:$G, MATCH(1, (VALUE(LEFT(fesp!$A:$A,6))=VALUE(LEFT(B497,6)))*(fesp!$C:$C=C497), 0)), "")</f>
        <v>4357075</v>
      </c>
      <c r="Q497" cm="1">
        <f t="array" aca="1" ref="Q497" ca="1">IFERROR(INDEX(fesp!$H:$H, MATCH(1, (VALUE(LEFT(fesp!$A:$A,6))=VALUE(LEFT(B497,6)))*(fesp!$C:$C=C497), 0)), "")</f>
        <v>467</v>
      </c>
      <c r="R497" cm="1">
        <f t="array" aca="1" ref="R497" ca="1">IFERROR(INDEX(fesp!$I:$I, MATCH(1, (VALUE(LEFT(fesp!$A:$A,6))=VALUE(LEFT(B497,6)))*(fesp!$C:$C=C497), 0)), "")</f>
        <v>45080</v>
      </c>
      <c r="S497" cm="1">
        <f t="array" aca="1" ref="S497" ca="1">IFERROR(INDEX(fesp!$J:$J, MATCH(1, (VALUE(LEFT(fesp!$A:$A,6))=VALUE(LEFT(B497,6)))*(fesp!$C:$C=C497), 0)), "")</f>
        <v>418079</v>
      </c>
    </row>
    <row r="498" spans="1:19">
      <c r="A498" s="1" t="s">
        <v>49</v>
      </c>
      <c r="B498" s="3" t="s">
        <v>48</v>
      </c>
      <c r="C498" s="3">
        <v>2016</v>
      </c>
      <c r="D498" cm="1">
        <f t="array" ref="D498">IFERROR(INDEX(fesp!$D:$D, MATCH(1, (VALUE(LEFT(fesp!$A:$A,6))=VALUE(LEFT(B498,6)))*(fesp!$C:$C=C498), 0)), "")</f>
        <v>0</v>
      </c>
      <c r="E498" cm="1">
        <f t="array" aca="1" ref="E498" ca="1">IFERROR(INDEX(ft_medicos_clinicos!$C:$C, MATCH(1, (VALUE(LEFT(ft_medicos_clinicos!$A:$A,6))=VALUE(LEFT(B498,6)))*(ft_medicos_clinicos!$B:$B=C498), 0)), "")</f>
        <v>287</v>
      </c>
      <c r="F498" cm="1">
        <f t="array" aca="1" ref="F498" ca="1">IFERROR(INDEX(ft_enfermeiros!$C:$C, MATCH(1, (VALUE(LEFT(ft_enfermeiros!$A:$A,6))=VALUE(LEFT(B498,6)))*(ft_enfermeiros!$B:$B=C498), 0)), "")</f>
        <v>636</v>
      </c>
      <c r="G498" cm="1">
        <f t="array" aca="1" ref="G498" ca="1">IFERROR(INDEX(ft_equipes_acs!$C:$C, MATCH(1, (VALUE(LEFT(ft_equipes_acs!$A:$A,6))=VALUE(LEFT(B498,6)))*(ft_equipes_acs!$B:$B=C498), 0)), "")</f>
        <v>2</v>
      </c>
      <c r="H498" cm="1">
        <f t="array" aca="1" ref="H498" ca="1">IFERROR(INDEX(ci_leitos_internacao!$C:$C, MATCH(1, (VALUE(LEFT(ci_leitos_internacao!$A:$A,6))=VALUE(LEFT(B498,6)))*(ci_leitos_internacao!$B:$B=C498), 0)), "")</f>
        <v>1331</v>
      </c>
      <c r="I498" cm="1">
        <f t="array" aca="1" ref="I498" ca="1">IFERROR(INDEX(ci_hospitais_internacao!$C:$C, MATCH(1, (VALUE(LEFT(ci_hospitais_internacao!$A:$A,6))=VALUE(LEFT(B498,6)))*(ci_hospitais_internacao!$B:$B=C498), 0)), "")</f>
        <v>2</v>
      </c>
      <c r="J498" t="str" cm="1">
        <f t="array" aca="1" ref="J498" ca="1">IFERROR(INDEX(ci_pa_clinico!$C:$C, MATCH(1, (VALUE(LEFT(ci_pa_clinico!$A:$A,6))=VALUE(LEFT(B498,6)))*(ci_pa_clinico!$B:$B=C498), 0)), "")</f>
        <v/>
      </c>
      <c r="K498" cm="1">
        <f t="array" aca="1" ref="K498" ca="1">IFERROR(INDEX(aps_equipes_esf!$C:$C, MATCH(1, (VALUE(LEFT(aps_equipes_esf!$A:$A,6))=VALUE(LEFT(B498,6)))*(aps_equipes_esf!$B:$B=C498), 0)), "")</f>
        <v>36</v>
      </c>
      <c r="L498" cm="1">
        <f t="array" aca="1" ref="L498" ca="1">IFERROR(INDEX(casos!$C:$C, MATCH(1, (VALUE(LEFT(casos!$A:$A,6))=VALUE(LEFT(B498,6)))*(casos!$B:$B=C498), 0)), "")</f>
        <v>471</v>
      </c>
      <c r="M498" cm="1">
        <f t="array" ref="M498">IFERROR(INDEX(srag!$D:$D, MATCH(1, (VALUE(LEFT(srag!$A:$A,6))=VALUE(LEFT(B498,6)))*(srag!$C:$C=C498), 0)), "")</f>
        <v>284</v>
      </c>
      <c r="N498" cm="1">
        <f t="array" aca="1" ref="N498" ca="1">IFERROR(INDEX(fesp!$E:$E, MATCH(1, (VALUE(LEFT(fesp!$A:$A,6))=VALUE(LEFT(B498,6)))*(fesp!$C:$C=C498), 0)), "")</f>
        <v>198</v>
      </c>
      <c r="O498" cm="1">
        <f t="array" aca="1" ref="O498" ca="1">IFERROR(INDEX(fesp!$F:$F, MATCH(1, (VALUE(LEFT(fesp!$A:$A,6))=VALUE(LEFT(B498,6)))*(fesp!$C:$C=C498), 0)), "")</f>
        <v>2397</v>
      </c>
      <c r="P498" cm="1">
        <f t="array" aca="1" ref="P498" ca="1">IFERROR(INDEX(fesp!$G:$G, MATCH(1, (VALUE(LEFT(fesp!$A:$A,6))=VALUE(LEFT(B498,6)))*(fesp!$C:$C=C498), 0)), "")</f>
        <v>4315232</v>
      </c>
      <c r="Q498" cm="1">
        <f t="array" aca="1" ref="Q498" ca="1">IFERROR(INDEX(fesp!$H:$H, MATCH(1, (VALUE(LEFT(fesp!$A:$A,6))=VALUE(LEFT(B498,6)))*(fesp!$C:$C=C498), 0)), "")</f>
        <v>402</v>
      </c>
      <c r="R498" cm="1">
        <f t="array" aca="1" ref="R498" ca="1">IFERROR(INDEX(fesp!$I:$I, MATCH(1, (VALUE(LEFT(fesp!$A:$A,6))=VALUE(LEFT(B498,6)))*(fesp!$C:$C=C498), 0)), "")</f>
        <v>50386</v>
      </c>
      <c r="S498" cm="1">
        <f t="array" aca="1" ref="S498" ca="1">IFERROR(INDEX(fesp!$J:$J, MATCH(1, (VALUE(LEFT(fesp!$A:$A,6))=VALUE(LEFT(B498,6)))*(fesp!$C:$C=C498), 0)), "")</f>
        <v>423823</v>
      </c>
    </row>
    <row r="499" spans="1:19">
      <c r="A499" s="1" t="s">
        <v>49</v>
      </c>
      <c r="B499" s="3" t="s">
        <v>48</v>
      </c>
      <c r="C499" s="3">
        <v>2017</v>
      </c>
      <c r="D499" cm="1">
        <f t="array" ref="D499">IFERROR(INDEX(fesp!$D:$D, MATCH(1, (VALUE(LEFT(fesp!$A:$A,6))=VALUE(LEFT(B499,6)))*(fesp!$C:$C=C499), 0)), "")</f>
        <v>0</v>
      </c>
      <c r="E499" cm="1">
        <f t="array" aca="1" ref="E499" ca="1">IFERROR(INDEX(ft_medicos_clinicos!$C:$C, MATCH(1, (VALUE(LEFT(ft_medicos_clinicos!$A:$A,6))=VALUE(LEFT(B499,6)))*(ft_medicos_clinicos!$B:$B=C499), 0)), "")</f>
        <v>323</v>
      </c>
      <c r="F499" cm="1">
        <f t="array" aca="1" ref="F499" ca="1">IFERROR(INDEX(ft_enfermeiros!$C:$C, MATCH(1, (VALUE(LEFT(ft_enfermeiros!$A:$A,6))=VALUE(LEFT(B499,6)))*(ft_enfermeiros!$B:$B=C499), 0)), "")</f>
        <v>670</v>
      </c>
      <c r="G499" cm="1">
        <f t="array" aca="1" ref="G499" ca="1">IFERROR(INDEX(ft_equipes_acs!$C:$C, MATCH(1, (VALUE(LEFT(ft_equipes_acs!$A:$A,6))=VALUE(LEFT(B499,6)))*(ft_equipes_acs!$B:$B=C499), 0)), "")</f>
        <v>2</v>
      </c>
      <c r="H499" cm="1">
        <f t="array" aca="1" ref="H499" ca="1">IFERROR(INDEX(ci_leitos_internacao!$C:$C, MATCH(1, (VALUE(LEFT(ci_leitos_internacao!$A:$A,6))=VALUE(LEFT(B499,6)))*(ci_leitos_internacao!$B:$B=C499), 0)), "")</f>
        <v>1327</v>
      </c>
      <c r="I499" cm="1">
        <f t="array" aca="1" ref="I499" ca="1">IFERROR(INDEX(ci_hospitais_internacao!$C:$C, MATCH(1, (VALUE(LEFT(ci_hospitais_internacao!$A:$A,6))=VALUE(LEFT(B499,6)))*(ci_hospitais_internacao!$B:$B=C499), 0)), "")</f>
        <v>2</v>
      </c>
      <c r="J499" t="str" cm="1">
        <f t="array" aca="1" ref="J499" ca="1">IFERROR(INDEX(ci_pa_clinico!$C:$C, MATCH(1, (VALUE(LEFT(ci_pa_clinico!$A:$A,6))=VALUE(LEFT(B499,6)))*(ci_pa_clinico!$B:$B=C499), 0)), "")</f>
        <v/>
      </c>
      <c r="K499" cm="1">
        <f t="array" aca="1" ref="K499" ca="1">IFERROR(INDEX(aps_equipes_esf!$C:$C, MATCH(1, (VALUE(LEFT(aps_equipes_esf!$A:$A,6))=VALUE(LEFT(B499,6)))*(aps_equipes_esf!$B:$B=C499), 0)), "")</f>
        <v>36</v>
      </c>
      <c r="L499" cm="1">
        <f t="array" aca="1" ref="L499" ca="1">IFERROR(INDEX(casos!$C:$C, MATCH(1, (VALUE(LEFT(casos!$A:$A,6))=VALUE(LEFT(B499,6)))*(casos!$B:$B=C499), 0)), "")</f>
        <v>38</v>
      </c>
      <c r="M499" cm="1">
        <f t="array" ref="M499">IFERROR(INDEX(srag!$D:$D, MATCH(1, (VALUE(LEFT(srag!$A:$A,6))=VALUE(LEFT(B499,6)))*(srag!$C:$C=C499), 0)), "")</f>
        <v>82</v>
      </c>
      <c r="N499" cm="1">
        <f t="array" aca="1" ref="N499" ca="1">IFERROR(INDEX(fesp!$E:$E, MATCH(1, (VALUE(LEFT(fesp!$A:$A,6))=VALUE(LEFT(B499,6)))*(fesp!$C:$C=C499), 0)), "")</f>
        <v>192</v>
      </c>
      <c r="O499" cm="1">
        <f t="array" aca="1" ref="O499" ca="1">IFERROR(INDEX(fesp!$F:$F, MATCH(1, (VALUE(LEFT(fesp!$A:$A,6))=VALUE(LEFT(B499,6)))*(fesp!$C:$C=C499), 0)), "")</f>
        <v>1810</v>
      </c>
      <c r="P499" cm="1">
        <f t="array" aca="1" ref="P499" ca="1">IFERROR(INDEX(fesp!$G:$G, MATCH(1, (VALUE(LEFT(fesp!$A:$A,6))=VALUE(LEFT(B499,6)))*(fesp!$C:$C=C499), 0)), "")</f>
        <v>3600958</v>
      </c>
      <c r="Q499" cm="1">
        <f t="array" aca="1" ref="Q499" ca="1">IFERROR(INDEX(fesp!$H:$H, MATCH(1, (VALUE(LEFT(fesp!$A:$A,6))=VALUE(LEFT(B499,6)))*(fesp!$C:$C=C499), 0)), "")</f>
        <v>409</v>
      </c>
      <c r="R499" cm="1">
        <f t="array" aca="1" ref="R499" ca="1">IFERROR(INDEX(fesp!$I:$I, MATCH(1, (VALUE(LEFT(fesp!$A:$A,6))=VALUE(LEFT(B499,6)))*(fesp!$C:$C=C499), 0)), "")</f>
        <v>53847</v>
      </c>
      <c r="S499" cm="1">
        <f t="array" aca="1" ref="S499" ca="1">IFERROR(INDEX(fesp!$J:$J, MATCH(1, (VALUE(LEFT(fesp!$A:$A,6))=VALUE(LEFT(B499,6)))*(fesp!$C:$C=C499), 0)), "")</f>
        <v>377585</v>
      </c>
    </row>
    <row r="500" spans="1:19">
      <c r="A500" s="1" t="s">
        <v>49</v>
      </c>
      <c r="B500" s="3" t="s">
        <v>48</v>
      </c>
      <c r="C500" s="3">
        <v>2018</v>
      </c>
      <c r="D500" cm="1">
        <f t="array" ref="D500">IFERROR(INDEX(fesp!$D:$D, MATCH(1, (VALUE(LEFT(fesp!$A:$A,6))=VALUE(LEFT(B500,6)))*(fesp!$C:$C=C500), 0)), "")</f>
        <v>0</v>
      </c>
      <c r="E500" cm="1">
        <f t="array" aca="1" ref="E500" ca="1">IFERROR(INDEX(ft_medicos_clinicos!$C:$C, MATCH(1, (VALUE(LEFT(ft_medicos_clinicos!$A:$A,6))=VALUE(LEFT(B500,6)))*(ft_medicos_clinicos!$B:$B=C500), 0)), "")</f>
        <v>373</v>
      </c>
      <c r="F500" cm="1">
        <f t="array" aca="1" ref="F500" ca="1">IFERROR(INDEX(ft_enfermeiros!$C:$C, MATCH(1, (VALUE(LEFT(ft_enfermeiros!$A:$A,6))=VALUE(LEFT(B500,6)))*(ft_enfermeiros!$B:$B=C500), 0)), "")</f>
        <v>813</v>
      </c>
      <c r="G500" cm="1">
        <f t="array" aca="1" ref="G500" ca="1">IFERROR(INDEX(ft_equipes_acs!$C:$C, MATCH(1, (VALUE(LEFT(ft_equipes_acs!$A:$A,6))=VALUE(LEFT(B500,6)))*(ft_equipes_acs!$B:$B=C500), 0)), "")</f>
        <v>1</v>
      </c>
      <c r="H500" cm="1">
        <f t="array" aca="1" ref="H500" ca="1">IFERROR(INDEX(ci_leitos_internacao!$C:$C, MATCH(1, (VALUE(LEFT(ci_leitos_internacao!$A:$A,6))=VALUE(LEFT(B500,6)))*(ci_leitos_internacao!$B:$B=C500), 0)), "")</f>
        <v>1455</v>
      </c>
      <c r="I500" cm="1">
        <f t="array" aca="1" ref="I500" ca="1">IFERROR(INDEX(ci_hospitais_internacao!$C:$C, MATCH(1, (VALUE(LEFT(ci_hospitais_internacao!$A:$A,6))=VALUE(LEFT(B500,6)))*(ci_hospitais_internacao!$B:$B=C500), 0)), "")</f>
        <v>2</v>
      </c>
      <c r="J500" t="str" cm="1">
        <f t="array" aca="1" ref="J500" ca="1">IFERROR(INDEX(ci_pa_clinico!$C:$C, MATCH(1, (VALUE(LEFT(ci_pa_clinico!$A:$A,6))=VALUE(LEFT(B500,6)))*(ci_pa_clinico!$B:$B=C500), 0)), "")</f>
        <v/>
      </c>
      <c r="K500" cm="1">
        <f t="array" aca="1" ref="K500" ca="1">IFERROR(INDEX(aps_equipes_esf!$C:$C, MATCH(1, (VALUE(LEFT(aps_equipes_esf!$A:$A,6))=VALUE(LEFT(B500,6)))*(aps_equipes_esf!$B:$B=C500), 0)), "")</f>
        <v>36</v>
      </c>
      <c r="L500" cm="1">
        <f t="array" aca="1" ref="L500" ca="1">IFERROR(INDEX(casos!$C:$C, MATCH(1, (VALUE(LEFT(casos!$A:$A,6))=VALUE(LEFT(B500,6)))*(casos!$B:$B=C500), 0)), "")</f>
        <v>33</v>
      </c>
      <c r="M500" cm="1">
        <f t="array" ref="M500">IFERROR(INDEX(srag!$D:$D, MATCH(1, (VALUE(LEFT(srag!$A:$A,6))=VALUE(LEFT(B500,6)))*(srag!$C:$C=C500), 0)), "")</f>
        <v>132</v>
      </c>
      <c r="N500" cm="1">
        <f t="array" aca="1" ref="N500" ca="1">IFERROR(INDEX(fesp!$E:$E, MATCH(1, (VALUE(LEFT(fesp!$A:$A,6))=VALUE(LEFT(B500,6)))*(fesp!$C:$C=C500), 0)), "")</f>
        <v>413</v>
      </c>
      <c r="O500" cm="1">
        <f t="array" aca="1" ref="O500" ca="1">IFERROR(INDEX(fesp!$F:$F, MATCH(1, (VALUE(LEFT(fesp!$A:$A,6))=VALUE(LEFT(B500,6)))*(fesp!$C:$C=C500), 0)), "")</f>
        <v>1431</v>
      </c>
      <c r="P500" cm="1">
        <f t="array" aca="1" ref="P500" ca="1">IFERROR(INDEX(fesp!$G:$G, MATCH(1, (VALUE(LEFT(fesp!$A:$A,6))=VALUE(LEFT(B500,6)))*(fesp!$C:$C=C500), 0)), "")</f>
        <v>3360265</v>
      </c>
      <c r="Q500" cm="1">
        <f t="array" aca="1" ref="Q500" ca="1">IFERROR(INDEX(fesp!$H:$H, MATCH(1, (VALUE(LEFT(fesp!$A:$A,6))=VALUE(LEFT(B500,6)))*(fesp!$C:$C=C500), 0)), "")</f>
        <v>495</v>
      </c>
      <c r="R500" cm="1">
        <f t="array" aca="1" ref="R500" ca="1">IFERROR(INDEX(fesp!$I:$I, MATCH(1, (VALUE(LEFT(fesp!$A:$A,6))=VALUE(LEFT(B500,6)))*(fesp!$C:$C=C500), 0)), "")</f>
        <v>35045</v>
      </c>
      <c r="S500" cm="1">
        <f t="array" aca="1" ref="S500" ca="1">IFERROR(INDEX(fesp!$J:$J, MATCH(1, (VALUE(LEFT(fesp!$A:$A,6))=VALUE(LEFT(B500,6)))*(fesp!$C:$C=C500), 0)), "")</f>
        <v>297776</v>
      </c>
    </row>
    <row r="501" spans="1:19">
      <c r="A501" s="1" t="s">
        <v>49</v>
      </c>
      <c r="B501" s="3">
        <v>3547809</v>
      </c>
      <c r="C501" s="3">
        <v>2019</v>
      </c>
      <c r="D501" cm="1">
        <f t="array" ref="D501">IFERROR(INDEX(fesp!$D:$D, MATCH(1, (VALUE(LEFT(fesp!$A:$A,6))=VALUE(LEFT(B501,6)))*(fesp!$C:$C=C501), 0)), "")</f>
        <v>0</v>
      </c>
      <c r="E501" cm="1">
        <f t="array" aca="1" ref="E501" ca="1">IFERROR(INDEX(ft_medicos_clinicos!$C:$C, MATCH(1, (VALUE(LEFT(ft_medicos_clinicos!$A:$A,6))=VALUE(LEFT(B501,6)))*(ft_medicos_clinicos!$B:$B=C501), 0)), "")</f>
        <v>412</v>
      </c>
      <c r="F501" cm="1">
        <f t="array" aca="1" ref="F501" ca="1">IFERROR(INDEX(ft_enfermeiros!$C:$C, MATCH(1, (VALUE(LEFT(ft_enfermeiros!$A:$A,6))=VALUE(LEFT(B501,6)))*(ft_enfermeiros!$B:$B=C501), 0)), "")</f>
        <v>943</v>
      </c>
      <c r="G501" cm="1">
        <f t="array" aca="1" ref="G501" ca="1">IFERROR(INDEX(ft_equipes_acs!$C:$C, MATCH(1, (VALUE(LEFT(ft_equipes_acs!$A:$A,6))=VALUE(LEFT(B501,6)))*(ft_equipes_acs!$B:$B=C501), 0)), "")</f>
        <v>1</v>
      </c>
      <c r="H501" cm="1">
        <f t="array" aca="1" ref="H501" ca="1">IFERROR(INDEX(ci_leitos_internacao!$C:$C, MATCH(1, (VALUE(LEFT(ci_leitos_internacao!$A:$A,6))=VALUE(LEFT(B501,6)))*(ci_leitos_internacao!$B:$B=C501), 0)), "")</f>
        <v>1540</v>
      </c>
      <c r="I501" cm="1">
        <f t="array" aca="1" ref="I501" ca="1">IFERROR(INDEX(ci_hospitais_internacao!$C:$C, MATCH(1, (VALUE(LEFT(ci_hospitais_internacao!$A:$A,6))=VALUE(LEFT(B501,6)))*(ci_hospitais_internacao!$B:$B=C501), 0)), "")</f>
        <v>2</v>
      </c>
      <c r="J501" t="str" cm="1">
        <f t="array" aca="1" ref="J501" ca="1">IFERROR(INDEX(ci_pa_clinico!$C:$C, MATCH(1, (VALUE(LEFT(ci_pa_clinico!$A:$A,6))=VALUE(LEFT(B501,6)))*(ci_pa_clinico!$B:$B=C501), 0)), "")</f>
        <v/>
      </c>
      <c r="K501" cm="1">
        <f t="array" aca="1" ref="K501" ca="1">IFERROR(INDEX(aps_equipes_esf!$C:$C, MATCH(1, (VALUE(LEFT(aps_equipes_esf!$A:$A,6))=VALUE(LEFT(B501,6)))*(aps_equipes_esf!$B:$B=C501), 0)), "")</f>
        <v>36</v>
      </c>
      <c r="L501" cm="1">
        <f t="array" aca="1" ref="L501" ca="1">IFERROR(INDEX(casos!$C:$C, MATCH(1, (VALUE(LEFT(casos!$A:$A,6))=VALUE(LEFT(B501,6)))*(casos!$B:$B=C501), 0)), "")</f>
        <v>422</v>
      </c>
      <c r="M501" cm="1">
        <f t="array" ref="M501">IFERROR(INDEX(srag!$D:$D, MATCH(1, (VALUE(LEFT(srag!$A:$A,6))=VALUE(LEFT(B501,6)))*(srag!$C:$C=C501), 0)), "")</f>
        <v>124</v>
      </c>
      <c r="N501" cm="1">
        <f t="array" aca="1" ref="N501" ca="1">IFERROR(INDEX(fesp!$E:$E, MATCH(1, (VALUE(LEFT(fesp!$A:$A,6))=VALUE(LEFT(B501,6)))*(fesp!$C:$C=C501), 0)), "")</f>
        <v>296</v>
      </c>
      <c r="O501" cm="1">
        <f t="array" aca="1" ref="O501" ca="1">IFERROR(INDEX(fesp!$F:$F, MATCH(1, (VALUE(LEFT(fesp!$A:$A,6))=VALUE(LEFT(B501,6)))*(fesp!$C:$C=C501), 0)), "")</f>
        <v>3362</v>
      </c>
      <c r="P501" cm="1">
        <f t="array" aca="1" ref="P501" ca="1">IFERROR(INDEX(fesp!$G:$G, MATCH(1, (VALUE(LEFT(fesp!$A:$A,6))=VALUE(LEFT(B501,6)))*(fesp!$C:$C=C501), 0)), "")</f>
        <v>4379048</v>
      </c>
      <c r="Q501" cm="1">
        <f t="array" aca="1" ref="Q501" ca="1">IFERROR(INDEX(fesp!$H:$H, MATCH(1, (VALUE(LEFT(fesp!$A:$A,6))=VALUE(LEFT(B501,6)))*(fesp!$C:$C=C501), 0)), "")</f>
        <v>432</v>
      </c>
      <c r="R501" cm="1">
        <f t="array" aca="1" ref="R501" ca="1">IFERROR(INDEX(fesp!$I:$I, MATCH(1, (VALUE(LEFT(fesp!$A:$A,6))=VALUE(LEFT(B501,6)))*(fesp!$C:$C=C501), 0)), "")</f>
        <v>29820</v>
      </c>
      <c r="S501" cm="1">
        <f t="array" aca="1" ref="S501" ca="1">IFERROR(INDEX(fesp!$J:$J, MATCH(1, (VALUE(LEFT(fesp!$A:$A,6))=VALUE(LEFT(B501,6)))*(fesp!$C:$C=C501), 0)), "")</f>
        <v>305928</v>
      </c>
    </row>
    <row r="502" spans="1:19">
      <c r="A502" s="1" t="s">
        <v>49</v>
      </c>
      <c r="B502" s="3" t="s">
        <v>48</v>
      </c>
      <c r="C502" s="3">
        <v>2020</v>
      </c>
      <c r="D502" cm="1">
        <f t="array" ref="D502">IFERROR(INDEX(fesp!$D:$D, MATCH(1, (VALUE(LEFT(fesp!$A:$A,6))=VALUE(LEFT(B502,6)))*(fesp!$C:$C=C502), 0)), "")</f>
        <v>0</v>
      </c>
      <c r="E502" cm="1">
        <f t="array" aca="1" ref="E502" ca="1">IFERROR(INDEX(ft_medicos_clinicos!$C:$C, MATCH(1, (VALUE(LEFT(ft_medicos_clinicos!$A:$A,6))=VALUE(LEFT(B502,6)))*(ft_medicos_clinicos!$B:$B=C502), 0)), "")</f>
        <v>461</v>
      </c>
      <c r="F502" cm="1">
        <f t="array" aca="1" ref="F502" ca="1">IFERROR(INDEX(ft_enfermeiros!$C:$C, MATCH(1, (VALUE(LEFT(ft_enfermeiros!$A:$A,6))=VALUE(LEFT(B502,6)))*(ft_enfermeiros!$B:$B=C502), 0)), "")</f>
        <v>1030</v>
      </c>
      <c r="G502" t="str" cm="1">
        <f t="array" aca="1" ref="G502" ca="1">IFERROR(INDEX(ft_equipes_acs!$C:$C, MATCH(1, (VALUE(LEFT(ft_equipes_acs!$A:$A,6))=VALUE(LEFT(B502,6)))*(ft_equipes_acs!$B:$B=C502), 0)), "")</f>
        <v>-</v>
      </c>
      <c r="H502" cm="1">
        <f t="array" aca="1" ref="H502" ca="1">IFERROR(INDEX(ci_leitos_internacao!$C:$C, MATCH(1, (VALUE(LEFT(ci_leitos_internacao!$A:$A,6))=VALUE(LEFT(B502,6)))*(ci_leitos_internacao!$B:$B=C502), 0)), "")</f>
        <v>1833</v>
      </c>
      <c r="I502" cm="1">
        <f t="array" aca="1" ref="I502" ca="1">IFERROR(INDEX(ci_hospitais_internacao!$C:$C, MATCH(1, (VALUE(LEFT(ci_hospitais_internacao!$A:$A,6))=VALUE(LEFT(B502,6)))*(ci_hospitais_internacao!$B:$B=C502), 0)), "")</f>
        <v>4</v>
      </c>
      <c r="J502" t="str" cm="1">
        <f t="array" aca="1" ref="J502" ca="1">IFERROR(INDEX(ci_pa_clinico!$C:$C, MATCH(1, (VALUE(LEFT(ci_pa_clinico!$A:$A,6))=VALUE(LEFT(B502,6)))*(ci_pa_clinico!$B:$B=C502), 0)), "")</f>
        <v/>
      </c>
      <c r="K502" t="str" cm="1">
        <f t="array" aca="1" ref="K502" ca="1">IFERROR(INDEX(aps_equipes_esf!$C:$C, MATCH(1, (VALUE(LEFT(aps_equipes_esf!$A:$A,6))=VALUE(LEFT(B502,6)))*(aps_equipes_esf!$B:$B=C502), 0)), "")</f>
        <v>-</v>
      </c>
      <c r="L502" cm="1">
        <f t="array" aca="1" ref="L502" ca="1">IFERROR(INDEX(casos!$C:$C, MATCH(1, (VALUE(LEFT(casos!$A:$A,6))=VALUE(LEFT(B502,6)))*(casos!$B:$B=C502), 0)), "")</f>
        <v>39</v>
      </c>
      <c r="M502" cm="1">
        <f t="array" ref="M502">IFERROR(INDEX(srag!$D:$D, MATCH(1, (VALUE(LEFT(srag!$A:$A,6))=VALUE(LEFT(B502,6)))*(srag!$C:$C=C502), 0)), "")</f>
        <v>4665</v>
      </c>
      <c r="N502" cm="1">
        <f t="array" aca="1" ref="N502" ca="1">IFERROR(INDEX(fesp!$E:$E, MATCH(1, (VALUE(LEFT(fesp!$A:$A,6))=VALUE(LEFT(B502,6)))*(fesp!$C:$C=C502), 0)), "")</f>
        <v>267</v>
      </c>
      <c r="O502" cm="1">
        <f t="array" aca="1" ref="O502" ca="1">IFERROR(INDEX(fesp!$F:$F, MATCH(1, (VALUE(LEFT(fesp!$A:$A,6))=VALUE(LEFT(B502,6)))*(fesp!$C:$C=C502), 0)), "")</f>
        <v>4042</v>
      </c>
      <c r="P502" cm="1">
        <f t="array" aca="1" ref="P502" ca="1">IFERROR(INDEX(fesp!$G:$G, MATCH(1, (VALUE(LEFT(fesp!$A:$A,6))=VALUE(LEFT(B502,6)))*(fesp!$C:$C=C502), 0)), "")</f>
        <v>4308533</v>
      </c>
      <c r="Q502" cm="1">
        <f t="array" aca="1" ref="Q502" ca="1">IFERROR(INDEX(fesp!$H:$H, MATCH(1, (VALUE(LEFT(fesp!$A:$A,6))=VALUE(LEFT(B502,6)))*(fesp!$C:$C=C502), 0)), "")</f>
        <v>433</v>
      </c>
      <c r="R502" cm="1">
        <f t="array" aca="1" ref="R502" ca="1">IFERROR(INDEX(fesp!$I:$I, MATCH(1, (VALUE(LEFT(fesp!$A:$A,6))=VALUE(LEFT(B502,6)))*(fesp!$C:$C=C502), 0)), "")</f>
        <v>27394</v>
      </c>
      <c r="S502" cm="1">
        <f t="array" aca="1" ref="S502" ca="1">IFERROR(INDEX(fesp!$J:$J, MATCH(1, (VALUE(LEFT(fesp!$A:$A,6))=VALUE(LEFT(B502,6)))*(fesp!$C:$C=C502), 0)), "")</f>
        <v>238362</v>
      </c>
    </row>
    <row r="503" spans="1:19">
      <c r="A503" s="1" t="s">
        <v>49</v>
      </c>
      <c r="B503" s="3" t="s">
        <v>48</v>
      </c>
      <c r="C503" s="3">
        <v>2021</v>
      </c>
      <c r="D503" cm="1">
        <f t="array" ref="D503">IFERROR(INDEX(fesp!$D:$D, MATCH(1, (VALUE(LEFT(fesp!$A:$A,6))=VALUE(LEFT(B503,6)))*(fesp!$C:$C=C503), 0)), "")</f>
        <v>0</v>
      </c>
      <c r="E503" cm="1">
        <f t="array" aca="1" ref="E503" ca="1">IFERROR(INDEX(ft_medicos_clinicos!$C:$C, MATCH(1, (VALUE(LEFT(ft_medicos_clinicos!$A:$A,6))=VALUE(LEFT(B503,6)))*(ft_medicos_clinicos!$B:$B=C503), 0)), "")</f>
        <v>525</v>
      </c>
      <c r="F503" cm="1">
        <f t="array" aca="1" ref="F503" ca="1">IFERROR(INDEX(ft_enfermeiros!$C:$C, MATCH(1, (VALUE(LEFT(ft_enfermeiros!$A:$A,6))=VALUE(LEFT(B503,6)))*(ft_enfermeiros!$B:$B=C503), 0)), "")</f>
        <v>1077</v>
      </c>
      <c r="G503" t="str" cm="1">
        <f t="array" aca="1" ref="G503" ca="1">IFERROR(INDEX(ft_equipes_acs!$C:$C, MATCH(1, (VALUE(LEFT(ft_equipes_acs!$A:$A,6))=VALUE(LEFT(B503,6)))*(ft_equipes_acs!$B:$B=C503), 0)), "")</f>
        <v>-</v>
      </c>
      <c r="H503" cm="1">
        <f t="array" aca="1" ref="H503" ca="1">IFERROR(INDEX(ci_leitos_internacao!$C:$C, MATCH(1, (VALUE(LEFT(ci_leitos_internacao!$A:$A,6))=VALUE(LEFT(B503,6)))*(ci_leitos_internacao!$B:$B=C503), 0)), "")</f>
        <v>1520</v>
      </c>
      <c r="I503" cm="1">
        <f t="array" aca="1" ref="I503" ca="1">IFERROR(INDEX(ci_hospitais_internacao!$C:$C, MATCH(1, (VALUE(LEFT(ci_hospitais_internacao!$A:$A,6))=VALUE(LEFT(B503,6)))*(ci_hospitais_internacao!$B:$B=C503), 0)), "")</f>
        <v>3</v>
      </c>
      <c r="J503" t="str" cm="1">
        <f t="array" aca="1" ref="J503" ca="1">IFERROR(INDEX(ci_pa_clinico!$C:$C, MATCH(1, (VALUE(LEFT(ci_pa_clinico!$A:$A,6))=VALUE(LEFT(B503,6)))*(ci_pa_clinico!$B:$B=C503), 0)), "")</f>
        <v/>
      </c>
      <c r="K503" t="str" cm="1">
        <f t="array" aca="1" ref="K503" ca="1">IFERROR(INDEX(aps_equipes_esf!$C:$C, MATCH(1, (VALUE(LEFT(aps_equipes_esf!$A:$A,6))=VALUE(LEFT(B503,6)))*(aps_equipes_esf!$B:$B=C503), 0)), "")</f>
        <v>-</v>
      </c>
      <c r="L503" cm="1">
        <f t="array" aca="1" ref="L503" ca="1">IFERROR(INDEX(casos!$C:$C, MATCH(1, (VALUE(LEFT(casos!$A:$A,6))=VALUE(LEFT(B503,6)))*(casos!$B:$B=C503), 0)), "")</f>
        <v>124</v>
      </c>
      <c r="M503" cm="1">
        <f t="array" ref="M503">IFERROR(INDEX(srag!$D:$D, MATCH(1, (VALUE(LEFT(srag!$A:$A,6))=VALUE(LEFT(B503,6)))*(srag!$C:$C=C503), 0)), "")</f>
        <v>7377</v>
      </c>
      <c r="N503" cm="1">
        <f t="array" aca="1" ref="N503" ca="1">IFERROR(INDEX(fesp!$E:$E, MATCH(1, (VALUE(LEFT(fesp!$A:$A,6))=VALUE(LEFT(B503,6)))*(fesp!$C:$C=C503), 0)), "")</f>
        <v>323</v>
      </c>
      <c r="O503" cm="1">
        <f t="array" aca="1" ref="O503" ca="1">IFERROR(INDEX(fesp!$F:$F, MATCH(1, (VALUE(LEFT(fesp!$A:$A,6))=VALUE(LEFT(B503,6)))*(fesp!$C:$C=C503), 0)), "")</f>
        <v>4918</v>
      </c>
      <c r="P503" cm="1">
        <f t="array" aca="1" ref="P503" ca="1">IFERROR(INDEX(fesp!$G:$G, MATCH(1, (VALUE(LEFT(fesp!$A:$A,6))=VALUE(LEFT(B503,6)))*(fesp!$C:$C=C503), 0)), "")</f>
        <v>4291057</v>
      </c>
      <c r="Q503" cm="1">
        <f t="array" aca="1" ref="Q503" ca="1">IFERROR(INDEX(fesp!$H:$H, MATCH(1, (VALUE(LEFT(fesp!$A:$A,6))=VALUE(LEFT(B503,6)))*(fesp!$C:$C=C503), 0)), "")</f>
        <v>468</v>
      </c>
      <c r="R503" cm="1">
        <f t="array" aca="1" ref="R503" ca="1">IFERROR(INDEX(fesp!$I:$I, MATCH(1, (VALUE(LEFT(fesp!$A:$A,6))=VALUE(LEFT(B503,6)))*(fesp!$C:$C=C503), 0)), "")</f>
        <v>26808</v>
      </c>
      <c r="S503" cm="1">
        <f t="array" aca="1" ref="S503" ca="1">IFERROR(INDEX(fesp!$J:$J, MATCH(1, (VALUE(LEFT(fesp!$A:$A,6))=VALUE(LEFT(B503,6)))*(fesp!$C:$C=C503), 0)), "")</f>
        <v>235941</v>
      </c>
    </row>
    <row r="504" spans="1:19">
      <c r="A504" s="1" t="s">
        <v>49</v>
      </c>
      <c r="B504" s="3" t="s">
        <v>48</v>
      </c>
      <c r="C504" s="3">
        <v>2022</v>
      </c>
      <c r="D504" cm="1">
        <f t="array" ref="D504">IFERROR(INDEX(fesp!$D:$D, MATCH(1, (VALUE(LEFT(fesp!$A:$A,6))=VALUE(LEFT(B504,6)))*(fesp!$C:$C=C504), 0)), "")</f>
        <v>748919</v>
      </c>
      <c r="E504" cm="1">
        <f t="array" aca="1" ref="E504" ca="1">IFERROR(INDEX(ft_medicos_clinicos!$C:$C, MATCH(1, (VALUE(LEFT(ft_medicos_clinicos!$A:$A,6))=VALUE(LEFT(B504,6)))*(ft_medicos_clinicos!$B:$B=C504), 0)), "")</f>
        <v>461</v>
      </c>
      <c r="F504" cm="1">
        <f t="array" aca="1" ref="F504" ca="1">IFERROR(INDEX(ft_enfermeiros!$C:$C, MATCH(1, (VALUE(LEFT(ft_enfermeiros!$A:$A,6))=VALUE(LEFT(B504,6)))*(ft_enfermeiros!$B:$B=C504), 0)), "")</f>
        <v>1141</v>
      </c>
      <c r="G504" t="str" cm="1">
        <f t="array" aca="1" ref="G504" ca="1">IFERROR(INDEX(ft_equipes_acs!$C:$C, MATCH(1, (VALUE(LEFT(ft_equipes_acs!$A:$A,6))=VALUE(LEFT(B504,6)))*(ft_equipes_acs!$B:$B=C504), 0)), "")</f>
        <v>-</v>
      </c>
      <c r="H504" cm="1">
        <f t="array" aca="1" ref="H504" ca="1">IFERROR(INDEX(ci_leitos_internacao!$C:$C, MATCH(1, (VALUE(LEFT(ci_leitos_internacao!$A:$A,6))=VALUE(LEFT(B504,6)))*(ci_leitos_internacao!$B:$B=C504), 0)), "")</f>
        <v>1575</v>
      </c>
      <c r="I504" cm="1">
        <f t="array" aca="1" ref="I504" ca="1">IFERROR(INDEX(ci_hospitais_internacao!$C:$C, MATCH(1, (VALUE(LEFT(ci_hospitais_internacao!$A:$A,6))=VALUE(LEFT(B504,6)))*(ci_hospitais_internacao!$B:$B=C504), 0)), "")</f>
        <v>2</v>
      </c>
      <c r="J504" t="str" cm="1">
        <f t="array" aca="1" ref="J504" ca="1">IFERROR(INDEX(ci_pa_clinico!$C:$C, MATCH(1, (VALUE(LEFT(ci_pa_clinico!$A:$A,6))=VALUE(LEFT(B504,6)))*(ci_pa_clinico!$B:$B=C504), 0)), "")</f>
        <v/>
      </c>
      <c r="K504" t="str" cm="1">
        <f t="array" aca="1" ref="K504" ca="1">IFERROR(INDEX(aps_equipes_esf!$C:$C, MATCH(1, (VALUE(LEFT(aps_equipes_esf!$A:$A,6))=VALUE(LEFT(B504,6)))*(aps_equipes_esf!$B:$B=C504), 0)), "")</f>
        <v>-</v>
      </c>
      <c r="L504" cm="1">
        <f t="array" aca="1" ref="L504" ca="1">IFERROR(INDEX(casos!$C:$C, MATCH(1, (VALUE(LEFT(casos!$A:$A,6))=VALUE(LEFT(B504,6)))*(casos!$B:$B=C504), 0)), "")</f>
        <v>165</v>
      </c>
      <c r="M504" cm="1">
        <f t="array" ref="M504">IFERROR(INDEX(srag!$D:$D, MATCH(1, (VALUE(LEFT(srag!$A:$A,6))=VALUE(LEFT(B504,6)))*(srag!$C:$C=C504), 0)), "")</f>
        <v>1981</v>
      </c>
      <c r="N504" cm="1">
        <f t="array" aca="1" ref="N504" ca="1">IFERROR(INDEX(fesp!$E:$E, MATCH(1, (VALUE(LEFT(fesp!$A:$A,6))=VALUE(LEFT(B504,6)))*(fesp!$C:$C=C504), 0)), "")</f>
        <v>249</v>
      </c>
      <c r="O504" cm="1">
        <f t="array" aca="1" ref="O504" ca="1">IFERROR(INDEX(fesp!$F:$F, MATCH(1, (VALUE(LEFT(fesp!$A:$A,6))=VALUE(LEFT(B504,6)))*(fesp!$C:$C=C504), 0)), "")</f>
        <v>5179</v>
      </c>
      <c r="P504" cm="1">
        <f t="array" aca="1" ref="P504" ca="1">IFERROR(INDEX(fesp!$G:$G, MATCH(1, (VALUE(LEFT(fesp!$A:$A,6))=VALUE(LEFT(B504,6)))*(fesp!$C:$C=C504), 0)), "")</f>
        <v>4814234</v>
      </c>
      <c r="Q504" cm="1">
        <f t="array" aca="1" ref="Q504" ca="1">IFERROR(INDEX(fesp!$H:$H, MATCH(1, (VALUE(LEFT(fesp!$A:$A,6))=VALUE(LEFT(B504,6)))*(fesp!$C:$C=C504), 0)), "")</f>
        <v>524</v>
      </c>
      <c r="R504" cm="1">
        <f t="array" aca="1" ref="R504" ca="1">IFERROR(INDEX(fesp!$I:$I, MATCH(1, (VALUE(LEFT(fesp!$A:$A,6))=VALUE(LEFT(B504,6)))*(fesp!$C:$C=C504), 0)), "")</f>
        <v>23501</v>
      </c>
      <c r="S504" cm="1">
        <f t="array" aca="1" ref="S504" ca="1">IFERROR(INDEX(fesp!$J:$J, MATCH(1, (VALUE(LEFT(fesp!$A:$A,6))=VALUE(LEFT(B504,6)))*(fesp!$C:$C=C504), 0)), "")</f>
        <v>326016</v>
      </c>
    </row>
    <row r="505" spans="1:19">
      <c r="A505" s="1" t="s">
        <v>49</v>
      </c>
      <c r="B505" s="3" t="s">
        <v>48</v>
      </c>
      <c r="C505" s="3">
        <v>2023</v>
      </c>
      <c r="D505" cm="1">
        <f t="array" ref="D505">IFERROR(INDEX(fesp!$D:$D, MATCH(1, (VALUE(LEFT(fesp!$A:$A,6))=VALUE(LEFT(B505,6)))*(fesp!$C:$C=C505), 0)), "")</f>
        <v>0</v>
      </c>
      <c r="E505" cm="1">
        <f t="array" aca="1" ref="E505" ca="1">IFERROR(INDEX(ft_medicos_clinicos!$C:$C, MATCH(1, (VALUE(LEFT(ft_medicos_clinicos!$A:$A,6))=VALUE(LEFT(B505,6)))*(ft_medicos_clinicos!$B:$B=C505), 0)), "")</f>
        <v>491</v>
      </c>
      <c r="F505" cm="1">
        <f t="array" aca="1" ref="F505" ca="1">IFERROR(INDEX(ft_enfermeiros!$C:$C, MATCH(1, (VALUE(LEFT(ft_enfermeiros!$A:$A,6))=VALUE(LEFT(B505,6)))*(ft_enfermeiros!$B:$B=C505), 0)), "")</f>
        <v>1245</v>
      </c>
      <c r="G505" t="str" cm="1">
        <f t="array" aca="1" ref="G505" ca="1">IFERROR(INDEX(ft_equipes_acs!$C:$C, MATCH(1, (VALUE(LEFT(ft_equipes_acs!$A:$A,6))=VALUE(LEFT(B505,6)))*(ft_equipes_acs!$B:$B=C505), 0)), "")</f>
        <v>-</v>
      </c>
      <c r="H505" cm="1">
        <f t="array" aca="1" ref="H505" ca="1">IFERROR(INDEX(ci_leitos_internacao!$C:$C, MATCH(1, (VALUE(LEFT(ci_leitos_internacao!$A:$A,6))=VALUE(LEFT(B505,6)))*(ci_leitos_internacao!$B:$B=C505), 0)), "")</f>
        <v>1560</v>
      </c>
      <c r="I505" cm="1">
        <f t="array" aca="1" ref="I505" ca="1">IFERROR(INDEX(ci_hospitais_internacao!$C:$C, MATCH(1, (VALUE(LEFT(ci_hospitais_internacao!$A:$A,6))=VALUE(LEFT(B505,6)))*(ci_hospitais_internacao!$B:$B=C505), 0)), "")</f>
        <v>2</v>
      </c>
      <c r="J505" t="str" cm="1">
        <f t="array" aca="1" ref="J505" ca="1">IFERROR(INDEX(ci_pa_clinico!$C:$C, MATCH(1, (VALUE(LEFT(ci_pa_clinico!$A:$A,6))=VALUE(LEFT(B505,6)))*(ci_pa_clinico!$B:$B=C505), 0)), "")</f>
        <v/>
      </c>
      <c r="K505" t="str" cm="1">
        <f t="array" aca="1" ref="K505" ca="1">IFERROR(INDEX(aps_equipes_esf!$C:$C, MATCH(1, (VALUE(LEFT(aps_equipes_esf!$A:$A,6))=VALUE(LEFT(B505,6)))*(aps_equipes_esf!$B:$B=C505), 0)), "")</f>
        <v>-</v>
      </c>
      <c r="L505" cm="1">
        <f t="array" aca="1" ref="L505" ca="1">IFERROR(INDEX(casos!$C:$C, MATCH(1, (VALUE(LEFT(casos!$A:$A,6))=VALUE(LEFT(B505,6)))*(casos!$B:$B=C505), 0)), "")</f>
        <v>316</v>
      </c>
      <c r="M505" cm="1">
        <f t="array" ref="M505">IFERROR(INDEX(srag!$D:$D, MATCH(1, (VALUE(LEFT(srag!$A:$A,6))=VALUE(LEFT(B505,6)))*(srag!$C:$C=C505), 0)), "")</f>
        <v>803</v>
      </c>
      <c r="N505" cm="1">
        <f t="array" aca="1" ref="N505" ca="1">IFERROR(INDEX(fesp!$E:$E, MATCH(1, (VALUE(LEFT(fesp!$A:$A,6))=VALUE(LEFT(B505,6)))*(fesp!$C:$C=C505), 0)), "")</f>
        <v>220</v>
      </c>
      <c r="O505" cm="1">
        <f t="array" aca="1" ref="O505" ca="1">IFERROR(INDEX(fesp!$F:$F, MATCH(1, (VALUE(LEFT(fesp!$A:$A,6))=VALUE(LEFT(B505,6)))*(fesp!$C:$C=C505), 0)), "")</f>
        <v>6130</v>
      </c>
      <c r="P505" cm="1">
        <f t="array" aca="1" ref="P505" ca="1">IFERROR(INDEX(fesp!$G:$G, MATCH(1, (VALUE(LEFT(fesp!$A:$A,6))=VALUE(LEFT(B505,6)))*(fesp!$C:$C=C505), 0)), "")</f>
        <v>5374859</v>
      </c>
      <c r="Q505" cm="1">
        <f t="array" aca="1" ref="Q505" ca="1">IFERROR(INDEX(fesp!$H:$H, MATCH(1, (VALUE(LEFT(fesp!$A:$A,6))=VALUE(LEFT(B505,6)))*(fesp!$C:$C=C505), 0)), "")</f>
        <v>477</v>
      </c>
      <c r="R505" cm="1">
        <f t="array" aca="1" ref="R505" ca="1">IFERROR(INDEX(fesp!$I:$I, MATCH(1, (VALUE(LEFT(fesp!$A:$A,6))=VALUE(LEFT(B505,6)))*(fesp!$C:$C=C505), 0)), "")</f>
        <v>21313</v>
      </c>
      <c r="S505" cm="1">
        <f t="array" aca="1" ref="S505" ca="1">IFERROR(INDEX(fesp!$J:$J, MATCH(1, (VALUE(LEFT(fesp!$A:$A,6))=VALUE(LEFT(B505,6)))*(fesp!$C:$C=C505), 0)), "")</f>
        <v>462694</v>
      </c>
    </row>
    <row r="506" spans="1:19">
      <c r="A506" s="1" t="s">
        <v>49</v>
      </c>
      <c r="B506" s="3" t="s">
        <v>48</v>
      </c>
      <c r="C506" s="3">
        <v>2024</v>
      </c>
      <c r="D506" cm="1">
        <f t="array" ref="D506">IFERROR(INDEX(fesp!$D:$D, MATCH(1, (VALUE(LEFT(fesp!$A:$A,6))=VALUE(LEFT(B506,6)))*(fesp!$C:$C=C506), 0)), "")</f>
        <v>0</v>
      </c>
      <c r="E506" cm="1">
        <f t="array" aca="1" ref="E506" ca="1">IFERROR(INDEX(ft_medicos_clinicos!$C:$C, MATCH(1, (VALUE(LEFT(ft_medicos_clinicos!$A:$A,6))=VALUE(LEFT(B506,6)))*(ft_medicos_clinicos!$B:$B=C506), 0)), "")</f>
        <v>597</v>
      </c>
      <c r="F506" cm="1">
        <f t="array" aca="1" ref="F506" ca="1">IFERROR(INDEX(ft_enfermeiros!$C:$C, MATCH(1, (VALUE(LEFT(ft_enfermeiros!$A:$A,6))=VALUE(LEFT(B506,6)))*(ft_enfermeiros!$B:$B=C506), 0)), "")</f>
        <v>1374</v>
      </c>
      <c r="G506" t="str" cm="1">
        <f t="array" aca="1" ref="G506" ca="1">IFERROR(INDEX(ft_equipes_acs!$C:$C, MATCH(1, (VALUE(LEFT(ft_equipes_acs!$A:$A,6))=VALUE(LEFT(B506,6)))*(ft_equipes_acs!$B:$B=C506), 0)), "")</f>
        <v>-</v>
      </c>
      <c r="H506" cm="1">
        <f t="array" aca="1" ref="H506" ca="1">IFERROR(INDEX(ci_leitos_internacao!$C:$C, MATCH(1, (VALUE(LEFT(ci_leitos_internacao!$A:$A,6))=VALUE(LEFT(B506,6)))*(ci_leitos_internacao!$B:$B=C506), 0)), "")</f>
        <v>1561</v>
      </c>
      <c r="I506" cm="1">
        <f t="array" aca="1" ref="I506" ca="1">IFERROR(INDEX(ci_hospitais_internacao!$C:$C, MATCH(1, (VALUE(LEFT(ci_hospitais_internacao!$A:$A,6))=VALUE(LEFT(B506,6)))*(ci_hospitais_internacao!$B:$B=C506), 0)), "")</f>
        <v>2</v>
      </c>
      <c r="J506" t="str" cm="1">
        <f t="array" aca="1" ref="J506" ca="1">IFERROR(INDEX(ci_pa_clinico!$C:$C, MATCH(1, (VALUE(LEFT(ci_pa_clinico!$A:$A,6))=VALUE(LEFT(B506,6)))*(ci_pa_clinico!$B:$B=C506), 0)), "")</f>
        <v/>
      </c>
      <c r="K506" t="str" cm="1">
        <f t="array" aca="1" ref="K506" ca="1">IFERROR(INDEX(aps_equipes_esf!$C:$C, MATCH(1, (VALUE(LEFT(aps_equipes_esf!$A:$A,6))=VALUE(LEFT(B506,6)))*(aps_equipes_esf!$B:$B=C506), 0)), "")</f>
        <v>-</v>
      </c>
      <c r="L506" cm="1">
        <f t="array" aca="1" ref="L506" ca="1">IFERROR(INDEX(casos!$C:$C, MATCH(1, (VALUE(LEFT(casos!$A:$A,6))=VALUE(LEFT(B506,6)))*(casos!$B:$B=C506), 0)), "")</f>
        <v>15375</v>
      </c>
      <c r="M506" cm="1">
        <f t="array" ref="M506">IFERROR(INDEX(srag!$D:$D, MATCH(1, (VALUE(LEFT(srag!$A:$A,6))=VALUE(LEFT(B506,6)))*(srag!$C:$C=C506), 0)), "")</f>
        <v>686</v>
      </c>
      <c r="N506" cm="1">
        <f t="array" aca="1" ref="N506" ca="1">IFERROR(INDEX(fesp!$E:$E, MATCH(1, (VALUE(LEFT(fesp!$A:$A,6))=VALUE(LEFT(B506,6)))*(fesp!$C:$C=C506), 0)), "")</f>
        <v>222</v>
      </c>
      <c r="O506" cm="1">
        <f t="array" aca="1" ref="O506" ca="1">IFERROR(INDEX(fesp!$F:$F, MATCH(1, (VALUE(LEFT(fesp!$A:$A,6))=VALUE(LEFT(B506,6)))*(fesp!$C:$C=C506), 0)), "")</f>
        <v>10479</v>
      </c>
      <c r="P506" cm="1">
        <f t="array" aca="1" ref="P506" ca="1">IFERROR(INDEX(fesp!$G:$G, MATCH(1, (VALUE(LEFT(fesp!$A:$A,6))=VALUE(LEFT(B506,6)))*(fesp!$C:$C=C506), 0)), "")</f>
        <v>6158607</v>
      </c>
      <c r="Q506" cm="1">
        <f t="array" aca="1" ref="Q506" ca="1">IFERROR(INDEX(fesp!$H:$H, MATCH(1, (VALUE(LEFT(fesp!$A:$A,6))=VALUE(LEFT(B506,6)))*(fesp!$C:$C=C506), 0)), "")</f>
        <v>259</v>
      </c>
      <c r="R506" cm="1">
        <f t="array" aca="1" ref="R506" ca="1">IFERROR(INDEX(fesp!$I:$I, MATCH(1, (VALUE(LEFT(fesp!$A:$A,6))=VALUE(LEFT(B506,6)))*(fesp!$C:$C=C506), 0)), "")</f>
        <v>26123</v>
      </c>
      <c r="S506" cm="1">
        <f t="array" aca="1" ref="S506" ca="1">IFERROR(INDEX(fesp!$J:$J, MATCH(1, (VALUE(LEFT(fesp!$A:$A,6))=VALUE(LEFT(B506,6)))*(fesp!$C:$C=C506), 0)), "")</f>
        <v>562357</v>
      </c>
    </row>
    <row r="507" spans="1:19">
      <c r="A507" s="1" t="s">
        <v>49</v>
      </c>
      <c r="B507" s="3">
        <v>3547809</v>
      </c>
      <c r="C507" s="3">
        <v>2025</v>
      </c>
      <c r="D507" cm="1">
        <f t="array" ref="D507">IFERROR(INDEX(fesp!$D:$D, MATCH(1, (VALUE(LEFT(fesp!$A:$A,6))=VALUE(LEFT(B507,6)))*(fesp!$C:$C=C507), 0)), "")</f>
        <v>0</v>
      </c>
      <c r="E507" cm="1">
        <f t="array" aca="1" ref="E507" ca="1">IFERROR(INDEX(ft_medicos_clinicos!$C:$C, MATCH(1, (VALUE(LEFT(ft_medicos_clinicos!$A:$A,6))=VALUE(LEFT(B507,6)))*(ft_medicos_clinicos!$B:$B=C507), 0)), "")</f>
        <v>698</v>
      </c>
      <c r="F507" cm="1">
        <f t="array" aca="1" ref="F507" ca="1">IFERROR(INDEX(ft_enfermeiros!$C:$C, MATCH(1, (VALUE(LEFT(ft_enfermeiros!$A:$A,6))=VALUE(LEFT(B507,6)))*(ft_enfermeiros!$B:$B=C507), 0)), "")</f>
        <v>1360</v>
      </c>
      <c r="G507" t="str" cm="1">
        <f t="array" aca="1" ref="G507" ca="1">IFERROR(INDEX(ft_equipes_acs!$C:$C, MATCH(1, (VALUE(LEFT(ft_equipes_acs!$A:$A,6))=VALUE(LEFT(B507,6)))*(ft_equipes_acs!$B:$B=C507), 0)), "")</f>
        <v>-</v>
      </c>
      <c r="H507" cm="1">
        <f t="array" aca="1" ref="H507" ca="1">IFERROR(INDEX(ci_leitos_internacao!$C:$C, MATCH(1, (VALUE(LEFT(ci_leitos_internacao!$A:$A,6))=VALUE(LEFT(B507,6)))*(ci_leitos_internacao!$B:$B=C507), 0)), "")</f>
        <v>1508</v>
      </c>
      <c r="I507" cm="1">
        <f t="array" aca="1" ref="I507" ca="1">IFERROR(INDEX(ci_hospitais_internacao!$C:$C, MATCH(1, (VALUE(LEFT(ci_hospitais_internacao!$A:$A,6))=VALUE(LEFT(B507,6)))*(ci_hospitais_internacao!$B:$B=C507), 0)), "")</f>
        <v>2</v>
      </c>
      <c r="J507" t="str" cm="1">
        <f t="array" aca="1" ref="J507" ca="1">IFERROR(INDEX(ci_pa_clinico!$C:$C, MATCH(1, (VALUE(LEFT(ci_pa_clinico!$A:$A,6))=VALUE(LEFT(B507,6)))*(ci_pa_clinico!$B:$B=C507), 0)), "")</f>
        <v/>
      </c>
      <c r="K507" t="str" cm="1">
        <f t="array" aca="1" ref="K507" ca="1">IFERROR(INDEX(aps_equipes_esf!$C:$C, MATCH(1, (VALUE(LEFT(aps_equipes_esf!$A:$A,6))=VALUE(LEFT(B507,6)))*(aps_equipes_esf!$B:$B=C507), 0)), "")</f>
        <v>-</v>
      </c>
      <c r="L507" cm="1">
        <f t="array" aca="1" ref="L507" ca="1">IFERROR(INDEX(casos!$C:$C, MATCH(1, (VALUE(LEFT(casos!$A:$A,6))=VALUE(LEFT(B507,6)))*(casos!$B:$B=C507), 0)), "")</f>
        <v>2989</v>
      </c>
      <c r="M507" cm="1">
        <f t="array" ref="M507">IFERROR(INDEX(srag!$D:$D, MATCH(1, (VALUE(LEFT(srag!$A:$A,6))=VALUE(LEFT(B507,6)))*(srag!$C:$C=C507), 0)), "")</f>
        <v>539</v>
      </c>
      <c r="N507" cm="1">
        <f t="array" aca="1" ref="N507" ca="1">IFERROR(INDEX(fesp!$E:$E, MATCH(1, (VALUE(LEFT(fesp!$A:$A,6))=VALUE(LEFT(B507,6)))*(fesp!$C:$C=C507), 0)), "")</f>
        <v>128</v>
      </c>
      <c r="O507" cm="1">
        <f t="array" aca="1" ref="O507" ca="1">IFERROR(INDEX(fesp!$F:$F, MATCH(1, (VALUE(LEFT(fesp!$A:$A,6))=VALUE(LEFT(B507,6)))*(fesp!$C:$C=C507), 0)), "")</f>
        <v>10862</v>
      </c>
      <c r="P507" cm="1">
        <f t="array" aca="1" ref="P507" ca="1">IFERROR(INDEX(fesp!$G:$G, MATCH(1, (VALUE(LEFT(fesp!$A:$A,6))=VALUE(LEFT(B507,6)))*(fesp!$C:$C=C507), 0)), "")</f>
        <v>5400257</v>
      </c>
      <c r="Q507" cm="1">
        <f t="array" aca="1" ref="Q507" ca="1">IFERROR(INDEX(fesp!$H:$H, MATCH(1, (VALUE(LEFT(fesp!$A:$A,6))=VALUE(LEFT(B507,6)))*(fesp!$C:$C=C507), 0)), "")</f>
        <v>119</v>
      </c>
      <c r="R507" cm="1">
        <f t="array" aca="1" ref="R507" ca="1">IFERROR(INDEX(fesp!$I:$I, MATCH(1, (VALUE(LEFT(fesp!$A:$A,6))=VALUE(LEFT(B507,6)))*(fesp!$C:$C=C507), 0)), "")</f>
        <v>24481</v>
      </c>
      <c r="S507" cm="1">
        <f t="array" aca="1" ref="S507" ca="1">IFERROR(INDEX(fesp!$J:$J, MATCH(1, (VALUE(LEFT(fesp!$A:$A,6))=VALUE(LEFT(B507,6)))*(fesp!$C:$C=C507), 0)), "")</f>
        <v>514137</v>
      </c>
    </row>
    <row r="508" spans="1:19">
      <c r="A508" s="1" t="s">
        <v>119</v>
      </c>
      <c r="B508" s="3">
        <v>3548500</v>
      </c>
      <c r="C508" s="3">
        <v>2015</v>
      </c>
      <c r="D508" cm="1">
        <f t="array" ref="D508">IFERROR(INDEX(fesp!$D:$D, MATCH(1, (VALUE(LEFT(fesp!$A:$A,6))=VALUE(LEFT(B508,6)))*(fesp!$C:$C=C508), 0)), "")</f>
        <v>433966</v>
      </c>
      <c r="E508" cm="1">
        <f t="array" aca="1" ref="E508" ca="1">IFERROR(INDEX(ft_medicos_clinicos!$C:$C, MATCH(1, (VALUE(LEFT(ft_medicos_clinicos!$A:$A,6))=VALUE(LEFT(B508,6)))*(ft_medicos_clinicos!$B:$B=C508), 0)), "")</f>
        <v>589</v>
      </c>
      <c r="F508" cm="1">
        <f t="array" aca="1" ref="F508" ca="1">IFERROR(INDEX(ft_enfermeiros!$C:$C, MATCH(1, (VALUE(LEFT(ft_enfermeiros!$A:$A,6))=VALUE(LEFT(B508,6)))*(ft_enfermeiros!$B:$B=C508), 0)), "")</f>
        <v>567</v>
      </c>
      <c r="G508" cm="1">
        <f t="array" aca="1" ref="G508" ca="1">IFERROR(INDEX(ft_equipes_acs!$C:$C, MATCH(1, (VALUE(LEFT(ft_equipes_acs!$A:$A,6))=VALUE(LEFT(B508,6)))*(ft_equipes_acs!$B:$B=C508), 0)), "")</f>
        <v>15</v>
      </c>
      <c r="H508" cm="1">
        <f t="array" aca="1" ref="H508" ca="1">IFERROR(INDEX(ci_leitos_internacao!$C:$C, MATCH(1, (VALUE(LEFT(ci_leitos_internacao!$A:$A,6))=VALUE(LEFT(B508,6)))*(ci_leitos_internacao!$B:$B=C508), 0)), "")</f>
        <v>1636</v>
      </c>
      <c r="I508" cm="1">
        <f t="array" aca="1" ref="I508" ca="1">IFERROR(INDEX(ci_hospitais_internacao!$C:$C, MATCH(1, (VALUE(LEFT(ci_hospitais_internacao!$A:$A,6))=VALUE(LEFT(B508,6)))*(ci_hospitais_internacao!$B:$B=C508), 0)), "")</f>
        <v>6</v>
      </c>
      <c r="J508" cm="1">
        <f t="array" aca="1" ref="J508" ca="1">IFERROR(INDEX(ci_pa_clinico!$C:$C, MATCH(1, (VALUE(LEFT(ci_pa_clinico!$A:$A,6))=VALUE(LEFT(B508,6)))*(ci_pa_clinico!$B:$B=C508), 0)), "")</f>
        <v>6</v>
      </c>
      <c r="K508" cm="1">
        <f t="array" aca="1" ref="K508" ca="1">IFERROR(INDEX(aps_equipes_esf!$C:$C, MATCH(1, (VALUE(LEFT(aps_equipes_esf!$A:$A,6))=VALUE(LEFT(B508,6)))*(aps_equipes_esf!$B:$B=C508), 0)), "")</f>
        <v>14</v>
      </c>
      <c r="L508" cm="1">
        <f t="array" aca="1" ref="L508" ca="1">IFERROR(INDEX(casos!$C:$C, MATCH(1, (VALUE(LEFT(casos!$A:$A,6))=VALUE(LEFT(B508,6)))*(casos!$B:$B=C508), 0)), "")</f>
        <v>7696</v>
      </c>
      <c r="M508" cm="1">
        <f t="array" ref="M508">IFERROR(INDEX(srag!$D:$D, MATCH(1, (VALUE(LEFT(srag!$A:$A,6))=VALUE(LEFT(B508,6)))*(srag!$C:$C=C508), 0)), "")</f>
        <v>39</v>
      </c>
      <c r="N508" cm="1">
        <f t="array" aca="1" ref="N508" ca="1">IFERROR(INDEX(fesp!$E:$E, MATCH(1, (VALUE(LEFT(fesp!$A:$A,6))=VALUE(LEFT(B508,6)))*(fesp!$C:$C=C508), 0)), "")</f>
        <v>203</v>
      </c>
      <c r="O508" cm="1">
        <f t="array" aca="1" ref="O508" ca="1">IFERROR(INDEX(fesp!$F:$F, MATCH(1, (VALUE(LEFT(fesp!$A:$A,6))=VALUE(LEFT(B508,6)))*(fesp!$C:$C=C508), 0)), "")</f>
        <v>4733</v>
      </c>
      <c r="P508" cm="1">
        <f t="array" aca="1" ref="P508" ca="1">IFERROR(INDEX(fesp!$G:$G, MATCH(1, (VALUE(LEFT(fesp!$A:$A,6))=VALUE(LEFT(B508,6)))*(fesp!$C:$C=C508), 0)), "")</f>
        <v>3085686</v>
      </c>
      <c r="Q508" cm="1">
        <f t="array" aca="1" ref="Q508" ca="1">IFERROR(INDEX(fesp!$H:$H, MATCH(1, (VALUE(LEFT(fesp!$A:$A,6))=VALUE(LEFT(B508,6)))*(fesp!$C:$C=C508), 0)), "")</f>
        <v>162</v>
      </c>
      <c r="R508" cm="1">
        <f t="array" aca="1" ref="R508" ca="1">IFERROR(INDEX(fesp!$I:$I, MATCH(1, (VALUE(LEFT(fesp!$A:$A,6))=VALUE(LEFT(B508,6)))*(fesp!$C:$C=C508), 0)), "")</f>
        <v>23749</v>
      </c>
      <c r="S508" cm="1">
        <f t="array" aca="1" ref="S508" ca="1">IFERROR(INDEX(fesp!$J:$J, MATCH(1, (VALUE(LEFT(fesp!$A:$A,6))=VALUE(LEFT(B508,6)))*(fesp!$C:$C=C508), 0)), "")</f>
        <v>285704</v>
      </c>
    </row>
    <row r="509" spans="1:19">
      <c r="A509" s="1" t="s">
        <v>119</v>
      </c>
      <c r="B509" s="3">
        <v>3548500</v>
      </c>
      <c r="C509" s="3">
        <v>2016</v>
      </c>
      <c r="D509" cm="1">
        <f t="array" ref="D509">IFERROR(INDEX(fesp!$D:$D, MATCH(1, (VALUE(LEFT(fesp!$A:$A,6))=VALUE(LEFT(B509,6)))*(fesp!$C:$C=C509), 0)), "")</f>
        <v>0</v>
      </c>
      <c r="E509" cm="1">
        <f t="array" aca="1" ref="E509" ca="1">IFERROR(INDEX(ft_medicos_clinicos!$C:$C, MATCH(1, (VALUE(LEFT(ft_medicos_clinicos!$A:$A,6))=VALUE(LEFT(B509,6)))*(ft_medicos_clinicos!$B:$B=C509), 0)), "")</f>
        <v>632</v>
      </c>
      <c r="F509" cm="1">
        <f t="array" aca="1" ref="F509" ca="1">IFERROR(INDEX(ft_enfermeiros!$C:$C, MATCH(1, (VALUE(LEFT(ft_enfermeiros!$A:$A,6))=VALUE(LEFT(B509,6)))*(ft_enfermeiros!$B:$B=C509), 0)), "")</f>
        <v>596</v>
      </c>
      <c r="G509" cm="1">
        <f t="array" aca="1" ref="G509" ca="1">IFERROR(INDEX(ft_equipes_acs!$C:$C, MATCH(1, (VALUE(LEFT(ft_equipes_acs!$A:$A,6))=VALUE(LEFT(B509,6)))*(ft_equipes_acs!$B:$B=C509), 0)), "")</f>
        <v>11</v>
      </c>
      <c r="H509" cm="1">
        <f t="array" aca="1" ref="H509" ca="1">IFERROR(INDEX(ci_leitos_internacao!$C:$C, MATCH(1, (VALUE(LEFT(ci_leitos_internacao!$A:$A,6))=VALUE(LEFT(B509,6)))*(ci_leitos_internacao!$B:$B=C509), 0)), "")</f>
        <v>1678</v>
      </c>
      <c r="I509" cm="1">
        <f t="array" aca="1" ref="I509" ca="1">IFERROR(INDEX(ci_hospitais_internacao!$C:$C, MATCH(1, (VALUE(LEFT(ci_hospitais_internacao!$A:$A,6))=VALUE(LEFT(B509,6)))*(ci_hospitais_internacao!$B:$B=C509), 0)), "")</f>
        <v>6</v>
      </c>
      <c r="J509" cm="1">
        <f t="array" aca="1" ref="J509" ca="1">IFERROR(INDEX(ci_pa_clinico!$C:$C, MATCH(1, (VALUE(LEFT(ci_pa_clinico!$A:$A,6))=VALUE(LEFT(B509,6)))*(ci_pa_clinico!$B:$B=C509), 0)), "")</f>
        <v>6</v>
      </c>
      <c r="K509" cm="1">
        <f t="array" aca="1" ref="K509" ca="1">IFERROR(INDEX(aps_equipes_esf!$C:$C, MATCH(1, (VALUE(LEFT(aps_equipes_esf!$A:$A,6))=VALUE(LEFT(B509,6)))*(aps_equipes_esf!$B:$B=C509), 0)), "")</f>
        <v>18</v>
      </c>
      <c r="L509" cm="1">
        <f t="array" aca="1" ref="L509" ca="1">IFERROR(INDEX(casos!$C:$C, MATCH(1, (VALUE(LEFT(casos!$A:$A,6))=VALUE(LEFT(B509,6)))*(casos!$B:$B=C509), 0)), "")</f>
        <v>2991</v>
      </c>
      <c r="M509" cm="1">
        <f t="array" ref="M509">IFERROR(INDEX(srag!$D:$D, MATCH(1, (VALUE(LEFT(srag!$A:$A,6))=VALUE(LEFT(B509,6)))*(srag!$C:$C=C509), 0)), "")</f>
        <v>135</v>
      </c>
      <c r="N509" cm="1">
        <f t="array" aca="1" ref="N509" ca="1">IFERROR(INDEX(fesp!$E:$E, MATCH(1, (VALUE(LEFT(fesp!$A:$A,6))=VALUE(LEFT(B509,6)))*(fesp!$C:$C=C509), 0)), "")</f>
        <v>179</v>
      </c>
      <c r="O509" cm="1">
        <f t="array" aca="1" ref="O509" ca="1">IFERROR(INDEX(fesp!$F:$F, MATCH(1, (VALUE(LEFT(fesp!$A:$A,6))=VALUE(LEFT(B509,6)))*(fesp!$C:$C=C509), 0)), "")</f>
        <v>4140</v>
      </c>
      <c r="P509" cm="1">
        <f t="array" aca="1" ref="P509" ca="1">IFERROR(INDEX(fesp!$G:$G, MATCH(1, (VALUE(LEFT(fesp!$A:$A,6))=VALUE(LEFT(B509,6)))*(fesp!$C:$C=C509), 0)), "")</f>
        <v>3054569</v>
      </c>
      <c r="Q509" cm="1">
        <f t="array" aca="1" ref="Q509" ca="1">IFERROR(INDEX(fesp!$H:$H, MATCH(1, (VALUE(LEFT(fesp!$A:$A,6))=VALUE(LEFT(B509,6)))*(fesp!$C:$C=C509), 0)), "")</f>
        <v>118</v>
      </c>
      <c r="R509" cm="1">
        <f t="array" aca="1" ref="R509" ca="1">IFERROR(INDEX(fesp!$I:$I, MATCH(1, (VALUE(LEFT(fesp!$A:$A,6))=VALUE(LEFT(B509,6)))*(fesp!$C:$C=C509), 0)), "")</f>
        <v>30067</v>
      </c>
      <c r="S509" cm="1">
        <f t="array" aca="1" ref="S509" ca="1">IFERROR(INDEX(fesp!$J:$J, MATCH(1, (VALUE(LEFT(fesp!$A:$A,6))=VALUE(LEFT(B509,6)))*(fesp!$C:$C=C509), 0)), "")</f>
        <v>272698</v>
      </c>
    </row>
    <row r="510" spans="1:19">
      <c r="A510" s="1" t="s">
        <v>119</v>
      </c>
      <c r="B510" s="3">
        <v>3548500</v>
      </c>
      <c r="C510" s="3">
        <v>2017</v>
      </c>
      <c r="D510" cm="1">
        <f t="array" ref="D510">IFERROR(INDEX(fesp!$D:$D, MATCH(1, (VALUE(LEFT(fesp!$A:$A,6))=VALUE(LEFT(B510,6)))*(fesp!$C:$C=C510), 0)), "")</f>
        <v>0</v>
      </c>
      <c r="E510" cm="1">
        <f t="array" aca="1" ref="E510" ca="1">IFERROR(INDEX(ft_medicos_clinicos!$C:$C, MATCH(1, (VALUE(LEFT(ft_medicos_clinicos!$A:$A,6))=VALUE(LEFT(B510,6)))*(ft_medicos_clinicos!$B:$B=C510), 0)), "")</f>
        <v>650</v>
      </c>
      <c r="F510" cm="1">
        <f t="array" aca="1" ref="F510" ca="1">IFERROR(INDEX(ft_enfermeiros!$C:$C, MATCH(1, (VALUE(LEFT(ft_enfermeiros!$A:$A,6))=VALUE(LEFT(B510,6)))*(ft_enfermeiros!$B:$B=C510), 0)), "")</f>
        <v>723</v>
      </c>
      <c r="G510" cm="1">
        <f t="array" aca="1" ref="G510" ca="1">IFERROR(INDEX(ft_equipes_acs!$C:$C, MATCH(1, (VALUE(LEFT(ft_equipes_acs!$A:$A,6))=VALUE(LEFT(B510,6)))*(ft_equipes_acs!$B:$B=C510), 0)), "")</f>
        <v>11</v>
      </c>
      <c r="H510" cm="1">
        <f t="array" aca="1" ref="H510" ca="1">IFERROR(INDEX(ci_leitos_internacao!$C:$C, MATCH(1, (VALUE(LEFT(ci_leitos_internacao!$A:$A,6))=VALUE(LEFT(B510,6)))*(ci_leitos_internacao!$B:$B=C510), 0)), "")</f>
        <v>1672</v>
      </c>
      <c r="I510" cm="1">
        <f t="array" aca="1" ref="I510" ca="1">IFERROR(INDEX(ci_hospitais_internacao!$C:$C, MATCH(1, (VALUE(LEFT(ci_hospitais_internacao!$A:$A,6))=VALUE(LEFT(B510,6)))*(ci_hospitais_internacao!$B:$B=C510), 0)), "")</f>
        <v>6</v>
      </c>
      <c r="J510" cm="1">
        <f t="array" aca="1" ref="J510" ca="1">IFERROR(INDEX(ci_pa_clinico!$C:$C, MATCH(1, (VALUE(LEFT(ci_pa_clinico!$A:$A,6))=VALUE(LEFT(B510,6)))*(ci_pa_clinico!$B:$B=C510), 0)), "")</f>
        <v>6</v>
      </c>
      <c r="K510" cm="1">
        <f t="array" aca="1" ref="K510" ca="1">IFERROR(INDEX(aps_equipes_esf!$C:$C, MATCH(1, (VALUE(LEFT(aps_equipes_esf!$A:$A,6))=VALUE(LEFT(B510,6)))*(aps_equipes_esf!$B:$B=C510), 0)), "")</f>
        <v>16</v>
      </c>
      <c r="L510" cm="1">
        <f t="array" aca="1" ref="L510" ca="1">IFERROR(INDEX(casos!$C:$C, MATCH(1, (VALUE(LEFT(casos!$A:$A,6))=VALUE(LEFT(B510,6)))*(casos!$B:$B=C510), 0)), "")</f>
        <v>420</v>
      </c>
      <c r="M510" cm="1">
        <f t="array" ref="M510">IFERROR(INDEX(srag!$D:$D, MATCH(1, (VALUE(LEFT(srag!$A:$A,6))=VALUE(LEFT(B510,6)))*(srag!$C:$C=C510), 0)), "")</f>
        <v>45</v>
      </c>
      <c r="N510" cm="1">
        <f t="array" aca="1" ref="N510" ca="1">IFERROR(INDEX(fesp!$E:$E, MATCH(1, (VALUE(LEFT(fesp!$A:$A,6))=VALUE(LEFT(B510,6)))*(fesp!$C:$C=C510), 0)), "")</f>
        <v>142</v>
      </c>
      <c r="O510" cm="1">
        <f t="array" aca="1" ref="O510" ca="1">IFERROR(INDEX(fesp!$F:$F, MATCH(1, (VALUE(LEFT(fesp!$A:$A,6))=VALUE(LEFT(B510,6)))*(fesp!$C:$C=C510), 0)), "")</f>
        <v>4463</v>
      </c>
      <c r="P510" cm="1">
        <f t="array" aca="1" ref="P510" ca="1">IFERROR(INDEX(fesp!$G:$G, MATCH(1, (VALUE(LEFT(fesp!$A:$A,6))=VALUE(LEFT(B510,6)))*(fesp!$C:$C=C510), 0)), "")</f>
        <v>3045028</v>
      </c>
      <c r="Q510" cm="1">
        <f t="array" aca="1" ref="Q510" ca="1">IFERROR(INDEX(fesp!$H:$H, MATCH(1, (VALUE(LEFT(fesp!$A:$A,6))=VALUE(LEFT(B510,6)))*(fesp!$C:$C=C510), 0)), "")</f>
        <v>85</v>
      </c>
      <c r="R510" cm="1">
        <f t="array" aca="1" ref="R510" ca="1">IFERROR(INDEX(fesp!$I:$I, MATCH(1, (VALUE(LEFT(fesp!$A:$A,6))=VALUE(LEFT(B510,6)))*(fesp!$C:$C=C510), 0)), "")</f>
        <v>34826</v>
      </c>
      <c r="S510" cm="1">
        <f t="array" aca="1" ref="S510" ca="1">IFERROR(INDEX(fesp!$J:$J, MATCH(1, (VALUE(LEFT(fesp!$A:$A,6))=VALUE(LEFT(B510,6)))*(fesp!$C:$C=C510), 0)), "")</f>
        <v>318716</v>
      </c>
    </row>
    <row r="511" spans="1:19">
      <c r="A511" s="1" t="s">
        <v>119</v>
      </c>
      <c r="B511" s="3" t="s">
        <v>118</v>
      </c>
      <c r="C511" s="3">
        <v>2018</v>
      </c>
      <c r="D511" cm="1">
        <f t="array" ref="D511">IFERROR(INDEX(fesp!$D:$D, MATCH(1, (VALUE(LEFT(fesp!$A:$A,6))=VALUE(LEFT(B511,6)))*(fesp!$C:$C=C511), 0)), "")</f>
        <v>0</v>
      </c>
      <c r="E511" cm="1">
        <f t="array" aca="1" ref="E511" ca="1">IFERROR(INDEX(ft_medicos_clinicos!$C:$C, MATCH(1, (VALUE(LEFT(ft_medicos_clinicos!$A:$A,6))=VALUE(LEFT(B511,6)))*(ft_medicos_clinicos!$B:$B=C511), 0)), "")</f>
        <v>721</v>
      </c>
      <c r="F511" cm="1">
        <f t="array" aca="1" ref="F511" ca="1">IFERROR(INDEX(ft_enfermeiros!$C:$C, MATCH(1, (VALUE(LEFT(ft_enfermeiros!$A:$A,6))=VALUE(LEFT(B511,6)))*(ft_enfermeiros!$B:$B=C511), 0)), "")</f>
        <v>941</v>
      </c>
      <c r="G511" cm="1">
        <f t="array" aca="1" ref="G511" ca="1">IFERROR(INDEX(ft_equipes_acs!$C:$C, MATCH(1, (VALUE(LEFT(ft_equipes_acs!$A:$A,6))=VALUE(LEFT(B511,6)))*(ft_equipes_acs!$B:$B=C511), 0)), "")</f>
        <v>11</v>
      </c>
      <c r="H511" cm="1">
        <f t="array" aca="1" ref="H511" ca="1">IFERROR(INDEX(ci_leitos_internacao!$C:$C, MATCH(1, (VALUE(LEFT(ci_leitos_internacao!$A:$A,6))=VALUE(LEFT(B511,6)))*(ci_leitos_internacao!$B:$B=C511), 0)), "")</f>
        <v>1738</v>
      </c>
      <c r="I511" cm="1">
        <f t="array" aca="1" ref="I511" ca="1">IFERROR(INDEX(ci_hospitais_internacao!$C:$C, MATCH(1, (VALUE(LEFT(ci_hospitais_internacao!$A:$A,6))=VALUE(LEFT(B511,6)))*(ci_hospitais_internacao!$B:$B=C511), 0)), "")</f>
        <v>7</v>
      </c>
      <c r="J511" cm="1">
        <f t="array" aca="1" ref="J511" ca="1">IFERROR(INDEX(ci_pa_clinico!$C:$C, MATCH(1, (VALUE(LEFT(ci_pa_clinico!$A:$A,6))=VALUE(LEFT(B511,6)))*(ci_pa_clinico!$B:$B=C511), 0)), "")</f>
        <v>7</v>
      </c>
      <c r="K511" cm="1">
        <f t="array" aca="1" ref="K511" ca="1">IFERROR(INDEX(aps_equipes_esf!$C:$C, MATCH(1, (VALUE(LEFT(aps_equipes_esf!$A:$A,6))=VALUE(LEFT(B511,6)))*(aps_equipes_esf!$B:$B=C511), 0)), "")</f>
        <v>16</v>
      </c>
      <c r="L511" cm="1">
        <f t="array" aca="1" ref="L511" ca="1">IFERROR(INDEX(casos!$C:$C, MATCH(1, (VALUE(LEFT(casos!$A:$A,6))=VALUE(LEFT(B511,6)))*(casos!$B:$B=C511), 0)), "")</f>
        <v>224</v>
      </c>
      <c r="M511" cm="1">
        <f t="array" ref="M511">IFERROR(INDEX(srag!$D:$D, MATCH(1, (VALUE(LEFT(srag!$A:$A,6))=VALUE(LEFT(B511,6)))*(srag!$C:$C=C511), 0)), "")</f>
        <v>59</v>
      </c>
      <c r="N511" cm="1">
        <f t="array" aca="1" ref="N511" ca="1">IFERROR(INDEX(fesp!$E:$E, MATCH(1, (VALUE(LEFT(fesp!$A:$A,6))=VALUE(LEFT(B511,6)))*(fesp!$C:$C=C511), 0)), "")</f>
        <v>157</v>
      </c>
      <c r="O511" cm="1">
        <f t="array" aca="1" ref="O511" ca="1">IFERROR(INDEX(fesp!$F:$F, MATCH(1, (VALUE(LEFT(fesp!$A:$A,6))=VALUE(LEFT(B511,6)))*(fesp!$C:$C=C511), 0)), "")</f>
        <v>4282</v>
      </c>
      <c r="P511" cm="1">
        <f t="array" aca="1" ref="P511" ca="1">IFERROR(INDEX(fesp!$G:$G, MATCH(1, (VALUE(LEFT(fesp!$A:$A,6))=VALUE(LEFT(B511,6)))*(fesp!$C:$C=C511), 0)), "")</f>
        <v>3124522</v>
      </c>
      <c r="Q511" cm="1">
        <f t="array" aca="1" ref="Q511" ca="1">IFERROR(INDEX(fesp!$H:$H, MATCH(1, (VALUE(LEFT(fesp!$A:$A,6))=VALUE(LEFT(B511,6)))*(fesp!$C:$C=C511), 0)), "")</f>
        <v>53</v>
      </c>
      <c r="R511" cm="1">
        <f t="array" aca="1" ref="R511" ca="1">IFERROR(INDEX(fesp!$I:$I, MATCH(1, (VALUE(LEFT(fesp!$A:$A,6))=VALUE(LEFT(B511,6)))*(fesp!$C:$C=C511), 0)), "")</f>
        <v>30600</v>
      </c>
      <c r="S511" cm="1">
        <f t="array" aca="1" ref="S511" ca="1">IFERROR(INDEX(fesp!$J:$J, MATCH(1, (VALUE(LEFT(fesp!$A:$A,6))=VALUE(LEFT(B511,6)))*(fesp!$C:$C=C511), 0)), "")</f>
        <v>290893</v>
      </c>
    </row>
    <row r="512" spans="1:19">
      <c r="A512" s="1" t="s">
        <v>119</v>
      </c>
      <c r="B512" s="3" t="s">
        <v>118</v>
      </c>
      <c r="C512" s="3">
        <v>2019</v>
      </c>
      <c r="D512" cm="1">
        <f t="array" ref="D512">IFERROR(INDEX(fesp!$D:$D, MATCH(1, (VALUE(LEFT(fesp!$A:$A,6))=VALUE(LEFT(B512,6)))*(fesp!$C:$C=C512), 0)), "")</f>
        <v>0</v>
      </c>
      <c r="E512" cm="1">
        <f t="array" aca="1" ref="E512" ca="1">IFERROR(INDEX(ft_medicos_clinicos!$C:$C, MATCH(1, (VALUE(LEFT(ft_medicos_clinicos!$A:$A,6))=VALUE(LEFT(B512,6)))*(ft_medicos_clinicos!$B:$B=C512), 0)), "")</f>
        <v>725</v>
      </c>
      <c r="F512" cm="1">
        <f t="array" aca="1" ref="F512" ca="1">IFERROR(INDEX(ft_enfermeiros!$C:$C, MATCH(1, (VALUE(LEFT(ft_enfermeiros!$A:$A,6))=VALUE(LEFT(B512,6)))*(ft_enfermeiros!$B:$B=C512), 0)), "")</f>
        <v>977</v>
      </c>
      <c r="G512" cm="1">
        <f t="array" aca="1" ref="G512" ca="1">IFERROR(INDEX(ft_equipes_acs!$C:$C, MATCH(1, (VALUE(LEFT(ft_equipes_acs!$A:$A,6))=VALUE(LEFT(B512,6)))*(ft_equipes_acs!$B:$B=C512), 0)), "")</f>
        <v>11</v>
      </c>
      <c r="H512" cm="1">
        <f t="array" aca="1" ref="H512" ca="1">IFERROR(INDEX(ci_leitos_internacao!$C:$C, MATCH(1, (VALUE(LEFT(ci_leitos_internacao!$A:$A,6))=VALUE(LEFT(B512,6)))*(ci_leitos_internacao!$B:$B=C512), 0)), "")</f>
        <v>1716</v>
      </c>
      <c r="I512" cm="1">
        <f t="array" aca="1" ref="I512" ca="1">IFERROR(INDEX(ci_hospitais_internacao!$C:$C, MATCH(1, (VALUE(LEFT(ci_hospitais_internacao!$A:$A,6))=VALUE(LEFT(B512,6)))*(ci_hospitais_internacao!$B:$B=C512), 0)), "")</f>
        <v>7</v>
      </c>
      <c r="J512" cm="1">
        <f t="array" aca="1" ref="J512" ca="1">IFERROR(INDEX(ci_pa_clinico!$C:$C, MATCH(1, (VALUE(LEFT(ci_pa_clinico!$A:$A,6))=VALUE(LEFT(B512,6)))*(ci_pa_clinico!$B:$B=C512), 0)), "")</f>
        <v>7</v>
      </c>
      <c r="K512" cm="1">
        <f t="array" aca="1" ref="K512" ca="1">IFERROR(INDEX(aps_equipes_esf!$C:$C, MATCH(1, (VALUE(LEFT(aps_equipes_esf!$A:$A,6))=VALUE(LEFT(B512,6)))*(aps_equipes_esf!$B:$B=C512), 0)), "")</f>
        <v>17</v>
      </c>
      <c r="L512" cm="1">
        <f t="array" aca="1" ref="L512" ca="1">IFERROR(INDEX(casos!$C:$C, MATCH(1, (VALUE(LEFT(casos!$A:$A,6))=VALUE(LEFT(B512,6)))*(casos!$B:$B=C512), 0)), "")</f>
        <v>766</v>
      </c>
      <c r="M512" cm="1">
        <f t="array" ref="M512">IFERROR(INDEX(srag!$D:$D, MATCH(1, (VALUE(LEFT(srag!$A:$A,6))=VALUE(LEFT(B512,6)))*(srag!$C:$C=C512), 0)), "")</f>
        <v>55</v>
      </c>
      <c r="N512" cm="1">
        <f t="array" aca="1" ref="N512" ca="1">IFERROR(INDEX(fesp!$E:$E, MATCH(1, (VALUE(LEFT(fesp!$A:$A,6))=VALUE(LEFT(B512,6)))*(fesp!$C:$C=C512), 0)), "")</f>
        <v>95</v>
      </c>
      <c r="O512" cm="1">
        <f t="array" aca="1" ref="O512" ca="1">IFERROR(INDEX(fesp!$F:$F, MATCH(1, (VALUE(LEFT(fesp!$A:$A,6))=VALUE(LEFT(B512,6)))*(fesp!$C:$C=C512), 0)), "")</f>
        <v>4674</v>
      </c>
      <c r="P512" cm="1">
        <f t="array" aca="1" ref="P512" ca="1">IFERROR(INDEX(fesp!$G:$G, MATCH(1, (VALUE(LEFT(fesp!$A:$A,6))=VALUE(LEFT(B512,6)))*(fesp!$C:$C=C512), 0)), "")</f>
        <v>3082382</v>
      </c>
      <c r="Q512" cm="1">
        <f t="array" aca="1" ref="Q512" ca="1">IFERROR(INDEX(fesp!$H:$H, MATCH(1, (VALUE(LEFT(fesp!$A:$A,6))=VALUE(LEFT(B512,6)))*(fesp!$C:$C=C512), 0)), "")</f>
        <v>30</v>
      </c>
      <c r="R512" cm="1">
        <f t="array" aca="1" ref="R512" ca="1">IFERROR(INDEX(fesp!$I:$I, MATCH(1, (VALUE(LEFT(fesp!$A:$A,6))=VALUE(LEFT(B512,6)))*(fesp!$C:$C=C512), 0)), "")</f>
        <v>21835</v>
      </c>
      <c r="S512" cm="1">
        <f t="array" aca="1" ref="S512" ca="1">IFERROR(INDEX(fesp!$J:$J, MATCH(1, (VALUE(LEFT(fesp!$A:$A,6))=VALUE(LEFT(B512,6)))*(fesp!$C:$C=C512), 0)), "")</f>
        <v>306310</v>
      </c>
    </row>
    <row r="513" spans="1:19">
      <c r="A513" s="1" t="s">
        <v>119</v>
      </c>
      <c r="B513" s="3" t="s">
        <v>118</v>
      </c>
      <c r="C513" s="3">
        <v>2020</v>
      </c>
      <c r="D513" cm="1">
        <f t="array" ref="D513">IFERROR(INDEX(fesp!$D:$D, MATCH(1, (VALUE(LEFT(fesp!$A:$A,6))=VALUE(LEFT(B513,6)))*(fesp!$C:$C=C513), 0)), "")</f>
        <v>0</v>
      </c>
      <c r="E513" cm="1">
        <f t="array" aca="1" ref="E513" ca="1">IFERROR(INDEX(ft_medicos_clinicos!$C:$C, MATCH(1, (VALUE(LEFT(ft_medicos_clinicos!$A:$A,6))=VALUE(LEFT(B513,6)))*(ft_medicos_clinicos!$B:$B=C513), 0)), "")</f>
        <v>790</v>
      </c>
      <c r="F513" cm="1">
        <f t="array" aca="1" ref="F513" ca="1">IFERROR(INDEX(ft_enfermeiros!$C:$C, MATCH(1, (VALUE(LEFT(ft_enfermeiros!$A:$A,6))=VALUE(LEFT(B513,6)))*(ft_enfermeiros!$B:$B=C513), 0)), "")</f>
        <v>1064</v>
      </c>
      <c r="G513" cm="1">
        <f t="array" aca="1" ref="G513" ca="1">IFERROR(INDEX(ft_equipes_acs!$C:$C, MATCH(1, (VALUE(LEFT(ft_equipes_acs!$A:$A,6))=VALUE(LEFT(B513,6)))*(ft_equipes_acs!$B:$B=C513), 0)), "")</f>
        <v>1</v>
      </c>
      <c r="H513" cm="1">
        <f t="array" aca="1" ref="H513" ca="1">IFERROR(INDEX(ci_leitos_internacao!$C:$C, MATCH(1, (VALUE(LEFT(ci_leitos_internacao!$A:$A,6))=VALUE(LEFT(B513,6)))*(ci_leitos_internacao!$B:$B=C513), 0)), "")</f>
        <v>1858</v>
      </c>
      <c r="I513" cm="1">
        <f t="array" aca="1" ref="I513" ca="1">IFERROR(INDEX(ci_hospitais_internacao!$C:$C, MATCH(1, (VALUE(LEFT(ci_hospitais_internacao!$A:$A,6))=VALUE(LEFT(B513,6)))*(ci_hospitais_internacao!$B:$B=C513), 0)), "")</f>
        <v>7</v>
      </c>
      <c r="J513" cm="1">
        <f t="array" aca="1" ref="J513" ca="1">IFERROR(INDEX(ci_pa_clinico!$C:$C, MATCH(1, (VALUE(LEFT(ci_pa_clinico!$A:$A,6))=VALUE(LEFT(B513,6)))*(ci_pa_clinico!$B:$B=C513), 0)), "")</f>
        <v>7</v>
      </c>
      <c r="K513" t="str" cm="1">
        <f t="array" aca="1" ref="K513" ca="1">IFERROR(INDEX(aps_equipes_esf!$C:$C, MATCH(1, (VALUE(LEFT(aps_equipes_esf!$A:$A,6))=VALUE(LEFT(B513,6)))*(aps_equipes_esf!$B:$B=C513), 0)), "")</f>
        <v>-</v>
      </c>
      <c r="L513" cm="1">
        <f t="array" aca="1" ref="L513" ca="1">IFERROR(INDEX(casos!$C:$C, MATCH(1, (VALUE(LEFT(casos!$A:$A,6))=VALUE(LEFT(B513,6)))*(casos!$B:$B=C513), 0)), "")</f>
        <v>487</v>
      </c>
      <c r="M513" cm="1">
        <f t="array" ref="M513">IFERROR(INDEX(srag!$D:$D, MATCH(1, (VALUE(LEFT(srag!$A:$A,6))=VALUE(LEFT(B513,6)))*(srag!$C:$C=C513), 0)), "")</f>
        <v>5220</v>
      </c>
      <c r="N513" cm="1">
        <f t="array" aca="1" ref="N513" ca="1">IFERROR(INDEX(fesp!$E:$E, MATCH(1, (VALUE(LEFT(fesp!$A:$A,6))=VALUE(LEFT(B513,6)))*(fesp!$C:$C=C513), 0)), "")</f>
        <v>104</v>
      </c>
      <c r="O513" cm="1">
        <f t="array" aca="1" ref="O513" ca="1">IFERROR(INDEX(fesp!$F:$F, MATCH(1, (VALUE(LEFT(fesp!$A:$A,6))=VALUE(LEFT(B513,6)))*(fesp!$C:$C=C513), 0)), "")</f>
        <v>4752</v>
      </c>
      <c r="P513" cm="1">
        <f t="array" aca="1" ref="P513" ca="1">IFERROR(INDEX(fesp!$G:$G, MATCH(1, (VALUE(LEFT(fesp!$A:$A,6))=VALUE(LEFT(B513,6)))*(fesp!$C:$C=C513), 0)), "")</f>
        <v>2553673</v>
      </c>
      <c r="Q513" cm="1">
        <f t="array" aca="1" ref="Q513" ca="1">IFERROR(INDEX(fesp!$H:$H, MATCH(1, (VALUE(LEFT(fesp!$A:$A,6))=VALUE(LEFT(B513,6)))*(fesp!$C:$C=C513), 0)), "")</f>
        <v>26</v>
      </c>
      <c r="R513" cm="1">
        <f t="array" aca="1" ref="R513" ca="1">IFERROR(INDEX(fesp!$I:$I, MATCH(1, (VALUE(LEFT(fesp!$A:$A,6))=VALUE(LEFT(B513,6)))*(fesp!$C:$C=C513), 0)), "")</f>
        <v>17813</v>
      </c>
      <c r="S513" cm="1">
        <f t="array" aca="1" ref="S513" ca="1">IFERROR(INDEX(fesp!$J:$J, MATCH(1, (VALUE(LEFT(fesp!$A:$A,6))=VALUE(LEFT(B513,6)))*(fesp!$C:$C=C513), 0)), "")</f>
        <v>209887</v>
      </c>
    </row>
    <row r="514" spans="1:19">
      <c r="A514" s="1" t="s">
        <v>119</v>
      </c>
      <c r="B514" s="3" t="s">
        <v>118</v>
      </c>
      <c r="C514" s="3">
        <v>2021</v>
      </c>
      <c r="D514" cm="1">
        <f t="array" ref="D514">IFERROR(INDEX(fesp!$D:$D, MATCH(1, (VALUE(LEFT(fesp!$A:$A,6))=VALUE(LEFT(B514,6)))*(fesp!$C:$C=C514), 0)), "")</f>
        <v>0</v>
      </c>
      <c r="E514" cm="1">
        <f t="array" aca="1" ref="E514" ca="1">IFERROR(INDEX(ft_medicos_clinicos!$C:$C, MATCH(1, (VALUE(LEFT(ft_medicos_clinicos!$A:$A,6))=VALUE(LEFT(B514,6)))*(ft_medicos_clinicos!$B:$B=C514), 0)), "")</f>
        <v>886</v>
      </c>
      <c r="F514" cm="1">
        <f t="array" aca="1" ref="F514" ca="1">IFERROR(INDEX(ft_enfermeiros!$C:$C, MATCH(1, (VALUE(LEFT(ft_enfermeiros!$A:$A,6))=VALUE(LEFT(B514,6)))*(ft_enfermeiros!$B:$B=C514), 0)), "")</f>
        <v>1289</v>
      </c>
      <c r="G514" cm="1">
        <f t="array" aca="1" ref="G514" ca="1">IFERROR(INDEX(ft_equipes_acs!$C:$C, MATCH(1, (VALUE(LEFT(ft_equipes_acs!$A:$A,6))=VALUE(LEFT(B514,6)))*(ft_equipes_acs!$B:$B=C514), 0)), "")</f>
        <v>1</v>
      </c>
      <c r="H514" cm="1">
        <f t="array" aca="1" ref="H514" ca="1">IFERROR(INDEX(ci_leitos_internacao!$C:$C, MATCH(1, (VALUE(LEFT(ci_leitos_internacao!$A:$A,6))=VALUE(LEFT(B514,6)))*(ci_leitos_internacao!$B:$B=C514), 0)), "")</f>
        <v>1650</v>
      </c>
      <c r="I514" cm="1">
        <f t="array" aca="1" ref="I514" ca="1">IFERROR(INDEX(ci_hospitais_internacao!$C:$C, MATCH(1, (VALUE(LEFT(ci_hospitais_internacao!$A:$A,6))=VALUE(LEFT(B514,6)))*(ci_hospitais_internacao!$B:$B=C514), 0)), "")</f>
        <v>6</v>
      </c>
      <c r="J514" cm="1">
        <f t="array" aca="1" ref="J514" ca="1">IFERROR(INDEX(ci_pa_clinico!$C:$C, MATCH(1, (VALUE(LEFT(ci_pa_clinico!$A:$A,6))=VALUE(LEFT(B514,6)))*(ci_pa_clinico!$B:$B=C514), 0)), "")</f>
        <v>6</v>
      </c>
      <c r="K514" t="str" cm="1">
        <f t="array" aca="1" ref="K514" ca="1">IFERROR(INDEX(aps_equipes_esf!$C:$C, MATCH(1, (VALUE(LEFT(aps_equipes_esf!$A:$A,6))=VALUE(LEFT(B514,6)))*(aps_equipes_esf!$B:$B=C514), 0)), "")</f>
        <v>-</v>
      </c>
      <c r="L514" cm="1">
        <f t="array" aca="1" ref="L514" ca="1">IFERROR(INDEX(casos!$C:$C, MATCH(1, (VALUE(LEFT(casos!$A:$A,6))=VALUE(LEFT(B514,6)))*(casos!$B:$B=C514), 0)), "")</f>
        <v>8779</v>
      </c>
      <c r="M514" cm="1">
        <f t="array" ref="M514">IFERROR(INDEX(srag!$D:$D, MATCH(1, (VALUE(LEFT(srag!$A:$A,6))=VALUE(LEFT(B514,6)))*(srag!$C:$C=C514), 0)), "")</f>
        <v>4132</v>
      </c>
      <c r="N514" cm="1">
        <f t="array" aca="1" ref="N514" ca="1">IFERROR(INDEX(fesp!$E:$E, MATCH(1, (VALUE(LEFT(fesp!$A:$A,6))=VALUE(LEFT(B514,6)))*(fesp!$C:$C=C514), 0)), "")</f>
        <v>95</v>
      </c>
      <c r="O514" cm="1">
        <f t="array" aca="1" ref="O514" ca="1">IFERROR(INDEX(fesp!$F:$F, MATCH(1, (VALUE(LEFT(fesp!$A:$A,6))=VALUE(LEFT(B514,6)))*(fesp!$C:$C=C514), 0)), "")</f>
        <v>7511</v>
      </c>
      <c r="P514" cm="1">
        <f t="array" aca="1" ref="P514" ca="1">IFERROR(INDEX(fesp!$G:$G, MATCH(1, (VALUE(LEFT(fesp!$A:$A,6))=VALUE(LEFT(B514,6)))*(fesp!$C:$C=C514), 0)), "")</f>
        <v>3353951</v>
      </c>
      <c r="Q514" cm="1">
        <f t="array" aca="1" ref="Q514" ca="1">IFERROR(INDEX(fesp!$H:$H, MATCH(1, (VALUE(LEFT(fesp!$A:$A,6))=VALUE(LEFT(B514,6)))*(fesp!$C:$C=C514), 0)), "")</f>
        <v>21</v>
      </c>
      <c r="R514" cm="1">
        <f t="array" aca="1" ref="R514" ca="1">IFERROR(INDEX(fesp!$I:$I, MATCH(1, (VALUE(LEFT(fesp!$A:$A,6))=VALUE(LEFT(B514,6)))*(fesp!$C:$C=C514), 0)), "")</f>
        <v>14759</v>
      </c>
      <c r="S514" cm="1">
        <f t="array" aca="1" ref="S514" ca="1">IFERROR(INDEX(fesp!$J:$J, MATCH(1, (VALUE(LEFT(fesp!$A:$A,6))=VALUE(LEFT(B514,6)))*(fesp!$C:$C=C514), 0)), "")</f>
        <v>269910</v>
      </c>
    </row>
    <row r="515" spans="1:19">
      <c r="A515" s="1" t="s">
        <v>119</v>
      </c>
      <c r="B515" s="3" t="s">
        <v>118</v>
      </c>
      <c r="C515" s="3">
        <v>2022</v>
      </c>
      <c r="D515" cm="1">
        <f t="array" ref="D515">IFERROR(INDEX(fesp!$D:$D, MATCH(1, (VALUE(LEFT(fesp!$A:$A,6))=VALUE(LEFT(B515,6)))*(fesp!$C:$C=C515), 0)), "")</f>
        <v>418608</v>
      </c>
      <c r="E515" cm="1">
        <f t="array" aca="1" ref="E515" ca="1">IFERROR(INDEX(ft_medicos_clinicos!$C:$C, MATCH(1, (VALUE(LEFT(ft_medicos_clinicos!$A:$A,6))=VALUE(LEFT(B515,6)))*(ft_medicos_clinicos!$B:$B=C515), 0)), "")</f>
        <v>966</v>
      </c>
      <c r="F515" cm="1">
        <f t="array" aca="1" ref="F515" ca="1">IFERROR(INDEX(ft_enfermeiros!$C:$C, MATCH(1, (VALUE(LEFT(ft_enfermeiros!$A:$A,6))=VALUE(LEFT(B515,6)))*(ft_enfermeiros!$B:$B=C515), 0)), "")</f>
        <v>1286</v>
      </c>
      <c r="G515" cm="1">
        <f t="array" aca="1" ref="G515" ca="1">IFERROR(INDEX(ft_equipes_acs!$C:$C, MATCH(1, (VALUE(LEFT(ft_equipes_acs!$A:$A,6))=VALUE(LEFT(B515,6)))*(ft_equipes_acs!$B:$B=C515), 0)), "")</f>
        <v>1</v>
      </c>
      <c r="H515" cm="1">
        <f t="array" aca="1" ref="H515" ca="1">IFERROR(INDEX(ci_leitos_internacao!$C:$C, MATCH(1, (VALUE(LEFT(ci_leitos_internacao!$A:$A,6))=VALUE(LEFT(B515,6)))*(ci_leitos_internacao!$B:$B=C515), 0)), "")</f>
        <v>1609</v>
      </c>
      <c r="I515" cm="1">
        <f t="array" aca="1" ref="I515" ca="1">IFERROR(INDEX(ci_hospitais_internacao!$C:$C, MATCH(1, (VALUE(LEFT(ci_hospitais_internacao!$A:$A,6))=VALUE(LEFT(B515,6)))*(ci_hospitais_internacao!$B:$B=C515), 0)), "")</f>
        <v>6</v>
      </c>
      <c r="J515" cm="1">
        <f t="array" aca="1" ref="J515" ca="1">IFERROR(INDEX(ci_pa_clinico!$C:$C, MATCH(1, (VALUE(LEFT(ci_pa_clinico!$A:$A,6))=VALUE(LEFT(B515,6)))*(ci_pa_clinico!$B:$B=C515), 0)), "")</f>
        <v>6</v>
      </c>
      <c r="K515" t="str" cm="1">
        <f t="array" aca="1" ref="K515" ca="1">IFERROR(INDEX(aps_equipes_esf!$C:$C, MATCH(1, (VALUE(LEFT(aps_equipes_esf!$A:$A,6))=VALUE(LEFT(B515,6)))*(aps_equipes_esf!$B:$B=C515), 0)), "")</f>
        <v>-</v>
      </c>
      <c r="L515" cm="1">
        <f t="array" aca="1" ref="L515" ca="1">IFERROR(INDEX(casos!$C:$C, MATCH(1, (VALUE(LEFT(casos!$A:$A,6))=VALUE(LEFT(B515,6)))*(casos!$B:$B=C515), 0)), "")</f>
        <v>791</v>
      </c>
      <c r="M515" cm="1">
        <f t="array" ref="M515">IFERROR(INDEX(srag!$D:$D, MATCH(1, (VALUE(LEFT(srag!$A:$A,6))=VALUE(LEFT(B515,6)))*(srag!$C:$C=C515), 0)), "")</f>
        <v>1133</v>
      </c>
      <c r="N515" cm="1">
        <f t="array" aca="1" ref="N515" ca="1">IFERROR(INDEX(fesp!$E:$E, MATCH(1, (VALUE(LEFT(fesp!$A:$A,6))=VALUE(LEFT(B515,6)))*(fesp!$C:$C=C515), 0)), "")</f>
        <v>130</v>
      </c>
      <c r="O515" cm="1">
        <f t="array" aca="1" ref="O515" ca="1">IFERROR(INDEX(fesp!$F:$F, MATCH(1, (VALUE(LEFT(fesp!$A:$A,6))=VALUE(LEFT(B515,6)))*(fesp!$C:$C=C515), 0)), "")</f>
        <v>5810</v>
      </c>
      <c r="P515" cm="1">
        <f t="array" aca="1" ref="P515" ca="1">IFERROR(INDEX(fesp!$G:$G, MATCH(1, (VALUE(LEFT(fesp!$A:$A,6))=VALUE(LEFT(B515,6)))*(fesp!$C:$C=C515), 0)), "")</f>
        <v>3481975</v>
      </c>
      <c r="Q515" cm="1">
        <f t="array" aca="1" ref="Q515" ca="1">IFERROR(INDEX(fesp!$H:$H, MATCH(1, (VALUE(LEFT(fesp!$A:$A,6))=VALUE(LEFT(B515,6)))*(fesp!$C:$C=C515), 0)), "")</f>
        <v>39</v>
      </c>
      <c r="R515" cm="1">
        <f t="array" aca="1" ref="R515" ca="1">IFERROR(INDEX(fesp!$I:$I, MATCH(1, (VALUE(LEFT(fesp!$A:$A,6))=VALUE(LEFT(B515,6)))*(fesp!$C:$C=C515), 0)), "")</f>
        <v>13575</v>
      </c>
      <c r="S515" cm="1">
        <f t="array" aca="1" ref="S515" ca="1">IFERROR(INDEX(fesp!$J:$J, MATCH(1, (VALUE(LEFT(fesp!$A:$A,6))=VALUE(LEFT(B515,6)))*(fesp!$C:$C=C515), 0)), "")</f>
        <v>285421</v>
      </c>
    </row>
    <row r="516" spans="1:19">
      <c r="A516" s="1" t="s">
        <v>119</v>
      </c>
      <c r="B516" s="3" t="s">
        <v>118</v>
      </c>
      <c r="C516" s="3">
        <v>2023</v>
      </c>
      <c r="D516" cm="1">
        <f t="array" ref="D516">IFERROR(INDEX(fesp!$D:$D, MATCH(1, (VALUE(LEFT(fesp!$A:$A,6))=VALUE(LEFT(B516,6)))*(fesp!$C:$C=C516), 0)), "")</f>
        <v>0</v>
      </c>
      <c r="E516" cm="1">
        <f t="array" aca="1" ref="E516" ca="1">IFERROR(INDEX(ft_medicos_clinicos!$C:$C, MATCH(1, (VALUE(LEFT(ft_medicos_clinicos!$A:$A,6))=VALUE(LEFT(B516,6)))*(ft_medicos_clinicos!$B:$B=C516), 0)), "")</f>
        <v>860</v>
      </c>
      <c r="F516" cm="1">
        <f t="array" aca="1" ref="F516" ca="1">IFERROR(INDEX(ft_enfermeiros!$C:$C, MATCH(1, (VALUE(LEFT(ft_enfermeiros!$A:$A,6))=VALUE(LEFT(B516,6)))*(ft_enfermeiros!$B:$B=C516), 0)), "")</f>
        <v>1321</v>
      </c>
      <c r="G516" cm="1">
        <f t="array" aca="1" ref="G516" ca="1">IFERROR(INDEX(ft_equipes_acs!$C:$C, MATCH(1, (VALUE(LEFT(ft_equipes_acs!$A:$A,6))=VALUE(LEFT(B516,6)))*(ft_equipes_acs!$B:$B=C516), 0)), "")</f>
        <v>1</v>
      </c>
      <c r="H516" cm="1">
        <f t="array" aca="1" ref="H516" ca="1">IFERROR(INDEX(ci_leitos_internacao!$C:$C, MATCH(1, (VALUE(LEFT(ci_leitos_internacao!$A:$A,6))=VALUE(LEFT(B516,6)))*(ci_leitos_internacao!$B:$B=C516), 0)), "")</f>
        <v>1627</v>
      </c>
      <c r="I516" cm="1">
        <f t="array" aca="1" ref="I516" ca="1">IFERROR(INDEX(ci_hospitais_internacao!$C:$C, MATCH(1, (VALUE(LEFT(ci_hospitais_internacao!$A:$A,6))=VALUE(LEFT(B516,6)))*(ci_hospitais_internacao!$B:$B=C516), 0)), "")</f>
        <v>5</v>
      </c>
      <c r="J516" cm="1">
        <f t="array" aca="1" ref="J516" ca="1">IFERROR(INDEX(ci_pa_clinico!$C:$C, MATCH(1, (VALUE(LEFT(ci_pa_clinico!$A:$A,6))=VALUE(LEFT(B516,6)))*(ci_pa_clinico!$B:$B=C516), 0)), "")</f>
        <v>5</v>
      </c>
      <c r="K516" t="str" cm="1">
        <f t="array" aca="1" ref="K516" ca="1">IFERROR(INDEX(aps_equipes_esf!$C:$C, MATCH(1, (VALUE(LEFT(aps_equipes_esf!$A:$A,6))=VALUE(LEFT(B516,6)))*(aps_equipes_esf!$B:$B=C516), 0)), "")</f>
        <v>-</v>
      </c>
      <c r="L516" cm="1">
        <f t="array" aca="1" ref="L516" ca="1">IFERROR(INDEX(casos!$C:$C, MATCH(1, (VALUE(LEFT(casos!$A:$A,6))=VALUE(LEFT(B516,6)))*(casos!$B:$B=C516), 0)), "")</f>
        <v>1178</v>
      </c>
      <c r="M516" cm="1">
        <f t="array" ref="M516">IFERROR(INDEX(srag!$D:$D, MATCH(1, (VALUE(LEFT(srag!$A:$A,6))=VALUE(LEFT(B516,6)))*(srag!$C:$C=C516), 0)), "")</f>
        <v>1080</v>
      </c>
      <c r="N516" cm="1">
        <f t="array" aca="1" ref="N516" ca="1">IFERROR(INDEX(fesp!$E:$E, MATCH(1, (VALUE(LEFT(fesp!$A:$A,6))=VALUE(LEFT(B516,6)))*(fesp!$C:$C=C516), 0)), "")</f>
        <v>103</v>
      </c>
      <c r="O516" cm="1">
        <f t="array" aca="1" ref="O516" ca="1">IFERROR(INDEX(fesp!$F:$F, MATCH(1, (VALUE(LEFT(fesp!$A:$A,6))=VALUE(LEFT(B516,6)))*(fesp!$C:$C=C516), 0)), "")</f>
        <v>6463</v>
      </c>
      <c r="P516" cm="1">
        <f t="array" aca="1" ref="P516" ca="1">IFERROR(INDEX(fesp!$G:$G, MATCH(1, (VALUE(LEFT(fesp!$A:$A,6))=VALUE(LEFT(B516,6)))*(fesp!$C:$C=C516), 0)), "")</f>
        <v>3768271</v>
      </c>
      <c r="Q516" cm="1">
        <f t="array" aca="1" ref="Q516" ca="1">IFERROR(INDEX(fesp!$H:$H, MATCH(1, (VALUE(LEFT(fesp!$A:$A,6))=VALUE(LEFT(B516,6)))*(fesp!$C:$C=C516), 0)), "")</f>
        <v>41</v>
      </c>
      <c r="R516" cm="1">
        <f t="array" aca="1" ref="R516" ca="1">IFERROR(INDEX(fesp!$I:$I, MATCH(1, (VALUE(LEFT(fesp!$A:$A,6))=VALUE(LEFT(B516,6)))*(fesp!$C:$C=C516), 0)), "")</f>
        <v>12654</v>
      </c>
      <c r="S516" cm="1">
        <f t="array" aca="1" ref="S516" ca="1">IFERROR(INDEX(fesp!$J:$J, MATCH(1, (VALUE(LEFT(fesp!$A:$A,6))=VALUE(LEFT(B516,6)))*(fesp!$C:$C=C516), 0)), "")</f>
        <v>293804</v>
      </c>
    </row>
    <row r="517" spans="1:19">
      <c r="A517" s="1" t="s">
        <v>119</v>
      </c>
      <c r="B517" s="3" t="s">
        <v>118</v>
      </c>
      <c r="C517" s="3">
        <v>2024</v>
      </c>
      <c r="D517" cm="1">
        <f t="array" ref="D517">IFERROR(INDEX(fesp!$D:$D, MATCH(1, (VALUE(LEFT(fesp!$A:$A,6))=VALUE(LEFT(B517,6)))*(fesp!$C:$C=C517), 0)), "")</f>
        <v>0</v>
      </c>
      <c r="E517" cm="1">
        <f t="array" aca="1" ref="E517" ca="1">IFERROR(INDEX(ft_medicos_clinicos!$C:$C, MATCH(1, (VALUE(LEFT(ft_medicos_clinicos!$A:$A,6))=VALUE(LEFT(B517,6)))*(ft_medicos_clinicos!$B:$B=C517), 0)), "")</f>
        <v>941</v>
      </c>
      <c r="F517" cm="1">
        <f t="array" aca="1" ref="F517" ca="1">IFERROR(INDEX(ft_enfermeiros!$C:$C, MATCH(1, (VALUE(LEFT(ft_enfermeiros!$A:$A,6))=VALUE(LEFT(B517,6)))*(ft_enfermeiros!$B:$B=C517), 0)), "")</f>
        <v>1340</v>
      </c>
      <c r="G517" cm="1">
        <f t="array" aca="1" ref="G517" ca="1">IFERROR(INDEX(ft_equipes_acs!$C:$C, MATCH(1, (VALUE(LEFT(ft_equipes_acs!$A:$A,6))=VALUE(LEFT(B517,6)))*(ft_equipes_acs!$B:$B=C517), 0)), "")</f>
        <v>1</v>
      </c>
      <c r="H517" cm="1">
        <f t="array" aca="1" ref="H517" ca="1">IFERROR(INDEX(ci_leitos_internacao!$C:$C, MATCH(1, (VALUE(LEFT(ci_leitos_internacao!$A:$A,6))=VALUE(LEFT(B517,6)))*(ci_leitos_internacao!$B:$B=C517), 0)), "")</f>
        <v>1645</v>
      </c>
      <c r="I517" cm="1">
        <f t="array" aca="1" ref="I517" ca="1">IFERROR(INDEX(ci_hospitais_internacao!$C:$C, MATCH(1, (VALUE(LEFT(ci_hospitais_internacao!$A:$A,6))=VALUE(LEFT(B517,6)))*(ci_hospitais_internacao!$B:$B=C517), 0)), "")</f>
        <v>5</v>
      </c>
      <c r="J517" cm="1">
        <f t="array" aca="1" ref="J517" ca="1">IFERROR(INDEX(ci_pa_clinico!$C:$C, MATCH(1, (VALUE(LEFT(ci_pa_clinico!$A:$A,6))=VALUE(LEFT(B517,6)))*(ci_pa_clinico!$B:$B=C517), 0)), "")</f>
        <v>5</v>
      </c>
      <c r="K517" t="str" cm="1">
        <f t="array" aca="1" ref="K517" ca="1">IFERROR(INDEX(aps_equipes_esf!$C:$C, MATCH(1, (VALUE(LEFT(aps_equipes_esf!$A:$A,6))=VALUE(LEFT(B517,6)))*(aps_equipes_esf!$B:$B=C517), 0)), "")</f>
        <v>-</v>
      </c>
      <c r="L517" cm="1">
        <f t="array" aca="1" ref="L517" ca="1">IFERROR(INDEX(casos!$C:$C, MATCH(1, (VALUE(LEFT(casos!$A:$A,6))=VALUE(LEFT(B517,6)))*(casos!$B:$B=C517), 0)), "")</f>
        <v>7022</v>
      </c>
      <c r="M517" cm="1">
        <f t="array" ref="M517">IFERROR(INDEX(srag!$D:$D, MATCH(1, (VALUE(LEFT(srag!$A:$A,6))=VALUE(LEFT(B517,6)))*(srag!$C:$C=C517), 0)), "")</f>
        <v>844</v>
      </c>
      <c r="N517" cm="1">
        <f t="array" aca="1" ref="N517" ca="1">IFERROR(INDEX(fesp!$E:$E, MATCH(1, (VALUE(LEFT(fesp!$A:$A,6))=VALUE(LEFT(B517,6)))*(fesp!$C:$C=C517), 0)), "")</f>
        <v>119</v>
      </c>
      <c r="O517" cm="1">
        <f t="array" aca="1" ref="O517" ca="1">IFERROR(INDEX(fesp!$F:$F, MATCH(1, (VALUE(LEFT(fesp!$A:$A,6))=VALUE(LEFT(B517,6)))*(fesp!$C:$C=C517), 0)), "")</f>
        <v>8532</v>
      </c>
      <c r="P517" cm="1">
        <f t="array" aca="1" ref="P517" ca="1">IFERROR(INDEX(fesp!$G:$G, MATCH(1, (VALUE(LEFT(fesp!$A:$A,6))=VALUE(LEFT(B517,6)))*(fesp!$C:$C=C517), 0)), "")</f>
        <v>4185263</v>
      </c>
      <c r="Q517" cm="1">
        <f t="array" aca="1" ref="Q517" ca="1">IFERROR(INDEX(fesp!$H:$H, MATCH(1, (VALUE(LEFT(fesp!$A:$A,6))=VALUE(LEFT(B517,6)))*(fesp!$C:$C=C517), 0)), "")</f>
        <v>29</v>
      </c>
      <c r="R517" cm="1">
        <f t="array" aca="1" ref="R517" ca="1">IFERROR(INDEX(fesp!$I:$I, MATCH(1, (VALUE(LEFT(fesp!$A:$A,6))=VALUE(LEFT(B517,6)))*(fesp!$C:$C=C517), 0)), "")</f>
        <v>11762</v>
      </c>
      <c r="S517" cm="1">
        <f t="array" aca="1" ref="S517" ca="1">IFERROR(INDEX(fesp!$J:$J, MATCH(1, (VALUE(LEFT(fesp!$A:$A,6))=VALUE(LEFT(B517,6)))*(fesp!$C:$C=C517), 0)), "")</f>
        <v>290123</v>
      </c>
    </row>
    <row r="518" spans="1:19">
      <c r="A518" s="1" t="s">
        <v>119</v>
      </c>
      <c r="B518" s="3" t="s">
        <v>118</v>
      </c>
      <c r="C518" s="3">
        <v>2025</v>
      </c>
      <c r="D518" cm="1">
        <f t="array" ref="D518">IFERROR(INDEX(fesp!$D:$D, MATCH(1, (VALUE(LEFT(fesp!$A:$A,6))=VALUE(LEFT(B518,6)))*(fesp!$C:$C=C518), 0)), "")</f>
        <v>0</v>
      </c>
      <c r="E518" cm="1">
        <f t="array" aca="1" ref="E518" ca="1">IFERROR(INDEX(ft_medicos_clinicos!$C:$C, MATCH(1, (VALUE(LEFT(ft_medicos_clinicos!$A:$A,6))=VALUE(LEFT(B518,6)))*(ft_medicos_clinicos!$B:$B=C518), 0)), "")</f>
        <v>1005</v>
      </c>
      <c r="F518" cm="1">
        <f t="array" aca="1" ref="F518" ca="1">IFERROR(INDEX(ft_enfermeiros!$C:$C, MATCH(1, (VALUE(LEFT(ft_enfermeiros!$A:$A,6))=VALUE(LEFT(B518,6)))*(ft_enfermeiros!$B:$B=C518), 0)), "")</f>
        <v>1393</v>
      </c>
      <c r="G518" cm="1">
        <f t="array" aca="1" ref="G518" ca="1">IFERROR(INDEX(ft_equipes_acs!$C:$C, MATCH(1, (VALUE(LEFT(ft_equipes_acs!$A:$A,6))=VALUE(LEFT(B518,6)))*(ft_equipes_acs!$B:$B=C518), 0)), "")</f>
        <v>1</v>
      </c>
      <c r="H518" cm="1">
        <f t="array" aca="1" ref="H518" ca="1">IFERROR(INDEX(ci_leitos_internacao!$C:$C, MATCH(1, (VALUE(LEFT(ci_leitos_internacao!$A:$A,6))=VALUE(LEFT(B518,6)))*(ci_leitos_internacao!$B:$B=C518), 0)), "")</f>
        <v>1681</v>
      </c>
      <c r="I518" cm="1">
        <f t="array" aca="1" ref="I518" ca="1">IFERROR(INDEX(ci_hospitais_internacao!$C:$C, MATCH(1, (VALUE(LEFT(ci_hospitais_internacao!$A:$A,6))=VALUE(LEFT(B518,6)))*(ci_hospitais_internacao!$B:$B=C518), 0)), "")</f>
        <v>5</v>
      </c>
      <c r="J518" cm="1">
        <f t="array" aca="1" ref="J518" ca="1">IFERROR(INDEX(ci_pa_clinico!$C:$C, MATCH(1, (VALUE(LEFT(ci_pa_clinico!$A:$A,6))=VALUE(LEFT(B518,6)))*(ci_pa_clinico!$B:$B=C518), 0)), "")</f>
        <v>4</v>
      </c>
      <c r="K518" t="str" cm="1">
        <f t="array" aca="1" ref="K518" ca="1">IFERROR(INDEX(aps_equipes_esf!$C:$C, MATCH(1, (VALUE(LEFT(aps_equipes_esf!$A:$A,6))=VALUE(LEFT(B518,6)))*(aps_equipes_esf!$B:$B=C518), 0)), "")</f>
        <v>-</v>
      </c>
      <c r="L518" cm="1">
        <f t="array" aca="1" ref="L518" ca="1">IFERROR(INDEX(casos!$C:$C, MATCH(1, (VALUE(LEFT(casos!$A:$A,6))=VALUE(LEFT(B518,6)))*(casos!$B:$B=C518), 0)), "")</f>
        <v>6245</v>
      </c>
      <c r="M518" cm="1">
        <f t="array" ref="M518">IFERROR(INDEX(srag!$D:$D, MATCH(1, (VALUE(LEFT(srag!$A:$A,6))=VALUE(LEFT(B518,6)))*(srag!$C:$C=C518), 0)), "")</f>
        <v>935</v>
      </c>
      <c r="N518" cm="1">
        <f t="array" aca="1" ref="N518" ca="1">IFERROR(INDEX(fesp!$E:$E, MATCH(1, (VALUE(LEFT(fesp!$A:$A,6))=VALUE(LEFT(B518,6)))*(fesp!$C:$C=C518), 0)), "")</f>
        <v>93</v>
      </c>
      <c r="O518" cm="1">
        <f t="array" aca="1" ref="O518" ca="1">IFERROR(INDEX(fesp!$F:$F, MATCH(1, (VALUE(LEFT(fesp!$A:$A,6))=VALUE(LEFT(B518,6)))*(fesp!$C:$C=C518), 0)), "")</f>
        <v>6868</v>
      </c>
      <c r="P518" cm="1">
        <f t="array" aca="1" ref="P518" ca="1">IFERROR(INDEX(fesp!$G:$G, MATCH(1, (VALUE(LEFT(fesp!$A:$A,6))=VALUE(LEFT(B518,6)))*(fesp!$C:$C=C518), 0)), "")</f>
        <v>3953773</v>
      </c>
      <c r="Q518" cm="1">
        <f t="array" aca="1" ref="Q518" ca="1">IFERROR(INDEX(fesp!$H:$H, MATCH(1, (VALUE(LEFT(fesp!$A:$A,6))=VALUE(LEFT(B518,6)))*(fesp!$C:$C=C518), 0)), "")</f>
        <v>29</v>
      </c>
      <c r="R518" cm="1">
        <f t="array" aca="1" ref="R518" ca="1">IFERROR(INDEX(fesp!$I:$I, MATCH(1, (VALUE(LEFT(fesp!$A:$A,6))=VALUE(LEFT(B518,6)))*(fesp!$C:$C=C518), 0)), "")</f>
        <v>10785</v>
      </c>
      <c r="S518" cm="1">
        <f t="array" aca="1" ref="S518" ca="1">IFERROR(INDEX(fesp!$J:$J, MATCH(1, (VALUE(LEFT(fesp!$A:$A,6))=VALUE(LEFT(B518,6)))*(fesp!$C:$C=C518), 0)), "")</f>
        <v>257723</v>
      </c>
    </row>
    <row r="519" spans="1:19">
      <c r="A519" s="1" t="s">
        <v>45</v>
      </c>
      <c r="B519" s="3">
        <v>3548708</v>
      </c>
      <c r="C519" s="3">
        <v>2015</v>
      </c>
      <c r="D519" cm="1">
        <f t="array" ref="D519">IFERROR(INDEX(fesp!$D:$D, MATCH(1, (VALUE(LEFT(fesp!$A:$A,6))=VALUE(LEFT(B519,6)))*(fesp!$C:$C=C519), 0)), "")</f>
        <v>816925</v>
      </c>
      <c r="E519" cm="1">
        <f t="array" aca="1" ref="E519" ca="1">IFERROR(INDEX(ft_medicos_clinicos!$C:$C, MATCH(1, (VALUE(LEFT(ft_medicos_clinicos!$A:$A,6))=VALUE(LEFT(B519,6)))*(ft_medicos_clinicos!$B:$B=C519), 0)), "")</f>
        <v>509</v>
      </c>
      <c r="F519" cm="1">
        <f t="array" aca="1" ref="F519" ca="1">IFERROR(INDEX(ft_enfermeiros!$C:$C, MATCH(1, (VALUE(LEFT(ft_enfermeiros!$A:$A,6))=VALUE(LEFT(B519,6)))*(ft_enfermeiros!$B:$B=C519), 0)), "")</f>
        <v>820</v>
      </c>
      <c r="G519" cm="1">
        <f t="array" aca="1" ref="G519" ca="1">IFERROR(INDEX(ft_equipes_acs!$C:$C, MATCH(1, (VALUE(LEFT(ft_equipes_acs!$A:$A,6))=VALUE(LEFT(B519,6)))*(ft_equipes_acs!$B:$B=C519), 0)), "")</f>
        <v>10</v>
      </c>
      <c r="H519" cm="1">
        <f t="array" aca="1" ref="H519" ca="1">IFERROR(INDEX(ci_leitos_internacao!$C:$C, MATCH(1, (VALUE(LEFT(ci_leitos_internacao!$A:$A,6))=VALUE(LEFT(B519,6)))*(ci_leitos_internacao!$B:$B=C519), 0)), "")</f>
        <v>1528</v>
      </c>
      <c r="I519" cm="1">
        <f t="array" aca="1" ref="I519" ca="1">IFERROR(INDEX(ci_hospitais_internacao!$C:$C, MATCH(1, (VALUE(LEFT(ci_hospitais_internacao!$A:$A,6))=VALUE(LEFT(B519,6)))*(ci_hospitais_internacao!$B:$B=C519), 0)), "")</f>
        <v>5</v>
      </c>
      <c r="J519" t="str" cm="1">
        <f t="array" aca="1" ref="J519" ca="1">IFERROR(INDEX(ci_pa_clinico!$C:$C, MATCH(1, (VALUE(LEFT(ci_pa_clinico!$A:$A,6))=VALUE(LEFT(B519,6)))*(ci_pa_clinico!$B:$B=C519), 0)), "")</f>
        <v/>
      </c>
      <c r="K519" cm="1">
        <f t="array" aca="1" ref="K519" ca="1">IFERROR(INDEX(aps_equipes_esf!$C:$C, MATCH(1, (VALUE(LEFT(aps_equipes_esf!$A:$A,6))=VALUE(LEFT(B519,6)))*(aps_equipes_esf!$B:$B=C519), 0)), "")</f>
        <v>34</v>
      </c>
      <c r="L519" cm="1">
        <f t="array" aca="1" ref="L519" ca="1">IFERROR(INDEX(casos!$C:$C, MATCH(1, (VALUE(LEFT(casos!$A:$A,6))=VALUE(LEFT(B519,6)))*(casos!$B:$B=C519), 0)), "")</f>
        <v>5277</v>
      </c>
      <c r="M519" cm="1">
        <f t="array" ref="M519">IFERROR(INDEX(srag!$D:$D, MATCH(1, (VALUE(LEFT(srag!$A:$A,6))=VALUE(LEFT(B519,6)))*(srag!$C:$C=C519), 0)), "")</f>
        <v>50</v>
      </c>
      <c r="N519" cm="1">
        <f t="array" aca="1" ref="N519" ca="1">IFERROR(INDEX(fesp!$E:$E, MATCH(1, (VALUE(LEFT(fesp!$A:$A,6))=VALUE(LEFT(B519,6)))*(fesp!$C:$C=C519), 0)), "")</f>
        <v>115</v>
      </c>
      <c r="O519" cm="1">
        <f t="array" aca="1" ref="O519" ca="1">IFERROR(INDEX(fesp!$F:$F, MATCH(1, (VALUE(LEFT(fesp!$A:$A,6))=VALUE(LEFT(B519,6)))*(fesp!$C:$C=C519), 0)), "")</f>
        <v>2249</v>
      </c>
      <c r="P519" cm="1">
        <f t="array" aca="1" ref="P519" ca="1">IFERROR(INDEX(fesp!$G:$G, MATCH(1, (VALUE(LEFT(fesp!$A:$A,6))=VALUE(LEFT(B519,6)))*(fesp!$C:$C=C519), 0)), "")</f>
        <v>4445392</v>
      </c>
      <c r="Q519" cm="1">
        <f t="array" aca="1" ref="Q519" ca="1">IFERROR(INDEX(fesp!$H:$H, MATCH(1, (VALUE(LEFT(fesp!$A:$A,6))=VALUE(LEFT(B519,6)))*(fesp!$C:$C=C519), 0)), "")</f>
        <v>175</v>
      </c>
      <c r="R519" cm="1">
        <f t="array" aca="1" ref="R519" ca="1">IFERROR(INDEX(fesp!$I:$I, MATCH(1, (VALUE(LEFT(fesp!$A:$A,6))=VALUE(LEFT(B519,6)))*(fesp!$C:$C=C519), 0)), "")</f>
        <v>44550</v>
      </c>
      <c r="S519" cm="1">
        <f t="array" aca="1" ref="S519" ca="1">IFERROR(INDEX(fesp!$J:$J, MATCH(1, (VALUE(LEFT(fesp!$A:$A,6))=VALUE(LEFT(B519,6)))*(fesp!$C:$C=C519), 0)), "")</f>
        <v>437571</v>
      </c>
    </row>
    <row r="520" spans="1:19">
      <c r="A520" s="1" t="s">
        <v>45</v>
      </c>
      <c r="B520" s="3">
        <v>3548708</v>
      </c>
      <c r="C520" s="3">
        <v>2016</v>
      </c>
      <c r="D520" cm="1">
        <f t="array" ref="D520">IFERROR(INDEX(fesp!$D:$D, MATCH(1, (VALUE(LEFT(fesp!$A:$A,6))=VALUE(LEFT(B520,6)))*(fesp!$C:$C=C520), 0)), "")</f>
        <v>0</v>
      </c>
      <c r="E520" cm="1">
        <f t="array" aca="1" ref="E520" ca="1">IFERROR(INDEX(ft_medicos_clinicos!$C:$C, MATCH(1, (VALUE(LEFT(ft_medicos_clinicos!$A:$A,6))=VALUE(LEFT(B520,6)))*(ft_medicos_clinicos!$B:$B=C520), 0)), "")</f>
        <v>441</v>
      </c>
      <c r="F520" cm="1">
        <f t="array" aca="1" ref="F520" ca="1">IFERROR(INDEX(ft_enfermeiros!$C:$C, MATCH(1, (VALUE(LEFT(ft_enfermeiros!$A:$A,6))=VALUE(LEFT(B520,6)))*(ft_enfermeiros!$B:$B=C520), 0)), "")</f>
        <v>825</v>
      </c>
      <c r="G520" cm="1">
        <f t="array" aca="1" ref="G520" ca="1">IFERROR(INDEX(ft_equipes_acs!$C:$C, MATCH(1, (VALUE(LEFT(ft_equipes_acs!$A:$A,6))=VALUE(LEFT(B520,6)))*(ft_equipes_acs!$B:$B=C520), 0)), "")</f>
        <v>10</v>
      </c>
      <c r="H520" cm="1">
        <f t="array" aca="1" ref="H520" ca="1">IFERROR(INDEX(ci_leitos_internacao!$C:$C, MATCH(1, (VALUE(LEFT(ci_leitos_internacao!$A:$A,6))=VALUE(LEFT(B520,6)))*(ci_leitos_internacao!$B:$B=C520), 0)), "")</f>
        <v>1511</v>
      </c>
      <c r="I520" cm="1">
        <f t="array" aca="1" ref="I520" ca="1">IFERROR(INDEX(ci_hospitais_internacao!$C:$C, MATCH(1, (VALUE(LEFT(ci_hospitais_internacao!$A:$A,6))=VALUE(LEFT(B520,6)))*(ci_hospitais_internacao!$B:$B=C520), 0)), "")</f>
        <v>5</v>
      </c>
      <c r="J520" t="str" cm="1">
        <f t="array" aca="1" ref="J520" ca="1">IFERROR(INDEX(ci_pa_clinico!$C:$C, MATCH(1, (VALUE(LEFT(ci_pa_clinico!$A:$A,6))=VALUE(LEFT(B520,6)))*(ci_pa_clinico!$B:$B=C520), 0)), "")</f>
        <v/>
      </c>
      <c r="K520" cm="1">
        <f t="array" aca="1" ref="K520" ca="1">IFERROR(INDEX(aps_equipes_esf!$C:$C, MATCH(1, (VALUE(LEFT(aps_equipes_esf!$A:$A,6))=VALUE(LEFT(B520,6)))*(aps_equipes_esf!$B:$B=C520), 0)), "")</f>
        <v>30</v>
      </c>
      <c r="L520" cm="1">
        <f t="array" aca="1" ref="L520" ca="1">IFERROR(INDEX(casos!$C:$C, MATCH(1, (VALUE(LEFT(casos!$A:$A,6))=VALUE(LEFT(B520,6)))*(casos!$B:$B=C520), 0)), "")</f>
        <v>1594</v>
      </c>
      <c r="M520" cm="1">
        <f t="array" ref="M520">IFERROR(INDEX(srag!$D:$D, MATCH(1, (VALUE(LEFT(srag!$A:$A,6))=VALUE(LEFT(B520,6)))*(srag!$C:$C=C520), 0)), "")</f>
        <v>363</v>
      </c>
      <c r="N520" cm="1">
        <f t="array" aca="1" ref="N520" ca="1">IFERROR(INDEX(fesp!$E:$E, MATCH(1, (VALUE(LEFT(fesp!$A:$A,6))=VALUE(LEFT(B520,6)))*(fesp!$C:$C=C520), 0)), "")</f>
        <v>97</v>
      </c>
      <c r="O520" cm="1">
        <f t="array" aca="1" ref="O520" ca="1">IFERROR(INDEX(fesp!$F:$F, MATCH(1, (VALUE(LEFT(fesp!$A:$A,6))=VALUE(LEFT(B520,6)))*(fesp!$C:$C=C520), 0)), "")</f>
        <v>1250</v>
      </c>
      <c r="P520" cm="1">
        <f t="array" aca="1" ref="P520" ca="1">IFERROR(INDEX(fesp!$G:$G, MATCH(1, (VALUE(LEFT(fesp!$A:$A,6))=VALUE(LEFT(B520,6)))*(fesp!$C:$C=C520), 0)), "")</f>
        <v>4665159</v>
      </c>
      <c r="Q520" cm="1">
        <f t="array" aca="1" ref="Q520" ca="1">IFERROR(INDEX(fesp!$H:$H, MATCH(1, (VALUE(LEFT(fesp!$A:$A,6))=VALUE(LEFT(B520,6)))*(fesp!$C:$C=C520), 0)), "")</f>
        <v>106</v>
      </c>
      <c r="R520" cm="1">
        <f t="array" aca="1" ref="R520" ca="1">IFERROR(INDEX(fesp!$I:$I, MATCH(1, (VALUE(LEFT(fesp!$A:$A,6))=VALUE(LEFT(B520,6)))*(fesp!$C:$C=C520), 0)), "")</f>
        <v>42480</v>
      </c>
      <c r="S520" cm="1">
        <f t="array" aca="1" ref="S520" ca="1">IFERROR(INDEX(fesp!$J:$J, MATCH(1, (VALUE(LEFT(fesp!$A:$A,6))=VALUE(LEFT(B520,6)))*(fesp!$C:$C=C520), 0)), "")</f>
        <v>419406</v>
      </c>
    </row>
    <row r="521" spans="1:19">
      <c r="A521" s="1" t="s">
        <v>45</v>
      </c>
      <c r="B521" s="3" t="s">
        <v>44</v>
      </c>
      <c r="C521" s="3">
        <v>2017</v>
      </c>
      <c r="D521" cm="1">
        <f t="array" ref="D521">IFERROR(INDEX(fesp!$D:$D, MATCH(1, (VALUE(LEFT(fesp!$A:$A,6))=VALUE(LEFT(B521,6)))*(fesp!$C:$C=C521), 0)), "")</f>
        <v>0</v>
      </c>
      <c r="E521" cm="1">
        <f t="array" aca="1" ref="E521" ca="1">IFERROR(INDEX(ft_medicos_clinicos!$C:$C, MATCH(1, (VALUE(LEFT(ft_medicos_clinicos!$A:$A,6))=VALUE(LEFT(B521,6)))*(ft_medicos_clinicos!$B:$B=C521), 0)), "")</f>
        <v>495</v>
      </c>
      <c r="F521" cm="1">
        <f t="array" aca="1" ref="F521" ca="1">IFERROR(INDEX(ft_enfermeiros!$C:$C, MATCH(1, (VALUE(LEFT(ft_enfermeiros!$A:$A,6))=VALUE(LEFT(B521,6)))*(ft_enfermeiros!$B:$B=C521), 0)), "")</f>
        <v>866</v>
      </c>
      <c r="G521" cm="1">
        <f t="array" aca="1" ref="G521" ca="1">IFERROR(INDEX(ft_equipes_acs!$C:$C, MATCH(1, (VALUE(LEFT(ft_equipes_acs!$A:$A,6))=VALUE(LEFT(B521,6)))*(ft_equipes_acs!$B:$B=C521), 0)), "")</f>
        <v>10</v>
      </c>
      <c r="H521" cm="1">
        <f t="array" aca="1" ref="H521" ca="1">IFERROR(INDEX(ci_leitos_internacao!$C:$C, MATCH(1, (VALUE(LEFT(ci_leitos_internacao!$A:$A,6))=VALUE(LEFT(B521,6)))*(ci_leitos_internacao!$B:$B=C521), 0)), "")</f>
        <v>1558</v>
      </c>
      <c r="I521" cm="1">
        <f t="array" aca="1" ref="I521" ca="1">IFERROR(INDEX(ci_hospitais_internacao!$C:$C, MATCH(1, (VALUE(LEFT(ci_hospitais_internacao!$A:$A,6))=VALUE(LEFT(B521,6)))*(ci_hospitais_internacao!$B:$B=C521), 0)), "")</f>
        <v>5</v>
      </c>
      <c r="J521" t="str" cm="1">
        <f t="array" aca="1" ref="J521" ca="1">IFERROR(INDEX(ci_pa_clinico!$C:$C, MATCH(1, (VALUE(LEFT(ci_pa_clinico!$A:$A,6))=VALUE(LEFT(B521,6)))*(ci_pa_clinico!$B:$B=C521), 0)), "")</f>
        <v/>
      </c>
      <c r="K521" cm="1">
        <f t="array" aca="1" ref="K521" ca="1">IFERROR(INDEX(aps_equipes_esf!$C:$C, MATCH(1, (VALUE(LEFT(aps_equipes_esf!$A:$A,6))=VALUE(LEFT(B521,6)))*(aps_equipes_esf!$B:$B=C521), 0)), "")</f>
        <v>37</v>
      </c>
      <c r="L521" cm="1">
        <f t="array" aca="1" ref="L521" ca="1">IFERROR(INDEX(casos!$C:$C, MATCH(1, (VALUE(LEFT(casos!$A:$A,6))=VALUE(LEFT(B521,6)))*(casos!$B:$B=C521), 0)), "")</f>
        <v>108</v>
      </c>
      <c r="M521" cm="1">
        <f t="array" ref="M521">IFERROR(INDEX(srag!$D:$D, MATCH(1, (VALUE(LEFT(srag!$A:$A,6))=VALUE(LEFT(B521,6)))*(srag!$C:$C=C521), 0)), "")</f>
        <v>116</v>
      </c>
      <c r="N521" cm="1">
        <f t="array" aca="1" ref="N521" ca="1">IFERROR(INDEX(fesp!$E:$E, MATCH(1, (VALUE(LEFT(fesp!$A:$A,6))=VALUE(LEFT(B521,6)))*(fesp!$C:$C=C521), 0)), "")</f>
        <v>121</v>
      </c>
      <c r="O521" cm="1">
        <f t="array" aca="1" ref="O521" ca="1">IFERROR(INDEX(fesp!$F:$F, MATCH(1, (VALUE(LEFT(fesp!$A:$A,6))=VALUE(LEFT(B521,6)))*(fesp!$C:$C=C521), 0)), "")</f>
        <v>1786</v>
      </c>
      <c r="P521" cm="1">
        <f t="array" aca="1" ref="P521" ca="1">IFERROR(INDEX(fesp!$G:$G, MATCH(1, (VALUE(LEFT(fesp!$A:$A,6))=VALUE(LEFT(B521,6)))*(fesp!$C:$C=C521), 0)), "")</f>
        <v>5048667</v>
      </c>
      <c r="Q521" cm="1">
        <f t="array" aca="1" ref="Q521" ca="1">IFERROR(INDEX(fesp!$H:$H, MATCH(1, (VALUE(LEFT(fesp!$A:$A,6))=VALUE(LEFT(B521,6)))*(fesp!$C:$C=C521), 0)), "")</f>
        <v>62</v>
      </c>
      <c r="R521" cm="1">
        <f t="array" aca="1" ref="R521" ca="1">IFERROR(INDEX(fesp!$I:$I, MATCH(1, (VALUE(LEFT(fesp!$A:$A,6))=VALUE(LEFT(B521,6)))*(fesp!$C:$C=C521), 0)), "")</f>
        <v>49450</v>
      </c>
      <c r="S521" cm="1">
        <f t="array" aca="1" ref="S521" ca="1">IFERROR(INDEX(fesp!$J:$J, MATCH(1, (VALUE(LEFT(fesp!$A:$A,6))=VALUE(LEFT(B521,6)))*(fesp!$C:$C=C521), 0)), "")</f>
        <v>421631</v>
      </c>
    </row>
    <row r="522" spans="1:19">
      <c r="A522" s="1" t="s">
        <v>45</v>
      </c>
      <c r="B522" s="3" t="s">
        <v>44</v>
      </c>
      <c r="C522" s="3">
        <v>2018</v>
      </c>
      <c r="D522" cm="1">
        <f t="array" ref="D522">IFERROR(INDEX(fesp!$D:$D, MATCH(1, (VALUE(LEFT(fesp!$A:$A,6))=VALUE(LEFT(B522,6)))*(fesp!$C:$C=C522), 0)), "")</f>
        <v>0</v>
      </c>
      <c r="E522" cm="1">
        <f t="array" aca="1" ref="E522" ca="1">IFERROR(INDEX(ft_medicos_clinicos!$C:$C, MATCH(1, (VALUE(LEFT(ft_medicos_clinicos!$A:$A,6))=VALUE(LEFT(B522,6)))*(ft_medicos_clinicos!$B:$B=C522), 0)), "")</f>
        <v>492</v>
      </c>
      <c r="F522" cm="1">
        <f t="array" aca="1" ref="F522" ca="1">IFERROR(INDEX(ft_enfermeiros!$C:$C, MATCH(1, (VALUE(LEFT(ft_enfermeiros!$A:$A,6))=VALUE(LEFT(B522,6)))*(ft_enfermeiros!$B:$B=C522), 0)), "")</f>
        <v>940</v>
      </c>
      <c r="G522" cm="1">
        <f t="array" aca="1" ref="G522" ca="1">IFERROR(INDEX(ft_equipes_acs!$C:$C, MATCH(1, (VALUE(LEFT(ft_equipes_acs!$A:$A,6))=VALUE(LEFT(B522,6)))*(ft_equipes_acs!$B:$B=C522), 0)), "")</f>
        <v>10</v>
      </c>
      <c r="H522" cm="1">
        <f t="array" aca="1" ref="H522" ca="1">IFERROR(INDEX(ci_leitos_internacao!$C:$C, MATCH(1, (VALUE(LEFT(ci_leitos_internacao!$A:$A,6))=VALUE(LEFT(B522,6)))*(ci_leitos_internacao!$B:$B=C522), 0)), "")</f>
        <v>1510</v>
      </c>
      <c r="I522" cm="1">
        <f t="array" aca="1" ref="I522" ca="1">IFERROR(INDEX(ci_hospitais_internacao!$C:$C, MATCH(1, (VALUE(LEFT(ci_hospitais_internacao!$A:$A,6))=VALUE(LEFT(B522,6)))*(ci_hospitais_internacao!$B:$B=C522), 0)), "")</f>
        <v>5</v>
      </c>
      <c r="J522" t="str" cm="1">
        <f t="array" aca="1" ref="J522" ca="1">IFERROR(INDEX(ci_pa_clinico!$C:$C, MATCH(1, (VALUE(LEFT(ci_pa_clinico!$A:$A,6))=VALUE(LEFT(B522,6)))*(ci_pa_clinico!$B:$B=C522), 0)), "")</f>
        <v/>
      </c>
      <c r="K522" cm="1">
        <f t="array" aca="1" ref="K522" ca="1">IFERROR(INDEX(aps_equipes_esf!$C:$C, MATCH(1, (VALUE(LEFT(aps_equipes_esf!$A:$A,6))=VALUE(LEFT(B522,6)))*(aps_equipes_esf!$B:$B=C522), 0)), "")</f>
        <v>42</v>
      </c>
      <c r="L522" cm="1">
        <f t="array" aca="1" ref="L522" ca="1">IFERROR(INDEX(casos!$C:$C, MATCH(1, (VALUE(LEFT(casos!$A:$A,6))=VALUE(LEFT(B522,6)))*(casos!$B:$B=C522), 0)), "")</f>
        <v>101</v>
      </c>
      <c r="M522" cm="1">
        <f t="array" ref="M522">IFERROR(INDEX(srag!$D:$D, MATCH(1, (VALUE(LEFT(srag!$A:$A,6))=VALUE(LEFT(B522,6)))*(srag!$C:$C=C522), 0)), "")</f>
        <v>292</v>
      </c>
      <c r="N522" cm="1">
        <f t="array" aca="1" ref="N522" ca="1">IFERROR(INDEX(fesp!$E:$E, MATCH(1, (VALUE(LEFT(fesp!$A:$A,6))=VALUE(LEFT(B522,6)))*(fesp!$C:$C=C522), 0)), "")</f>
        <v>112</v>
      </c>
      <c r="O522" cm="1">
        <f t="array" aca="1" ref="O522" ca="1">IFERROR(INDEX(fesp!$F:$F, MATCH(1, (VALUE(LEFT(fesp!$A:$A,6))=VALUE(LEFT(B522,6)))*(fesp!$C:$C=C522), 0)), "")</f>
        <v>1524</v>
      </c>
      <c r="P522" cm="1">
        <f t="array" aca="1" ref="P522" ca="1">IFERROR(INDEX(fesp!$G:$G, MATCH(1, (VALUE(LEFT(fesp!$A:$A,6))=VALUE(LEFT(B522,6)))*(fesp!$C:$C=C522), 0)), "")</f>
        <v>5339946</v>
      </c>
      <c r="Q522" cm="1">
        <f t="array" aca="1" ref="Q522" ca="1">IFERROR(INDEX(fesp!$H:$H, MATCH(1, (VALUE(LEFT(fesp!$A:$A,6))=VALUE(LEFT(B522,6)))*(fesp!$C:$C=C522), 0)), "")</f>
        <v>32</v>
      </c>
      <c r="R522" cm="1">
        <f t="array" aca="1" ref="R522" ca="1">IFERROR(INDEX(fesp!$I:$I, MATCH(1, (VALUE(LEFT(fesp!$A:$A,6))=VALUE(LEFT(B522,6)))*(fesp!$C:$C=C522), 0)), "")</f>
        <v>47466</v>
      </c>
      <c r="S522" cm="1">
        <f t="array" aca="1" ref="S522" ca="1">IFERROR(INDEX(fesp!$J:$J, MATCH(1, (VALUE(LEFT(fesp!$A:$A,6))=VALUE(LEFT(B522,6)))*(fesp!$C:$C=C522), 0)), "")</f>
        <v>441381</v>
      </c>
    </row>
    <row r="523" spans="1:19">
      <c r="A523" s="1" t="s">
        <v>45</v>
      </c>
      <c r="B523" s="3" t="s">
        <v>44</v>
      </c>
      <c r="C523" s="3">
        <v>2019</v>
      </c>
      <c r="D523" cm="1">
        <f t="array" ref="D523">IFERROR(INDEX(fesp!$D:$D, MATCH(1, (VALUE(LEFT(fesp!$A:$A,6))=VALUE(LEFT(B523,6)))*(fesp!$C:$C=C523), 0)), "")</f>
        <v>0</v>
      </c>
      <c r="E523" cm="1">
        <f t="array" aca="1" ref="E523" ca="1">IFERROR(INDEX(ft_medicos_clinicos!$C:$C, MATCH(1, (VALUE(LEFT(ft_medicos_clinicos!$A:$A,6))=VALUE(LEFT(B523,6)))*(ft_medicos_clinicos!$B:$B=C523), 0)), "")</f>
        <v>511</v>
      </c>
      <c r="F523" cm="1">
        <f t="array" aca="1" ref="F523" ca="1">IFERROR(INDEX(ft_enfermeiros!$C:$C, MATCH(1, (VALUE(LEFT(ft_enfermeiros!$A:$A,6))=VALUE(LEFT(B523,6)))*(ft_enfermeiros!$B:$B=C523), 0)), "")</f>
        <v>929</v>
      </c>
      <c r="G523" cm="1">
        <f t="array" aca="1" ref="G523" ca="1">IFERROR(INDEX(ft_equipes_acs!$C:$C, MATCH(1, (VALUE(LEFT(ft_equipes_acs!$A:$A,6))=VALUE(LEFT(B523,6)))*(ft_equipes_acs!$B:$B=C523), 0)), "")</f>
        <v>10</v>
      </c>
      <c r="H523" cm="1">
        <f t="array" aca="1" ref="H523" ca="1">IFERROR(INDEX(ci_leitos_internacao!$C:$C, MATCH(1, (VALUE(LEFT(ci_leitos_internacao!$A:$A,6))=VALUE(LEFT(B523,6)))*(ci_leitos_internacao!$B:$B=C523), 0)), "")</f>
        <v>1583</v>
      </c>
      <c r="I523" cm="1">
        <f t="array" aca="1" ref="I523" ca="1">IFERROR(INDEX(ci_hospitais_internacao!$C:$C, MATCH(1, (VALUE(LEFT(ci_hospitais_internacao!$A:$A,6))=VALUE(LEFT(B523,6)))*(ci_hospitais_internacao!$B:$B=C523), 0)), "")</f>
        <v>5</v>
      </c>
      <c r="J523" t="str" cm="1">
        <f t="array" aca="1" ref="J523" ca="1">IFERROR(INDEX(ci_pa_clinico!$C:$C, MATCH(1, (VALUE(LEFT(ci_pa_clinico!$A:$A,6))=VALUE(LEFT(B523,6)))*(ci_pa_clinico!$B:$B=C523), 0)), "")</f>
        <v/>
      </c>
      <c r="K523" cm="1">
        <f t="array" aca="1" ref="K523" ca="1">IFERROR(INDEX(aps_equipes_esf!$C:$C, MATCH(1, (VALUE(LEFT(aps_equipes_esf!$A:$A,6))=VALUE(LEFT(B523,6)))*(aps_equipes_esf!$B:$B=C523), 0)), "")</f>
        <v>42</v>
      </c>
      <c r="L523" cm="1">
        <f t="array" aca="1" ref="L523" ca="1">IFERROR(INDEX(casos!$C:$C, MATCH(1, (VALUE(LEFT(casos!$A:$A,6))=VALUE(LEFT(B523,6)))*(casos!$B:$B=C523), 0)), "")</f>
        <v>853</v>
      </c>
      <c r="M523" cm="1">
        <f t="array" ref="M523">IFERROR(INDEX(srag!$D:$D, MATCH(1, (VALUE(LEFT(srag!$A:$A,6))=VALUE(LEFT(B523,6)))*(srag!$C:$C=C523), 0)), "")</f>
        <v>214</v>
      </c>
      <c r="N523" cm="1">
        <f t="array" aca="1" ref="N523" ca="1">IFERROR(INDEX(fesp!$E:$E, MATCH(1, (VALUE(LEFT(fesp!$A:$A,6))=VALUE(LEFT(B523,6)))*(fesp!$C:$C=C523), 0)), "")</f>
        <v>132</v>
      </c>
      <c r="O523" cm="1">
        <f t="array" aca="1" ref="O523" ca="1">IFERROR(INDEX(fesp!$F:$F, MATCH(1, (VALUE(LEFT(fesp!$A:$A,6))=VALUE(LEFT(B523,6)))*(fesp!$C:$C=C523), 0)), "")</f>
        <v>1539</v>
      </c>
      <c r="P523" cm="1">
        <f t="array" aca="1" ref="P523" ca="1">IFERROR(INDEX(fesp!$G:$G, MATCH(1, (VALUE(LEFT(fesp!$A:$A,6))=VALUE(LEFT(B523,6)))*(fesp!$C:$C=C523), 0)), "")</f>
        <v>5545454</v>
      </c>
      <c r="Q523" cm="1">
        <f t="array" aca="1" ref="Q523" ca="1">IFERROR(INDEX(fesp!$H:$H, MATCH(1, (VALUE(LEFT(fesp!$A:$A,6))=VALUE(LEFT(B523,6)))*(fesp!$C:$C=C523), 0)), "")</f>
        <v>52</v>
      </c>
      <c r="R523" cm="1">
        <f t="array" aca="1" ref="R523" ca="1">IFERROR(INDEX(fesp!$I:$I, MATCH(1, (VALUE(LEFT(fesp!$A:$A,6))=VALUE(LEFT(B523,6)))*(fesp!$C:$C=C523), 0)), "")</f>
        <v>38923</v>
      </c>
      <c r="S523" cm="1">
        <f t="array" aca="1" ref="S523" ca="1">IFERROR(INDEX(fesp!$J:$J, MATCH(1, (VALUE(LEFT(fesp!$A:$A,6))=VALUE(LEFT(B523,6)))*(fesp!$C:$C=C523), 0)), "")</f>
        <v>442534</v>
      </c>
    </row>
    <row r="524" spans="1:19">
      <c r="A524" s="1" t="s">
        <v>45</v>
      </c>
      <c r="B524" s="3" t="s">
        <v>44</v>
      </c>
      <c r="C524" s="3">
        <v>2020</v>
      </c>
      <c r="D524" cm="1">
        <f t="array" ref="D524">IFERROR(INDEX(fesp!$D:$D, MATCH(1, (VALUE(LEFT(fesp!$A:$A,6))=VALUE(LEFT(B524,6)))*(fesp!$C:$C=C524), 0)), "")</f>
        <v>0</v>
      </c>
      <c r="E524" cm="1">
        <f t="array" aca="1" ref="E524" ca="1">IFERROR(INDEX(ft_medicos_clinicos!$C:$C, MATCH(1, (VALUE(LEFT(ft_medicos_clinicos!$A:$A,6))=VALUE(LEFT(B524,6)))*(ft_medicos_clinicos!$B:$B=C524), 0)), "")</f>
        <v>658</v>
      </c>
      <c r="F524" cm="1">
        <f t="array" aca="1" ref="F524" ca="1">IFERROR(INDEX(ft_enfermeiros!$C:$C, MATCH(1, (VALUE(LEFT(ft_enfermeiros!$A:$A,6))=VALUE(LEFT(B524,6)))*(ft_enfermeiros!$B:$B=C524), 0)), "")</f>
        <v>1197</v>
      </c>
      <c r="G524" cm="1">
        <f t="array" aca="1" ref="G524" ca="1">IFERROR(INDEX(ft_equipes_acs!$C:$C, MATCH(1, (VALUE(LEFT(ft_equipes_acs!$A:$A,6))=VALUE(LEFT(B524,6)))*(ft_equipes_acs!$B:$B=C524), 0)), "")</f>
        <v>8</v>
      </c>
      <c r="H524" cm="1">
        <f t="array" aca="1" ref="H524" ca="1">IFERROR(INDEX(ci_leitos_internacao!$C:$C, MATCH(1, (VALUE(LEFT(ci_leitos_internacao!$A:$A,6))=VALUE(LEFT(B524,6)))*(ci_leitos_internacao!$B:$B=C524), 0)), "")</f>
        <v>1926</v>
      </c>
      <c r="I524" cm="1">
        <f t="array" aca="1" ref="I524" ca="1">IFERROR(INDEX(ci_hospitais_internacao!$C:$C, MATCH(1, (VALUE(LEFT(ci_hospitais_internacao!$A:$A,6))=VALUE(LEFT(B524,6)))*(ci_hospitais_internacao!$B:$B=C524), 0)), "")</f>
        <v>7</v>
      </c>
      <c r="J524" t="str" cm="1">
        <f t="array" aca="1" ref="J524" ca="1">IFERROR(INDEX(ci_pa_clinico!$C:$C, MATCH(1, (VALUE(LEFT(ci_pa_clinico!$A:$A,6))=VALUE(LEFT(B524,6)))*(ci_pa_clinico!$B:$B=C524), 0)), "")</f>
        <v/>
      </c>
      <c r="K524" cm="1">
        <f t="array" aca="1" ref="K524" ca="1">IFERROR(INDEX(aps_equipes_esf!$C:$C, MATCH(1, (VALUE(LEFT(aps_equipes_esf!$A:$A,6))=VALUE(LEFT(B524,6)))*(aps_equipes_esf!$B:$B=C524), 0)), "")</f>
        <v>7</v>
      </c>
      <c r="L524" cm="1">
        <f t="array" aca="1" ref="L524" ca="1">IFERROR(INDEX(casos!$C:$C, MATCH(1, (VALUE(LEFT(casos!$A:$A,6))=VALUE(LEFT(B524,6)))*(casos!$B:$B=C524), 0)), "")</f>
        <v>208</v>
      </c>
      <c r="M524" cm="1">
        <f t="array" ref="M524">IFERROR(INDEX(srag!$D:$D, MATCH(1, (VALUE(LEFT(srag!$A:$A,6))=VALUE(LEFT(B524,6)))*(srag!$C:$C=C524), 0)), "")</f>
        <v>8960</v>
      </c>
      <c r="N524" cm="1">
        <f t="array" aca="1" ref="N524" ca="1">IFERROR(INDEX(fesp!$E:$E, MATCH(1, (VALUE(LEFT(fesp!$A:$A,6))=VALUE(LEFT(B524,6)))*(fesp!$C:$C=C524), 0)), "")</f>
        <v>105</v>
      </c>
      <c r="O524" cm="1">
        <f t="array" aca="1" ref="O524" ca="1">IFERROR(INDEX(fesp!$F:$F, MATCH(1, (VALUE(LEFT(fesp!$A:$A,6))=VALUE(LEFT(B524,6)))*(fesp!$C:$C=C524), 0)), "")</f>
        <v>1576</v>
      </c>
      <c r="P524" cm="1">
        <f t="array" aca="1" ref="P524" ca="1">IFERROR(INDEX(fesp!$G:$G, MATCH(1, (VALUE(LEFT(fesp!$A:$A,6))=VALUE(LEFT(B524,6)))*(fesp!$C:$C=C524), 0)), "")</f>
        <v>4629591</v>
      </c>
      <c r="Q524" cm="1">
        <f t="array" aca="1" ref="Q524" ca="1">IFERROR(INDEX(fesp!$H:$H, MATCH(1, (VALUE(LEFT(fesp!$A:$A,6))=VALUE(LEFT(B524,6)))*(fesp!$C:$C=C524), 0)), "")</f>
        <v>22</v>
      </c>
      <c r="R524" cm="1">
        <f t="array" aca="1" ref="R524" ca="1">IFERROR(INDEX(fesp!$I:$I, MATCH(1, (VALUE(LEFT(fesp!$A:$A,6))=VALUE(LEFT(B524,6)))*(fesp!$C:$C=C524), 0)), "")</f>
        <v>41649</v>
      </c>
      <c r="S524" cm="1">
        <f t="array" aca="1" ref="S524" ca="1">IFERROR(INDEX(fesp!$J:$J, MATCH(1, (VALUE(LEFT(fesp!$A:$A,6))=VALUE(LEFT(B524,6)))*(fesp!$C:$C=C524), 0)), "")</f>
        <v>369727</v>
      </c>
    </row>
    <row r="525" spans="1:19">
      <c r="A525" s="1" t="s">
        <v>45</v>
      </c>
      <c r="B525" s="3" t="s">
        <v>44</v>
      </c>
      <c r="C525" s="3">
        <v>2021</v>
      </c>
      <c r="D525" cm="1">
        <f t="array" ref="D525">IFERROR(INDEX(fesp!$D:$D, MATCH(1, (VALUE(LEFT(fesp!$A:$A,6))=VALUE(LEFT(B525,6)))*(fesp!$C:$C=C525), 0)), "")</f>
        <v>0</v>
      </c>
      <c r="E525" cm="1">
        <f t="array" aca="1" ref="E525" ca="1">IFERROR(INDEX(ft_medicos_clinicos!$C:$C, MATCH(1, (VALUE(LEFT(ft_medicos_clinicos!$A:$A,6))=VALUE(LEFT(B525,6)))*(ft_medicos_clinicos!$B:$B=C525), 0)), "")</f>
        <v>694</v>
      </c>
      <c r="F525" cm="1">
        <f t="array" aca="1" ref="F525" ca="1">IFERROR(INDEX(ft_enfermeiros!$C:$C, MATCH(1, (VALUE(LEFT(ft_enfermeiros!$A:$A,6))=VALUE(LEFT(B525,6)))*(ft_enfermeiros!$B:$B=C525), 0)), "")</f>
        <v>1268</v>
      </c>
      <c r="G525" cm="1">
        <f t="array" aca="1" ref="G525" ca="1">IFERROR(INDEX(ft_equipes_acs!$C:$C, MATCH(1, (VALUE(LEFT(ft_equipes_acs!$A:$A,6))=VALUE(LEFT(B525,6)))*(ft_equipes_acs!$B:$B=C525), 0)), "")</f>
        <v>8</v>
      </c>
      <c r="H525" cm="1">
        <f t="array" aca="1" ref="H525" ca="1">IFERROR(INDEX(ci_leitos_internacao!$C:$C, MATCH(1, (VALUE(LEFT(ci_leitos_internacao!$A:$A,6))=VALUE(LEFT(B525,6)))*(ci_leitos_internacao!$B:$B=C525), 0)), "")</f>
        <v>1863</v>
      </c>
      <c r="I525" cm="1">
        <f t="array" aca="1" ref="I525" ca="1">IFERROR(INDEX(ci_hospitais_internacao!$C:$C, MATCH(1, (VALUE(LEFT(ci_hospitais_internacao!$A:$A,6))=VALUE(LEFT(B525,6)))*(ci_hospitais_internacao!$B:$B=C525), 0)), "")</f>
        <v>7</v>
      </c>
      <c r="J525" t="str" cm="1">
        <f t="array" aca="1" ref="J525" ca="1">IFERROR(INDEX(ci_pa_clinico!$C:$C, MATCH(1, (VALUE(LEFT(ci_pa_clinico!$A:$A,6))=VALUE(LEFT(B525,6)))*(ci_pa_clinico!$B:$B=C525), 0)), "")</f>
        <v/>
      </c>
      <c r="K525" cm="1">
        <f t="array" aca="1" ref="K525" ca="1">IFERROR(INDEX(aps_equipes_esf!$C:$C, MATCH(1, (VALUE(LEFT(aps_equipes_esf!$A:$A,6))=VALUE(LEFT(B525,6)))*(aps_equipes_esf!$B:$B=C525), 0)), "")</f>
        <v>6</v>
      </c>
      <c r="L525" cm="1">
        <f t="array" aca="1" ref="L525" ca="1">IFERROR(INDEX(casos!$C:$C, MATCH(1, (VALUE(LEFT(casos!$A:$A,6))=VALUE(LEFT(B525,6)))*(casos!$B:$B=C525), 0)), "")</f>
        <v>436</v>
      </c>
      <c r="M525" cm="1">
        <f t="array" ref="M525">IFERROR(INDEX(srag!$D:$D, MATCH(1, (VALUE(LEFT(srag!$A:$A,6))=VALUE(LEFT(B525,6)))*(srag!$C:$C=C525), 0)), "")</f>
        <v>9937</v>
      </c>
      <c r="N525" cm="1">
        <f t="array" aca="1" ref="N525" ca="1">IFERROR(INDEX(fesp!$E:$E, MATCH(1, (VALUE(LEFT(fesp!$A:$A,6))=VALUE(LEFT(B525,6)))*(fesp!$C:$C=C525), 0)), "")</f>
        <v>93</v>
      </c>
      <c r="O525" cm="1">
        <f t="array" aca="1" ref="O525" ca="1">IFERROR(INDEX(fesp!$F:$F, MATCH(1, (VALUE(LEFT(fesp!$A:$A,6))=VALUE(LEFT(B525,6)))*(fesp!$C:$C=C525), 0)), "")</f>
        <v>2299</v>
      </c>
      <c r="P525" cm="1">
        <f t="array" aca="1" ref="P525" ca="1">IFERROR(INDEX(fesp!$G:$G, MATCH(1, (VALUE(LEFT(fesp!$A:$A,6))=VALUE(LEFT(B525,6)))*(fesp!$C:$C=C525), 0)), "")</f>
        <v>5772409</v>
      </c>
      <c r="Q525" cm="1">
        <f t="array" aca="1" ref="Q525" ca="1">IFERROR(INDEX(fesp!$H:$H, MATCH(1, (VALUE(LEFT(fesp!$A:$A,6))=VALUE(LEFT(B525,6)))*(fesp!$C:$C=C525), 0)), "")</f>
        <v>26</v>
      </c>
      <c r="R525" cm="1">
        <f t="array" aca="1" ref="R525" ca="1">IFERROR(INDEX(fesp!$I:$I, MATCH(1, (VALUE(LEFT(fesp!$A:$A,6))=VALUE(LEFT(B525,6)))*(fesp!$C:$C=C525), 0)), "")</f>
        <v>37192</v>
      </c>
      <c r="S525" cm="1">
        <f t="array" aca="1" ref="S525" ca="1">IFERROR(INDEX(fesp!$J:$J, MATCH(1, (VALUE(LEFT(fesp!$A:$A,6))=VALUE(LEFT(B525,6)))*(fesp!$C:$C=C525), 0)), "")</f>
        <v>442474</v>
      </c>
    </row>
    <row r="526" spans="1:19">
      <c r="A526" s="1" t="s">
        <v>45</v>
      </c>
      <c r="B526" s="3" t="s">
        <v>44</v>
      </c>
      <c r="C526" s="3">
        <v>2022</v>
      </c>
      <c r="D526" cm="1">
        <f t="array" ref="D526">IFERROR(INDEX(fesp!$D:$D, MATCH(1, (VALUE(LEFT(fesp!$A:$A,6))=VALUE(LEFT(B526,6)))*(fesp!$C:$C=C526), 0)), "")</f>
        <v>810729</v>
      </c>
      <c r="E526" cm="1">
        <f t="array" aca="1" ref="E526" ca="1">IFERROR(INDEX(ft_medicos_clinicos!$C:$C, MATCH(1, (VALUE(LEFT(ft_medicos_clinicos!$A:$A,6))=VALUE(LEFT(B526,6)))*(ft_medicos_clinicos!$B:$B=C526), 0)), "")</f>
        <v>634</v>
      </c>
      <c r="F526" cm="1">
        <f t="array" aca="1" ref="F526" ca="1">IFERROR(INDEX(ft_enfermeiros!$C:$C, MATCH(1, (VALUE(LEFT(ft_enfermeiros!$A:$A,6))=VALUE(LEFT(B526,6)))*(ft_enfermeiros!$B:$B=C526), 0)), "")</f>
        <v>1341</v>
      </c>
      <c r="G526" cm="1">
        <f t="array" aca="1" ref="G526" ca="1">IFERROR(INDEX(ft_equipes_acs!$C:$C, MATCH(1, (VALUE(LEFT(ft_equipes_acs!$A:$A,6))=VALUE(LEFT(B526,6)))*(ft_equipes_acs!$B:$B=C526), 0)), "")</f>
        <v>8</v>
      </c>
      <c r="H526" cm="1">
        <f t="array" aca="1" ref="H526" ca="1">IFERROR(INDEX(ci_leitos_internacao!$C:$C, MATCH(1, (VALUE(LEFT(ci_leitos_internacao!$A:$A,6))=VALUE(LEFT(B526,6)))*(ci_leitos_internacao!$B:$B=C526), 0)), "")</f>
        <v>1743</v>
      </c>
      <c r="I526" cm="1">
        <f t="array" aca="1" ref="I526" ca="1">IFERROR(INDEX(ci_hospitais_internacao!$C:$C, MATCH(1, (VALUE(LEFT(ci_hospitais_internacao!$A:$A,6))=VALUE(LEFT(B526,6)))*(ci_hospitais_internacao!$B:$B=C526), 0)), "")</f>
        <v>5</v>
      </c>
      <c r="J526" t="str" cm="1">
        <f t="array" aca="1" ref="J526" ca="1">IFERROR(INDEX(ci_pa_clinico!$C:$C, MATCH(1, (VALUE(LEFT(ci_pa_clinico!$A:$A,6))=VALUE(LEFT(B526,6)))*(ci_pa_clinico!$B:$B=C526), 0)), "")</f>
        <v/>
      </c>
      <c r="K526" cm="1">
        <f t="array" aca="1" ref="K526" ca="1">IFERROR(INDEX(aps_equipes_esf!$C:$C, MATCH(1, (VALUE(LEFT(aps_equipes_esf!$A:$A,6))=VALUE(LEFT(B526,6)))*(aps_equipes_esf!$B:$B=C526), 0)), "")</f>
        <v>6</v>
      </c>
      <c r="L526" cm="1">
        <f t="array" aca="1" ref="L526" ca="1">IFERROR(INDEX(casos!$C:$C, MATCH(1, (VALUE(LEFT(casos!$A:$A,6))=VALUE(LEFT(B526,6)))*(casos!$B:$B=C526), 0)), "")</f>
        <v>335</v>
      </c>
      <c r="M526" cm="1">
        <f t="array" ref="M526">IFERROR(INDEX(srag!$D:$D, MATCH(1, (VALUE(LEFT(srag!$A:$A,6))=VALUE(LEFT(B526,6)))*(srag!$C:$C=C526), 0)), "")</f>
        <v>2587</v>
      </c>
      <c r="N526" cm="1">
        <f t="array" aca="1" ref="N526" ca="1">IFERROR(INDEX(fesp!$E:$E, MATCH(1, (VALUE(LEFT(fesp!$A:$A,6))=VALUE(LEFT(B526,6)))*(fesp!$C:$C=C526), 0)), "")</f>
        <v>107</v>
      </c>
      <c r="O526" cm="1">
        <f t="array" aca="1" ref="O526" ca="1">IFERROR(INDEX(fesp!$F:$F, MATCH(1, (VALUE(LEFT(fesp!$A:$A,6))=VALUE(LEFT(B526,6)))*(fesp!$C:$C=C526), 0)), "")</f>
        <v>2871</v>
      </c>
      <c r="P526" cm="1">
        <f t="array" aca="1" ref="P526" ca="1">IFERROR(INDEX(fesp!$G:$G, MATCH(1, (VALUE(LEFT(fesp!$A:$A,6))=VALUE(LEFT(B526,6)))*(fesp!$C:$C=C526), 0)), "")</f>
        <v>5976758</v>
      </c>
      <c r="Q526" cm="1">
        <f t="array" aca="1" ref="Q526" ca="1">IFERROR(INDEX(fesp!$H:$H, MATCH(1, (VALUE(LEFT(fesp!$A:$A,6))=VALUE(LEFT(B526,6)))*(fesp!$C:$C=C526), 0)), "")</f>
        <v>45</v>
      </c>
      <c r="R526" cm="1">
        <f t="array" aca="1" ref="R526" ca="1">IFERROR(INDEX(fesp!$I:$I, MATCH(1, (VALUE(LEFT(fesp!$A:$A,6))=VALUE(LEFT(B526,6)))*(fesp!$C:$C=C526), 0)), "")</f>
        <v>40098</v>
      </c>
      <c r="S526" cm="1">
        <f t="array" aca="1" ref="S526" ca="1">IFERROR(INDEX(fesp!$J:$J, MATCH(1, (VALUE(LEFT(fesp!$A:$A,6))=VALUE(LEFT(B526,6)))*(fesp!$C:$C=C526), 0)), "")</f>
        <v>516275</v>
      </c>
    </row>
    <row r="527" spans="1:19">
      <c r="A527" s="1" t="s">
        <v>45</v>
      </c>
      <c r="B527" s="3" t="s">
        <v>44</v>
      </c>
      <c r="C527" s="3">
        <v>2023</v>
      </c>
      <c r="D527" cm="1">
        <f t="array" ref="D527">IFERROR(INDEX(fesp!$D:$D, MATCH(1, (VALUE(LEFT(fesp!$A:$A,6))=VALUE(LEFT(B527,6)))*(fesp!$C:$C=C527), 0)), "")</f>
        <v>0</v>
      </c>
      <c r="E527" cm="1">
        <f t="array" aca="1" ref="E527" ca="1">IFERROR(INDEX(ft_medicos_clinicos!$C:$C, MATCH(1, (VALUE(LEFT(ft_medicos_clinicos!$A:$A,6))=VALUE(LEFT(B527,6)))*(ft_medicos_clinicos!$B:$B=C527), 0)), "")</f>
        <v>705</v>
      </c>
      <c r="F527" cm="1">
        <f t="array" aca="1" ref="F527" ca="1">IFERROR(INDEX(ft_enfermeiros!$C:$C, MATCH(1, (VALUE(LEFT(ft_enfermeiros!$A:$A,6))=VALUE(LEFT(B527,6)))*(ft_enfermeiros!$B:$B=C527), 0)), "")</f>
        <v>1272</v>
      </c>
      <c r="G527" cm="1">
        <f t="array" aca="1" ref="G527" ca="1">IFERROR(INDEX(ft_equipes_acs!$C:$C, MATCH(1, (VALUE(LEFT(ft_equipes_acs!$A:$A,6))=VALUE(LEFT(B527,6)))*(ft_equipes_acs!$B:$B=C527), 0)), "")</f>
        <v>8</v>
      </c>
      <c r="H527" cm="1">
        <f t="array" aca="1" ref="H527" ca="1">IFERROR(INDEX(ci_leitos_internacao!$C:$C, MATCH(1, (VALUE(LEFT(ci_leitos_internacao!$A:$A,6))=VALUE(LEFT(B527,6)))*(ci_leitos_internacao!$B:$B=C527), 0)), "")</f>
        <v>1761</v>
      </c>
      <c r="I527" cm="1">
        <f t="array" aca="1" ref="I527" ca="1">IFERROR(INDEX(ci_hospitais_internacao!$C:$C, MATCH(1, (VALUE(LEFT(ci_hospitais_internacao!$A:$A,6))=VALUE(LEFT(B527,6)))*(ci_hospitais_internacao!$B:$B=C527), 0)), "")</f>
        <v>5</v>
      </c>
      <c r="J527" t="str" cm="1">
        <f t="array" aca="1" ref="J527" ca="1">IFERROR(INDEX(ci_pa_clinico!$C:$C, MATCH(1, (VALUE(LEFT(ci_pa_clinico!$A:$A,6))=VALUE(LEFT(B527,6)))*(ci_pa_clinico!$B:$B=C527), 0)), "")</f>
        <v/>
      </c>
      <c r="K527" cm="1">
        <f t="array" aca="1" ref="K527" ca="1">IFERROR(INDEX(aps_equipes_esf!$C:$C, MATCH(1, (VALUE(LEFT(aps_equipes_esf!$A:$A,6))=VALUE(LEFT(B527,6)))*(aps_equipes_esf!$B:$B=C527), 0)), "")</f>
        <v>6</v>
      </c>
      <c r="L527" cm="1">
        <f t="array" aca="1" ref="L527" ca="1">IFERROR(INDEX(casos!$C:$C, MATCH(1, (VALUE(LEFT(casos!$A:$A,6))=VALUE(LEFT(B527,6)))*(casos!$B:$B=C527), 0)), "")</f>
        <v>169</v>
      </c>
      <c r="M527" cm="1">
        <f t="array" ref="M527">IFERROR(INDEX(srag!$D:$D, MATCH(1, (VALUE(LEFT(srag!$A:$A,6))=VALUE(LEFT(B527,6)))*(srag!$C:$C=C527), 0)), "")</f>
        <v>1107</v>
      </c>
      <c r="N527" cm="1">
        <f t="array" aca="1" ref="N527" ca="1">IFERROR(INDEX(fesp!$E:$E, MATCH(1, (VALUE(LEFT(fesp!$A:$A,6))=VALUE(LEFT(B527,6)))*(fesp!$C:$C=C527), 0)), "")</f>
        <v>95</v>
      </c>
      <c r="O527" cm="1">
        <f t="array" aca="1" ref="O527" ca="1">IFERROR(INDEX(fesp!$F:$F, MATCH(1, (VALUE(LEFT(fesp!$A:$A,6))=VALUE(LEFT(B527,6)))*(fesp!$C:$C=C527), 0)), "")</f>
        <v>2855</v>
      </c>
      <c r="P527" cm="1">
        <f t="array" aca="1" ref="P527" ca="1">IFERROR(INDEX(fesp!$G:$G, MATCH(1, (VALUE(LEFT(fesp!$A:$A,6))=VALUE(LEFT(B527,6)))*(fesp!$C:$C=C527), 0)), "")</f>
        <v>6324953</v>
      </c>
      <c r="Q527" cm="1">
        <f t="array" aca="1" ref="Q527" ca="1">IFERROR(INDEX(fesp!$H:$H, MATCH(1, (VALUE(LEFT(fesp!$A:$A,6))=VALUE(LEFT(B527,6)))*(fesp!$C:$C=C527), 0)), "")</f>
        <v>39</v>
      </c>
      <c r="R527" cm="1">
        <f t="array" aca="1" ref="R527" ca="1">IFERROR(INDEX(fesp!$I:$I, MATCH(1, (VALUE(LEFT(fesp!$A:$A,6))=VALUE(LEFT(B527,6)))*(fesp!$C:$C=C527), 0)), "")</f>
        <v>41825</v>
      </c>
      <c r="S527" cm="1">
        <f t="array" aca="1" ref="S527" ca="1">IFERROR(INDEX(fesp!$J:$J, MATCH(1, (VALUE(LEFT(fesp!$A:$A,6))=VALUE(LEFT(B527,6)))*(fesp!$C:$C=C527), 0)), "")</f>
        <v>540620</v>
      </c>
    </row>
    <row r="528" spans="1:19">
      <c r="A528" s="1" t="s">
        <v>45</v>
      </c>
      <c r="B528" s="3" t="s">
        <v>44</v>
      </c>
      <c r="C528" s="3">
        <v>2024</v>
      </c>
      <c r="D528" cm="1">
        <f t="array" ref="D528">IFERROR(INDEX(fesp!$D:$D, MATCH(1, (VALUE(LEFT(fesp!$A:$A,6))=VALUE(LEFT(B528,6)))*(fesp!$C:$C=C528), 0)), "")</f>
        <v>0</v>
      </c>
      <c r="E528" cm="1">
        <f t="array" aca="1" ref="E528" ca="1">IFERROR(INDEX(ft_medicos_clinicos!$C:$C, MATCH(1, (VALUE(LEFT(ft_medicos_clinicos!$A:$A,6))=VALUE(LEFT(B528,6)))*(ft_medicos_clinicos!$B:$B=C528), 0)), "")</f>
        <v>729</v>
      </c>
      <c r="F528" cm="1">
        <f t="array" aca="1" ref="F528" ca="1">IFERROR(INDEX(ft_enfermeiros!$C:$C, MATCH(1, (VALUE(LEFT(ft_enfermeiros!$A:$A,6))=VALUE(LEFT(B528,6)))*(ft_enfermeiros!$B:$B=C528), 0)), "")</f>
        <v>1371</v>
      </c>
      <c r="G528" cm="1">
        <f t="array" aca="1" ref="G528" ca="1">IFERROR(INDEX(ft_equipes_acs!$C:$C, MATCH(1, (VALUE(LEFT(ft_equipes_acs!$A:$A,6))=VALUE(LEFT(B528,6)))*(ft_equipes_acs!$B:$B=C528), 0)), "")</f>
        <v>8</v>
      </c>
      <c r="H528" cm="1">
        <f t="array" aca="1" ref="H528" ca="1">IFERROR(INDEX(ci_leitos_internacao!$C:$C, MATCH(1, (VALUE(LEFT(ci_leitos_internacao!$A:$A,6))=VALUE(LEFT(B528,6)))*(ci_leitos_internacao!$B:$B=C528), 0)), "")</f>
        <v>1775</v>
      </c>
      <c r="I528" cm="1">
        <f t="array" aca="1" ref="I528" ca="1">IFERROR(INDEX(ci_hospitais_internacao!$C:$C, MATCH(1, (VALUE(LEFT(ci_hospitais_internacao!$A:$A,6))=VALUE(LEFT(B528,6)))*(ci_hospitais_internacao!$B:$B=C528), 0)), "")</f>
        <v>5</v>
      </c>
      <c r="J528" t="str" cm="1">
        <f t="array" aca="1" ref="J528" ca="1">IFERROR(INDEX(ci_pa_clinico!$C:$C, MATCH(1, (VALUE(LEFT(ci_pa_clinico!$A:$A,6))=VALUE(LEFT(B528,6)))*(ci_pa_clinico!$B:$B=C528), 0)), "")</f>
        <v/>
      </c>
      <c r="K528" cm="1">
        <f t="array" aca="1" ref="K528" ca="1">IFERROR(INDEX(aps_equipes_esf!$C:$C, MATCH(1, (VALUE(LEFT(aps_equipes_esf!$A:$A,6))=VALUE(LEFT(B528,6)))*(aps_equipes_esf!$B:$B=C528), 0)), "")</f>
        <v>6</v>
      </c>
      <c r="L528" cm="1">
        <f t="array" aca="1" ref="L528" ca="1">IFERROR(INDEX(casos!$C:$C, MATCH(1, (VALUE(LEFT(casos!$A:$A,6))=VALUE(LEFT(B528,6)))*(casos!$B:$B=C528), 0)), "")</f>
        <v>16407</v>
      </c>
      <c r="M528" cm="1">
        <f t="array" ref="M528">IFERROR(INDEX(srag!$D:$D, MATCH(1, (VALUE(LEFT(srag!$A:$A,6))=VALUE(LEFT(B528,6)))*(srag!$C:$C=C528), 0)), "")</f>
        <v>967</v>
      </c>
      <c r="N528" cm="1">
        <f t="array" aca="1" ref="N528" ca="1">IFERROR(INDEX(fesp!$E:$E, MATCH(1, (VALUE(LEFT(fesp!$A:$A,6))=VALUE(LEFT(B528,6)))*(fesp!$C:$C=C528), 0)), "")</f>
        <v>121</v>
      </c>
      <c r="O528" cm="1">
        <f t="array" aca="1" ref="O528" ca="1">IFERROR(INDEX(fesp!$F:$F, MATCH(1, (VALUE(LEFT(fesp!$A:$A,6))=VALUE(LEFT(B528,6)))*(fesp!$C:$C=C528), 0)), "")</f>
        <v>2606</v>
      </c>
      <c r="P528" cm="1">
        <f t="array" aca="1" ref="P528" ca="1">IFERROR(INDEX(fesp!$G:$G, MATCH(1, (VALUE(LEFT(fesp!$A:$A,6))=VALUE(LEFT(B528,6)))*(fesp!$C:$C=C528), 0)), "")</f>
        <v>6621523</v>
      </c>
      <c r="Q528" cm="1">
        <f t="array" aca="1" ref="Q528" ca="1">IFERROR(INDEX(fesp!$H:$H, MATCH(1, (VALUE(LEFT(fesp!$A:$A,6))=VALUE(LEFT(B528,6)))*(fesp!$C:$C=C528), 0)), "")</f>
        <v>32</v>
      </c>
      <c r="R528" cm="1">
        <f t="array" aca="1" ref="R528" ca="1">IFERROR(INDEX(fesp!$I:$I, MATCH(1, (VALUE(LEFT(fesp!$A:$A,6))=VALUE(LEFT(B528,6)))*(fesp!$C:$C=C528), 0)), "")</f>
        <v>41126</v>
      </c>
      <c r="S528" cm="1">
        <f t="array" aca="1" ref="S528" ca="1">IFERROR(INDEX(fesp!$J:$J, MATCH(1, (VALUE(LEFT(fesp!$A:$A,6))=VALUE(LEFT(B528,6)))*(fesp!$C:$C=C528), 0)), "")</f>
        <v>529703</v>
      </c>
    </row>
    <row r="529" spans="1:19">
      <c r="A529" s="1" t="s">
        <v>45</v>
      </c>
      <c r="B529" s="3" t="s">
        <v>44</v>
      </c>
      <c r="C529" s="3">
        <v>2025</v>
      </c>
      <c r="D529" cm="1">
        <f t="array" ref="D529">IFERROR(INDEX(fesp!$D:$D, MATCH(1, (VALUE(LEFT(fesp!$A:$A,6))=VALUE(LEFT(B529,6)))*(fesp!$C:$C=C529), 0)), "")</f>
        <v>0</v>
      </c>
      <c r="E529" cm="1">
        <f t="array" aca="1" ref="E529" ca="1">IFERROR(INDEX(ft_medicos_clinicos!$C:$C, MATCH(1, (VALUE(LEFT(ft_medicos_clinicos!$A:$A,6))=VALUE(LEFT(B529,6)))*(ft_medicos_clinicos!$B:$B=C529), 0)), "")</f>
        <v>852</v>
      </c>
      <c r="F529" cm="1">
        <f t="array" aca="1" ref="F529" ca="1">IFERROR(INDEX(ft_enfermeiros!$C:$C, MATCH(1, (VALUE(LEFT(ft_enfermeiros!$A:$A,6))=VALUE(LEFT(B529,6)))*(ft_enfermeiros!$B:$B=C529), 0)), "")</f>
        <v>1535</v>
      </c>
      <c r="G529" cm="1">
        <f t="array" aca="1" ref="G529" ca="1">IFERROR(INDEX(ft_equipes_acs!$C:$C, MATCH(1, (VALUE(LEFT(ft_equipes_acs!$A:$A,6))=VALUE(LEFT(B529,6)))*(ft_equipes_acs!$B:$B=C529), 0)), "")</f>
        <v>8</v>
      </c>
      <c r="H529" cm="1">
        <f t="array" aca="1" ref="H529" ca="1">IFERROR(INDEX(ci_leitos_internacao!$C:$C, MATCH(1, (VALUE(LEFT(ci_leitos_internacao!$A:$A,6))=VALUE(LEFT(B529,6)))*(ci_leitos_internacao!$B:$B=C529), 0)), "")</f>
        <v>1791</v>
      </c>
      <c r="I529" cm="1">
        <f t="array" aca="1" ref="I529" ca="1">IFERROR(INDEX(ci_hospitais_internacao!$C:$C, MATCH(1, (VALUE(LEFT(ci_hospitais_internacao!$A:$A,6))=VALUE(LEFT(B529,6)))*(ci_hospitais_internacao!$B:$B=C529), 0)), "")</f>
        <v>5</v>
      </c>
      <c r="J529" t="str" cm="1">
        <f t="array" aca="1" ref="J529" ca="1">IFERROR(INDEX(ci_pa_clinico!$C:$C, MATCH(1, (VALUE(LEFT(ci_pa_clinico!$A:$A,6))=VALUE(LEFT(B529,6)))*(ci_pa_clinico!$B:$B=C529), 0)), "")</f>
        <v/>
      </c>
      <c r="K529" cm="1">
        <f t="array" aca="1" ref="K529" ca="1">IFERROR(INDEX(aps_equipes_esf!$C:$C, MATCH(1, (VALUE(LEFT(aps_equipes_esf!$A:$A,6))=VALUE(LEFT(B529,6)))*(aps_equipes_esf!$B:$B=C529), 0)), "")</f>
        <v>6</v>
      </c>
      <c r="L529" cm="1">
        <f t="array" aca="1" ref="L529" ca="1">IFERROR(INDEX(casos!$C:$C, MATCH(1, (VALUE(LEFT(casos!$A:$A,6))=VALUE(LEFT(B529,6)))*(casos!$B:$B=C529), 0)), "")</f>
        <v>3754</v>
      </c>
      <c r="M529" cm="1">
        <f t="array" ref="M529">IFERROR(INDEX(srag!$D:$D, MATCH(1, (VALUE(LEFT(srag!$A:$A,6))=VALUE(LEFT(B529,6)))*(srag!$C:$C=C529), 0)), "")</f>
        <v>907</v>
      </c>
      <c r="N529" cm="1">
        <f t="array" aca="1" ref="N529" ca="1">IFERROR(INDEX(fesp!$E:$E, MATCH(1, (VALUE(LEFT(fesp!$A:$A,6))=VALUE(LEFT(B529,6)))*(fesp!$C:$C=C529), 0)), "")</f>
        <v>127</v>
      </c>
      <c r="O529" cm="1">
        <f t="array" aca="1" ref="O529" ca="1">IFERROR(INDEX(fesp!$F:$F, MATCH(1, (VALUE(LEFT(fesp!$A:$A,6))=VALUE(LEFT(B529,6)))*(fesp!$C:$C=C529), 0)), "")</f>
        <v>3422</v>
      </c>
      <c r="P529" cm="1">
        <f t="array" aca="1" ref="P529" ca="1">IFERROR(INDEX(fesp!$G:$G, MATCH(1, (VALUE(LEFT(fesp!$A:$A,6))=VALUE(LEFT(B529,6)))*(fesp!$C:$C=C529), 0)), "")</f>
        <v>6219893</v>
      </c>
      <c r="Q529" cm="1">
        <f t="array" aca="1" ref="Q529" ca="1">IFERROR(INDEX(fesp!$H:$H, MATCH(1, (VALUE(LEFT(fesp!$A:$A,6))=VALUE(LEFT(B529,6)))*(fesp!$C:$C=C529), 0)), "")</f>
        <v>33</v>
      </c>
      <c r="R529" cm="1">
        <f t="array" aca="1" ref="R529" ca="1">IFERROR(INDEX(fesp!$I:$I, MATCH(1, (VALUE(LEFT(fesp!$A:$A,6))=VALUE(LEFT(B529,6)))*(fesp!$C:$C=C529), 0)), "")</f>
        <v>34869</v>
      </c>
      <c r="S529" cm="1">
        <f t="array" aca="1" ref="S529" ca="1">IFERROR(INDEX(fesp!$J:$J, MATCH(1, (VALUE(LEFT(fesp!$A:$A,6))=VALUE(LEFT(B529,6)))*(fesp!$C:$C=C529), 0)), "")</f>
        <v>470925</v>
      </c>
    </row>
    <row r="530" spans="1:19">
      <c r="A530" s="1" t="s">
        <v>95</v>
      </c>
      <c r="B530" s="3">
        <v>3549805</v>
      </c>
      <c r="C530" s="3">
        <v>2015</v>
      </c>
      <c r="D530" cm="1">
        <f t="array" ref="D530">IFERROR(INDEX(fesp!$D:$D, MATCH(1, (VALUE(LEFT(fesp!$A:$A,6))=VALUE(LEFT(B530,6)))*(fesp!$C:$C=C530), 0)), "")</f>
        <v>442548</v>
      </c>
      <c r="E530" cm="1">
        <f t="array" aca="1" ref="E530" ca="1">IFERROR(INDEX(ft_medicos_clinicos!$C:$C, MATCH(1, (VALUE(LEFT(ft_medicos_clinicos!$A:$A,6))=VALUE(LEFT(B530,6)))*(ft_medicos_clinicos!$B:$B=C530), 0)), "")</f>
        <v>329</v>
      </c>
      <c r="F530" cm="1">
        <f t="array" aca="1" ref="F530" ca="1">IFERROR(INDEX(ft_enfermeiros!$C:$C, MATCH(1, (VALUE(LEFT(ft_enfermeiros!$A:$A,6))=VALUE(LEFT(B530,6)))*(ft_enfermeiros!$B:$B=C530), 0)), "")</f>
        <v>852</v>
      </c>
      <c r="G530" cm="1">
        <f t="array" aca="1" ref="G530" ca="1">IFERROR(INDEX(ft_equipes_acs!$C:$C, MATCH(1, (VALUE(LEFT(ft_equipes_acs!$A:$A,6))=VALUE(LEFT(B530,6)))*(ft_equipes_acs!$B:$B=C530), 0)), "")</f>
        <v>14</v>
      </c>
      <c r="H530" cm="1">
        <f t="array" aca="1" ref="H530" ca="1">IFERROR(INDEX(ci_leitos_internacao!$C:$C, MATCH(1, (VALUE(LEFT(ci_leitos_internacao!$A:$A,6))=VALUE(LEFT(B530,6)))*(ci_leitos_internacao!$B:$B=C530), 0)), "")</f>
        <v>1861</v>
      </c>
      <c r="I530" cm="1">
        <f t="array" aca="1" ref="I530" ca="1">IFERROR(INDEX(ci_hospitais_internacao!$C:$C, MATCH(1, (VALUE(LEFT(ci_hospitais_internacao!$A:$A,6))=VALUE(LEFT(B530,6)))*(ci_hospitais_internacao!$B:$B=C530), 0)), "")</f>
        <v>5</v>
      </c>
      <c r="J530" cm="1">
        <f t="array" aca="1" ref="J530" ca="1">IFERROR(INDEX(ci_pa_clinico!$C:$C, MATCH(1, (VALUE(LEFT(ci_pa_clinico!$A:$A,6))=VALUE(LEFT(B530,6)))*(ci_pa_clinico!$B:$B=C530), 0)), "")</f>
        <v>8</v>
      </c>
      <c r="K530" cm="1">
        <f t="array" aca="1" ref="K530" ca="1">IFERROR(INDEX(aps_equipes_esf!$C:$C, MATCH(1, (VALUE(LEFT(aps_equipes_esf!$A:$A,6))=VALUE(LEFT(B530,6)))*(aps_equipes_esf!$B:$B=C530), 0)), "")</f>
        <v>23</v>
      </c>
      <c r="L530" cm="1">
        <f t="array" aca="1" ref="L530" ca="1">IFERROR(INDEX(casos!$C:$C, MATCH(1, (VALUE(LEFT(casos!$A:$A,6))=VALUE(LEFT(B530,6)))*(casos!$B:$B=C530), 0)), "")</f>
        <v>23747</v>
      </c>
      <c r="M530" cm="1">
        <f t="array" ref="M530">IFERROR(INDEX(srag!$D:$D, MATCH(1, (VALUE(LEFT(srag!$A:$A,6))=VALUE(LEFT(B530,6)))*(srag!$C:$C=C530), 0)), "")</f>
        <v>138</v>
      </c>
      <c r="N530" cm="1">
        <f t="array" aca="1" ref="N530" ca="1">IFERROR(INDEX(fesp!$E:$E, MATCH(1, (VALUE(LEFT(fesp!$A:$A,6))=VALUE(LEFT(B530,6)))*(fesp!$C:$C=C530), 0)), "")</f>
        <v>163</v>
      </c>
      <c r="O530" cm="1">
        <f t="array" aca="1" ref="O530" ca="1">IFERROR(INDEX(fesp!$F:$F, MATCH(1, (VALUE(LEFT(fesp!$A:$A,6))=VALUE(LEFT(B530,6)))*(fesp!$C:$C=C530), 0)), "")</f>
        <v>21191</v>
      </c>
      <c r="P530" cm="1">
        <f t="array" aca="1" ref="P530" ca="1">IFERROR(INDEX(fesp!$G:$G, MATCH(1, (VALUE(LEFT(fesp!$A:$A,6))=VALUE(LEFT(B530,6)))*(fesp!$C:$C=C530), 0)), "")</f>
        <v>4007884</v>
      </c>
      <c r="Q530" cm="1">
        <f t="array" aca="1" ref="Q530" ca="1">IFERROR(INDEX(fesp!$H:$H, MATCH(1, (VALUE(LEFT(fesp!$A:$A,6))=VALUE(LEFT(B530,6)))*(fesp!$C:$C=C530), 0)), "")</f>
        <v>177</v>
      </c>
      <c r="R530" cm="1">
        <f t="array" aca="1" ref="R530" ca="1">IFERROR(INDEX(fesp!$I:$I, MATCH(1, (VALUE(LEFT(fesp!$A:$A,6))=VALUE(LEFT(B530,6)))*(fesp!$C:$C=C530), 0)), "")</f>
        <v>38122</v>
      </c>
      <c r="S530" cm="1">
        <f t="array" aca="1" ref="S530" ca="1">IFERROR(INDEX(fesp!$J:$J, MATCH(1, (VALUE(LEFT(fesp!$A:$A,6))=VALUE(LEFT(B530,6)))*(fesp!$C:$C=C530), 0)), "")</f>
        <v>445484</v>
      </c>
    </row>
    <row r="531" spans="1:19">
      <c r="A531" s="1" t="s">
        <v>95</v>
      </c>
      <c r="B531" s="3" t="s">
        <v>94</v>
      </c>
      <c r="C531" s="3">
        <v>2016</v>
      </c>
      <c r="D531" cm="1">
        <f t="array" ref="D531">IFERROR(INDEX(fesp!$D:$D, MATCH(1, (VALUE(LEFT(fesp!$A:$A,6))=VALUE(LEFT(B531,6)))*(fesp!$C:$C=C531), 0)), "")</f>
        <v>0</v>
      </c>
      <c r="E531" cm="1">
        <f t="array" aca="1" ref="E531" ca="1">IFERROR(INDEX(ft_medicos_clinicos!$C:$C, MATCH(1, (VALUE(LEFT(ft_medicos_clinicos!$A:$A,6))=VALUE(LEFT(B531,6)))*(ft_medicos_clinicos!$B:$B=C531), 0)), "")</f>
        <v>355</v>
      </c>
      <c r="F531" cm="1">
        <f t="array" aca="1" ref="F531" ca="1">IFERROR(INDEX(ft_enfermeiros!$C:$C, MATCH(1, (VALUE(LEFT(ft_enfermeiros!$A:$A,6))=VALUE(LEFT(B531,6)))*(ft_enfermeiros!$B:$B=C531), 0)), "")</f>
        <v>926</v>
      </c>
      <c r="G531" cm="1">
        <f t="array" aca="1" ref="G531" ca="1">IFERROR(INDEX(ft_equipes_acs!$C:$C, MATCH(1, (VALUE(LEFT(ft_equipes_acs!$A:$A,6))=VALUE(LEFT(B531,6)))*(ft_equipes_acs!$B:$B=C531), 0)), "")</f>
        <v>15</v>
      </c>
      <c r="H531" cm="1">
        <f t="array" aca="1" ref="H531" ca="1">IFERROR(INDEX(ci_leitos_internacao!$C:$C, MATCH(1, (VALUE(LEFT(ci_leitos_internacao!$A:$A,6))=VALUE(LEFT(B531,6)))*(ci_leitos_internacao!$B:$B=C531), 0)), "")</f>
        <v>1803</v>
      </c>
      <c r="I531" cm="1">
        <f t="array" aca="1" ref="I531" ca="1">IFERROR(INDEX(ci_hospitais_internacao!$C:$C, MATCH(1, (VALUE(LEFT(ci_hospitais_internacao!$A:$A,6))=VALUE(LEFT(B531,6)))*(ci_hospitais_internacao!$B:$B=C531), 0)), "")</f>
        <v>5</v>
      </c>
      <c r="J531" cm="1">
        <f t="array" aca="1" ref="J531" ca="1">IFERROR(INDEX(ci_pa_clinico!$C:$C, MATCH(1, (VALUE(LEFT(ci_pa_clinico!$A:$A,6))=VALUE(LEFT(B531,6)))*(ci_pa_clinico!$B:$B=C531), 0)), "")</f>
        <v>8</v>
      </c>
      <c r="K531" cm="1">
        <f t="array" aca="1" ref="K531" ca="1">IFERROR(INDEX(aps_equipes_esf!$C:$C, MATCH(1, (VALUE(LEFT(aps_equipes_esf!$A:$A,6))=VALUE(LEFT(B531,6)))*(aps_equipes_esf!$B:$B=C531), 0)), "")</f>
        <v>23</v>
      </c>
      <c r="L531" cm="1">
        <f t="array" aca="1" ref="L531" ca="1">IFERROR(INDEX(casos!$C:$C, MATCH(1, (VALUE(LEFT(casos!$A:$A,6))=VALUE(LEFT(B531,6)))*(casos!$B:$B=C531), 0)), "")</f>
        <v>17660</v>
      </c>
      <c r="M531" cm="1">
        <f t="array" ref="M531">IFERROR(INDEX(srag!$D:$D, MATCH(1, (VALUE(LEFT(srag!$A:$A,6))=VALUE(LEFT(B531,6)))*(srag!$C:$C=C531), 0)), "")</f>
        <v>542</v>
      </c>
      <c r="N531" cm="1">
        <f t="array" aca="1" ref="N531" ca="1">IFERROR(INDEX(fesp!$E:$E, MATCH(1, (VALUE(LEFT(fesp!$A:$A,6))=VALUE(LEFT(B531,6)))*(fesp!$C:$C=C531), 0)), "")</f>
        <v>152</v>
      </c>
      <c r="O531" cm="1">
        <f t="array" aca="1" ref="O531" ca="1">IFERROR(INDEX(fesp!$F:$F, MATCH(1, (VALUE(LEFT(fesp!$A:$A,6))=VALUE(LEFT(B531,6)))*(fesp!$C:$C=C531), 0)), "")</f>
        <v>21307</v>
      </c>
      <c r="P531" cm="1">
        <f t="array" aca="1" ref="P531" ca="1">IFERROR(INDEX(fesp!$G:$G, MATCH(1, (VALUE(LEFT(fesp!$A:$A,6))=VALUE(LEFT(B531,6)))*(fesp!$C:$C=C531), 0)), "")</f>
        <v>4133247</v>
      </c>
      <c r="Q531" cm="1">
        <f t="array" aca="1" ref="Q531" ca="1">IFERROR(INDEX(fesp!$H:$H, MATCH(1, (VALUE(LEFT(fesp!$A:$A,6))=VALUE(LEFT(B531,6)))*(fesp!$C:$C=C531), 0)), "")</f>
        <v>177</v>
      </c>
      <c r="R531" cm="1">
        <f t="array" aca="1" ref="R531" ca="1">IFERROR(INDEX(fesp!$I:$I, MATCH(1, (VALUE(LEFT(fesp!$A:$A,6))=VALUE(LEFT(B531,6)))*(fesp!$C:$C=C531), 0)), "")</f>
        <v>38566</v>
      </c>
      <c r="S531" cm="1">
        <f t="array" aca="1" ref="S531" ca="1">IFERROR(INDEX(fesp!$J:$J, MATCH(1, (VALUE(LEFT(fesp!$A:$A,6))=VALUE(LEFT(B531,6)))*(fesp!$C:$C=C531), 0)), "")</f>
        <v>454694</v>
      </c>
    </row>
    <row r="532" spans="1:19">
      <c r="A532" s="1" t="s">
        <v>95</v>
      </c>
      <c r="B532" s="3" t="s">
        <v>94</v>
      </c>
      <c r="C532" s="3">
        <v>2017</v>
      </c>
      <c r="D532" cm="1">
        <f t="array" ref="D532">IFERROR(INDEX(fesp!$D:$D, MATCH(1, (VALUE(LEFT(fesp!$A:$A,6))=VALUE(LEFT(B532,6)))*(fesp!$C:$C=C532), 0)), "")</f>
        <v>0</v>
      </c>
      <c r="E532" cm="1">
        <f t="array" aca="1" ref="E532" ca="1">IFERROR(INDEX(ft_medicos_clinicos!$C:$C, MATCH(1, (VALUE(LEFT(ft_medicos_clinicos!$A:$A,6))=VALUE(LEFT(B532,6)))*(ft_medicos_clinicos!$B:$B=C532), 0)), "")</f>
        <v>330</v>
      </c>
      <c r="F532" cm="1">
        <f t="array" aca="1" ref="F532" ca="1">IFERROR(INDEX(ft_enfermeiros!$C:$C, MATCH(1, (VALUE(LEFT(ft_enfermeiros!$A:$A,6))=VALUE(LEFT(B532,6)))*(ft_enfermeiros!$B:$B=C532), 0)), "")</f>
        <v>994</v>
      </c>
      <c r="G532" cm="1">
        <f t="array" aca="1" ref="G532" ca="1">IFERROR(INDEX(ft_equipes_acs!$C:$C, MATCH(1, (VALUE(LEFT(ft_equipes_acs!$A:$A,6))=VALUE(LEFT(B532,6)))*(ft_equipes_acs!$B:$B=C532), 0)), "")</f>
        <v>8</v>
      </c>
      <c r="H532" cm="1">
        <f t="array" aca="1" ref="H532" ca="1">IFERROR(INDEX(ci_leitos_internacao!$C:$C, MATCH(1, (VALUE(LEFT(ci_leitos_internacao!$A:$A,6))=VALUE(LEFT(B532,6)))*(ci_leitos_internacao!$B:$B=C532), 0)), "")</f>
        <v>1856</v>
      </c>
      <c r="I532" cm="1">
        <f t="array" aca="1" ref="I532" ca="1">IFERROR(INDEX(ci_hospitais_internacao!$C:$C, MATCH(1, (VALUE(LEFT(ci_hospitais_internacao!$A:$A,6))=VALUE(LEFT(B532,6)))*(ci_hospitais_internacao!$B:$B=C532), 0)), "")</f>
        <v>4</v>
      </c>
      <c r="J532" cm="1">
        <f t="array" aca="1" ref="J532" ca="1">IFERROR(INDEX(ci_pa_clinico!$C:$C, MATCH(1, (VALUE(LEFT(ci_pa_clinico!$A:$A,6))=VALUE(LEFT(B532,6)))*(ci_pa_clinico!$B:$B=C532), 0)), "")</f>
        <v>8</v>
      </c>
      <c r="K532" cm="1">
        <f t="array" aca="1" ref="K532" ca="1">IFERROR(INDEX(aps_equipes_esf!$C:$C, MATCH(1, (VALUE(LEFT(aps_equipes_esf!$A:$A,6))=VALUE(LEFT(B532,6)))*(aps_equipes_esf!$B:$B=C532), 0)), "")</f>
        <v>31</v>
      </c>
      <c r="L532" cm="1">
        <f t="array" aca="1" ref="L532" ca="1">IFERROR(INDEX(casos!$C:$C, MATCH(1, (VALUE(LEFT(casos!$A:$A,6))=VALUE(LEFT(B532,6)))*(casos!$B:$B=C532), 0)), "")</f>
        <v>815</v>
      </c>
      <c r="M532" cm="1">
        <f t="array" ref="M532">IFERROR(INDEX(srag!$D:$D, MATCH(1, (VALUE(LEFT(srag!$A:$A,6))=VALUE(LEFT(B532,6)))*(srag!$C:$C=C532), 0)), "")</f>
        <v>197</v>
      </c>
      <c r="N532" cm="1">
        <f t="array" aca="1" ref="N532" ca="1">IFERROR(INDEX(fesp!$E:$E, MATCH(1, (VALUE(LEFT(fesp!$A:$A,6))=VALUE(LEFT(B532,6)))*(fesp!$C:$C=C532), 0)), "")</f>
        <v>126</v>
      </c>
      <c r="O532" cm="1">
        <f t="array" aca="1" ref="O532" ca="1">IFERROR(INDEX(fesp!$F:$F, MATCH(1, (VALUE(LEFT(fesp!$A:$A,6))=VALUE(LEFT(B532,6)))*(fesp!$C:$C=C532), 0)), "")</f>
        <v>21454</v>
      </c>
      <c r="P532" cm="1">
        <f t="array" aca="1" ref="P532" ca="1">IFERROR(INDEX(fesp!$G:$G, MATCH(1, (VALUE(LEFT(fesp!$A:$A,6))=VALUE(LEFT(B532,6)))*(fesp!$C:$C=C532), 0)), "")</f>
        <v>3958525</v>
      </c>
      <c r="Q532" cm="1">
        <f t="array" aca="1" ref="Q532" ca="1">IFERROR(INDEX(fesp!$H:$H, MATCH(1, (VALUE(LEFT(fesp!$A:$A,6))=VALUE(LEFT(B532,6)))*(fesp!$C:$C=C532), 0)), "")</f>
        <v>135</v>
      </c>
      <c r="R532" cm="1">
        <f t="array" aca="1" ref="R532" ca="1">IFERROR(INDEX(fesp!$I:$I, MATCH(1, (VALUE(LEFT(fesp!$A:$A,6))=VALUE(LEFT(B532,6)))*(fesp!$C:$C=C532), 0)), "")</f>
        <v>41123</v>
      </c>
      <c r="S532" cm="1">
        <f t="array" aca="1" ref="S532" ca="1">IFERROR(INDEX(fesp!$J:$J, MATCH(1, (VALUE(LEFT(fesp!$A:$A,6))=VALUE(LEFT(B532,6)))*(fesp!$C:$C=C532), 0)), "")</f>
        <v>474962</v>
      </c>
    </row>
    <row r="533" spans="1:19">
      <c r="A533" s="1" t="s">
        <v>95</v>
      </c>
      <c r="B533" s="3" t="s">
        <v>94</v>
      </c>
      <c r="C533" s="3">
        <v>2018</v>
      </c>
      <c r="D533" cm="1">
        <f t="array" ref="D533">IFERROR(INDEX(fesp!$D:$D, MATCH(1, (VALUE(LEFT(fesp!$A:$A,6))=VALUE(LEFT(B533,6)))*(fesp!$C:$C=C533), 0)), "")</f>
        <v>0</v>
      </c>
      <c r="E533" cm="1">
        <f t="array" aca="1" ref="E533" ca="1">IFERROR(INDEX(ft_medicos_clinicos!$C:$C, MATCH(1, (VALUE(LEFT(ft_medicos_clinicos!$A:$A,6))=VALUE(LEFT(B533,6)))*(ft_medicos_clinicos!$B:$B=C533), 0)), "")</f>
        <v>354</v>
      </c>
      <c r="F533" cm="1">
        <f t="array" aca="1" ref="F533" ca="1">IFERROR(INDEX(ft_enfermeiros!$C:$C, MATCH(1, (VALUE(LEFT(ft_enfermeiros!$A:$A,6))=VALUE(LEFT(B533,6)))*(ft_enfermeiros!$B:$B=C533), 0)), "")</f>
        <v>1067</v>
      </c>
      <c r="G533" cm="1">
        <f t="array" aca="1" ref="G533" ca="1">IFERROR(INDEX(ft_equipes_acs!$C:$C, MATCH(1, (VALUE(LEFT(ft_equipes_acs!$A:$A,6))=VALUE(LEFT(B533,6)))*(ft_equipes_acs!$B:$B=C533), 0)), "")</f>
        <v>5</v>
      </c>
      <c r="H533" cm="1">
        <f t="array" aca="1" ref="H533" ca="1">IFERROR(INDEX(ci_leitos_internacao!$C:$C, MATCH(1, (VALUE(LEFT(ci_leitos_internacao!$A:$A,6))=VALUE(LEFT(B533,6)))*(ci_leitos_internacao!$B:$B=C533), 0)), "")</f>
        <v>1850</v>
      </c>
      <c r="I533" cm="1">
        <f t="array" aca="1" ref="I533" ca="1">IFERROR(INDEX(ci_hospitais_internacao!$C:$C, MATCH(1, (VALUE(LEFT(ci_hospitais_internacao!$A:$A,6))=VALUE(LEFT(B533,6)))*(ci_hospitais_internacao!$B:$B=C533), 0)), "")</f>
        <v>4</v>
      </c>
      <c r="J533" cm="1">
        <f t="array" aca="1" ref="J533" ca="1">IFERROR(INDEX(ci_pa_clinico!$C:$C, MATCH(1, (VALUE(LEFT(ci_pa_clinico!$A:$A,6))=VALUE(LEFT(B533,6)))*(ci_pa_clinico!$B:$B=C533), 0)), "")</f>
        <v>8</v>
      </c>
      <c r="K533" cm="1">
        <f t="array" aca="1" ref="K533" ca="1">IFERROR(INDEX(aps_equipes_esf!$C:$C, MATCH(1, (VALUE(LEFT(aps_equipes_esf!$A:$A,6))=VALUE(LEFT(B533,6)))*(aps_equipes_esf!$B:$B=C533), 0)), "")</f>
        <v>37</v>
      </c>
      <c r="L533" cm="1">
        <f t="array" aca="1" ref="L533" ca="1">IFERROR(INDEX(casos!$C:$C, MATCH(1, (VALUE(LEFT(casos!$A:$A,6))=VALUE(LEFT(B533,6)))*(casos!$B:$B=C533), 0)), "")</f>
        <v>1546</v>
      </c>
      <c r="M533" cm="1">
        <f t="array" ref="M533">IFERROR(INDEX(srag!$D:$D, MATCH(1, (VALUE(LEFT(srag!$A:$A,6))=VALUE(LEFT(B533,6)))*(srag!$C:$C=C533), 0)), "")</f>
        <v>470</v>
      </c>
      <c r="N533" cm="1">
        <f t="array" aca="1" ref="N533" ca="1">IFERROR(INDEX(fesp!$E:$E, MATCH(1, (VALUE(LEFT(fesp!$A:$A,6))=VALUE(LEFT(B533,6)))*(fesp!$C:$C=C533), 0)), "")</f>
        <v>150</v>
      </c>
      <c r="O533" cm="1">
        <f t="array" aca="1" ref="O533" ca="1">IFERROR(INDEX(fesp!$F:$F, MATCH(1, (VALUE(LEFT(fesp!$A:$A,6))=VALUE(LEFT(B533,6)))*(fesp!$C:$C=C533), 0)), "")</f>
        <v>23634</v>
      </c>
      <c r="P533" cm="1">
        <f t="array" aca="1" ref="P533" ca="1">IFERROR(INDEX(fesp!$G:$G, MATCH(1, (VALUE(LEFT(fesp!$A:$A,6))=VALUE(LEFT(B533,6)))*(fesp!$C:$C=C533), 0)), "")</f>
        <v>4431445</v>
      </c>
      <c r="Q533" cm="1">
        <f t="array" aca="1" ref="Q533" ca="1">IFERROR(INDEX(fesp!$H:$H, MATCH(1, (VALUE(LEFT(fesp!$A:$A,6))=VALUE(LEFT(B533,6)))*(fesp!$C:$C=C533), 0)), "")</f>
        <v>129</v>
      </c>
      <c r="R533" cm="1">
        <f t="array" aca="1" ref="R533" ca="1">IFERROR(INDEX(fesp!$I:$I, MATCH(1, (VALUE(LEFT(fesp!$A:$A,6))=VALUE(LEFT(B533,6)))*(fesp!$C:$C=C533), 0)), "")</f>
        <v>43233</v>
      </c>
      <c r="S533" cm="1">
        <f t="array" aca="1" ref="S533" ca="1">IFERROR(INDEX(fesp!$J:$J, MATCH(1, (VALUE(LEFT(fesp!$A:$A,6))=VALUE(LEFT(B533,6)))*(fesp!$C:$C=C533), 0)), "")</f>
        <v>495399</v>
      </c>
    </row>
    <row r="534" spans="1:19">
      <c r="A534" s="1" t="s">
        <v>95</v>
      </c>
      <c r="B534" s="3" t="s">
        <v>94</v>
      </c>
      <c r="C534" s="3">
        <v>2019</v>
      </c>
      <c r="D534" cm="1">
        <f t="array" ref="D534">IFERROR(INDEX(fesp!$D:$D, MATCH(1, (VALUE(LEFT(fesp!$A:$A,6))=VALUE(LEFT(B534,6)))*(fesp!$C:$C=C534), 0)), "")</f>
        <v>0</v>
      </c>
      <c r="E534" cm="1">
        <f t="array" aca="1" ref="E534" ca="1">IFERROR(INDEX(ft_medicos_clinicos!$C:$C, MATCH(1, (VALUE(LEFT(ft_medicos_clinicos!$A:$A,6))=VALUE(LEFT(B534,6)))*(ft_medicos_clinicos!$B:$B=C534), 0)), "")</f>
        <v>377</v>
      </c>
      <c r="F534" cm="1">
        <f t="array" aca="1" ref="F534" ca="1">IFERROR(INDEX(ft_enfermeiros!$C:$C, MATCH(1, (VALUE(LEFT(ft_enfermeiros!$A:$A,6))=VALUE(LEFT(B534,6)))*(ft_enfermeiros!$B:$B=C534), 0)), "")</f>
        <v>1145</v>
      </c>
      <c r="G534" cm="1">
        <f t="array" aca="1" ref="G534" ca="1">IFERROR(INDEX(ft_equipes_acs!$C:$C, MATCH(1, (VALUE(LEFT(ft_equipes_acs!$A:$A,6))=VALUE(LEFT(B534,6)))*(ft_equipes_acs!$B:$B=C534), 0)), "")</f>
        <v>4</v>
      </c>
      <c r="H534" cm="1">
        <f t="array" aca="1" ref="H534" ca="1">IFERROR(INDEX(ci_leitos_internacao!$C:$C, MATCH(1, (VALUE(LEFT(ci_leitos_internacao!$A:$A,6))=VALUE(LEFT(B534,6)))*(ci_leitos_internacao!$B:$B=C534), 0)), "")</f>
        <v>1905</v>
      </c>
      <c r="I534" cm="1">
        <f t="array" aca="1" ref="I534" ca="1">IFERROR(INDEX(ci_hospitais_internacao!$C:$C, MATCH(1, (VALUE(LEFT(ci_hospitais_internacao!$A:$A,6))=VALUE(LEFT(B534,6)))*(ci_hospitais_internacao!$B:$B=C534), 0)), "")</f>
        <v>4</v>
      </c>
      <c r="J534" cm="1">
        <f t="array" aca="1" ref="J534" ca="1">IFERROR(INDEX(ci_pa_clinico!$C:$C, MATCH(1, (VALUE(LEFT(ci_pa_clinico!$A:$A,6))=VALUE(LEFT(B534,6)))*(ci_pa_clinico!$B:$B=C534), 0)), "")</f>
        <v>8</v>
      </c>
      <c r="K534" cm="1">
        <f t="array" aca="1" ref="K534" ca="1">IFERROR(INDEX(aps_equipes_esf!$C:$C, MATCH(1, (VALUE(LEFT(aps_equipes_esf!$A:$A,6))=VALUE(LEFT(B534,6)))*(aps_equipes_esf!$B:$B=C534), 0)), "")</f>
        <v>40</v>
      </c>
      <c r="L534" cm="1">
        <f t="array" aca="1" ref="L534" ca="1">IFERROR(INDEX(casos!$C:$C, MATCH(1, (VALUE(LEFT(casos!$A:$A,6))=VALUE(LEFT(B534,6)))*(casos!$B:$B=C534), 0)), "")</f>
        <v>38107</v>
      </c>
      <c r="M534" cm="1">
        <f t="array" ref="M534">IFERROR(INDEX(srag!$D:$D, MATCH(1, (VALUE(LEFT(srag!$A:$A,6))=VALUE(LEFT(B534,6)))*(srag!$C:$C=C534), 0)), "")</f>
        <v>272</v>
      </c>
      <c r="N534" cm="1">
        <f t="array" aca="1" ref="N534" ca="1">IFERROR(INDEX(fesp!$E:$E, MATCH(1, (VALUE(LEFT(fesp!$A:$A,6))=VALUE(LEFT(B534,6)))*(fesp!$C:$C=C534), 0)), "")</f>
        <v>140</v>
      </c>
      <c r="O534" cm="1">
        <f t="array" aca="1" ref="O534" ca="1">IFERROR(INDEX(fesp!$F:$F, MATCH(1, (VALUE(LEFT(fesp!$A:$A,6))=VALUE(LEFT(B534,6)))*(fesp!$C:$C=C534), 0)), "")</f>
        <v>22989</v>
      </c>
      <c r="P534" cm="1">
        <f t="array" aca="1" ref="P534" ca="1">IFERROR(INDEX(fesp!$G:$G, MATCH(1, (VALUE(LEFT(fesp!$A:$A,6))=VALUE(LEFT(B534,6)))*(fesp!$C:$C=C534), 0)), "")</f>
        <v>4850162</v>
      </c>
      <c r="Q534" cm="1">
        <f t="array" aca="1" ref="Q534" ca="1">IFERROR(INDEX(fesp!$H:$H, MATCH(1, (VALUE(LEFT(fesp!$A:$A,6))=VALUE(LEFT(B534,6)))*(fesp!$C:$C=C534), 0)), "")</f>
        <v>152</v>
      </c>
      <c r="R534" cm="1">
        <f t="array" aca="1" ref="R534" ca="1">IFERROR(INDEX(fesp!$I:$I, MATCH(1, (VALUE(LEFT(fesp!$A:$A,6))=VALUE(LEFT(B534,6)))*(fesp!$C:$C=C534), 0)), "")</f>
        <v>27061</v>
      </c>
      <c r="S534" cm="1">
        <f t="array" aca="1" ref="S534" ca="1">IFERROR(INDEX(fesp!$J:$J, MATCH(1, (VALUE(LEFT(fesp!$A:$A,6))=VALUE(LEFT(B534,6)))*(fesp!$C:$C=C534), 0)), "")</f>
        <v>507537</v>
      </c>
    </row>
    <row r="535" spans="1:19">
      <c r="A535" s="1" t="s">
        <v>95</v>
      </c>
      <c r="B535" s="3" t="s">
        <v>94</v>
      </c>
      <c r="C535" s="3">
        <v>2020</v>
      </c>
      <c r="D535" cm="1">
        <f t="array" ref="D535">IFERROR(INDEX(fesp!$D:$D, MATCH(1, (VALUE(LEFT(fesp!$A:$A,6))=VALUE(LEFT(B535,6)))*(fesp!$C:$C=C535), 0)), "")</f>
        <v>0</v>
      </c>
      <c r="E535" cm="1">
        <f t="array" aca="1" ref="E535" ca="1">IFERROR(INDEX(ft_medicos_clinicos!$C:$C, MATCH(1, (VALUE(LEFT(ft_medicos_clinicos!$A:$A,6))=VALUE(LEFT(B535,6)))*(ft_medicos_clinicos!$B:$B=C535), 0)), "")</f>
        <v>365</v>
      </c>
      <c r="F535" cm="1">
        <f t="array" aca="1" ref="F535" ca="1">IFERROR(INDEX(ft_enfermeiros!$C:$C, MATCH(1, (VALUE(LEFT(ft_enfermeiros!$A:$A,6))=VALUE(LEFT(B535,6)))*(ft_enfermeiros!$B:$B=C535), 0)), "")</f>
        <v>1338</v>
      </c>
      <c r="G535" cm="1">
        <f t="array" aca="1" ref="G535" ca="1">IFERROR(INDEX(ft_equipes_acs!$C:$C, MATCH(1, (VALUE(LEFT(ft_equipes_acs!$A:$A,6))=VALUE(LEFT(B535,6)))*(ft_equipes_acs!$B:$B=C535), 0)), "")</f>
        <v>1</v>
      </c>
      <c r="H535" cm="1">
        <f t="array" aca="1" ref="H535" ca="1">IFERROR(INDEX(ci_leitos_internacao!$C:$C, MATCH(1, (VALUE(LEFT(ci_leitos_internacao!$A:$A,6))=VALUE(LEFT(B535,6)))*(ci_leitos_internacao!$B:$B=C535), 0)), "")</f>
        <v>2099</v>
      </c>
      <c r="I535" cm="1">
        <f t="array" aca="1" ref="I535" ca="1">IFERROR(INDEX(ci_hospitais_internacao!$C:$C, MATCH(1, (VALUE(LEFT(ci_hospitais_internacao!$A:$A,6))=VALUE(LEFT(B535,6)))*(ci_hospitais_internacao!$B:$B=C535), 0)), "")</f>
        <v>4</v>
      </c>
      <c r="J535" cm="1">
        <f t="array" aca="1" ref="J535" ca="1">IFERROR(INDEX(ci_pa_clinico!$C:$C, MATCH(1, (VALUE(LEFT(ci_pa_clinico!$A:$A,6))=VALUE(LEFT(B535,6)))*(ci_pa_clinico!$B:$B=C535), 0)), "")</f>
        <v>9</v>
      </c>
      <c r="K535" cm="1">
        <f t="array" aca="1" ref="K535" ca="1">IFERROR(INDEX(aps_equipes_esf!$C:$C, MATCH(1, (VALUE(LEFT(aps_equipes_esf!$A:$A,6))=VALUE(LEFT(B535,6)))*(aps_equipes_esf!$B:$B=C535), 0)), "")</f>
        <v>3</v>
      </c>
      <c r="L535" cm="1">
        <f t="array" aca="1" ref="L535" ca="1">IFERROR(INDEX(casos!$C:$C, MATCH(1, (VALUE(LEFT(casos!$A:$A,6))=VALUE(LEFT(B535,6)))*(casos!$B:$B=C535), 0)), "")</f>
        <v>8142</v>
      </c>
      <c r="M535" cm="1">
        <f t="array" ref="M535">IFERROR(INDEX(srag!$D:$D, MATCH(1, (VALUE(LEFT(srag!$A:$A,6))=VALUE(LEFT(B535,6)))*(srag!$C:$C=C535), 0)), "")</f>
        <v>6428</v>
      </c>
      <c r="N535" cm="1">
        <f t="array" aca="1" ref="N535" ca="1">IFERROR(INDEX(fesp!$E:$E, MATCH(1, (VALUE(LEFT(fesp!$A:$A,6))=VALUE(LEFT(B535,6)))*(fesp!$C:$C=C535), 0)), "")</f>
        <v>129</v>
      </c>
      <c r="O535" cm="1">
        <f t="array" aca="1" ref="O535" ca="1">IFERROR(INDEX(fesp!$F:$F, MATCH(1, (VALUE(LEFT(fesp!$A:$A,6))=VALUE(LEFT(B535,6)))*(fesp!$C:$C=C535), 0)), "")</f>
        <v>14678</v>
      </c>
      <c r="P535" cm="1">
        <f t="array" aca="1" ref="P535" ca="1">IFERROR(INDEX(fesp!$G:$G, MATCH(1, (VALUE(LEFT(fesp!$A:$A,6))=VALUE(LEFT(B535,6)))*(fesp!$C:$C=C535), 0)), "")</f>
        <v>3864863</v>
      </c>
      <c r="Q535" cm="1">
        <f t="array" aca="1" ref="Q535" ca="1">IFERROR(INDEX(fesp!$H:$H, MATCH(1, (VALUE(LEFT(fesp!$A:$A,6))=VALUE(LEFT(B535,6)))*(fesp!$C:$C=C535), 0)), "")</f>
        <v>144</v>
      </c>
      <c r="R535" cm="1">
        <f t="array" aca="1" ref="R535" ca="1">IFERROR(INDEX(fesp!$I:$I, MATCH(1, (VALUE(LEFT(fesp!$A:$A,6))=VALUE(LEFT(B535,6)))*(fesp!$C:$C=C535), 0)), "")</f>
        <v>28260</v>
      </c>
      <c r="S535" cm="1">
        <f t="array" aca="1" ref="S535" ca="1">IFERROR(INDEX(fesp!$J:$J, MATCH(1, (VALUE(LEFT(fesp!$A:$A,6))=VALUE(LEFT(B535,6)))*(fesp!$C:$C=C535), 0)), "")</f>
        <v>373785</v>
      </c>
    </row>
    <row r="536" spans="1:19">
      <c r="A536" s="1" t="s">
        <v>95</v>
      </c>
      <c r="B536" s="3" t="s">
        <v>94</v>
      </c>
      <c r="C536" s="3">
        <v>2021</v>
      </c>
      <c r="D536" cm="1">
        <f t="array" ref="D536">IFERROR(INDEX(fesp!$D:$D, MATCH(1, (VALUE(LEFT(fesp!$A:$A,6))=VALUE(LEFT(B536,6)))*(fesp!$C:$C=C536), 0)), "")</f>
        <v>0</v>
      </c>
      <c r="E536" cm="1">
        <f t="array" aca="1" ref="E536" ca="1">IFERROR(INDEX(ft_medicos_clinicos!$C:$C, MATCH(1, (VALUE(LEFT(ft_medicos_clinicos!$A:$A,6))=VALUE(LEFT(B536,6)))*(ft_medicos_clinicos!$B:$B=C536), 0)), "")</f>
        <v>393</v>
      </c>
      <c r="F536" cm="1">
        <f t="array" aca="1" ref="F536" ca="1">IFERROR(INDEX(ft_enfermeiros!$C:$C, MATCH(1, (VALUE(LEFT(ft_enfermeiros!$A:$A,6))=VALUE(LEFT(B536,6)))*(ft_enfermeiros!$B:$B=C536), 0)), "")</f>
        <v>1478</v>
      </c>
      <c r="G536" cm="1">
        <f t="array" aca="1" ref="G536" ca="1">IFERROR(INDEX(ft_equipes_acs!$C:$C, MATCH(1, (VALUE(LEFT(ft_equipes_acs!$A:$A,6))=VALUE(LEFT(B536,6)))*(ft_equipes_acs!$B:$B=C536), 0)), "")</f>
        <v>1</v>
      </c>
      <c r="H536" cm="1">
        <f t="array" aca="1" ref="H536" ca="1">IFERROR(INDEX(ci_leitos_internacao!$C:$C, MATCH(1, (VALUE(LEFT(ci_leitos_internacao!$A:$A,6))=VALUE(LEFT(B536,6)))*(ci_leitos_internacao!$B:$B=C536), 0)), "")</f>
        <v>2102</v>
      </c>
      <c r="I536" cm="1">
        <f t="array" aca="1" ref="I536" ca="1">IFERROR(INDEX(ci_hospitais_internacao!$C:$C, MATCH(1, (VALUE(LEFT(ci_hospitais_internacao!$A:$A,6))=VALUE(LEFT(B536,6)))*(ci_hospitais_internacao!$B:$B=C536), 0)), "")</f>
        <v>4</v>
      </c>
      <c r="J536" cm="1">
        <f t="array" aca="1" ref="J536" ca="1">IFERROR(INDEX(ci_pa_clinico!$C:$C, MATCH(1, (VALUE(LEFT(ci_pa_clinico!$A:$A,6))=VALUE(LEFT(B536,6)))*(ci_pa_clinico!$B:$B=C536), 0)), "")</f>
        <v>8</v>
      </c>
      <c r="K536" cm="1">
        <f t="array" aca="1" ref="K536" ca="1">IFERROR(INDEX(aps_equipes_esf!$C:$C, MATCH(1, (VALUE(LEFT(aps_equipes_esf!$A:$A,6))=VALUE(LEFT(B536,6)))*(aps_equipes_esf!$B:$B=C536), 0)), "")</f>
        <v>3</v>
      </c>
      <c r="L536" cm="1">
        <f t="array" aca="1" ref="L536" ca="1">IFERROR(INDEX(casos!$C:$C, MATCH(1, (VALUE(LEFT(casos!$A:$A,6))=VALUE(LEFT(B536,6)))*(casos!$B:$B=C536), 0)), "")</f>
        <v>23528</v>
      </c>
      <c r="M536" cm="1">
        <f t="array" ref="M536">IFERROR(INDEX(srag!$D:$D, MATCH(1, (VALUE(LEFT(srag!$A:$A,6))=VALUE(LEFT(B536,6)))*(srag!$C:$C=C536), 0)), "")</f>
        <v>9379</v>
      </c>
      <c r="N536" cm="1">
        <f t="array" aca="1" ref="N536" ca="1">IFERROR(INDEX(fesp!$E:$E, MATCH(1, (VALUE(LEFT(fesp!$A:$A,6))=VALUE(LEFT(B536,6)))*(fesp!$C:$C=C536), 0)), "")</f>
        <v>114</v>
      </c>
      <c r="O536" cm="1">
        <f t="array" aca="1" ref="O536" ca="1">IFERROR(INDEX(fesp!$F:$F, MATCH(1, (VALUE(LEFT(fesp!$A:$A,6))=VALUE(LEFT(B536,6)))*(fesp!$C:$C=C536), 0)), "")</f>
        <v>15745</v>
      </c>
      <c r="P536" cm="1">
        <f t="array" aca="1" ref="P536" ca="1">IFERROR(INDEX(fesp!$G:$G, MATCH(1, (VALUE(LEFT(fesp!$A:$A,6))=VALUE(LEFT(B536,6)))*(fesp!$C:$C=C536), 0)), "")</f>
        <v>4646108</v>
      </c>
      <c r="Q536" cm="1">
        <f t="array" aca="1" ref="Q536" ca="1">IFERROR(INDEX(fesp!$H:$H, MATCH(1, (VALUE(LEFT(fesp!$A:$A,6))=VALUE(LEFT(B536,6)))*(fesp!$C:$C=C536), 0)), "")</f>
        <v>109</v>
      </c>
      <c r="R536" cm="1">
        <f t="array" aca="1" ref="R536" ca="1">IFERROR(INDEX(fesp!$I:$I, MATCH(1, (VALUE(LEFT(fesp!$A:$A,6))=VALUE(LEFT(B536,6)))*(fesp!$C:$C=C536), 0)), "")</f>
        <v>26613</v>
      </c>
      <c r="S536" cm="1">
        <f t="array" aca="1" ref="S536" ca="1">IFERROR(INDEX(fesp!$J:$J, MATCH(1, (VALUE(LEFT(fesp!$A:$A,6))=VALUE(LEFT(B536,6)))*(fesp!$C:$C=C536), 0)), "")</f>
        <v>435874</v>
      </c>
    </row>
    <row r="537" spans="1:19">
      <c r="A537" s="1" t="s">
        <v>95</v>
      </c>
      <c r="B537" s="3" t="s">
        <v>94</v>
      </c>
      <c r="C537" s="3">
        <v>2022</v>
      </c>
      <c r="D537" cm="1">
        <f t="array" ref="D537">IFERROR(INDEX(fesp!$D:$D, MATCH(1, (VALUE(LEFT(fesp!$A:$A,6))=VALUE(LEFT(B537,6)))*(fesp!$C:$C=C537), 0)), "")</f>
        <v>480393</v>
      </c>
      <c r="E537" cm="1">
        <f t="array" aca="1" ref="E537" ca="1">IFERROR(INDEX(ft_medicos_clinicos!$C:$C, MATCH(1, (VALUE(LEFT(ft_medicos_clinicos!$A:$A,6))=VALUE(LEFT(B537,6)))*(ft_medicos_clinicos!$B:$B=C537), 0)), "")</f>
        <v>418</v>
      </c>
      <c r="F537" cm="1">
        <f t="array" aca="1" ref="F537" ca="1">IFERROR(INDEX(ft_enfermeiros!$C:$C, MATCH(1, (VALUE(LEFT(ft_enfermeiros!$A:$A,6))=VALUE(LEFT(B537,6)))*(ft_enfermeiros!$B:$B=C537), 0)), "")</f>
        <v>1578</v>
      </c>
      <c r="G537" cm="1">
        <f t="array" aca="1" ref="G537" ca="1">IFERROR(INDEX(ft_equipes_acs!$C:$C, MATCH(1, (VALUE(LEFT(ft_equipes_acs!$A:$A,6))=VALUE(LEFT(B537,6)))*(ft_equipes_acs!$B:$B=C537), 0)), "")</f>
        <v>1</v>
      </c>
      <c r="H537" cm="1">
        <f t="array" aca="1" ref="H537" ca="1">IFERROR(INDEX(ci_leitos_internacao!$C:$C, MATCH(1, (VALUE(LEFT(ci_leitos_internacao!$A:$A,6))=VALUE(LEFT(B537,6)))*(ci_leitos_internacao!$B:$B=C537), 0)), "")</f>
        <v>2148</v>
      </c>
      <c r="I537" cm="1">
        <f t="array" aca="1" ref="I537" ca="1">IFERROR(INDEX(ci_hospitais_internacao!$C:$C, MATCH(1, (VALUE(LEFT(ci_hospitais_internacao!$A:$A,6))=VALUE(LEFT(B537,6)))*(ci_hospitais_internacao!$B:$B=C537), 0)), "")</f>
        <v>5</v>
      </c>
      <c r="J537" cm="1">
        <f t="array" aca="1" ref="J537" ca="1">IFERROR(INDEX(ci_pa_clinico!$C:$C, MATCH(1, (VALUE(LEFT(ci_pa_clinico!$A:$A,6))=VALUE(LEFT(B537,6)))*(ci_pa_clinico!$B:$B=C537), 0)), "")</f>
        <v>8</v>
      </c>
      <c r="K537" cm="1">
        <f t="array" aca="1" ref="K537" ca="1">IFERROR(INDEX(aps_equipes_esf!$C:$C, MATCH(1, (VALUE(LEFT(aps_equipes_esf!$A:$A,6))=VALUE(LEFT(B537,6)))*(aps_equipes_esf!$B:$B=C537), 0)), "")</f>
        <v>3</v>
      </c>
      <c r="L537" cm="1">
        <f t="array" aca="1" ref="L537" ca="1">IFERROR(INDEX(casos!$C:$C, MATCH(1, (VALUE(LEFT(casos!$A:$A,6))=VALUE(LEFT(B537,6)))*(casos!$B:$B=C537), 0)), "")</f>
        <v>25047</v>
      </c>
      <c r="M537" cm="1">
        <f t="array" ref="M537">IFERROR(INDEX(srag!$D:$D, MATCH(1, (VALUE(LEFT(srag!$A:$A,6))=VALUE(LEFT(B537,6)))*(srag!$C:$C=C537), 0)), "")</f>
        <v>3644</v>
      </c>
      <c r="N537" cm="1">
        <f t="array" aca="1" ref="N537" ca="1">IFERROR(INDEX(fesp!$E:$E, MATCH(1, (VALUE(LEFT(fesp!$A:$A,6))=VALUE(LEFT(B537,6)))*(fesp!$C:$C=C537), 0)), "")</f>
        <v>134</v>
      </c>
      <c r="O537" cm="1">
        <f t="array" aca="1" ref="O537" ca="1">IFERROR(INDEX(fesp!$F:$F, MATCH(1, (VALUE(LEFT(fesp!$A:$A,6))=VALUE(LEFT(B537,6)))*(fesp!$C:$C=C537), 0)), "")</f>
        <v>20074</v>
      </c>
      <c r="P537" cm="1">
        <f t="array" aca="1" ref="P537" ca="1">IFERROR(INDEX(fesp!$G:$G, MATCH(1, (VALUE(LEFT(fesp!$A:$A,6))=VALUE(LEFT(B537,6)))*(fesp!$C:$C=C537), 0)), "")</f>
        <v>5732402</v>
      </c>
      <c r="Q537" cm="1">
        <f t="array" aca="1" ref="Q537" ca="1">IFERROR(INDEX(fesp!$H:$H, MATCH(1, (VALUE(LEFT(fesp!$A:$A,6))=VALUE(LEFT(B537,6)))*(fesp!$C:$C=C537), 0)), "")</f>
        <v>57</v>
      </c>
      <c r="R537" cm="1">
        <f t="array" aca="1" ref="R537" ca="1">IFERROR(INDEX(fesp!$I:$I, MATCH(1, (VALUE(LEFT(fesp!$A:$A,6))=VALUE(LEFT(B537,6)))*(fesp!$C:$C=C537), 0)), "")</f>
        <v>28054</v>
      </c>
      <c r="S537" cm="1">
        <f t="array" aca="1" ref="S537" ca="1">IFERROR(INDEX(fesp!$J:$J, MATCH(1, (VALUE(LEFT(fesp!$A:$A,6))=VALUE(LEFT(B537,6)))*(fesp!$C:$C=C537), 0)), "")</f>
        <v>567838</v>
      </c>
    </row>
    <row r="538" spans="1:19">
      <c r="A538" s="1" t="s">
        <v>95</v>
      </c>
      <c r="B538" s="3" t="s">
        <v>94</v>
      </c>
      <c r="C538" s="3">
        <v>2023</v>
      </c>
      <c r="D538" cm="1">
        <f t="array" ref="D538">IFERROR(INDEX(fesp!$D:$D, MATCH(1, (VALUE(LEFT(fesp!$A:$A,6))=VALUE(LEFT(B538,6)))*(fesp!$C:$C=C538), 0)), "")</f>
        <v>0</v>
      </c>
      <c r="E538" cm="1">
        <f t="array" aca="1" ref="E538" ca="1">IFERROR(INDEX(ft_medicos_clinicos!$C:$C, MATCH(1, (VALUE(LEFT(ft_medicos_clinicos!$A:$A,6))=VALUE(LEFT(B538,6)))*(ft_medicos_clinicos!$B:$B=C538), 0)), "")</f>
        <v>442</v>
      </c>
      <c r="F538" cm="1">
        <f t="array" aca="1" ref="F538" ca="1">IFERROR(INDEX(ft_enfermeiros!$C:$C, MATCH(1, (VALUE(LEFT(ft_enfermeiros!$A:$A,6))=VALUE(LEFT(B538,6)))*(ft_enfermeiros!$B:$B=C538), 0)), "")</f>
        <v>1653</v>
      </c>
      <c r="G538" cm="1">
        <f t="array" aca="1" ref="G538" ca="1">IFERROR(INDEX(ft_equipes_acs!$C:$C, MATCH(1, (VALUE(LEFT(ft_equipes_acs!$A:$A,6))=VALUE(LEFT(B538,6)))*(ft_equipes_acs!$B:$B=C538), 0)), "")</f>
        <v>1</v>
      </c>
      <c r="H538" cm="1">
        <f t="array" aca="1" ref="H538" ca="1">IFERROR(INDEX(ci_leitos_internacao!$C:$C, MATCH(1, (VALUE(LEFT(ci_leitos_internacao!$A:$A,6))=VALUE(LEFT(B538,6)))*(ci_leitos_internacao!$B:$B=C538), 0)), "")</f>
        <v>2169</v>
      </c>
      <c r="I538" cm="1">
        <f t="array" aca="1" ref="I538" ca="1">IFERROR(INDEX(ci_hospitais_internacao!$C:$C, MATCH(1, (VALUE(LEFT(ci_hospitais_internacao!$A:$A,6))=VALUE(LEFT(B538,6)))*(ci_hospitais_internacao!$B:$B=C538), 0)), "")</f>
        <v>5</v>
      </c>
      <c r="J538" cm="1">
        <f t="array" aca="1" ref="J538" ca="1">IFERROR(INDEX(ci_pa_clinico!$C:$C, MATCH(1, (VALUE(LEFT(ci_pa_clinico!$A:$A,6))=VALUE(LEFT(B538,6)))*(ci_pa_clinico!$B:$B=C538), 0)), "")</f>
        <v>8</v>
      </c>
      <c r="K538" cm="1">
        <f t="array" aca="1" ref="K538" ca="1">IFERROR(INDEX(aps_equipes_esf!$C:$C, MATCH(1, (VALUE(LEFT(aps_equipes_esf!$A:$A,6))=VALUE(LEFT(B538,6)))*(aps_equipes_esf!$B:$B=C538), 0)), "")</f>
        <v>3</v>
      </c>
      <c r="L538" cm="1">
        <f t="array" aca="1" ref="L538" ca="1">IFERROR(INDEX(casos!$C:$C, MATCH(1, (VALUE(LEFT(casos!$A:$A,6))=VALUE(LEFT(B538,6)))*(casos!$B:$B=C538), 0)), "")</f>
        <v>11004</v>
      </c>
      <c r="M538" cm="1">
        <f t="array" ref="M538">IFERROR(INDEX(srag!$D:$D, MATCH(1, (VALUE(LEFT(srag!$A:$A,6))=VALUE(LEFT(B538,6)))*(srag!$C:$C=C538), 0)), "")</f>
        <v>1953</v>
      </c>
      <c r="N538" cm="1">
        <f t="array" aca="1" ref="N538" ca="1">IFERROR(INDEX(fesp!$E:$E, MATCH(1, (VALUE(LEFT(fesp!$A:$A,6))=VALUE(LEFT(B538,6)))*(fesp!$C:$C=C538), 0)), "")</f>
        <v>144</v>
      </c>
      <c r="O538" cm="1">
        <f t="array" aca="1" ref="O538" ca="1">IFERROR(INDEX(fesp!$F:$F, MATCH(1, (VALUE(LEFT(fesp!$A:$A,6))=VALUE(LEFT(B538,6)))*(fesp!$C:$C=C538), 0)), "")</f>
        <v>22770</v>
      </c>
      <c r="P538" cm="1">
        <f t="array" aca="1" ref="P538" ca="1">IFERROR(INDEX(fesp!$G:$G, MATCH(1, (VALUE(LEFT(fesp!$A:$A,6))=VALUE(LEFT(B538,6)))*(fesp!$C:$C=C538), 0)), "")</f>
        <v>6111837</v>
      </c>
      <c r="Q538" cm="1">
        <f t="array" aca="1" ref="Q538" ca="1">IFERROR(INDEX(fesp!$H:$H, MATCH(1, (VALUE(LEFT(fesp!$A:$A,6))=VALUE(LEFT(B538,6)))*(fesp!$C:$C=C538), 0)), "")</f>
        <v>103</v>
      </c>
      <c r="R538" cm="1">
        <f t="array" aca="1" ref="R538" ca="1">IFERROR(INDEX(fesp!$I:$I, MATCH(1, (VALUE(LEFT(fesp!$A:$A,6))=VALUE(LEFT(B538,6)))*(fesp!$C:$C=C538), 0)), "")</f>
        <v>29110</v>
      </c>
      <c r="S538" cm="1">
        <f t="array" aca="1" ref="S538" ca="1">IFERROR(INDEX(fesp!$J:$J, MATCH(1, (VALUE(LEFT(fesp!$A:$A,6))=VALUE(LEFT(B538,6)))*(fesp!$C:$C=C538), 0)), "")</f>
        <v>589265</v>
      </c>
    </row>
    <row r="539" spans="1:19">
      <c r="A539" s="1" t="s">
        <v>95</v>
      </c>
      <c r="B539" s="3" t="s">
        <v>94</v>
      </c>
      <c r="C539" s="3">
        <v>2024</v>
      </c>
      <c r="D539" cm="1">
        <f t="array" ref="D539">IFERROR(INDEX(fesp!$D:$D, MATCH(1, (VALUE(LEFT(fesp!$A:$A,6))=VALUE(LEFT(B539,6)))*(fesp!$C:$C=C539), 0)), "")</f>
        <v>0</v>
      </c>
      <c r="E539" cm="1">
        <f t="array" aca="1" ref="E539" ca="1">IFERROR(INDEX(ft_medicos_clinicos!$C:$C, MATCH(1, (VALUE(LEFT(ft_medicos_clinicos!$A:$A,6))=VALUE(LEFT(B539,6)))*(ft_medicos_clinicos!$B:$B=C539), 0)), "")</f>
        <v>478</v>
      </c>
      <c r="F539" cm="1">
        <f t="array" aca="1" ref="F539" ca="1">IFERROR(INDEX(ft_enfermeiros!$C:$C, MATCH(1, (VALUE(LEFT(ft_enfermeiros!$A:$A,6))=VALUE(LEFT(B539,6)))*(ft_enfermeiros!$B:$B=C539), 0)), "")</f>
        <v>1703</v>
      </c>
      <c r="G539" cm="1">
        <f t="array" aca="1" ref="G539" ca="1">IFERROR(INDEX(ft_equipes_acs!$C:$C, MATCH(1, (VALUE(LEFT(ft_equipes_acs!$A:$A,6))=VALUE(LEFT(B539,6)))*(ft_equipes_acs!$B:$B=C539), 0)), "")</f>
        <v>1</v>
      </c>
      <c r="H539" cm="1">
        <f t="array" aca="1" ref="H539" ca="1">IFERROR(INDEX(ci_leitos_internacao!$C:$C, MATCH(1, (VALUE(LEFT(ci_leitos_internacao!$A:$A,6))=VALUE(LEFT(B539,6)))*(ci_leitos_internacao!$B:$B=C539), 0)), "")</f>
        <v>2224</v>
      </c>
      <c r="I539" cm="1">
        <f t="array" aca="1" ref="I539" ca="1">IFERROR(INDEX(ci_hospitais_internacao!$C:$C, MATCH(1, (VALUE(LEFT(ci_hospitais_internacao!$A:$A,6))=VALUE(LEFT(B539,6)))*(ci_hospitais_internacao!$B:$B=C539), 0)), "")</f>
        <v>5</v>
      </c>
      <c r="J539" cm="1">
        <f t="array" aca="1" ref="J539" ca="1">IFERROR(INDEX(ci_pa_clinico!$C:$C, MATCH(1, (VALUE(LEFT(ci_pa_clinico!$A:$A,6))=VALUE(LEFT(B539,6)))*(ci_pa_clinico!$B:$B=C539), 0)), "")</f>
        <v>8</v>
      </c>
      <c r="K539" cm="1">
        <f t="array" aca="1" ref="K539" ca="1">IFERROR(INDEX(aps_equipes_esf!$C:$C, MATCH(1, (VALUE(LEFT(aps_equipes_esf!$A:$A,6))=VALUE(LEFT(B539,6)))*(aps_equipes_esf!$B:$B=C539), 0)), "")</f>
        <v>3</v>
      </c>
      <c r="L539" cm="1">
        <f t="array" aca="1" ref="L539" ca="1">IFERROR(INDEX(casos!$C:$C, MATCH(1, (VALUE(LEFT(casos!$A:$A,6))=VALUE(LEFT(B539,6)))*(casos!$B:$B=C539), 0)), "")</f>
        <v>42464</v>
      </c>
      <c r="M539" cm="1">
        <f t="array" ref="M539">IFERROR(INDEX(srag!$D:$D, MATCH(1, (VALUE(LEFT(srag!$A:$A,6))=VALUE(LEFT(B539,6)))*(srag!$C:$C=C539), 0)), "")</f>
        <v>2178</v>
      </c>
      <c r="N539" cm="1">
        <f t="array" aca="1" ref="N539" ca="1">IFERROR(INDEX(fesp!$E:$E, MATCH(1, (VALUE(LEFT(fesp!$A:$A,6))=VALUE(LEFT(B539,6)))*(fesp!$C:$C=C539), 0)), "")</f>
        <v>208</v>
      </c>
      <c r="O539" cm="1">
        <f t="array" aca="1" ref="O539" ca="1">IFERROR(INDEX(fesp!$F:$F, MATCH(1, (VALUE(LEFT(fesp!$A:$A,6))=VALUE(LEFT(B539,6)))*(fesp!$C:$C=C539), 0)), "")</f>
        <v>23297</v>
      </c>
      <c r="P539" cm="1">
        <f t="array" aca="1" ref="P539" ca="1">IFERROR(INDEX(fesp!$G:$G, MATCH(1, (VALUE(LEFT(fesp!$A:$A,6))=VALUE(LEFT(B539,6)))*(fesp!$C:$C=C539), 0)), "")</f>
        <v>6922325</v>
      </c>
      <c r="Q539" cm="1">
        <f t="array" aca="1" ref="Q539" ca="1">IFERROR(INDEX(fesp!$H:$H, MATCH(1, (VALUE(LEFT(fesp!$A:$A,6))=VALUE(LEFT(B539,6)))*(fesp!$C:$C=C539), 0)), "")</f>
        <v>216</v>
      </c>
      <c r="R539" cm="1">
        <f t="array" aca="1" ref="R539" ca="1">IFERROR(INDEX(fesp!$I:$I, MATCH(1, (VALUE(LEFT(fesp!$A:$A,6))=VALUE(LEFT(B539,6)))*(fesp!$C:$C=C539), 0)), "")</f>
        <v>26441</v>
      </c>
      <c r="S539" cm="1">
        <f t="array" aca="1" ref="S539" ca="1">IFERROR(INDEX(fesp!$J:$J, MATCH(1, (VALUE(LEFT(fesp!$A:$A,6))=VALUE(LEFT(B539,6)))*(fesp!$C:$C=C539), 0)), "")</f>
        <v>595199</v>
      </c>
    </row>
    <row r="540" spans="1:19">
      <c r="A540" s="1" t="s">
        <v>95</v>
      </c>
      <c r="B540" s="3">
        <v>3549805</v>
      </c>
      <c r="C540" s="3">
        <v>2025</v>
      </c>
      <c r="D540" cm="1">
        <f t="array" ref="D540">IFERROR(INDEX(fesp!$D:$D, MATCH(1, (VALUE(LEFT(fesp!$A:$A,6))=VALUE(LEFT(B540,6)))*(fesp!$C:$C=C540), 0)), "")</f>
        <v>0</v>
      </c>
      <c r="E540" cm="1">
        <f t="array" aca="1" ref="E540" ca="1">IFERROR(INDEX(ft_medicos_clinicos!$C:$C, MATCH(1, (VALUE(LEFT(ft_medicos_clinicos!$A:$A,6))=VALUE(LEFT(B540,6)))*(ft_medicos_clinicos!$B:$B=C540), 0)), "")</f>
        <v>494</v>
      </c>
      <c r="F540" cm="1">
        <f t="array" aca="1" ref="F540" ca="1">IFERROR(INDEX(ft_enfermeiros!$C:$C, MATCH(1, (VALUE(LEFT(ft_enfermeiros!$A:$A,6))=VALUE(LEFT(B540,6)))*(ft_enfermeiros!$B:$B=C540), 0)), "")</f>
        <v>1753</v>
      </c>
      <c r="G540" cm="1">
        <f t="array" aca="1" ref="G540" ca="1">IFERROR(INDEX(ft_equipes_acs!$C:$C, MATCH(1, (VALUE(LEFT(ft_equipes_acs!$A:$A,6))=VALUE(LEFT(B540,6)))*(ft_equipes_acs!$B:$B=C540), 0)), "")</f>
        <v>1</v>
      </c>
      <c r="H540" cm="1">
        <f t="array" aca="1" ref="H540" ca="1">IFERROR(INDEX(ci_leitos_internacao!$C:$C, MATCH(1, (VALUE(LEFT(ci_leitos_internacao!$A:$A,6))=VALUE(LEFT(B540,6)))*(ci_leitos_internacao!$B:$B=C540), 0)), "")</f>
        <v>2292</v>
      </c>
      <c r="I540" cm="1">
        <f t="array" aca="1" ref="I540" ca="1">IFERROR(INDEX(ci_hospitais_internacao!$C:$C, MATCH(1, (VALUE(LEFT(ci_hospitais_internacao!$A:$A,6))=VALUE(LEFT(B540,6)))*(ci_hospitais_internacao!$B:$B=C540), 0)), "")</f>
        <v>5</v>
      </c>
      <c r="J540" cm="1">
        <f t="array" aca="1" ref="J540" ca="1">IFERROR(INDEX(ci_pa_clinico!$C:$C, MATCH(1, (VALUE(LEFT(ci_pa_clinico!$A:$A,6))=VALUE(LEFT(B540,6)))*(ci_pa_clinico!$B:$B=C540), 0)), "")</f>
        <v>8</v>
      </c>
      <c r="K540" cm="1">
        <f t="array" aca="1" ref="K540" ca="1">IFERROR(INDEX(aps_equipes_esf!$C:$C, MATCH(1, (VALUE(LEFT(aps_equipes_esf!$A:$A,6))=VALUE(LEFT(B540,6)))*(aps_equipes_esf!$B:$B=C540), 0)), "")</f>
        <v>3</v>
      </c>
      <c r="L540" cm="1">
        <f t="array" aca="1" ref="L540" ca="1">IFERROR(INDEX(casos!$C:$C, MATCH(1, (VALUE(LEFT(casos!$A:$A,6))=VALUE(LEFT(B540,6)))*(casos!$B:$B=C540), 0)), "")</f>
        <v>61596</v>
      </c>
      <c r="M540" cm="1">
        <f t="array" ref="M540">IFERROR(INDEX(srag!$D:$D, MATCH(1, (VALUE(LEFT(srag!$A:$A,6))=VALUE(LEFT(B540,6)))*(srag!$C:$C=C540), 0)), "")</f>
        <v>2728</v>
      </c>
      <c r="N540" cm="1">
        <f t="array" aca="1" ref="N540" ca="1">IFERROR(INDEX(fesp!$E:$E, MATCH(1, (VALUE(LEFT(fesp!$A:$A,6))=VALUE(LEFT(B540,6)))*(fesp!$C:$C=C540), 0)), "")</f>
        <v>177</v>
      </c>
      <c r="O540" cm="1">
        <f t="array" aca="1" ref="O540" ca="1">IFERROR(INDEX(fesp!$F:$F, MATCH(1, (VALUE(LEFT(fesp!$A:$A,6))=VALUE(LEFT(B540,6)))*(fesp!$C:$C=C540), 0)), "")</f>
        <v>20841</v>
      </c>
      <c r="P540" cm="1">
        <f t="array" aca="1" ref="P540" ca="1">IFERROR(INDEX(fesp!$G:$G, MATCH(1, (VALUE(LEFT(fesp!$A:$A,6))=VALUE(LEFT(B540,6)))*(fesp!$C:$C=C540), 0)), "")</f>
        <v>6493452</v>
      </c>
      <c r="Q540" cm="1">
        <f t="array" aca="1" ref="Q540" ca="1">IFERROR(INDEX(fesp!$H:$H, MATCH(1, (VALUE(LEFT(fesp!$A:$A,6))=VALUE(LEFT(B540,6)))*(fesp!$C:$C=C540), 0)), "")</f>
        <v>151</v>
      </c>
      <c r="R540" cm="1">
        <f t="array" aca="1" ref="R540" ca="1">IFERROR(INDEX(fesp!$I:$I, MATCH(1, (VALUE(LEFT(fesp!$A:$A,6))=VALUE(LEFT(B540,6)))*(fesp!$C:$C=C540), 0)), "")</f>
        <v>24244</v>
      </c>
      <c r="S540" cm="1">
        <f t="array" aca="1" ref="S540" ca="1">IFERROR(INDEX(fesp!$J:$J, MATCH(1, (VALUE(LEFT(fesp!$A:$A,6))=VALUE(LEFT(B540,6)))*(fesp!$C:$C=C540), 0)), "")</f>
        <v>534829</v>
      </c>
    </row>
    <row r="541" spans="1:19">
      <c r="A541" s="1" t="s">
        <v>59</v>
      </c>
      <c r="B541" s="3">
        <v>3549904</v>
      </c>
      <c r="C541" s="3">
        <v>2015</v>
      </c>
      <c r="D541" cm="1">
        <f t="array" ref="D541">IFERROR(INDEX(fesp!$D:$D, MATCH(1, (VALUE(LEFT(fesp!$A:$A,6))=VALUE(LEFT(B541,6)))*(fesp!$C:$C=C541), 0)), "")</f>
        <v>688597</v>
      </c>
      <c r="E541" cm="1">
        <f t="array" aca="1" ref="E541" ca="1">IFERROR(INDEX(ft_medicos_clinicos!$C:$C, MATCH(1, (VALUE(LEFT(ft_medicos_clinicos!$A:$A,6))=VALUE(LEFT(B541,6)))*(ft_medicos_clinicos!$B:$B=C541), 0)), "")</f>
        <v>360</v>
      </c>
      <c r="F541" cm="1">
        <f t="array" aca="1" ref="F541" ca="1">IFERROR(INDEX(ft_enfermeiros!$C:$C, MATCH(1, (VALUE(LEFT(ft_enfermeiros!$A:$A,6))=VALUE(LEFT(B541,6)))*(ft_enfermeiros!$B:$B=C541), 0)), "")</f>
        <v>786</v>
      </c>
      <c r="G541" cm="1">
        <f t="array" aca="1" ref="G541" ca="1">IFERROR(INDEX(ft_equipes_acs!$C:$C, MATCH(1, (VALUE(LEFT(ft_equipes_acs!$A:$A,6))=VALUE(LEFT(B541,6)))*(ft_equipes_acs!$B:$B=C541), 0)), "")</f>
        <v>9</v>
      </c>
      <c r="H541" cm="1">
        <f t="array" aca="1" ref="H541" ca="1">IFERROR(INDEX(ci_leitos_internacao!$C:$C, MATCH(1, (VALUE(LEFT(ci_leitos_internacao!$A:$A,6))=VALUE(LEFT(B541,6)))*(ci_leitos_internacao!$B:$B=C541), 0)), "")</f>
        <v>1425</v>
      </c>
      <c r="I541" cm="1">
        <f t="array" aca="1" ref="I541" ca="1">IFERROR(INDEX(ci_hospitais_internacao!$C:$C, MATCH(1, (VALUE(LEFT(ci_hospitais_internacao!$A:$A,6))=VALUE(LEFT(B541,6)))*(ci_hospitais_internacao!$B:$B=C541), 0)), "")</f>
        <v>5</v>
      </c>
      <c r="J541" t="str" cm="1">
        <f t="array" aca="1" ref="J541" ca="1">IFERROR(INDEX(ci_pa_clinico!$C:$C, MATCH(1, (VALUE(LEFT(ci_pa_clinico!$A:$A,6))=VALUE(LEFT(B541,6)))*(ci_pa_clinico!$B:$B=C541), 0)), "")</f>
        <v/>
      </c>
      <c r="K541" cm="1">
        <f t="array" aca="1" ref="K541" ca="1">IFERROR(INDEX(aps_equipes_esf!$C:$C, MATCH(1, (VALUE(LEFT(aps_equipes_esf!$A:$A,6))=VALUE(LEFT(B541,6)))*(aps_equipes_esf!$B:$B=C541), 0)), "")</f>
        <v>42</v>
      </c>
      <c r="L541" cm="1">
        <f t="array" aca="1" ref="L541" ca="1">IFERROR(INDEX(casos!$C:$C, MATCH(1, (VALUE(LEFT(casos!$A:$A,6))=VALUE(LEFT(B541,6)))*(casos!$B:$B=C541), 0)), "")</f>
        <v>15165</v>
      </c>
      <c r="M541" cm="1">
        <f t="array" ref="M541">IFERROR(INDEX(srag!$D:$D, MATCH(1, (VALUE(LEFT(srag!$A:$A,6))=VALUE(LEFT(B541,6)))*(srag!$C:$C=C541), 0)), "")</f>
        <v>113</v>
      </c>
      <c r="N541" cm="1">
        <f t="array" aca="1" ref="N541" ca="1">IFERROR(INDEX(fesp!$E:$E, MATCH(1, (VALUE(LEFT(fesp!$A:$A,6))=VALUE(LEFT(B541,6)))*(fesp!$C:$C=C541), 0)), "")</f>
        <v>154</v>
      </c>
      <c r="O541" cm="1">
        <f t="array" aca="1" ref="O541" ca="1">IFERROR(INDEX(fesp!$F:$F, MATCH(1, (VALUE(LEFT(fesp!$A:$A,6))=VALUE(LEFT(B541,6)))*(fesp!$C:$C=C541), 0)), "")</f>
        <v>7922</v>
      </c>
      <c r="P541" cm="1">
        <f t="array" aca="1" ref="P541" ca="1">IFERROR(INDEX(fesp!$G:$G, MATCH(1, (VALUE(LEFT(fesp!$A:$A,6))=VALUE(LEFT(B541,6)))*(fesp!$C:$C=C541), 0)), "")</f>
        <v>4116983</v>
      </c>
      <c r="Q541" cm="1">
        <f t="array" aca="1" ref="Q541" ca="1">IFERROR(INDEX(fesp!$H:$H, MATCH(1, (VALUE(LEFT(fesp!$A:$A,6))=VALUE(LEFT(B541,6)))*(fesp!$C:$C=C541), 0)), "")</f>
        <v>44</v>
      </c>
      <c r="R541" cm="1">
        <f t="array" aca="1" ref="R541" ca="1">IFERROR(INDEX(fesp!$I:$I, MATCH(1, (VALUE(LEFT(fesp!$A:$A,6))=VALUE(LEFT(B541,6)))*(fesp!$C:$C=C541), 0)), "")</f>
        <v>41318</v>
      </c>
      <c r="S541" cm="1">
        <f t="array" aca="1" ref="S541" ca="1">IFERROR(INDEX(fesp!$J:$J, MATCH(1, (VALUE(LEFT(fesp!$A:$A,6))=VALUE(LEFT(B541,6)))*(fesp!$C:$C=C541), 0)), "")</f>
        <v>409007</v>
      </c>
    </row>
    <row r="542" spans="1:19">
      <c r="A542" s="1" t="s">
        <v>59</v>
      </c>
      <c r="B542" s="3" t="s">
        <v>58</v>
      </c>
      <c r="C542" s="3">
        <v>2016</v>
      </c>
      <c r="D542" cm="1">
        <f t="array" ref="D542">IFERROR(INDEX(fesp!$D:$D, MATCH(1, (VALUE(LEFT(fesp!$A:$A,6))=VALUE(LEFT(B542,6)))*(fesp!$C:$C=C542), 0)), "")</f>
        <v>0</v>
      </c>
      <c r="E542" cm="1">
        <f t="array" aca="1" ref="E542" ca="1">IFERROR(INDEX(ft_medicos_clinicos!$C:$C, MATCH(1, (VALUE(LEFT(ft_medicos_clinicos!$A:$A,6))=VALUE(LEFT(B542,6)))*(ft_medicos_clinicos!$B:$B=C542), 0)), "")</f>
        <v>406</v>
      </c>
      <c r="F542" cm="1">
        <f t="array" aca="1" ref="F542" ca="1">IFERROR(INDEX(ft_enfermeiros!$C:$C, MATCH(1, (VALUE(LEFT(ft_enfermeiros!$A:$A,6))=VALUE(LEFT(B542,6)))*(ft_enfermeiros!$B:$B=C542), 0)), "")</f>
        <v>874</v>
      </c>
      <c r="G542" cm="1">
        <f t="array" aca="1" ref="G542" ca="1">IFERROR(INDEX(ft_equipes_acs!$C:$C, MATCH(1, (VALUE(LEFT(ft_equipes_acs!$A:$A,6))=VALUE(LEFT(B542,6)))*(ft_equipes_acs!$B:$B=C542), 0)), "")</f>
        <v>9</v>
      </c>
      <c r="H542" cm="1">
        <f t="array" aca="1" ref="H542" ca="1">IFERROR(INDEX(ci_leitos_internacao!$C:$C, MATCH(1, (VALUE(LEFT(ci_leitos_internacao!$A:$A,6))=VALUE(LEFT(B542,6)))*(ci_leitos_internacao!$B:$B=C542), 0)), "")</f>
        <v>1501</v>
      </c>
      <c r="I542" cm="1">
        <f t="array" aca="1" ref="I542" ca="1">IFERROR(INDEX(ci_hospitais_internacao!$C:$C, MATCH(1, (VALUE(LEFT(ci_hospitais_internacao!$A:$A,6))=VALUE(LEFT(B542,6)))*(ci_hospitais_internacao!$B:$B=C542), 0)), "")</f>
        <v>5</v>
      </c>
      <c r="J542" t="str" cm="1">
        <f t="array" aca="1" ref="J542" ca="1">IFERROR(INDEX(ci_pa_clinico!$C:$C, MATCH(1, (VALUE(LEFT(ci_pa_clinico!$A:$A,6))=VALUE(LEFT(B542,6)))*(ci_pa_clinico!$B:$B=C542), 0)), "")</f>
        <v/>
      </c>
      <c r="K542" cm="1">
        <f t="array" aca="1" ref="K542" ca="1">IFERROR(INDEX(aps_equipes_esf!$C:$C, MATCH(1, (VALUE(LEFT(aps_equipes_esf!$A:$A,6))=VALUE(LEFT(B542,6)))*(aps_equipes_esf!$B:$B=C542), 0)), "")</f>
        <v>44</v>
      </c>
      <c r="L542" cm="1">
        <f t="array" aca="1" ref="L542" ca="1">IFERROR(INDEX(casos!$C:$C, MATCH(1, (VALUE(LEFT(casos!$A:$A,6))=VALUE(LEFT(B542,6)))*(casos!$B:$B=C542), 0)), "")</f>
        <v>1926</v>
      </c>
      <c r="M542" cm="1">
        <f t="array" ref="M542">IFERROR(INDEX(srag!$D:$D, MATCH(1, (VALUE(LEFT(srag!$A:$A,6))=VALUE(LEFT(B542,6)))*(srag!$C:$C=C542), 0)), "")</f>
        <v>278</v>
      </c>
      <c r="N542" cm="1">
        <f t="array" aca="1" ref="N542" ca="1">IFERROR(INDEX(fesp!$E:$E, MATCH(1, (VALUE(LEFT(fesp!$A:$A,6))=VALUE(LEFT(B542,6)))*(fesp!$C:$C=C542), 0)), "")</f>
        <v>143</v>
      </c>
      <c r="O542" cm="1">
        <f t="array" aca="1" ref="O542" ca="1">IFERROR(INDEX(fesp!$F:$F, MATCH(1, (VALUE(LEFT(fesp!$A:$A,6))=VALUE(LEFT(B542,6)))*(fesp!$C:$C=C542), 0)), "")</f>
        <v>4536</v>
      </c>
      <c r="P542" cm="1">
        <f t="array" aca="1" ref="P542" ca="1">IFERROR(INDEX(fesp!$G:$G, MATCH(1, (VALUE(LEFT(fesp!$A:$A,6))=VALUE(LEFT(B542,6)))*(fesp!$C:$C=C542), 0)), "")</f>
        <v>4269999</v>
      </c>
      <c r="Q542" cm="1">
        <f t="array" aca="1" ref="Q542" ca="1">IFERROR(INDEX(fesp!$H:$H, MATCH(1, (VALUE(LEFT(fesp!$A:$A,6))=VALUE(LEFT(B542,6)))*(fesp!$C:$C=C542), 0)), "")</f>
        <v>35</v>
      </c>
      <c r="R542" cm="1">
        <f t="array" aca="1" ref="R542" ca="1">IFERROR(INDEX(fesp!$I:$I, MATCH(1, (VALUE(LEFT(fesp!$A:$A,6))=VALUE(LEFT(B542,6)))*(fesp!$C:$C=C542), 0)), "")</f>
        <v>57880</v>
      </c>
      <c r="S542" cm="1">
        <f t="array" aca="1" ref="S542" ca="1">IFERROR(INDEX(fesp!$J:$J, MATCH(1, (VALUE(LEFT(fesp!$A:$A,6))=VALUE(LEFT(B542,6)))*(fesp!$C:$C=C542), 0)), "")</f>
        <v>389816</v>
      </c>
    </row>
    <row r="543" spans="1:19">
      <c r="A543" s="1" t="s">
        <v>59</v>
      </c>
      <c r="B543" s="3" t="s">
        <v>58</v>
      </c>
      <c r="C543" s="3">
        <v>2017</v>
      </c>
      <c r="D543" cm="1">
        <f t="array" ref="D543">IFERROR(INDEX(fesp!$D:$D, MATCH(1, (VALUE(LEFT(fesp!$A:$A,6))=VALUE(LEFT(B543,6)))*(fesp!$C:$C=C543), 0)), "")</f>
        <v>0</v>
      </c>
      <c r="E543" cm="1">
        <f t="array" aca="1" ref="E543" ca="1">IFERROR(INDEX(ft_medicos_clinicos!$C:$C, MATCH(1, (VALUE(LEFT(ft_medicos_clinicos!$A:$A,6))=VALUE(LEFT(B543,6)))*(ft_medicos_clinicos!$B:$B=C543), 0)), "")</f>
        <v>437</v>
      </c>
      <c r="F543" cm="1">
        <f t="array" aca="1" ref="F543" ca="1">IFERROR(INDEX(ft_enfermeiros!$C:$C, MATCH(1, (VALUE(LEFT(ft_enfermeiros!$A:$A,6))=VALUE(LEFT(B543,6)))*(ft_enfermeiros!$B:$B=C543), 0)), "")</f>
        <v>897</v>
      </c>
      <c r="G543" cm="1">
        <f t="array" aca="1" ref="G543" ca="1">IFERROR(INDEX(ft_equipes_acs!$C:$C, MATCH(1, (VALUE(LEFT(ft_equipes_acs!$A:$A,6))=VALUE(LEFT(B543,6)))*(ft_equipes_acs!$B:$B=C543), 0)), "")</f>
        <v>9</v>
      </c>
      <c r="H543" cm="1">
        <f t="array" aca="1" ref="H543" ca="1">IFERROR(INDEX(ci_leitos_internacao!$C:$C, MATCH(1, (VALUE(LEFT(ci_leitos_internacao!$A:$A,6))=VALUE(LEFT(B543,6)))*(ci_leitos_internacao!$B:$B=C543), 0)), "")</f>
        <v>1534</v>
      </c>
      <c r="I543" cm="1">
        <f t="array" aca="1" ref="I543" ca="1">IFERROR(INDEX(ci_hospitais_internacao!$C:$C, MATCH(1, (VALUE(LEFT(ci_hospitais_internacao!$A:$A,6))=VALUE(LEFT(B543,6)))*(ci_hospitais_internacao!$B:$B=C543), 0)), "")</f>
        <v>5</v>
      </c>
      <c r="J543" t="str" cm="1">
        <f t="array" aca="1" ref="J543" ca="1">IFERROR(INDEX(ci_pa_clinico!$C:$C, MATCH(1, (VALUE(LEFT(ci_pa_clinico!$A:$A,6))=VALUE(LEFT(B543,6)))*(ci_pa_clinico!$B:$B=C543), 0)), "")</f>
        <v/>
      </c>
      <c r="K543" cm="1">
        <f t="array" aca="1" ref="K543" ca="1">IFERROR(INDEX(aps_equipes_esf!$C:$C, MATCH(1, (VALUE(LEFT(aps_equipes_esf!$A:$A,6))=VALUE(LEFT(B543,6)))*(aps_equipes_esf!$B:$B=C543), 0)), "")</f>
        <v>44</v>
      </c>
      <c r="L543" cm="1">
        <f t="array" aca="1" ref="L543" ca="1">IFERROR(INDEX(casos!$C:$C, MATCH(1, (VALUE(LEFT(casos!$A:$A,6))=VALUE(LEFT(B543,6)))*(casos!$B:$B=C543), 0)), "")</f>
        <v>514</v>
      </c>
      <c r="M543" cm="1">
        <f t="array" ref="M543">IFERROR(INDEX(srag!$D:$D, MATCH(1, (VALUE(LEFT(srag!$A:$A,6))=VALUE(LEFT(B543,6)))*(srag!$C:$C=C543), 0)), "")</f>
        <v>193</v>
      </c>
      <c r="N543" cm="1">
        <f t="array" aca="1" ref="N543" ca="1">IFERROR(INDEX(fesp!$E:$E, MATCH(1, (VALUE(LEFT(fesp!$A:$A,6))=VALUE(LEFT(B543,6)))*(fesp!$C:$C=C543), 0)), "")</f>
        <v>168</v>
      </c>
      <c r="O543" cm="1">
        <f t="array" aca="1" ref="O543" ca="1">IFERROR(INDEX(fesp!$F:$F, MATCH(1, (VALUE(LEFT(fesp!$A:$A,6))=VALUE(LEFT(B543,6)))*(fesp!$C:$C=C543), 0)), "")</f>
        <v>4824</v>
      </c>
      <c r="P543" cm="1">
        <f t="array" aca="1" ref="P543" ca="1">IFERROR(INDEX(fesp!$G:$G, MATCH(1, (VALUE(LEFT(fesp!$A:$A,6))=VALUE(LEFT(B543,6)))*(fesp!$C:$C=C543), 0)), "")</f>
        <v>4518030</v>
      </c>
      <c r="Q543" cm="1">
        <f t="array" aca="1" ref="Q543" ca="1">IFERROR(INDEX(fesp!$H:$H, MATCH(1, (VALUE(LEFT(fesp!$A:$A,6))=VALUE(LEFT(B543,6)))*(fesp!$C:$C=C543), 0)), "")</f>
        <v>30</v>
      </c>
      <c r="R543" cm="1">
        <f t="array" aca="1" ref="R543" ca="1">IFERROR(INDEX(fesp!$I:$I, MATCH(1, (VALUE(LEFT(fesp!$A:$A,6))=VALUE(LEFT(B543,6)))*(fesp!$C:$C=C543), 0)), "")</f>
        <v>51840</v>
      </c>
      <c r="S543" cm="1">
        <f t="array" aca="1" ref="S543" ca="1">IFERROR(INDEX(fesp!$J:$J, MATCH(1, (VALUE(LEFT(fesp!$A:$A,6))=VALUE(LEFT(B543,6)))*(fesp!$C:$C=C543), 0)), "")</f>
        <v>390705</v>
      </c>
    </row>
    <row r="544" spans="1:19">
      <c r="A544" s="1" t="s">
        <v>59</v>
      </c>
      <c r="B544" s="3" t="s">
        <v>58</v>
      </c>
      <c r="C544" s="3">
        <v>2018</v>
      </c>
      <c r="D544" cm="1">
        <f t="array" ref="D544">IFERROR(INDEX(fesp!$D:$D, MATCH(1, (VALUE(LEFT(fesp!$A:$A,6))=VALUE(LEFT(B544,6)))*(fesp!$C:$C=C544), 0)), "")</f>
        <v>0</v>
      </c>
      <c r="E544" cm="1">
        <f t="array" aca="1" ref="E544" ca="1">IFERROR(INDEX(ft_medicos_clinicos!$C:$C, MATCH(1, (VALUE(LEFT(ft_medicos_clinicos!$A:$A,6))=VALUE(LEFT(B544,6)))*(ft_medicos_clinicos!$B:$B=C544), 0)), "")</f>
        <v>523</v>
      </c>
      <c r="F544" cm="1">
        <f t="array" aca="1" ref="F544" ca="1">IFERROR(INDEX(ft_enfermeiros!$C:$C, MATCH(1, (VALUE(LEFT(ft_enfermeiros!$A:$A,6))=VALUE(LEFT(B544,6)))*(ft_enfermeiros!$B:$B=C544), 0)), "")</f>
        <v>1036</v>
      </c>
      <c r="G544" cm="1">
        <f t="array" aca="1" ref="G544" ca="1">IFERROR(INDEX(ft_equipes_acs!$C:$C, MATCH(1, (VALUE(LEFT(ft_equipes_acs!$A:$A,6))=VALUE(LEFT(B544,6)))*(ft_equipes_acs!$B:$B=C544), 0)), "")</f>
        <v>9</v>
      </c>
      <c r="H544" cm="1">
        <f t="array" aca="1" ref="H544" ca="1">IFERROR(INDEX(ci_leitos_internacao!$C:$C, MATCH(1, (VALUE(LEFT(ci_leitos_internacao!$A:$A,6))=VALUE(LEFT(B544,6)))*(ci_leitos_internacao!$B:$B=C544), 0)), "")</f>
        <v>1646</v>
      </c>
      <c r="I544" cm="1">
        <f t="array" aca="1" ref="I544" ca="1">IFERROR(INDEX(ci_hospitais_internacao!$C:$C, MATCH(1, (VALUE(LEFT(ci_hospitais_internacao!$A:$A,6))=VALUE(LEFT(B544,6)))*(ci_hospitais_internacao!$B:$B=C544), 0)), "")</f>
        <v>6</v>
      </c>
      <c r="J544" t="str" cm="1">
        <f t="array" aca="1" ref="J544" ca="1">IFERROR(INDEX(ci_pa_clinico!$C:$C, MATCH(1, (VALUE(LEFT(ci_pa_clinico!$A:$A,6))=VALUE(LEFT(B544,6)))*(ci_pa_clinico!$B:$B=C544), 0)), "")</f>
        <v/>
      </c>
      <c r="K544" cm="1">
        <f t="array" aca="1" ref="K544" ca="1">IFERROR(INDEX(aps_equipes_esf!$C:$C, MATCH(1, (VALUE(LEFT(aps_equipes_esf!$A:$A,6))=VALUE(LEFT(B544,6)))*(aps_equipes_esf!$B:$B=C544), 0)), "")</f>
        <v>41</v>
      </c>
      <c r="L544" cm="1">
        <f t="array" aca="1" ref="L544" ca="1">IFERROR(INDEX(casos!$C:$C, MATCH(1, (VALUE(LEFT(casos!$A:$A,6))=VALUE(LEFT(B544,6)))*(casos!$B:$B=C544), 0)), "")</f>
        <v>246</v>
      </c>
      <c r="M544" cm="1">
        <f t="array" ref="M544">IFERROR(INDEX(srag!$D:$D, MATCH(1, (VALUE(LEFT(srag!$A:$A,6))=VALUE(LEFT(B544,6)))*(srag!$C:$C=C544), 0)), "")</f>
        <v>448</v>
      </c>
      <c r="N544" cm="1">
        <f t="array" aca="1" ref="N544" ca="1">IFERROR(INDEX(fesp!$E:$E, MATCH(1, (VALUE(LEFT(fesp!$A:$A,6))=VALUE(LEFT(B544,6)))*(fesp!$C:$C=C544), 0)), "")</f>
        <v>143</v>
      </c>
      <c r="O544" cm="1">
        <f t="array" aca="1" ref="O544" ca="1">IFERROR(INDEX(fesp!$F:$F, MATCH(1, (VALUE(LEFT(fesp!$A:$A,6))=VALUE(LEFT(B544,6)))*(fesp!$C:$C=C544), 0)), "")</f>
        <v>5136</v>
      </c>
      <c r="P544" cm="1">
        <f t="array" aca="1" ref="P544" ca="1">IFERROR(INDEX(fesp!$G:$G, MATCH(1, (VALUE(LEFT(fesp!$A:$A,6))=VALUE(LEFT(B544,6)))*(fesp!$C:$C=C544), 0)), "")</f>
        <v>5292132</v>
      </c>
      <c r="Q544" cm="1">
        <f t="array" aca="1" ref="Q544" ca="1">IFERROR(INDEX(fesp!$H:$H, MATCH(1, (VALUE(LEFT(fesp!$A:$A,6))=VALUE(LEFT(B544,6)))*(fesp!$C:$C=C544), 0)), "")</f>
        <v>44</v>
      </c>
      <c r="R544" cm="1">
        <f t="array" aca="1" ref="R544" ca="1">IFERROR(INDEX(fesp!$I:$I, MATCH(1, (VALUE(LEFT(fesp!$A:$A,6))=VALUE(LEFT(B544,6)))*(fesp!$C:$C=C544), 0)), "")</f>
        <v>47820</v>
      </c>
      <c r="S544" cm="1">
        <f t="array" aca="1" ref="S544" ca="1">IFERROR(INDEX(fesp!$J:$J, MATCH(1, (VALUE(LEFT(fesp!$A:$A,6))=VALUE(LEFT(B544,6)))*(fesp!$C:$C=C544), 0)), "")</f>
        <v>504439</v>
      </c>
    </row>
    <row r="545" spans="1:19">
      <c r="A545" s="1" t="s">
        <v>59</v>
      </c>
      <c r="B545" s="3" t="s">
        <v>58</v>
      </c>
      <c r="C545" s="3">
        <v>2019</v>
      </c>
      <c r="D545" cm="1">
        <f t="array" ref="D545">IFERROR(INDEX(fesp!$D:$D, MATCH(1, (VALUE(LEFT(fesp!$A:$A,6))=VALUE(LEFT(B545,6)))*(fesp!$C:$C=C545), 0)), "")</f>
        <v>0</v>
      </c>
      <c r="E545" cm="1">
        <f t="array" aca="1" ref="E545" ca="1">IFERROR(INDEX(ft_medicos_clinicos!$C:$C, MATCH(1, (VALUE(LEFT(ft_medicos_clinicos!$A:$A,6))=VALUE(LEFT(B545,6)))*(ft_medicos_clinicos!$B:$B=C545), 0)), "")</f>
        <v>536</v>
      </c>
      <c r="F545" cm="1">
        <f t="array" aca="1" ref="F545" ca="1">IFERROR(INDEX(ft_enfermeiros!$C:$C, MATCH(1, (VALUE(LEFT(ft_enfermeiros!$A:$A,6))=VALUE(LEFT(B545,6)))*(ft_enfermeiros!$B:$B=C545), 0)), "")</f>
        <v>1229</v>
      </c>
      <c r="G545" cm="1">
        <f t="array" aca="1" ref="G545" ca="1">IFERROR(INDEX(ft_equipes_acs!$C:$C, MATCH(1, (VALUE(LEFT(ft_equipes_acs!$A:$A,6))=VALUE(LEFT(B545,6)))*(ft_equipes_acs!$B:$B=C545), 0)), "")</f>
        <v>9</v>
      </c>
      <c r="H545" cm="1">
        <f t="array" aca="1" ref="H545" ca="1">IFERROR(INDEX(ci_leitos_internacao!$C:$C, MATCH(1, (VALUE(LEFT(ci_leitos_internacao!$A:$A,6))=VALUE(LEFT(B545,6)))*(ci_leitos_internacao!$B:$B=C545), 0)), "")</f>
        <v>1659</v>
      </c>
      <c r="I545" cm="1">
        <f t="array" aca="1" ref="I545" ca="1">IFERROR(INDEX(ci_hospitais_internacao!$C:$C, MATCH(1, (VALUE(LEFT(ci_hospitais_internacao!$A:$A,6))=VALUE(LEFT(B545,6)))*(ci_hospitais_internacao!$B:$B=C545), 0)), "")</f>
        <v>6</v>
      </c>
      <c r="J545" t="str" cm="1">
        <f t="array" aca="1" ref="J545" ca="1">IFERROR(INDEX(ci_pa_clinico!$C:$C, MATCH(1, (VALUE(LEFT(ci_pa_clinico!$A:$A,6))=VALUE(LEFT(B545,6)))*(ci_pa_clinico!$B:$B=C545), 0)), "")</f>
        <v/>
      </c>
      <c r="K545" cm="1">
        <f t="array" aca="1" ref="K545" ca="1">IFERROR(INDEX(aps_equipes_esf!$C:$C, MATCH(1, (VALUE(LEFT(aps_equipes_esf!$A:$A,6))=VALUE(LEFT(B545,6)))*(aps_equipes_esf!$B:$B=C545), 0)), "")</f>
        <v>37</v>
      </c>
      <c r="L545" cm="1">
        <f t="array" aca="1" ref="L545" ca="1">IFERROR(INDEX(casos!$C:$C, MATCH(1, (VALUE(LEFT(casos!$A:$A,6))=VALUE(LEFT(B545,6)))*(casos!$B:$B=C545), 0)), "")</f>
        <v>880</v>
      </c>
      <c r="M545" cm="1">
        <f t="array" ref="M545">IFERROR(INDEX(srag!$D:$D, MATCH(1, (VALUE(LEFT(srag!$A:$A,6))=VALUE(LEFT(B545,6)))*(srag!$C:$C=C545), 0)), "")</f>
        <v>503</v>
      </c>
      <c r="N545" cm="1">
        <f t="array" aca="1" ref="N545" ca="1">IFERROR(INDEX(fesp!$E:$E, MATCH(1, (VALUE(LEFT(fesp!$A:$A,6))=VALUE(LEFT(B545,6)))*(fesp!$C:$C=C545), 0)), "")</f>
        <v>144</v>
      </c>
      <c r="O545" cm="1">
        <f t="array" aca="1" ref="O545" ca="1">IFERROR(INDEX(fesp!$F:$F, MATCH(1, (VALUE(LEFT(fesp!$A:$A,6))=VALUE(LEFT(B545,6)))*(fesp!$C:$C=C545), 0)), "")</f>
        <v>7907</v>
      </c>
      <c r="P545" cm="1">
        <f t="array" aca="1" ref="P545" ca="1">IFERROR(INDEX(fesp!$G:$G, MATCH(1, (VALUE(LEFT(fesp!$A:$A,6))=VALUE(LEFT(B545,6)))*(fesp!$C:$C=C545), 0)), "")</f>
        <v>5885052</v>
      </c>
      <c r="Q545" cm="1">
        <f t="array" aca="1" ref="Q545" ca="1">IFERROR(INDEX(fesp!$H:$H, MATCH(1, (VALUE(LEFT(fesp!$A:$A,6))=VALUE(LEFT(B545,6)))*(fesp!$C:$C=C545), 0)), "")</f>
        <v>54</v>
      </c>
      <c r="R545" cm="1">
        <f t="array" aca="1" ref="R545" ca="1">IFERROR(INDEX(fesp!$I:$I, MATCH(1, (VALUE(LEFT(fesp!$A:$A,6))=VALUE(LEFT(B545,6)))*(fesp!$C:$C=C545), 0)), "")</f>
        <v>34921</v>
      </c>
      <c r="S545" cm="1">
        <f t="array" aca="1" ref="S545" ca="1">IFERROR(INDEX(fesp!$J:$J, MATCH(1, (VALUE(LEFT(fesp!$A:$A,6))=VALUE(LEFT(B545,6)))*(fesp!$C:$C=C545), 0)), "")</f>
        <v>486638</v>
      </c>
    </row>
    <row r="546" spans="1:19">
      <c r="A546" s="1" t="s">
        <v>59</v>
      </c>
      <c r="B546" s="3" t="s">
        <v>58</v>
      </c>
      <c r="C546" s="3">
        <v>2020</v>
      </c>
      <c r="D546" cm="1">
        <f t="array" ref="D546">IFERROR(INDEX(fesp!$D:$D, MATCH(1, (VALUE(LEFT(fesp!$A:$A,6))=VALUE(LEFT(B546,6)))*(fesp!$C:$C=C546), 0)), "")</f>
        <v>0</v>
      </c>
      <c r="E546" cm="1">
        <f t="array" aca="1" ref="E546" ca="1">IFERROR(INDEX(ft_medicos_clinicos!$C:$C, MATCH(1, (VALUE(LEFT(ft_medicos_clinicos!$A:$A,6))=VALUE(LEFT(B546,6)))*(ft_medicos_clinicos!$B:$B=C546), 0)), "")</f>
        <v>537</v>
      </c>
      <c r="F546" cm="1">
        <f t="array" aca="1" ref="F546" ca="1">IFERROR(INDEX(ft_enfermeiros!$C:$C, MATCH(1, (VALUE(LEFT(ft_enfermeiros!$A:$A,6))=VALUE(LEFT(B546,6)))*(ft_enfermeiros!$B:$B=C546), 0)), "")</f>
        <v>1332</v>
      </c>
      <c r="G546" cm="1">
        <f t="array" aca="1" ref="G546" ca="1">IFERROR(INDEX(ft_equipes_acs!$C:$C, MATCH(1, (VALUE(LEFT(ft_equipes_acs!$A:$A,6))=VALUE(LEFT(B546,6)))*(ft_equipes_acs!$B:$B=C546), 0)), "")</f>
        <v>7</v>
      </c>
      <c r="H546" cm="1">
        <f t="array" aca="1" ref="H546" ca="1">IFERROR(INDEX(ci_leitos_internacao!$C:$C, MATCH(1, (VALUE(LEFT(ci_leitos_internacao!$A:$A,6))=VALUE(LEFT(B546,6)))*(ci_leitos_internacao!$B:$B=C546), 0)), "")</f>
        <v>1614</v>
      </c>
      <c r="I546" cm="1">
        <f t="array" aca="1" ref="I546" ca="1">IFERROR(INDEX(ci_hospitais_internacao!$C:$C, MATCH(1, (VALUE(LEFT(ci_hospitais_internacao!$A:$A,6))=VALUE(LEFT(B546,6)))*(ci_hospitais_internacao!$B:$B=C546), 0)), "")</f>
        <v>6</v>
      </c>
      <c r="J546" t="str" cm="1">
        <f t="array" aca="1" ref="J546" ca="1">IFERROR(INDEX(ci_pa_clinico!$C:$C, MATCH(1, (VALUE(LEFT(ci_pa_clinico!$A:$A,6))=VALUE(LEFT(B546,6)))*(ci_pa_clinico!$B:$B=C546), 0)), "")</f>
        <v/>
      </c>
      <c r="K546" t="str" cm="1">
        <f t="array" aca="1" ref="K546" ca="1">IFERROR(INDEX(aps_equipes_esf!$C:$C, MATCH(1, (VALUE(LEFT(aps_equipes_esf!$A:$A,6))=VALUE(LEFT(B546,6)))*(aps_equipes_esf!$B:$B=C546), 0)), "")</f>
        <v>-</v>
      </c>
      <c r="L546" cm="1">
        <f t="array" aca="1" ref="L546" ca="1">IFERROR(INDEX(casos!$C:$C, MATCH(1, (VALUE(LEFT(casos!$A:$A,6))=VALUE(LEFT(B546,6)))*(casos!$B:$B=C546), 0)), "")</f>
        <v>533</v>
      </c>
      <c r="M546" cm="1">
        <f t="array" ref="M546">IFERROR(INDEX(srag!$D:$D, MATCH(1, (VALUE(LEFT(srag!$A:$A,6))=VALUE(LEFT(B546,6)))*(srag!$C:$C=C546), 0)), "")</f>
        <v>4856</v>
      </c>
      <c r="N546" cm="1">
        <f t="array" aca="1" ref="N546" ca="1">IFERROR(INDEX(fesp!$E:$E, MATCH(1, (VALUE(LEFT(fesp!$A:$A,6))=VALUE(LEFT(B546,6)))*(fesp!$C:$C=C546), 0)), "")</f>
        <v>135</v>
      </c>
      <c r="O546" cm="1">
        <f t="array" aca="1" ref="O546" ca="1">IFERROR(INDEX(fesp!$F:$F, MATCH(1, (VALUE(LEFT(fesp!$A:$A,6))=VALUE(LEFT(B546,6)))*(fesp!$C:$C=C546), 0)), "")</f>
        <v>13213</v>
      </c>
      <c r="P546" cm="1">
        <f t="array" aca="1" ref="P546" ca="1">IFERROR(INDEX(fesp!$G:$G, MATCH(1, (VALUE(LEFT(fesp!$A:$A,6))=VALUE(LEFT(B546,6)))*(fesp!$C:$C=C546), 0)), "")</f>
        <v>5530645</v>
      </c>
      <c r="Q546" cm="1">
        <f t="array" aca="1" ref="Q546" ca="1">IFERROR(INDEX(fesp!$H:$H, MATCH(1, (VALUE(LEFT(fesp!$A:$A,6))=VALUE(LEFT(B546,6)))*(fesp!$C:$C=C546), 0)), "")</f>
        <v>29</v>
      </c>
      <c r="R546" cm="1">
        <f t="array" aca="1" ref="R546" ca="1">IFERROR(INDEX(fesp!$I:$I, MATCH(1, (VALUE(LEFT(fesp!$A:$A,6))=VALUE(LEFT(B546,6)))*(fesp!$C:$C=C546), 0)), "")</f>
        <v>33819</v>
      </c>
      <c r="S546" cm="1">
        <f t="array" aca="1" ref="S546" ca="1">IFERROR(INDEX(fesp!$J:$J, MATCH(1, (VALUE(LEFT(fesp!$A:$A,6))=VALUE(LEFT(B546,6)))*(fesp!$C:$C=C546), 0)), "")</f>
        <v>473990</v>
      </c>
    </row>
    <row r="547" spans="1:19">
      <c r="A547" s="1" t="s">
        <v>59</v>
      </c>
      <c r="B547" s="3">
        <v>3549904</v>
      </c>
      <c r="C547" s="3">
        <v>2021</v>
      </c>
      <c r="D547" cm="1">
        <f t="array" ref="D547">IFERROR(INDEX(fesp!$D:$D, MATCH(1, (VALUE(LEFT(fesp!$A:$A,6))=VALUE(LEFT(B547,6)))*(fesp!$C:$C=C547), 0)), "")</f>
        <v>0</v>
      </c>
      <c r="E547" cm="1">
        <f t="array" aca="1" ref="E547" ca="1">IFERROR(INDEX(ft_medicos_clinicos!$C:$C, MATCH(1, (VALUE(LEFT(ft_medicos_clinicos!$A:$A,6))=VALUE(LEFT(B547,6)))*(ft_medicos_clinicos!$B:$B=C547), 0)), "")</f>
        <v>591</v>
      </c>
      <c r="F547" cm="1">
        <f t="array" aca="1" ref="F547" ca="1">IFERROR(INDEX(ft_enfermeiros!$C:$C, MATCH(1, (VALUE(LEFT(ft_enfermeiros!$A:$A,6))=VALUE(LEFT(B547,6)))*(ft_enfermeiros!$B:$B=C547), 0)), "")</f>
        <v>1372</v>
      </c>
      <c r="G547" cm="1">
        <f t="array" aca="1" ref="G547" ca="1">IFERROR(INDEX(ft_equipes_acs!$C:$C, MATCH(1, (VALUE(LEFT(ft_equipes_acs!$A:$A,6))=VALUE(LEFT(B547,6)))*(ft_equipes_acs!$B:$B=C547), 0)), "")</f>
        <v>7</v>
      </c>
      <c r="H547" cm="1">
        <f t="array" aca="1" ref="H547" ca="1">IFERROR(INDEX(ci_leitos_internacao!$C:$C, MATCH(1, (VALUE(LEFT(ci_leitos_internacao!$A:$A,6))=VALUE(LEFT(B547,6)))*(ci_leitos_internacao!$B:$B=C547), 0)), "")</f>
        <v>1607</v>
      </c>
      <c r="I547" cm="1">
        <f t="array" aca="1" ref="I547" ca="1">IFERROR(INDEX(ci_hospitais_internacao!$C:$C, MATCH(1, (VALUE(LEFT(ci_hospitais_internacao!$A:$A,6))=VALUE(LEFT(B547,6)))*(ci_hospitais_internacao!$B:$B=C547), 0)), "")</f>
        <v>6</v>
      </c>
      <c r="J547" t="str" cm="1">
        <f t="array" aca="1" ref="J547" ca="1">IFERROR(INDEX(ci_pa_clinico!$C:$C, MATCH(1, (VALUE(LEFT(ci_pa_clinico!$A:$A,6))=VALUE(LEFT(B547,6)))*(ci_pa_clinico!$B:$B=C547), 0)), "")</f>
        <v/>
      </c>
      <c r="K547" t="str" cm="1">
        <f t="array" aca="1" ref="K547" ca="1">IFERROR(INDEX(aps_equipes_esf!$C:$C, MATCH(1, (VALUE(LEFT(aps_equipes_esf!$A:$A,6))=VALUE(LEFT(B547,6)))*(aps_equipes_esf!$B:$B=C547), 0)), "")</f>
        <v>-</v>
      </c>
      <c r="L547" cm="1">
        <f t="array" aca="1" ref="L547" ca="1">IFERROR(INDEX(casos!$C:$C, MATCH(1, (VALUE(LEFT(casos!$A:$A,6))=VALUE(LEFT(B547,6)))*(casos!$B:$B=C547), 0)), "")</f>
        <v>724</v>
      </c>
      <c r="M547" cm="1">
        <f t="array" ref="M547">IFERROR(INDEX(srag!$D:$D, MATCH(1, (VALUE(LEFT(srag!$A:$A,6))=VALUE(LEFT(B547,6)))*(srag!$C:$C=C547), 0)), "")</f>
        <v>7631</v>
      </c>
      <c r="N547" cm="1">
        <f t="array" aca="1" ref="N547" ca="1">IFERROR(INDEX(fesp!$E:$E, MATCH(1, (VALUE(LEFT(fesp!$A:$A,6))=VALUE(LEFT(B547,6)))*(fesp!$C:$C=C547), 0)), "")</f>
        <v>161</v>
      </c>
      <c r="O547" cm="1">
        <f t="array" aca="1" ref="O547" ca="1">IFERROR(INDEX(fesp!$F:$F, MATCH(1, (VALUE(LEFT(fesp!$A:$A,6))=VALUE(LEFT(B547,6)))*(fesp!$C:$C=C547), 0)), "")</f>
        <v>12181</v>
      </c>
      <c r="P547" cm="1">
        <f t="array" aca="1" ref="P547" ca="1">IFERROR(INDEX(fesp!$G:$G, MATCH(1, (VALUE(LEFT(fesp!$A:$A,6))=VALUE(LEFT(B547,6)))*(fesp!$C:$C=C547), 0)), "")</f>
        <v>7274923</v>
      </c>
      <c r="Q547" cm="1">
        <f t="array" aca="1" ref="Q547" ca="1">IFERROR(INDEX(fesp!$H:$H, MATCH(1, (VALUE(LEFT(fesp!$A:$A,6))=VALUE(LEFT(B547,6)))*(fesp!$C:$C=C547), 0)), "")</f>
        <v>26</v>
      </c>
      <c r="R547" cm="1">
        <f t="array" aca="1" ref="R547" ca="1">IFERROR(INDEX(fesp!$I:$I, MATCH(1, (VALUE(LEFT(fesp!$A:$A,6))=VALUE(LEFT(B547,6)))*(fesp!$C:$C=C547), 0)), "")</f>
        <v>32953</v>
      </c>
      <c r="S547" cm="1">
        <f t="array" aca="1" ref="S547" ca="1">IFERROR(INDEX(fesp!$J:$J, MATCH(1, (VALUE(LEFT(fesp!$A:$A,6))=VALUE(LEFT(B547,6)))*(fesp!$C:$C=C547), 0)), "")</f>
        <v>546869</v>
      </c>
    </row>
    <row r="548" spans="1:19">
      <c r="A548" s="1" t="s">
        <v>59</v>
      </c>
      <c r="B548" s="3" t="s">
        <v>58</v>
      </c>
      <c r="C548" s="3">
        <v>2022</v>
      </c>
      <c r="D548" cm="1">
        <f t="array" ref="D548">IFERROR(INDEX(fesp!$D:$D, MATCH(1, (VALUE(LEFT(fesp!$A:$A,6))=VALUE(LEFT(B548,6)))*(fesp!$C:$C=C548), 0)), "")</f>
        <v>697054</v>
      </c>
      <c r="E548" cm="1">
        <f t="array" aca="1" ref="E548" ca="1">IFERROR(INDEX(ft_medicos_clinicos!$C:$C, MATCH(1, (VALUE(LEFT(ft_medicos_clinicos!$A:$A,6))=VALUE(LEFT(B548,6)))*(ft_medicos_clinicos!$B:$B=C548), 0)), "")</f>
        <v>656</v>
      </c>
      <c r="F548" cm="1">
        <f t="array" aca="1" ref="F548" ca="1">IFERROR(INDEX(ft_enfermeiros!$C:$C, MATCH(1, (VALUE(LEFT(ft_enfermeiros!$A:$A,6))=VALUE(LEFT(B548,6)))*(ft_enfermeiros!$B:$B=C548), 0)), "")</f>
        <v>1465</v>
      </c>
      <c r="G548" cm="1">
        <f t="array" aca="1" ref="G548" ca="1">IFERROR(INDEX(ft_equipes_acs!$C:$C, MATCH(1, (VALUE(LEFT(ft_equipes_acs!$A:$A,6))=VALUE(LEFT(B548,6)))*(ft_equipes_acs!$B:$B=C548), 0)), "")</f>
        <v>7</v>
      </c>
      <c r="H548" cm="1">
        <f t="array" aca="1" ref="H548" ca="1">IFERROR(INDEX(ci_leitos_internacao!$C:$C, MATCH(1, (VALUE(LEFT(ci_leitos_internacao!$A:$A,6))=VALUE(LEFT(B548,6)))*(ci_leitos_internacao!$B:$B=C548), 0)), "")</f>
        <v>1588</v>
      </c>
      <c r="I548" cm="1">
        <f t="array" aca="1" ref="I548" ca="1">IFERROR(INDEX(ci_hospitais_internacao!$C:$C, MATCH(1, (VALUE(LEFT(ci_hospitais_internacao!$A:$A,6))=VALUE(LEFT(B548,6)))*(ci_hospitais_internacao!$B:$B=C548), 0)), "")</f>
        <v>6</v>
      </c>
      <c r="J548" t="str" cm="1">
        <f t="array" aca="1" ref="J548" ca="1">IFERROR(INDEX(ci_pa_clinico!$C:$C, MATCH(1, (VALUE(LEFT(ci_pa_clinico!$A:$A,6))=VALUE(LEFT(B548,6)))*(ci_pa_clinico!$B:$B=C548), 0)), "")</f>
        <v/>
      </c>
      <c r="K548" t="str" cm="1">
        <f t="array" aca="1" ref="K548" ca="1">IFERROR(INDEX(aps_equipes_esf!$C:$C, MATCH(1, (VALUE(LEFT(aps_equipes_esf!$A:$A,6))=VALUE(LEFT(B548,6)))*(aps_equipes_esf!$B:$B=C548), 0)), "")</f>
        <v>-</v>
      </c>
      <c r="L548" cm="1">
        <f t="array" aca="1" ref="L548" ca="1">IFERROR(INDEX(casos!$C:$C, MATCH(1, (VALUE(LEFT(casos!$A:$A,6))=VALUE(LEFT(B548,6)))*(casos!$B:$B=C548), 0)), "")</f>
        <v>2092</v>
      </c>
      <c r="M548" cm="1">
        <f t="array" ref="M548">IFERROR(INDEX(srag!$D:$D, MATCH(1, (VALUE(LEFT(srag!$A:$A,6))=VALUE(LEFT(B548,6)))*(srag!$C:$C=C548), 0)), "")</f>
        <v>2907</v>
      </c>
      <c r="N548" cm="1">
        <f t="array" aca="1" ref="N548" ca="1">IFERROR(INDEX(fesp!$E:$E, MATCH(1, (VALUE(LEFT(fesp!$A:$A,6))=VALUE(LEFT(B548,6)))*(fesp!$C:$C=C548), 0)), "")</f>
        <v>185</v>
      </c>
      <c r="O548" cm="1">
        <f t="array" aca="1" ref="O548" ca="1">IFERROR(INDEX(fesp!$F:$F, MATCH(1, (VALUE(LEFT(fesp!$A:$A,6))=VALUE(LEFT(B548,6)))*(fesp!$C:$C=C548), 0)), "")</f>
        <v>17225</v>
      </c>
      <c r="P548" cm="1">
        <f t="array" aca="1" ref="P548" ca="1">IFERROR(INDEX(fesp!$G:$G, MATCH(1, (VALUE(LEFT(fesp!$A:$A,6))=VALUE(LEFT(B548,6)))*(fesp!$C:$C=C548), 0)), "")</f>
        <v>7047627</v>
      </c>
      <c r="Q548" cm="1">
        <f t="array" aca="1" ref="Q548" ca="1">IFERROR(INDEX(fesp!$H:$H, MATCH(1, (VALUE(LEFT(fesp!$A:$A,6))=VALUE(LEFT(B548,6)))*(fesp!$C:$C=C548), 0)), "")</f>
        <v>46</v>
      </c>
      <c r="R548" cm="1">
        <f t="array" aca="1" ref="R548" ca="1">IFERROR(INDEX(fesp!$I:$I, MATCH(1, (VALUE(LEFT(fesp!$A:$A,6))=VALUE(LEFT(B548,6)))*(fesp!$C:$C=C548), 0)), "")</f>
        <v>30371</v>
      </c>
      <c r="S548" cm="1">
        <f t="array" aca="1" ref="S548" ca="1">IFERROR(INDEX(fesp!$J:$J, MATCH(1, (VALUE(LEFT(fesp!$A:$A,6))=VALUE(LEFT(B548,6)))*(fesp!$C:$C=C548), 0)), "")</f>
        <v>513938</v>
      </c>
    </row>
    <row r="549" spans="1:19">
      <c r="A549" s="1" t="s">
        <v>59</v>
      </c>
      <c r="B549" s="3" t="s">
        <v>58</v>
      </c>
      <c r="C549" s="3">
        <v>2023</v>
      </c>
      <c r="D549" cm="1">
        <f t="array" ref="D549">IFERROR(INDEX(fesp!$D:$D, MATCH(1, (VALUE(LEFT(fesp!$A:$A,6))=VALUE(LEFT(B549,6)))*(fesp!$C:$C=C549), 0)), "")</f>
        <v>0</v>
      </c>
      <c r="E549" cm="1">
        <f t="array" aca="1" ref="E549" ca="1">IFERROR(INDEX(ft_medicos_clinicos!$C:$C, MATCH(1, (VALUE(LEFT(ft_medicos_clinicos!$A:$A,6))=VALUE(LEFT(B549,6)))*(ft_medicos_clinicos!$B:$B=C549), 0)), "")</f>
        <v>723</v>
      </c>
      <c r="F549" cm="1">
        <f t="array" aca="1" ref="F549" ca="1">IFERROR(INDEX(ft_enfermeiros!$C:$C, MATCH(1, (VALUE(LEFT(ft_enfermeiros!$A:$A,6))=VALUE(LEFT(B549,6)))*(ft_enfermeiros!$B:$B=C549), 0)), "")</f>
        <v>1485</v>
      </c>
      <c r="G549" cm="1">
        <f t="array" aca="1" ref="G549" ca="1">IFERROR(INDEX(ft_equipes_acs!$C:$C, MATCH(1, (VALUE(LEFT(ft_equipes_acs!$A:$A,6))=VALUE(LEFT(B549,6)))*(ft_equipes_acs!$B:$B=C549), 0)), "")</f>
        <v>7</v>
      </c>
      <c r="H549" cm="1">
        <f t="array" aca="1" ref="H549" ca="1">IFERROR(INDEX(ci_leitos_internacao!$C:$C, MATCH(1, (VALUE(LEFT(ci_leitos_internacao!$A:$A,6))=VALUE(LEFT(B549,6)))*(ci_leitos_internacao!$B:$B=C549), 0)), "")</f>
        <v>1590</v>
      </c>
      <c r="I549" cm="1">
        <f t="array" aca="1" ref="I549" ca="1">IFERROR(INDEX(ci_hospitais_internacao!$C:$C, MATCH(1, (VALUE(LEFT(ci_hospitais_internacao!$A:$A,6))=VALUE(LEFT(B549,6)))*(ci_hospitais_internacao!$B:$B=C549), 0)), "")</f>
        <v>6</v>
      </c>
      <c r="J549" t="str" cm="1">
        <f t="array" aca="1" ref="J549" ca="1">IFERROR(INDEX(ci_pa_clinico!$C:$C, MATCH(1, (VALUE(LEFT(ci_pa_clinico!$A:$A,6))=VALUE(LEFT(B549,6)))*(ci_pa_clinico!$B:$B=C549), 0)), "")</f>
        <v/>
      </c>
      <c r="K549" t="str" cm="1">
        <f t="array" aca="1" ref="K549" ca="1">IFERROR(INDEX(aps_equipes_esf!$C:$C, MATCH(1, (VALUE(LEFT(aps_equipes_esf!$A:$A,6))=VALUE(LEFT(B549,6)))*(aps_equipes_esf!$B:$B=C549), 0)), "")</f>
        <v>-</v>
      </c>
      <c r="L549" cm="1">
        <f t="array" aca="1" ref="L549" ca="1">IFERROR(INDEX(casos!$C:$C, MATCH(1, (VALUE(LEFT(casos!$A:$A,6))=VALUE(LEFT(B549,6)))*(casos!$B:$B=C549), 0)), "")</f>
        <v>1288</v>
      </c>
      <c r="M549" cm="1">
        <f t="array" ref="M549">IFERROR(INDEX(srag!$D:$D, MATCH(1, (VALUE(LEFT(srag!$A:$A,6))=VALUE(LEFT(B549,6)))*(srag!$C:$C=C549), 0)), "")</f>
        <v>1037</v>
      </c>
      <c r="N549" cm="1">
        <f t="array" aca="1" ref="N549" ca="1">IFERROR(INDEX(fesp!$E:$E, MATCH(1, (VALUE(LEFT(fesp!$A:$A,6))=VALUE(LEFT(B549,6)))*(fesp!$C:$C=C549), 0)), "")</f>
        <v>194</v>
      </c>
      <c r="O549" cm="1">
        <f t="array" aca="1" ref="O549" ca="1">IFERROR(INDEX(fesp!$F:$F, MATCH(1, (VALUE(LEFT(fesp!$A:$A,6))=VALUE(LEFT(B549,6)))*(fesp!$C:$C=C549), 0)), "")</f>
        <v>19676</v>
      </c>
      <c r="P549" cm="1">
        <f t="array" aca="1" ref="P549" ca="1">IFERROR(INDEX(fesp!$G:$G, MATCH(1, (VALUE(LEFT(fesp!$A:$A,6))=VALUE(LEFT(B549,6)))*(fesp!$C:$C=C549), 0)), "")</f>
        <v>8003980</v>
      </c>
      <c r="Q549" cm="1">
        <f t="array" aca="1" ref="Q549" ca="1">IFERROR(INDEX(fesp!$H:$H, MATCH(1, (VALUE(LEFT(fesp!$A:$A,6))=VALUE(LEFT(B549,6)))*(fesp!$C:$C=C549), 0)), "")</f>
        <v>47</v>
      </c>
      <c r="R549" cm="1">
        <f t="array" aca="1" ref="R549" ca="1">IFERROR(INDEX(fesp!$I:$I, MATCH(1, (VALUE(LEFT(fesp!$A:$A,6))=VALUE(LEFT(B549,6)))*(fesp!$C:$C=C549), 0)), "")</f>
        <v>15479</v>
      </c>
      <c r="S549" cm="1">
        <f t="array" aca="1" ref="S549" ca="1">IFERROR(INDEX(fesp!$J:$J, MATCH(1, (VALUE(LEFT(fesp!$A:$A,6))=VALUE(LEFT(B549,6)))*(fesp!$C:$C=C549), 0)), "")</f>
        <v>318188</v>
      </c>
    </row>
    <row r="550" spans="1:19">
      <c r="A550" s="1" t="s">
        <v>59</v>
      </c>
      <c r="B550" s="3" t="s">
        <v>58</v>
      </c>
      <c r="C550" s="3">
        <v>2024</v>
      </c>
      <c r="D550" cm="1">
        <f t="array" ref="D550">IFERROR(INDEX(fesp!$D:$D, MATCH(1, (VALUE(LEFT(fesp!$A:$A,6))=VALUE(LEFT(B550,6)))*(fesp!$C:$C=C550), 0)), "")</f>
        <v>0</v>
      </c>
      <c r="E550" cm="1">
        <f t="array" aca="1" ref="E550" ca="1">IFERROR(INDEX(ft_medicos_clinicos!$C:$C, MATCH(1, (VALUE(LEFT(ft_medicos_clinicos!$A:$A,6))=VALUE(LEFT(B550,6)))*(ft_medicos_clinicos!$B:$B=C550), 0)), "")</f>
        <v>776</v>
      </c>
      <c r="F550" cm="1">
        <f t="array" aca="1" ref="F550" ca="1">IFERROR(INDEX(ft_enfermeiros!$C:$C, MATCH(1, (VALUE(LEFT(ft_enfermeiros!$A:$A,6))=VALUE(LEFT(B550,6)))*(ft_enfermeiros!$B:$B=C550), 0)), "")</f>
        <v>1543</v>
      </c>
      <c r="G550" cm="1">
        <f t="array" aca="1" ref="G550" ca="1">IFERROR(INDEX(ft_equipes_acs!$C:$C, MATCH(1, (VALUE(LEFT(ft_equipes_acs!$A:$A,6))=VALUE(LEFT(B550,6)))*(ft_equipes_acs!$B:$B=C550), 0)), "")</f>
        <v>6</v>
      </c>
      <c r="H550" cm="1">
        <f t="array" aca="1" ref="H550" ca="1">IFERROR(INDEX(ci_leitos_internacao!$C:$C, MATCH(1, (VALUE(LEFT(ci_leitos_internacao!$A:$A,6))=VALUE(LEFT(B550,6)))*(ci_leitos_internacao!$B:$B=C550), 0)), "")</f>
        <v>1554</v>
      </c>
      <c r="I550" cm="1">
        <f t="array" aca="1" ref="I550" ca="1">IFERROR(INDEX(ci_hospitais_internacao!$C:$C, MATCH(1, (VALUE(LEFT(ci_hospitais_internacao!$A:$A,6))=VALUE(LEFT(B550,6)))*(ci_hospitais_internacao!$B:$B=C550), 0)), "")</f>
        <v>6</v>
      </c>
      <c r="J550" t="str" cm="1">
        <f t="array" aca="1" ref="J550" ca="1">IFERROR(INDEX(ci_pa_clinico!$C:$C, MATCH(1, (VALUE(LEFT(ci_pa_clinico!$A:$A,6))=VALUE(LEFT(B550,6)))*(ci_pa_clinico!$B:$B=C550), 0)), "")</f>
        <v/>
      </c>
      <c r="K550" t="str" cm="1">
        <f t="array" aca="1" ref="K550" ca="1">IFERROR(INDEX(aps_equipes_esf!$C:$C, MATCH(1, (VALUE(LEFT(aps_equipes_esf!$A:$A,6))=VALUE(LEFT(B550,6)))*(aps_equipes_esf!$B:$B=C550), 0)), "")</f>
        <v>-</v>
      </c>
      <c r="L550" cm="1">
        <f t="array" aca="1" ref="L550" ca="1">IFERROR(INDEX(casos!$C:$C, MATCH(1, (VALUE(LEFT(casos!$A:$A,6))=VALUE(LEFT(B550,6)))*(casos!$B:$B=C550), 0)), "")</f>
        <v>101210</v>
      </c>
      <c r="M550" cm="1">
        <f t="array" ref="M550">IFERROR(INDEX(srag!$D:$D, MATCH(1, (VALUE(LEFT(srag!$A:$A,6))=VALUE(LEFT(B550,6)))*(srag!$C:$C=C550), 0)), "")</f>
        <v>702</v>
      </c>
      <c r="N550" cm="1">
        <f t="array" aca="1" ref="N550" ca="1">IFERROR(INDEX(fesp!$E:$E, MATCH(1, (VALUE(LEFT(fesp!$A:$A,6))=VALUE(LEFT(B550,6)))*(fesp!$C:$C=C550), 0)), "")</f>
        <v>218</v>
      </c>
      <c r="O550" cm="1">
        <f t="array" aca="1" ref="O550" ca="1">IFERROR(INDEX(fesp!$F:$F, MATCH(1, (VALUE(LEFT(fesp!$A:$A,6))=VALUE(LEFT(B550,6)))*(fesp!$C:$C=C550), 0)), "")</f>
        <v>21419</v>
      </c>
      <c r="P550" cm="1">
        <f t="array" aca="1" ref="P550" ca="1">IFERROR(INDEX(fesp!$G:$G, MATCH(1, (VALUE(LEFT(fesp!$A:$A,6))=VALUE(LEFT(B550,6)))*(fesp!$C:$C=C550), 0)), "")</f>
        <v>8314201</v>
      </c>
      <c r="Q550" cm="1">
        <f t="array" aca="1" ref="Q550" ca="1">IFERROR(INDEX(fesp!$H:$H, MATCH(1, (VALUE(LEFT(fesp!$A:$A,6))=VALUE(LEFT(B550,6)))*(fesp!$C:$C=C550), 0)), "")</f>
        <v>54</v>
      </c>
      <c r="R550" cm="1">
        <f t="array" aca="1" ref="R550" ca="1">IFERROR(INDEX(fesp!$I:$I, MATCH(1, (VALUE(LEFT(fesp!$A:$A,6))=VALUE(LEFT(B550,6)))*(fesp!$C:$C=C550), 0)), "")</f>
        <v>2932</v>
      </c>
      <c r="S550" cm="1">
        <f t="array" aca="1" ref="S550" ca="1">IFERROR(INDEX(fesp!$J:$J, MATCH(1, (VALUE(LEFT(fesp!$A:$A,6))=VALUE(LEFT(B550,6)))*(fesp!$C:$C=C550), 0)), "")</f>
        <v>15198</v>
      </c>
    </row>
    <row r="551" spans="1:19">
      <c r="A551" s="1" t="s">
        <v>59</v>
      </c>
      <c r="B551" s="3">
        <v>3549904</v>
      </c>
      <c r="C551" s="3">
        <v>2025</v>
      </c>
      <c r="D551" cm="1">
        <f t="array" ref="D551">IFERROR(INDEX(fesp!$D:$D, MATCH(1, (VALUE(LEFT(fesp!$A:$A,6))=VALUE(LEFT(B551,6)))*(fesp!$C:$C=C551), 0)), "")</f>
        <v>0</v>
      </c>
      <c r="E551" cm="1">
        <f t="array" aca="1" ref="E551" ca="1">IFERROR(INDEX(ft_medicos_clinicos!$C:$C, MATCH(1, (VALUE(LEFT(ft_medicos_clinicos!$A:$A,6))=VALUE(LEFT(B551,6)))*(ft_medicos_clinicos!$B:$B=C551), 0)), "")</f>
        <v>779</v>
      </c>
      <c r="F551" cm="1">
        <f t="array" aca="1" ref="F551" ca="1">IFERROR(INDEX(ft_enfermeiros!$C:$C, MATCH(1, (VALUE(LEFT(ft_enfermeiros!$A:$A,6))=VALUE(LEFT(B551,6)))*(ft_enfermeiros!$B:$B=C551), 0)), "")</f>
        <v>1630</v>
      </c>
      <c r="G551" cm="1">
        <f t="array" aca="1" ref="G551" ca="1">IFERROR(INDEX(ft_equipes_acs!$C:$C, MATCH(1, (VALUE(LEFT(ft_equipes_acs!$A:$A,6))=VALUE(LEFT(B551,6)))*(ft_equipes_acs!$B:$B=C551), 0)), "")</f>
        <v>6</v>
      </c>
      <c r="H551" cm="1">
        <f t="array" aca="1" ref="H551" ca="1">IFERROR(INDEX(ci_leitos_internacao!$C:$C, MATCH(1, (VALUE(LEFT(ci_leitos_internacao!$A:$A,6))=VALUE(LEFT(B551,6)))*(ci_leitos_internacao!$B:$B=C551), 0)), "")</f>
        <v>1587</v>
      </c>
      <c r="I551" cm="1">
        <f t="array" aca="1" ref="I551" ca="1">IFERROR(INDEX(ci_hospitais_internacao!$C:$C, MATCH(1, (VALUE(LEFT(ci_hospitais_internacao!$A:$A,6))=VALUE(LEFT(B551,6)))*(ci_hospitais_internacao!$B:$B=C551), 0)), "")</f>
        <v>6</v>
      </c>
      <c r="J551" t="str" cm="1">
        <f t="array" aca="1" ref="J551" ca="1">IFERROR(INDEX(ci_pa_clinico!$C:$C, MATCH(1, (VALUE(LEFT(ci_pa_clinico!$A:$A,6))=VALUE(LEFT(B551,6)))*(ci_pa_clinico!$B:$B=C551), 0)), "")</f>
        <v/>
      </c>
      <c r="K551" t="str" cm="1">
        <f t="array" aca="1" ref="K551" ca="1">IFERROR(INDEX(aps_equipes_esf!$C:$C, MATCH(1, (VALUE(LEFT(aps_equipes_esf!$A:$A,6))=VALUE(LEFT(B551,6)))*(aps_equipes_esf!$B:$B=C551), 0)), "")</f>
        <v>-</v>
      </c>
      <c r="L551" cm="1">
        <f t="array" aca="1" ref="L551" ca="1">IFERROR(INDEX(casos!$C:$C, MATCH(1, (VALUE(LEFT(casos!$A:$A,6))=VALUE(LEFT(B551,6)))*(casos!$B:$B=C551), 0)), "")</f>
        <v>6752</v>
      </c>
      <c r="M551" cm="1">
        <f t="array" ref="M551">IFERROR(INDEX(srag!$D:$D, MATCH(1, (VALUE(LEFT(srag!$A:$A,6))=VALUE(LEFT(B551,6)))*(srag!$C:$C=C551), 0)), "")</f>
        <v>1062</v>
      </c>
      <c r="N551" cm="1">
        <f t="array" aca="1" ref="N551" ca="1">IFERROR(INDEX(fesp!$E:$E, MATCH(1, (VALUE(LEFT(fesp!$A:$A,6))=VALUE(LEFT(B551,6)))*(fesp!$C:$C=C551), 0)), "")</f>
        <v>199</v>
      </c>
      <c r="O551" cm="1">
        <f t="array" aca="1" ref="O551" ca="1">IFERROR(INDEX(fesp!$F:$F, MATCH(1, (VALUE(LEFT(fesp!$A:$A,6))=VALUE(LEFT(B551,6)))*(fesp!$C:$C=C551), 0)), "")</f>
        <v>16640</v>
      </c>
      <c r="P551" cm="1">
        <f t="array" aca="1" ref="P551" ca="1">IFERROR(INDEX(fesp!$G:$G, MATCH(1, (VALUE(LEFT(fesp!$A:$A,6))=VALUE(LEFT(B551,6)))*(fesp!$C:$C=C551), 0)), "")</f>
        <v>6333538</v>
      </c>
      <c r="Q551" cm="1">
        <f t="array" aca="1" ref="Q551" ca="1">IFERROR(INDEX(fesp!$H:$H, MATCH(1, (VALUE(LEFT(fesp!$A:$A,6))=VALUE(LEFT(B551,6)))*(fesp!$C:$C=C551), 0)), "")</f>
        <v>30</v>
      </c>
      <c r="R551" cm="1">
        <f t="array" aca="1" ref="R551" ca="1">IFERROR(INDEX(fesp!$I:$I, MATCH(1, (VALUE(LEFT(fesp!$A:$A,6))=VALUE(LEFT(B551,6)))*(fesp!$C:$C=C551), 0)), "")</f>
        <v>1619</v>
      </c>
      <c r="S551" cm="1">
        <f t="array" aca="1" ref="S551" ca="1">IFERROR(INDEX(fesp!$J:$J, MATCH(1, (VALUE(LEFT(fesp!$A:$A,6))=VALUE(LEFT(B551,6)))*(fesp!$C:$C=C551), 0)), "")</f>
        <v>4135</v>
      </c>
    </row>
    <row r="552" spans="1:19">
      <c r="A552" s="1" t="s">
        <v>1</v>
      </c>
      <c r="B552" s="3">
        <v>355030</v>
      </c>
      <c r="C552" s="4">
        <v>2015</v>
      </c>
      <c r="D552" cm="1">
        <f t="array" ref="D552">IFERROR(INDEX(fesp!$D:$D, MATCH(1, (VALUE(LEFT(fesp!$A:$A,6))=VALUE(LEFT(B552,6)))*(fesp!$C:$C=C552), 0)), "")</f>
        <v>11967825</v>
      </c>
      <c r="E552" cm="1">
        <f t="array" aca="1" ref="E552" ca="1">IFERROR(INDEX(ft_medicos_clinicos!$C:$C, MATCH(1, (VALUE(LEFT(ft_medicos_clinicos!$A:$A,6))=VALUE(LEFT(B552,6)))*(ft_medicos_clinicos!$B:$B=C552), 0)), "")</f>
        <v>6065</v>
      </c>
      <c r="F552" cm="1">
        <f t="array" aca="1" ref="F552" ca="1">IFERROR(INDEX(ft_enfermeiros!$C:$C, MATCH(1, (VALUE(LEFT(ft_enfermeiros!$A:$A,6))=VALUE(LEFT(B552,6)))*(ft_enfermeiros!$B:$B=C552), 0)), "")</f>
        <v>17267</v>
      </c>
      <c r="G552" cm="1">
        <f t="array" aca="1" ref="G552" ca="1">IFERROR(INDEX(ft_equipes_acs!$C:$C, MATCH(1, (VALUE(LEFT(ft_equipes_acs!$A:$A,6))=VALUE(LEFT(B552,6)))*(ft_equipes_acs!$B:$B=C552), 0)), "")</f>
        <v>139</v>
      </c>
      <c r="H552" cm="1">
        <f t="array" aca="1" ref="H552" ca="1">IFERROR(INDEX(ci_leitos_internacao!$C:$C, MATCH(1, (VALUE(LEFT(ci_leitos_internacao!$A:$A,6))=VALUE(LEFT(B552,6)))*(ci_leitos_internacao!$B:$B=C552), 0)), "")</f>
        <v>29476</v>
      </c>
      <c r="I552" cm="1">
        <f t="array" aca="1" ref="I552" ca="1">IFERROR(INDEX(ci_hospitais_internacao!$C:$C, MATCH(1, (VALUE(LEFT(ci_hospitais_internacao!$A:$A,6))=VALUE(LEFT(B552,6)))*(ci_hospitais_internacao!$B:$B=C552), 0)), "")</f>
        <v>58</v>
      </c>
      <c r="J552" t="str" cm="1">
        <f t="array" aca="1" ref="J552" ca="1">IFERROR(INDEX(ci_pa_clinico!$C:$C, MATCH(1, (VALUE(LEFT(ci_pa_clinico!$A:$A,6))=VALUE(LEFT(B552,6)))*(ci_pa_clinico!$B:$B=C552), 0)), "")</f>
        <v/>
      </c>
      <c r="K552" cm="1">
        <f t="array" aca="1" ref="K552" ca="1">IFERROR(INDEX(aps_equipes_esf!$C:$C, MATCH(1, (VALUE(LEFT(aps_equipes_esf!$A:$A,6))=VALUE(LEFT(B552,6)))*(aps_equipes_esf!$B:$B=C552), 0)), "")</f>
        <v>735</v>
      </c>
      <c r="L552" cm="1">
        <f t="array" aca="1" ref="L552" ca="1">IFERROR(INDEX(casos!$C:$C, MATCH(1, (VALUE(LEFT(casos!$A:$A,6))=VALUE(LEFT(B552,6)))*(casos!$B:$B=C552), 0)), "")</f>
        <v>60427</v>
      </c>
      <c r="M552" cm="1">
        <f t="array" ref="M552">IFERROR(INDEX(srag!$D:$D, MATCH(1, (VALUE(LEFT(srag!$A:$A,6))=VALUE(LEFT(B552,6)))*(srag!$C:$C=C552), 0)), "")</f>
        <v>976</v>
      </c>
      <c r="N552" cm="1">
        <f t="array" aca="1" ref="N552" ca="1">IFERROR(INDEX(fesp!$E:$E, MATCH(1, (VALUE(LEFT(fesp!$A:$A,6))=VALUE(LEFT(B552,6)))*(fesp!$C:$C=C552), 0)), "")</f>
        <v>3215</v>
      </c>
      <c r="O552" cm="1">
        <f t="array" aca="1" ref="O552" ca="1">IFERROR(INDEX(fesp!$F:$F, MATCH(1, (VALUE(LEFT(fesp!$A:$A,6))=VALUE(LEFT(B552,6)))*(fesp!$C:$C=C552), 0)), "")</f>
        <v>60188</v>
      </c>
      <c r="P552" cm="1">
        <f t="array" aca="1" ref="P552" ca="1">IFERROR(INDEX(fesp!$G:$G, MATCH(1, (VALUE(LEFT(fesp!$A:$A,6))=VALUE(LEFT(B552,6)))*(fesp!$C:$C=C552), 0)), "")</f>
        <v>82035746</v>
      </c>
      <c r="Q552" cm="1">
        <f t="array" aca="1" ref="Q552" ca="1">IFERROR(INDEX(fesp!$H:$H, MATCH(1, (VALUE(LEFT(fesp!$A:$A,6))=VALUE(LEFT(B552,6)))*(fesp!$C:$C=C552), 0)), "")</f>
        <v>2500</v>
      </c>
      <c r="R552" cm="1">
        <f t="array" aca="1" ref="R552" ca="1">IFERROR(INDEX(fesp!$I:$I, MATCH(1, (VALUE(LEFT(fesp!$A:$A,6))=VALUE(LEFT(B552,6)))*(fesp!$C:$C=C552), 0)), "")</f>
        <v>757343</v>
      </c>
      <c r="S552" cm="1">
        <f t="array" aca="1" ref="S552" ca="1">IFERROR(INDEX(fesp!$J:$J, MATCH(1, (VALUE(LEFT(fesp!$A:$A,6))=VALUE(LEFT(B552,6)))*(fesp!$C:$C=C552), 0)), "")</f>
        <v>6620872</v>
      </c>
    </row>
    <row r="553" spans="1:19">
      <c r="A553" s="1" t="s">
        <v>1</v>
      </c>
      <c r="B553" s="3">
        <v>355030</v>
      </c>
      <c r="C553" s="4">
        <v>2016</v>
      </c>
      <c r="D553" cm="1">
        <f t="array" ref="D553">IFERROR(INDEX(fesp!$D:$D, MATCH(1, (VALUE(LEFT(fesp!$A:$A,6))=VALUE(LEFT(B553,6)))*(fesp!$C:$C=C553), 0)), "")</f>
        <v>0</v>
      </c>
      <c r="E553" cm="1">
        <f t="array" aca="1" ref="E553" ca="1">IFERROR(INDEX(ft_medicos_clinicos!$C:$C, MATCH(1, (VALUE(LEFT(ft_medicos_clinicos!$A:$A,6))=VALUE(LEFT(B553,6)))*(ft_medicos_clinicos!$B:$B=C553), 0)), "")</f>
        <v>6439</v>
      </c>
      <c r="F553" cm="1">
        <f t="array" aca="1" ref="F553" ca="1">IFERROR(INDEX(ft_enfermeiros!$C:$C, MATCH(1, (VALUE(LEFT(ft_enfermeiros!$A:$A,6))=VALUE(LEFT(B553,6)))*(ft_enfermeiros!$B:$B=C553), 0)), "")</f>
        <v>18242</v>
      </c>
      <c r="G553" cm="1">
        <f t="array" aca="1" ref="G553" ca="1">IFERROR(INDEX(ft_equipes_acs!$C:$C, MATCH(1, (VALUE(LEFT(ft_equipes_acs!$A:$A,6))=VALUE(LEFT(B553,6)))*(ft_equipes_acs!$B:$B=C553), 0)), "")</f>
        <v>43</v>
      </c>
      <c r="H553" cm="1">
        <f t="array" aca="1" ref="H553" ca="1">IFERROR(INDEX(ci_leitos_internacao!$C:$C, MATCH(1, (VALUE(LEFT(ci_leitos_internacao!$A:$A,6))=VALUE(LEFT(B553,6)))*(ci_leitos_internacao!$B:$B=C553), 0)), "")</f>
        <v>28788</v>
      </c>
      <c r="I553" cm="1">
        <f t="array" aca="1" ref="I553" ca="1">IFERROR(INDEX(ci_hospitais_internacao!$C:$C, MATCH(1, (VALUE(LEFT(ci_hospitais_internacao!$A:$A,6))=VALUE(LEFT(B553,6)))*(ci_hospitais_internacao!$B:$B=C553), 0)), "")</f>
        <v>55</v>
      </c>
      <c r="J553" t="str" cm="1">
        <f t="array" aca="1" ref="J553" ca="1">IFERROR(INDEX(ci_pa_clinico!$C:$C, MATCH(1, (VALUE(LEFT(ci_pa_clinico!$A:$A,6))=VALUE(LEFT(B553,6)))*(ci_pa_clinico!$B:$B=C553), 0)), "")</f>
        <v/>
      </c>
      <c r="K553" cm="1">
        <f t="array" aca="1" ref="K553" ca="1">IFERROR(INDEX(aps_equipes_esf!$C:$C, MATCH(1, (VALUE(LEFT(aps_equipes_esf!$A:$A,6))=VALUE(LEFT(B553,6)))*(aps_equipes_esf!$B:$B=C553), 0)), "")</f>
        <v>802</v>
      </c>
      <c r="L553" cm="1">
        <f t="array" aca="1" ref="L553" ca="1">IFERROR(INDEX(casos!$C:$C, MATCH(1, (VALUE(LEFT(casos!$A:$A,6))=VALUE(LEFT(B553,6)))*(casos!$B:$B=C553), 0)), "")</f>
        <v>19791</v>
      </c>
      <c r="M553" cm="1">
        <f t="array" ref="M553">IFERROR(INDEX(srag!$D:$D, MATCH(1, (VALUE(LEFT(srag!$A:$A,6))=VALUE(LEFT(B553,6)))*(srag!$C:$C=C553), 0)), "")</f>
        <v>5768</v>
      </c>
      <c r="N553" cm="1">
        <f t="array" aca="1" ref="N553" ca="1">IFERROR(INDEX(fesp!$E:$E, MATCH(1, (VALUE(LEFT(fesp!$A:$A,6))=VALUE(LEFT(B553,6)))*(fesp!$C:$C=C553), 0)), "")</f>
        <v>3176</v>
      </c>
      <c r="O553" cm="1">
        <f t="array" aca="1" ref="O553" ca="1">IFERROR(INDEX(fesp!$F:$F, MATCH(1, (VALUE(LEFT(fesp!$A:$A,6))=VALUE(LEFT(B553,6)))*(fesp!$C:$C=C553), 0)), "")</f>
        <v>68590</v>
      </c>
      <c r="P553" cm="1">
        <f t="array" aca="1" ref="P553" ca="1">IFERROR(INDEX(fesp!$G:$G, MATCH(1, (VALUE(LEFT(fesp!$A:$A,6))=VALUE(LEFT(B553,6)))*(fesp!$C:$C=C553), 0)), "")</f>
        <v>84086803</v>
      </c>
      <c r="Q553" cm="1">
        <f t="array" aca="1" ref="Q553" ca="1">IFERROR(INDEX(fesp!$H:$H, MATCH(1, (VALUE(LEFT(fesp!$A:$A,6))=VALUE(LEFT(B553,6)))*(fesp!$C:$C=C553), 0)), "")</f>
        <v>2379</v>
      </c>
      <c r="R553" cm="1">
        <f t="array" aca="1" ref="R553" ca="1">IFERROR(INDEX(fesp!$I:$I, MATCH(1, (VALUE(LEFT(fesp!$A:$A,6))=VALUE(LEFT(B553,6)))*(fesp!$C:$C=C553), 0)), "")</f>
        <v>801343</v>
      </c>
      <c r="S553" cm="1">
        <f t="array" aca="1" ref="S553" ca="1">IFERROR(INDEX(fesp!$J:$J, MATCH(1, (VALUE(LEFT(fesp!$A:$A,6))=VALUE(LEFT(B553,6)))*(fesp!$C:$C=C553), 0)), "")</f>
        <v>7811065</v>
      </c>
    </row>
    <row r="554" spans="1:19">
      <c r="A554" s="1" t="s">
        <v>1</v>
      </c>
      <c r="B554" s="3">
        <v>355030</v>
      </c>
      <c r="C554" s="4">
        <v>2017</v>
      </c>
      <c r="D554" cm="1">
        <f t="array" ref="D554">IFERROR(INDEX(fesp!$D:$D, MATCH(1, (VALUE(LEFT(fesp!$A:$A,6))=VALUE(LEFT(B554,6)))*(fesp!$C:$C=C554), 0)), "")</f>
        <v>0</v>
      </c>
      <c r="E554" cm="1">
        <f t="array" aca="1" ref="E554" ca="1">IFERROR(INDEX(ft_medicos_clinicos!$C:$C, MATCH(1, (VALUE(LEFT(ft_medicos_clinicos!$A:$A,6))=VALUE(LEFT(B554,6)))*(ft_medicos_clinicos!$B:$B=C554), 0)), "")</f>
        <v>6647</v>
      </c>
      <c r="F554" cm="1">
        <f t="array" aca="1" ref="F554" ca="1">IFERROR(INDEX(ft_enfermeiros!$C:$C, MATCH(1, (VALUE(LEFT(ft_enfermeiros!$A:$A,6))=VALUE(LEFT(B554,6)))*(ft_enfermeiros!$B:$B=C554), 0)), "")</f>
        <v>18943</v>
      </c>
      <c r="G554" cm="1">
        <f t="array" aca="1" ref="G554" ca="1">IFERROR(INDEX(ft_equipes_acs!$C:$C, MATCH(1, (VALUE(LEFT(ft_equipes_acs!$A:$A,6))=VALUE(LEFT(B554,6)))*(ft_equipes_acs!$B:$B=C554), 0)), "")</f>
        <v>49</v>
      </c>
      <c r="H554" cm="1">
        <f t="array" aca="1" ref="H554" ca="1">IFERROR(INDEX(ci_leitos_internacao!$C:$C, MATCH(1, (VALUE(LEFT(ci_leitos_internacao!$A:$A,6))=VALUE(LEFT(B554,6)))*(ci_leitos_internacao!$B:$B=C554), 0)), "")</f>
        <v>29386</v>
      </c>
      <c r="I554" cm="1">
        <f t="array" aca="1" ref="I554" ca="1">IFERROR(INDEX(ci_hospitais_internacao!$C:$C, MATCH(1, (VALUE(LEFT(ci_hospitais_internacao!$A:$A,6))=VALUE(LEFT(B554,6)))*(ci_hospitais_internacao!$B:$B=C554), 0)), "")</f>
        <v>55</v>
      </c>
      <c r="J554" t="str" cm="1">
        <f t="array" aca="1" ref="J554" ca="1">IFERROR(INDEX(ci_pa_clinico!$C:$C, MATCH(1, (VALUE(LEFT(ci_pa_clinico!$A:$A,6))=VALUE(LEFT(B554,6)))*(ci_pa_clinico!$B:$B=C554), 0)), "")</f>
        <v/>
      </c>
      <c r="K554" cm="1">
        <f t="array" aca="1" ref="K554" ca="1">IFERROR(INDEX(aps_equipes_esf!$C:$C, MATCH(1, (VALUE(LEFT(aps_equipes_esf!$A:$A,6))=VALUE(LEFT(B554,6)))*(aps_equipes_esf!$B:$B=C554), 0)), "")</f>
        <v>799</v>
      </c>
      <c r="L554" cm="1">
        <f t="array" aca="1" ref="L554" ca="1">IFERROR(INDEX(casos!$C:$C, MATCH(1, (VALUE(LEFT(casos!$A:$A,6))=VALUE(LEFT(B554,6)))*(casos!$B:$B=C554), 0)), "")</f>
        <v>1071</v>
      </c>
      <c r="M554" cm="1">
        <f t="array" ref="M554">IFERROR(INDEX(srag!$D:$D, MATCH(1, (VALUE(LEFT(srag!$A:$A,6))=VALUE(LEFT(B554,6)))*(srag!$C:$C=C554), 0)), "")</f>
        <v>2343</v>
      </c>
      <c r="N554" cm="1">
        <f t="array" aca="1" ref="N554" ca="1">IFERROR(INDEX(fesp!$E:$E, MATCH(1, (VALUE(LEFT(fesp!$A:$A,6))=VALUE(LEFT(B554,6)))*(fesp!$C:$C=C554), 0)), "")</f>
        <v>3367</v>
      </c>
      <c r="O554" cm="1">
        <f t="array" aca="1" ref="O554" ca="1">IFERROR(INDEX(fesp!$F:$F, MATCH(1, (VALUE(LEFT(fesp!$A:$A,6))=VALUE(LEFT(B554,6)))*(fesp!$C:$C=C554), 0)), "")</f>
        <v>63395</v>
      </c>
      <c r="P554" cm="1">
        <f t="array" aca="1" ref="P554" ca="1">IFERROR(INDEX(fesp!$G:$G, MATCH(1, (VALUE(LEFT(fesp!$A:$A,6))=VALUE(LEFT(B554,6)))*(fesp!$C:$C=C554), 0)), "")</f>
        <v>82320591</v>
      </c>
      <c r="Q554" cm="1">
        <f t="array" aca="1" ref="Q554" ca="1">IFERROR(INDEX(fesp!$H:$H, MATCH(1, (VALUE(LEFT(fesp!$A:$A,6))=VALUE(LEFT(B554,6)))*(fesp!$C:$C=C554), 0)), "")</f>
        <v>2262</v>
      </c>
      <c r="R554" cm="1">
        <f t="array" aca="1" ref="R554" ca="1">IFERROR(INDEX(fesp!$I:$I, MATCH(1, (VALUE(LEFT(fesp!$A:$A,6))=VALUE(LEFT(B554,6)))*(fesp!$C:$C=C554), 0)), "")</f>
        <v>872375</v>
      </c>
      <c r="S554" cm="1">
        <f t="array" aca="1" ref="S554" ca="1">IFERROR(INDEX(fesp!$J:$J, MATCH(1, (VALUE(LEFT(fesp!$A:$A,6))=VALUE(LEFT(B554,6)))*(fesp!$C:$C=C554), 0)), "")</f>
        <v>8204898</v>
      </c>
    </row>
    <row r="555" spans="1:19">
      <c r="A555" s="1" t="s">
        <v>1</v>
      </c>
      <c r="B555" s="3">
        <v>355030</v>
      </c>
      <c r="C555" s="4">
        <v>2018</v>
      </c>
      <c r="D555" cm="1">
        <f t="array" ref="D555">IFERROR(INDEX(fesp!$D:$D, MATCH(1, (VALUE(LEFT(fesp!$A:$A,6))=VALUE(LEFT(B555,6)))*(fesp!$C:$C=C555), 0)), "")</f>
        <v>0</v>
      </c>
      <c r="E555" cm="1">
        <f t="array" aca="1" ref="E555" ca="1">IFERROR(INDEX(ft_medicos_clinicos!$C:$C, MATCH(1, (VALUE(LEFT(ft_medicos_clinicos!$A:$A,6))=VALUE(LEFT(B555,6)))*(ft_medicos_clinicos!$B:$B=C555), 0)), "")</f>
        <v>6962</v>
      </c>
      <c r="F555" cm="1">
        <f t="array" aca="1" ref="F555" ca="1">IFERROR(INDEX(ft_enfermeiros!$C:$C, MATCH(1, (VALUE(LEFT(ft_enfermeiros!$A:$A,6))=VALUE(LEFT(B555,6)))*(ft_enfermeiros!$B:$B=C555), 0)), "")</f>
        <v>19946</v>
      </c>
      <c r="G555" cm="1">
        <f t="array" aca="1" ref="G555" ca="1">IFERROR(INDEX(ft_equipes_acs!$C:$C, MATCH(1, (VALUE(LEFT(ft_equipes_acs!$A:$A,6))=VALUE(LEFT(B555,6)))*(ft_equipes_acs!$B:$B=C555), 0)), "")</f>
        <v>58</v>
      </c>
      <c r="H555" cm="1">
        <f t="array" aca="1" ref="H555" ca="1">IFERROR(INDEX(ci_leitos_internacao!$C:$C, MATCH(1, (VALUE(LEFT(ci_leitos_internacao!$A:$A,6))=VALUE(LEFT(B555,6)))*(ci_leitos_internacao!$B:$B=C555), 0)), "")</f>
        <v>29044</v>
      </c>
      <c r="I555" cm="1">
        <f t="array" aca="1" ref="I555" ca="1">IFERROR(INDEX(ci_hospitais_internacao!$C:$C, MATCH(1, (VALUE(LEFT(ci_hospitais_internacao!$A:$A,6))=VALUE(LEFT(B555,6)))*(ci_hospitais_internacao!$B:$B=C555), 0)), "")</f>
        <v>55</v>
      </c>
      <c r="J555" t="str" cm="1">
        <f t="array" aca="1" ref="J555" ca="1">IFERROR(INDEX(ci_pa_clinico!$C:$C, MATCH(1, (VALUE(LEFT(ci_pa_clinico!$A:$A,6))=VALUE(LEFT(B555,6)))*(ci_pa_clinico!$B:$B=C555), 0)), "")</f>
        <v/>
      </c>
      <c r="K555" cm="1">
        <f t="array" aca="1" ref="K555" ca="1">IFERROR(INDEX(aps_equipes_esf!$C:$C, MATCH(1, (VALUE(LEFT(aps_equipes_esf!$A:$A,6))=VALUE(LEFT(B555,6)))*(aps_equipes_esf!$B:$B=C555), 0)), "")</f>
        <v>884</v>
      </c>
      <c r="L555" cm="1">
        <f t="array" aca="1" ref="L555" ca="1">IFERROR(INDEX(casos!$C:$C, MATCH(1, (VALUE(LEFT(casos!$A:$A,6))=VALUE(LEFT(B555,6)))*(casos!$B:$B=C555), 0)), "")</f>
        <v>1281</v>
      </c>
      <c r="M555" cm="1">
        <f t="array" ref="M555">IFERROR(INDEX(srag!$D:$D, MATCH(1, (VALUE(LEFT(srag!$A:$A,6))=VALUE(LEFT(B555,6)))*(srag!$C:$C=C555), 0)), "")</f>
        <v>3739</v>
      </c>
      <c r="N555" cm="1">
        <f t="array" aca="1" ref="N555" ca="1">IFERROR(INDEX(fesp!$E:$E, MATCH(1, (VALUE(LEFT(fesp!$A:$A,6))=VALUE(LEFT(B555,6)))*(fesp!$C:$C=C555), 0)), "")</f>
        <v>3266</v>
      </c>
      <c r="O555" cm="1">
        <f t="array" aca="1" ref="O555" ca="1">IFERROR(INDEX(fesp!$F:$F, MATCH(1, (VALUE(LEFT(fesp!$A:$A,6))=VALUE(LEFT(B555,6)))*(fesp!$C:$C=C555), 0)), "")</f>
        <v>64043</v>
      </c>
      <c r="P555" cm="1">
        <f t="array" aca="1" ref="P555" ca="1">IFERROR(INDEX(fesp!$G:$G, MATCH(1, (VALUE(LEFT(fesp!$A:$A,6))=VALUE(LEFT(B555,6)))*(fesp!$C:$C=C555), 0)), "")</f>
        <v>86208957</v>
      </c>
      <c r="Q555" cm="1">
        <f t="array" aca="1" ref="Q555" ca="1">IFERROR(INDEX(fesp!$H:$H, MATCH(1, (VALUE(LEFT(fesp!$A:$A,6))=VALUE(LEFT(B555,6)))*(fesp!$C:$C=C555), 0)), "")</f>
        <v>1936</v>
      </c>
      <c r="R555" cm="1">
        <f t="array" aca="1" ref="R555" ca="1">IFERROR(INDEX(fesp!$I:$I, MATCH(1, (VALUE(LEFT(fesp!$A:$A,6))=VALUE(LEFT(B555,6)))*(fesp!$C:$C=C555), 0)), "")</f>
        <v>839713</v>
      </c>
      <c r="S555" cm="1">
        <f t="array" aca="1" ref="S555" ca="1">IFERROR(INDEX(fesp!$J:$J, MATCH(1, (VALUE(LEFT(fesp!$A:$A,6))=VALUE(LEFT(B555,6)))*(fesp!$C:$C=C555), 0)), "")</f>
        <v>8000108</v>
      </c>
    </row>
    <row r="556" spans="1:19">
      <c r="A556" s="1" t="s">
        <v>1</v>
      </c>
      <c r="B556" s="3">
        <v>355030</v>
      </c>
      <c r="C556" s="4">
        <v>2019</v>
      </c>
      <c r="D556" cm="1">
        <f t="array" ref="D556">IFERROR(INDEX(fesp!$D:$D, MATCH(1, (VALUE(LEFT(fesp!$A:$A,6))=VALUE(LEFT(B556,6)))*(fesp!$C:$C=C556), 0)), "")</f>
        <v>0</v>
      </c>
      <c r="E556" cm="1">
        <f t="array" aca="1" ref="E556" ca="1">IFERROR(INDEX(ft_medicos_clinicos!$C:$C, MATCH(1, (VALUE(LEFT(ft_medicos_clinicos!$A:$A,6))=VALUE(LEFT(B556,6)))*(ft_medicos_clinicos!$B:$B=C556), 0)), "")</f>
        <v>7043</v>
      </c>
      <c r="F556" cm="1">
        <f t="array" aca="1" ref="F556" ca="1">IFERROR(INDEX(ft_enfermeiros!$C:$C, MATCH(1, (VALUE(LEFT(ft_enfermeiros!$A:$A,6))=VALUE(LEFT(B556,6)))*(ft_enfermeiros!$B:$B=C556), 0)), "")</f>
        <v>21000</v>
      </c>
      <c r="G556" cm="1">
        <f t="array" aca="1" ref="G556" ca="1">IFERROR(INDEX(ft_equipes_acs!$C:$C, MATCH(1, (VALUE(LEFT(ft_equipes_acs!$A:$A,6))=VALUE(LEFT(B556,6)))*(ft_equipes_acs!$B:$B=C556), 0)), "")</f>
        <v>72</v>
      </c>
      <c r="H556" cm="1">
        <f t="array" aca="1" ref="H556" ca="1">IFERROR(INDEX(ci_leitos_internacao!$C:$C, MATCH(1, (VALUE(LEFT(ci_leitos_internacao!$A:$A,6))=VALUE(LEFT(B556,6)))*(ci_leitos_internacao!$B:$B=C556), 0)), "")</f>
        <v>28529</v>
      </c>
      <c r="I556" cm="1">
        <f t="array" aca="1" ref="I556" ca="1">IFERROR(INDEX(ci_hospitais_internacao!$C:$C, MATCH(1, (VALUE(LEFT(ci_hospitais_internacao!$A:$A,6))=VALUE(LEFT(B556,6)))*(ci_hospitais_internacao!$B:$B=C556), 0)), "")</f>
        <v>55</v>
      </c>
      <c r="J556" t="str" cm="1">
        <f t="array" aca="1" ref="J556" ca="1">IFERROR(INDEX(ci_pa_clinico!$C:$C, MATCH(1, (VALUE(LEFT(ci_pa_clinico!$A:$A,6))=VALUE(LEFT(B556,6)))*(ci_pa_clinico!$B:$B=C556), 0)), "")</f>
        <v/>
      </c>
      <c r="K556" cm="1">
        <f t="array" aca="1" ref="K556" ca="1">IFERROR(INDEX(aps_equipes_esf!$C:$C, MATCH(1, (VALUE(LEFT(aps_equipes_esf!$A:$A,6))=VALUE(LEFT(B556,6)))*(aps_equipes_esf!$B:$B=C556), 0)), "")</f>
        <v>900</v>
      </c>
      <c r="L556" cm="1">
        <f t="array" aca="1" ref="L556" ca="1">IFERROR(INDEX(casos!$C:$C, MATCH(1, (VALUE(LEFT(casos!$A:$A,6))=VALUE(LEFT(B556,6)))*(casos!$B:$B=C556), 0)), "")</f>
        <v>20899</v>
      </c>
      <c r="M556" cm="1">
        <f t="array" ref="M556">IFERROR(INDEX(srag!$D:$D, MATCH(1, (VALUE(LEFT(srag!$A:$A,6))=VALUE(LEFT(B556,6)))*(srag!$C:$C=C556), 0)), "")</f>
        <v>3213</v>
      </c>
      <c r="N556" cm="1">
        <f t="array" aca="1" ref="N556" ca="1">IFERROR(INDEX(fesp!$E:$E, MATCH(1, (VALUE(LEFT(fesp!$A:$A,6))=VALUE(LEFT(B556,6)))*(fesp!$C:$C=C556), 0)), "")</f>
        <v>3009</v>
      </c>
      <c r="O556" cm="1">
        <f t="array" aca="1" ref="O556" ca="1">IFERROR(INDEX(fesp!$F:$F, MATCH(1, (VALUE(LEFT(fesp!$A:$A,6))=VALUE(LEFT(B556,6)))*(fesp!$C:$C=C556), 0)), "")</f>
        <v>86657</v>
      </c>
      <c r="P556" cm="1">
        <f t="array" aca="1" ref="P556" ca="1">IFERROR(INDEX(fesp!$G:$G, MATCH(1, (VALUE(LEFT(fesp!$A:$A,6))=VALUE(LEFT(B556,6)))*(fesp!$C:$C=C556), 0)), "")</f>
        <v>89321316</v>
      </c>
      <c r="Q556" cm="1">
        <f t="array" aca="1" ref="Q556" ca="1">IFERROR(INDEX(fesp!$H:$H, MATCH(1, (VALUE(LEFT(fesp!$A:$A,6))=VALUE(LEFT(B556,6)))*(fesp!$C:$C=C556), 0)), "")</f>
        <v>1877</v>
      </c>
      <c r="R556" cm="1">
        <f t="array" aca="1" ref="R556" ca="1">IFERROR(INDEX(fesp!$I:$I, MATCH(1, (VALUE(LEFT(fesp!$A:$A,6))=VALUE(LEFT(B556,6)))*(fesp!$C:$C=C556), 0)), "")</f>
        <v>863357</v>
      </c>
      <c r="S556" cm="1">
        <f t="array" aca="1" ref="S556" ca="1">IFERROR(INDEX(fesp!$J:$J, MATCH(1, (VALUE(LEFT(fesp!$A:$A,6))=VALUE(LEFT(B556,6)))*(fesp!$C:$C=C556), 0)), "")</f>
        <v>8417700</v>
      </c>
    </row>
    <row r="557" spans="1:19">
      <c r="A557" s="1" t="s">
        <v>1</v>
      </c>
      <c r="B557" s="3">
        <v>355030</v>
      </c>
      <c r="C557" s="4">
        <v>2020</v>
      </c>
      <c r="D557" cm="1">
        <f t="array" ref="D557">IFERROR(INDEX(fesp!$D:$D, MATCH(1, (VALUE(LEFT(fesp!$A:$A,6))=VALUE(LEFT(B557,6)))*(fesp!$C:$C=C557), 0)), "")</f>
        <v>0</v>
      </c>
      <c r="E557" cm="1">
        <f t="array" aca="1" ref="E557" ca="1">IFERROR(INDEX(ft_medicos_clinicos!$C:$C, MATCH(1, (VALUE(LEFT(ft_medicos_clinicos!$A:$A,6))=VALUE(LEFT(B557,6)))*(ft_medicos_clinicos!$B:$B=C557), 0)), "")</f>
        <v>8782</v>
      </c>
      <c r="F557" cm="1">
        <f t="array" aca="1" ref="F557" ca="1">IFERROR(INDEX(ft_enfermeiros!$C:$C, MATCH(1, (VALUE(LEFT(ft_enfermeiros!$A:$A,6))=VALUE(LEFT(B557,6)))*(ft_enfermeiros!$B:$B=C557), 0)), "")</f>
        <v>23330</v>
      </c>
      <c r="G557" cm="1">
        <f t="array" aca="1" ref="G557" ca="1">IFERROR(INDEX(ft_equipes_acs!$C:$C, MATCH(1, (VALUE(LEFT(ft_equipes_acs!$A:$A,6))=VALUE(LEFT(B557,6)))*(ft_equipes_acs!$B:$B=C557), 0)), "")</f>
        <v>1</v>
      </c>
      <c r="H557" cm="1">
        <f t="array" aca="1" ref="H557" ca="1">IFERROR(INDEX(ci_leitos_internacao!$C:$C, MATCH(1, (VALUE(LEFT(ci_leitos_internacao!$A:$A,6))=VALUE(LEFT(B557,6)))*(ci_leitos_internacao!$B:$B=C557), 0)), "")</f>
        <v>28872</v>
      </c>
      <c r="I557" cm="1">
        <f t="array" aca="1" ref="I557" ca="1">IFERROR(INDEX(ci_hospitais_internacao!$C:$C, MATCH(1, (VALUE(LEFT(ci_hospitais_internacao!$A:$A,6))=VALUE(LEFT(B557,6)))*(ci_hospitais_internacao!$B:$B=C557), 0)), "")</f>
        <v>65</v>
      </c>
      <c r="J557" t="str" cm="1">
        <f t="array" aca="1" ref="J557" ca="1">IFERROR(INDEX(ci_pa_clinico!$C:$C, MATCH(1, (VALUE(LEFT(ci_pa_clinico!$A:$A,6))=VALUE(LEFT(B557,6)))*(ci_pa_clinico!$B:$B=C557), 0)), "")</f>
        <v/>
      </c>
      <c r="K557" cm="1">
        <f t="array" aca="1" ref="K557" ca="1">IFERROR(INDEX(aps_equipes_esf!$C:$C, MATCH(1, (VALUE(LEFT(aps_equipes_esf!$A:$A,6))=VALUE(LEFT(B557,6)))*(aps_equipes_esf!$B:$B=C557), 0)), "")</f>
        <v>6</v>
      </c>
      <c r="L557" cm="1">
        <f t="array" aca="1" ref="L557" ca="1">IFERROR(INDEX(casos!$C:$C, MATCH(1, (VALUE(LEFT(casos!$A:$A,6))=VALUE(LEFT(B557,6)))*(casos!$B:$B=C557), 0)), "")</f>
        <v>2507</v>
      </c>
      <c r="M557" cm="1">
        <f t="array" ref="M557">IFERROR(INDEX(srag!$D:$D, MATCH(1, (VALUE(LEFT(srag!$A:$A,6))=VALUE(LEFT(B557,6)))*(srag!$C:$C=C557), 0)), "")</f>
        <v>120189</v>
      </c>
      <c r="N557" cm="1">
        <f t="array" aca="1" ref="N557" ca="1">IFERROR(INDEX(fesp!$E:$E, MATCH(1, (VALUE(LEFT(fesp!$A:$A,6))=VALUE(LEFT(B557,6)))*(fesp!$C:$C=C557), 0)), "")</f>
        <v>2554</v>
      </c>
      <c r="O557" cm="1">
        <f t="array" aca="1" ref="O557" ca="1">IFERROR(INDEX(fesp!$F:$F, MATCH(1, (VALUE(LEFT(fesp!$A:$A,6))=VALUE(LEFT(B557,6)))*(fesp!$C:$C=C557), 0)), "")</f>
        <v>52623</v>
      </c>
      <c r="P557" cm="1">
        <f t="array" aca="1" ref="P557" ca="1">IFERROR(INDEX(fesp!$G:$G, MATCH(1, (VALUE(LEFT(fesp!$A:$A,6))=VALUE(LEFT(B557,6)))*(fesp!$C:$C=C557), 0)), "")</f>
        <v>68990248</v>
      </c>
      <c r="Q557" cm="1">
        <f t="array" aca="1" ref="Q557" ca="1">IFERROR(INDEX(fesp!$H:$H, MATCH(1, (VALUE(LEFT(fesp!$A:$A,6))=VALUE(LEFT(B557,6)))*(fesp!$C:$C=C557), 0)), "")</f>
        <v>1742</v>
      </c>
      <c r="R557" cm="1">
        <f t="array" aca="1" ref="R557" ca="1">IFERROR(INDEX(fesp!$I:$I, MATCH(1, (VALUE(LEFT(fesp!$A:$A,6))=VALUE(LEFT(B557,6)))*(fesp!$C:$C=C557), 0)), "")</f>
        <v>839754</v>
      </c>
      <c r="S557" cm="1">
        <f t="array" aca="1" ref="S557" ca="1">IFERROR(INDEX(fesp!$J:$J, MATCH(1, (VALUE(LEFT(fesp!$A:$A,6))=VALUE(LEFT(B557,6)))*(fesp!$C:$C=C557), 0)), "")</f>
        <v>6589841</v>
      </c>
    </row>
    <row r="558" spans="1:19">
      <c r="A558" s="1" t="s">
        <v>1</v>
      </c>
      <c r="B558" s="3">
        <v>355030</v>
      </c>
      <c r="C558" s="4">
        <v>2021</v>
      </c>
      <c r="D558" cm="1">
        <f t="array" ref="D558">IFERROR(INDEX(fesp!$D:$D, MATCH(1, (VALUE(LEFT(fesp!$A:$A,6))=VALUE(LEFT(B558,6)))*(fesp!$C:$C=C558), 0)), "")</f>
        <v>0</v>
      </c>
      <c r="E558" cm="1">
        <f t="array" aca="1" ref="E558" ca="1">IFERROR(INDEX(ft_medicos_clinicos!$C:$C, MATCH(1, (VALUE(LEFT(ft_medicos_clinicos!$A:$A,6))=VALUE(LEFT(B558,6)))*(ft_medicos_clinicos!$B:$B=C558), 0)), "")</f>
        <v>9808</v>
      </c>
      <c r="F558" cm="1">
        <f t="array" aca="1" ref="F558" ca="1">IFERROR(INDEX(ft_enfermeiros!$C:$C, MATCH(1, (VALUE(LEFT(ft_enfermeiros!$A:$A,6))=VALUE(LEFT(B558,6)))*(ft_enfermeiros!$B:$B=C558), 0)), "")</f>
        <v>25002</v>
      </c>
      <c r="G558" cm="1">
        <f t="array" aca="1" ref="G558" ca="1">IFERROR(INDEX(ft_equipes_acs!$C:$C, MATCH(1, (VALUE(LEFT(ft_equipes_acs!$A:$A,6))=VALUE(LEFT(B558,6)))*(ft_equipes_acs!$B:$B=C558), 0)), "")</f>
        <v>1</v>
      </c>
      <c r="H558" cm="1">
        <f t="array" aca="1" ref="H558" ca="1">IFERROR(INDEX(ci_leitos_internacao!$C:$C, MATCH(1, (VALUE(LEFT(ci_leitos_internacao!$A:$A,6))=VALUE(LEFT(B558,6)))*(ci_leitos_internacao!$B:$B=C558), 0)), "")</f>
        <v>29783</v>
      </c>
      <c r="I558" cm="1">
        <f t="array" aca="1" ref="I558" ca="1">IFERROR(INDEX(ci_hospitais_internacao!$C:$C, MATCH(1, (VALUE(LEFT(ci_hospitais_internacao!$A:$A,6))=VALUE(LEFT(B558,6)))*(ci_hospitais_internacao!$B:$B=C558), 0)), "")</f>
        <v>74</v>
      </c>
      <c r="J558" t="str" cm="1">
        <f t="array" aca="1" ref="J558" ca="1">IFERROR(INDEX(ci_pa_clinico!$C:$C, MATCH(1, (VALUE(LEFT(ci_pa_clinico!$A:$A,6))=VALUE(LEFT(B558,6)))*(ci_pa_clinico!$B:$B=C558), 0)), "")</f>
        <v/>
      </c>
      <c r="K558" cm="1">
        <f t="array" aca="1" ref="K558" ca="1">IFERROR(INDEX(aps_equipes_esf!$C:$C, MATCH(1, (VALUE(LEFT(aps_equipes_esf!$A:$A,6))=VALUE(LEFT(B558,6)))*(aps_equipes_esf!$B:$B=C558), 0)), "")</f>
        <v>6</v>
      </c>
      <c r="L558" cm="1">
        <f t="array" aca="1" ref="L558" ca="1">IFERROR(INDEX(casos!$C:$C, MATCH(1, (VALUE(LEFT(casos!$A:$A,6))=VALUE(LEFT(B558,6)))*(casos!$B:$B=C558), 0)), "")</f>
        <v>8803</v>
      </c>
      <c r="M558" cm="1">
        <f t="array" ref="M558">IFERROR(INDEX(srag!$D:$D, MATCH(1, (VALUE(LEFT(srag!$A:$A,6))=VALUE(LEFT(B558,6)))*(srag!$C:$C=C558), 0)), "")</f>
        <v>132100</v>
      </c>
      <c r="N558" cm="1">
        <f t="array" aca="1" ref="N558" ca="1">IFERROR(INDEX(fesp!$E:$E, MATCH(1, (VALUE(LEFT(fesp!$A:$A,6))=VALUE(LEFT(B558,6)))*(fesp!$C:$C=C558), 0)), "")</f>
        <v>2416</v>
      </c>
      <c r="O558" cm="1">
        <f t="array" aca="1" ref="O558" ca="1">IFERROR(INDEX(fesp!$F:$F, MATCH(1, (VALUE(LEFT(fesp!$A:$A,6))=VALUE(LEFT(B558,6)))*(fesp!$C:$C=C558), 0)), "")</f>
        <v>84350</v>
      </c>
      <c r="P558" cm="1">
        <f t="array" aca="1" ref="P558" ca="1">IFERROR(INDEX(fesp!$G:$G, MATCH(1, (VALUE(LEFT(fesp!$A:$A,6))=VALUE(LEFT(B558,6)))*(fesp!$C:$C=C558), 0)), "")</f>
        <v>82500986</v>
      </c>
      <c r="Q558" cm="1">
        <f t="array" aca="1" ref="Q558" ca="1">IFERROR(INDEX(fesp!$H:$H, MATCH(1, (VALUE(LEFT(fesp!$A:$A,6))=VALUE(LEFT(B558,6)))*(fesp!$C:$C=C558), 0)), "")</f>
        <v>1506</v>
      </c>
      <c r="R558" cm="1">
        <f t="array" aca="1" ref="R558" ca="1">IFERROR(INDEX(fesp!$I:$I, MATCH(1, (VALUE(LEFT(fesp!$A:$A,6))=VALUE(LEFT(B558,6)))*(fesp!$C:$C=C558), 0)), "")</f>
        <v>768883</v>
      </c>
      <c r="S558" cm="1">
        <f t="array" aca="1" ref="S558" ca="1">IFERROR(INDEX(fesp!$J:$J, MATCH(1, (VALUE(LEFT(fesp!$A:$A,6))=VALUE(LEFT(B558,6)))*(fesp!$C:$C=C558), 0)), "")</f>
        <v>8086209</v>
      </c>
    </row>
    <row r="559" spans="1:19">
      <c r="A559" s="1" t="s">
        <v>1</v>
      </c>
      <c r="B559" s="3">
        <v>355030</v>
      </c>
      <c r="C559" s="4">
        <v>2022</v>
      </c>
      <c r="D559" cm="1">
        <f t="array" ref="D559">IFERROR(INDEX(fesp!$D:$D, MATCH(1, (VALUE(LEFT(fesp!$A:$A,6))=VALUE(LEFT(B559,6)))*(fesp!$C:$C=C559), 0)), "")</f>
        <v>11451999</v>
      </c>
      <c r="E559" cm="1">
        <f t="array" aca="1" ref="E559" ca="1">IFERROR(INDEX(ft_medicos_clinicos!$C:$C, MATCH(1, (VALUE(LEFT(ft_medicos_clinicos!$A:$A,6))=VALUE(LEFT(B559,6)))*(ft_medicos_clinicos!$B:$B=C559), 0)), "")</f>
        <v>10453</v>
      </c>
      <c r="F559" cm="1">
        <f t="array" aca="1" ref="F559" ca="1">IFERROR(INDEX(ft_enfermeiros!$C:$C, MATCH(1, (VALUE(LEFT(ft_enfermeiros!$A:$A,6))=VALUE(LEFT(B559,6)))*(ft_enfermeiros!$B:$B=C559), 0)), "")</f>
        <v>25986</v>
      </c>
      <c r="G559" cm="1">
        <f t="array" aca="1" ref="G559" ca="1">IFERROR(INDEX(ft_equipes_acs!$C:$C, MATCH(1, (VALUE(LEFT(ft_equipes_acs!$A:$A,6))=VALUE(LEFT(B559,6)))*(ft_equipes_acs!$B:$B=C559), 0)), "")</f>
        <v>1</v>
      </c>
      <c r="H559" cm="1">
        <f t="array" aca="1" ref="H559" ca="1">IFERROR(INDEX(ci_leitos_internacao!$C:$C, MATCH(1, (VALUE(LEFT(ci_leitos_internacao!$A:$A,6))=VALUE(LEFT(B559,6)))*(ci_leitos_internacao!$B:$B=C559), 0)), "")</f>
        <v>29746</v>
      </c>
      <c r="I559" cm="1">
        <f t="array" aca="1" ref="I559" ca="1">IFERROR(INDEX(ci_hospitais_internacao!$C:$C, MATCH(1, (VALUE(LEFT(ci_hospitais_internacao!$A:$A,6))=VALUE(LEFT(B559,6)))*(ci_hospitais_internacao!$B:$B=C559), 0)), "")</f>
        <v>67</v>
      </c>
      <c r="J559" t="str" cm="1">
        <f t="array" aca="1" ref="J559" ca="1">IFERROR(INDEX(ci_pa_clinico!$C:$C, MATCH(1, (VALUE(LEFT(ci_pa_clinico!$A:$A,6))=VALUE(LEFT(B559,6)))*(ci_pa_clinico!$B:$B=C559), 0)), "")</f>
        <v/>
      </c>
      <c r="K559" cm="1">
        <f t="array" aca="1" ref="K559" ca="1">IFERROR(INDEX(aps_equipes_esf!$C:$C, MATCH(1, (VALUE(LEFT(aps_equipes_esf!$A:$A,6))=VALUE(LEFT(B559,6)))*(aps_equipes_esf!$B:$B=C559), 0)), "")</f>
        <v>6</v>
      </c>
      <c r="L559" cm="1">
        <f t="array" aca="1" ref="L559" ca="1">IFERROR(INDEX(casos!$C:$C, MATCH(1, (VALUE(LEFT(casos!$A:$A,6))=VALUE(LEFT(B559,6)))*(casos!$B:$B=C559), 0)), "")</f>
        <v>13191</v>
      </c>
      <c r="M559" cm="1">
        <f t="array" ref="M559">IFERROR(INDEX(srag!$D:$D, MATCH(1, (VALUE(LEFT(srag!$A:$A,6))=VALUE(LEFT(B559,6)))*(srag!$C:$C=C559), 0)), "")</f>
        <v>44275</v>
      </c>
      <c r="N559" cm="1">
        <f t="array" aca="1" ref="N559" ca="1">IFERROR(INDEX(fesp!$E:$E, MATCH(1, (VALUE(LEFT(fesp!$A:$A,6))=VALUE(LEFT(B559,6)))*(fesp!$C:$C=C559), 0)), "")</f>
        <v>2352</v>
      </c>
      <c r="O559" cm="1">
        <f t="array" aca="1" ref="O559" ca="1">IFERROR(INDEX(fesp!$F:$F, MATCH(1, (VALUE(LEFT(fesp!$A:$A,6))=VALUE(LEFT(B559,6)))*(fesp!$C:$C=C559), 0)), "")</f>
        <v>93044</v>
      </c>
      <c r="P559" cm="1">
        <f t="array" aca="1" ref="P559" ca="1">IFERROR(INDEX(fesp!$G:$G, MATCH(1, (VALUE(LEFT(fesp!$A:$A,6))=VALUE(LEFT(B559,6)))*(fesp!$C:$C=C559), 0)), "")</f>
        <v>94638134</v>
      </c>
      <c r="Q559" cm="1">
        <f t="array" aca="1" ref="Q559" ca="1">IFERROR(INDEX(fesp!$H:$H, MATCH(1, (VALUE(LEFT(fesp!$A:$A,6))=VALUE(LEFT(B559,6)))*(fesp!$C:$C=C559), 0)), "")</f>
        <v>1635</v>
      </c>
      <c r="R559" cm="1">
        <f t="array" aca="1" ref="R559" ca="1">IFERROR(INDEX(fesp!$I:$I, MATCH(1, (VALUE(LEFT(fesp!$A:$A,6))=VALUE(LEFT(B559,6)))*(fesp!$C:$C=C559), 0)), "")</f>
        <v>739618</v>
      </c>
      <c r="S559" cm="1">
        <f t="array" aca="1" ref="S559" ca="1">IFERROR(INDEX(fesp!$J:$J, MATCH(1, (VALUE(LEFT(fesp!$A:$A,6))=VALUE(LEFT(B559,6)))*(fesp!$C:$C=C559), 0)), "")</f>
        <v>9824929</v>
      </c>
    </row>
    <row r="560" spans="1:19">
      <c r="A560" s="1" t="s">
        <v>1</v>
      </c>
      <c r="B560" s="3">
        <v>355030</v>
      </c>
      <c r="C560" s="4">
        <v>2023</v>
      </c>
      <c r="D560" cm="1">
        <f t="array" ref="D560">IFERROR(INDEX(fesp!$D:$D, MATCH(1, (VALUE(LEFT(fesp!$A:$A,6))=VALUE(LEFT(B560,6)))*(fesp!$C:$C=C560), 0)), "")</f>
        <v>0</v>
      </c>
      <c r="E560" cm="1">
        <f t="array" aca="1" ref="E560" ca="1">IFERROR(INDEX(ft_medicos_clinicos!$C:$C, MATCH(1, (VALUE(LEFT(ft_medicos_clinicos!$A:$A,6))=VALUE(LEFT(B560,6)))*(ft_medicos_clinicos!$B:$B=C560), 0)), "")</f>
        <v>11122</v>
      </c>
      <c r="F560" cm="1">
        <f t="array" aca="1" ref="F560" ca="1">IFERROR(INDEX(ft_enfermeiros!$C:$C, MATCH(1, (VALUE(LEFT(ft_enfermeiros!$A:$A,6))=VALUE(LEFT(B560,6)))*(ft_enfermeiros!$B:$B=C560), 0)), "")</f>
        <v>27383</v>
      </c>
      <c r="G560" cm="1">
        <f t="array" aca="1" ref="G560" ca="1">IFERROR(INDEX(ft_equipes_acs!$C:$C, MATCH(1, (VALUE(LEFT(ft_equipes_acs!$A:$A,6))=VALUE(LEFT(B560,6)))*(ft_equipes_acs!$B:$B=C560), 0)), "")</f>
        <v>1</v>
      </c>
      <c r="H560" cm="1">
        <f t="array" aca="1" ref="H560" ca="1">IFERROR(INDEX(ci_leitos_internacao!$C:$C, MATCH(1, (VALUE(LEFT(ci_leitos_internacao!$A:$A,6))=VALUE(LEFT(B560,6)))*(ci_leitos_internacao!$B:$B=C560), 0)), "")</f>
        <v>30215</v>
      </c>
      <c r="I560" cm="1">
        <f t="array" aca="1" ref="I560" ca="1">IFERROR(INDEX(ci_hospitais_internacao!$C:$C, MATCH(1, (VALUE(LEFT(ci_hospitais_internacao!$A:$A,6))=VALUE(LEFT(B560,6)))*(ci_hospitais_internacao!$B:$B=C560), 0)), "")</f>
        <v>66</v>
      </c>
      <c r="J560" t="str" cm="1">
        <f t="array" aca="1" ref="J560" ca="1">IFERROR(INDEX(ci_pa_clinico!$C:$C, MATCH(1, (VALUE(LEFT(ci_pa_clinico!$A:$A,6))=VALUE(LEFT(B560,6)))*(ci_pa_clinico!$B:$B=C560), 0)), "")</f>
        <v/>
      </c>
      <c r="K560" cm="1">
        <f t="array" aca="1" ref="K560" ca="1">IFERROR(INDEX(aps_equipes_esf!$C:$C, MATCH(1, (VALUE(LEFT(aps_equipes_esf!$A:$A,6))=VALUE(LEFT(B560,6)))*(aps_equipes_esf!$B:$B=C560), 0)), "")</f>
        <v>6</v>
      </c>
      <c r="L560" cm="1">
        <f t="array" aca="1" ref="L560" ca="1">IFERROR(INDEX(casos!$C:$C, MATCH(1, (VALUE(LEFT(casos!$A:$A,6))=VALUE(LEFT(B560,6)))*(casos!$B:$B=C560), 0)), "")</f>
        <v>15421</v>
      </c>
      <c r="M560" cm="1">
        <f t="array" ref="M560">IFERROR(INDEX(srag!$D:$D, MATCH(1, (VALUE(LEFT(srag!$A:$A,6))=VALUE(LEFT(B560,6)))*(srag!$C:$C=C560), 0)), "")</f>
        <v>20794</v>
      </c>
      <c r="N560" cm="1">
        <f t="array" aca="1" ref="N560" ca="1">IFERROR(INDEX(fesp!$E:$E, MATCH(1, (VALUE(LEFT(fesp!$A:$A,6))=VALUE(LEFT(B560,6)))*(fesp!$C:$C=C560), 0)), "")</f>
        <v>2468</v>
      </c>
      <c r="O560" cm="1">
        <f t="array" aca="1" ref="O560" ca="1">IFERROR(INDEX(fesp!$F:$F, MATCH(1, (VALUE(LEFT(fesp!$A:$A,6))=VALUE(LEFT(B560,6)))*(fesp!$C:$C=C560), 0)), "")</f>
        <v>104477</v>
      </c>
      <c r="P560" cm="1">
        <f t="array" aca="1" ref="P560" ca="1">IFERROR(INDEX(fesp!$G:$G, MATCH(1, (VALUE(LEFT(fesp!$A:$A,6))=VALUE(LEFT(B560,6)))*(fesp!$C:$C=C560), 0)), "")</f>
        <v>98844231</v>
      </c>
      <c r="Q560" cm="1">
        <f t="array" aca="1" ref="Q560" ca="1">IFERROR(INDEX(fesp!$H:$H, MATCH(1, (VALUE(LEFT(fesp!$A:$A,6))=VALUE(LEFT(B560,6)))*(fesp!$C:$C=C560), 0)), "")</f>
        <v>1759</v>
      </c>
      <c r="R560" cm="1">
        <f t="array" aca="1" ref="R560" ca="1">IFERROR(INDEX(fesp!$I:$I, MATCH(1, (VALUE(LEFT(fesp!$A:$A,6))=VALUE(LEFT(B560,6)))*(fesp!$C:$C=C560), 0)), "")</f>
        <v>775995</v>
      </c>
      <c r="S560" cm="1">
        <f t="array" aca="1" ref="S560" ca="1">IFERROR(INDEX(fesp!$J:$J, MATCH(1, (VALUE(LEFT(fesp!$A:$A,6))=VALUE(LEFT(B560,6)))*(fesp!$C:$C=C560), 0)), "")</f>
        <v>10144582</v>
      </c>
    </row>
    <row r="561" spans="1:19">
      <c r="A561" s="1" t="s">
        <v>1</v>
      </c>
      <c r="B561" s="3">
        <v>355030</v>
      </c>
      <c r="C561" s="4">
        <v>2024</v>
      </c>
      <c r="D561" cm="1">
        <f t="array" ref="D561">IFERROR(INDEX(fesp!$D:$D, MATCH(1, (VALUE(LEFT(fesp!$A:$A,6))=VALUE(LEFT(B561,6)))*(fesp!$C:$C=C561), 0)), "")</f>
        <v>0</v>
      </c>
      <c r="E561" cm="1">
        <f t="array" aca="1" ref="E561" ca="1">IFERROR(INDEX(ft_medicos_clinicos!$C:$C, MATCH(1, (VALUE(LEFT(ft_medicos_clinicos!$A:$A,6))=VALUE(LEFT(B561,6)))*(ft_medicos_clinicos!$B:$B=C561), 0)), "")</f>
        <v>12142</v>
      </c>
      <c r="F561" cm="1">
        <f t="array" aca="1" ref="F561" ca="1">IFERROR(INDEX(ft_enfermeiros!$C:$C, MATCH(1, (VALUE(LEFT(ft_enfermeiros!$A:$A,6))=VALUE(LEFT(B561,6)))*(ft_enfermeiros!$B:$B=C561), 0)), "")</f>
        <v>29139</v>
      </c>
      <c r="G561" cm="1">
        <f t="array" aca="1" ref="G561" ca="1">IFERROR(INDEX(ft_equipes_acs!$C:$C, MATCH(1, (VALUE(LEFT(ft_equipes_acs!$A:$A,6))=VALUE(LEFT(B561,6)))*(ft_equipes_acs!$B:$B=C561), 0)), "")</f>
        <v>1</v>
      </c>
      <c r="H561" cm="1">
        <f t="array" aca="1" ref="H561" ca="1">IFERROR(INDEX(ci_leitos_internacao!$C:$C, MATCH(1, (VALUE(LEFT(ci_leitos_internacao!$A:$A,6))=VALUE(LEFT(B561,6)))*(ci_leitos_internacao!$B:$B=C561), 0)), "")</f>
        <v>30640</v>
      </c>
      <c r="I561" cm="1">
        <f t="array" aca="1" ref="I561" ca="1">IFERROR(INDEX(ci_hospitais_internacao!$C:$C, MATCH(1, (VALUE(LEFT(ci_hospitais_internacao!$A:$A,6))=VALUE(LEFT(B561,6)))*(ci_hospitais_internacao!$B:$B=C561), 0)), "")</f>
        <v>65</v>
      </c>
      <c r="J561" t="str" cm="1">
        <f t="array" aca="1" ref="J561" ca="1">IFERROR(INDEX(ci_pa_clinico!$C:$C, MATCH(1, (VALUE(LEFT(ci_pa_clinico!$A:$A,6))=VALUE(LEFT(B561,6)))*(ci_pa_clinico!$B:$B=C561), 0)), "")</f>
        <v/>
      </c>
      <c r="K561" cm="1">
        <f t="array" aca="1" ref="K561" ca="1">IFERROR(INDEX(aps_equipes_esf!$C:$C, MATCH(1, (VALUE(LEFT(aps_equipes_esf!$A:$A,6))=VALUE(LEFT(B561,6)))*(aps_equipes_esf!$B:$B=C561), 0)), "")</f>
        <v>6</v>
      </c>
      <c r="L561" cm="1">
        <f t="array" aca="1" ref="L561" ca="1">IFERROR(INDEX(casos!$C:$C, MATCH(1, (VALUE(LEFT(casos!$A:$A,6))=VALUE(LEFT(B561,6)))*(casos!$B:$B=C561), 0)), "")</f>
        <v>658285</v>
      </c>
      <c r="M561" cm="1">
        <f t="array" ref="M561">IFERROR(INDEX(srag!$D:$D, MATCH(1, (VALUE(LEFT(srag!$A:$A,6))=VALUE(LEFT(B561,6)))*(srag!$C:$C=C561), 0)), "")</f>
        <v>17442</v>
      </c>
      <c r="N561" cm="1">
        <f t="array" aca="1" ref="N561" ca="1">IFERROR(INDEX(fesp!$E:$E, MATCH(1, (VALUE(LEFT(fesp!$A:$A,6))=VALUE(LEFT(B561,6)))*(fesp!$C:$C=C561), 0)), "")</f>
        <v>2825</v>
      </c>
      <c r="O561" cm="1">
        <f t="array" aca="1" ref="O561" ca="1">IFERROR(INDEX(fesp!$F:$F, MATCH(1, (VALUE(LEFT(fesp!$A:$A,6))=VALUE(LEFT(B561,6)))*(fesp!$C:$C=C561), 0)), "")</f>
        <v>119994</v>
      </c>
      <c r="P561" cm="1">
        <f t="array" aca="1" ref="P561" ca="1">IFERROR(INDEX(fesp!$G:$G, MATCH(1, (VALUE(LEFT(fesp!$A:$A,6))=VALUE(LEFT(B561,6)))*(fesp!$C:$C=C561), 0)), "")</f>
        <v>92912655</v>
      </c>
      <c r="Q561" cm="1">
        <f t="array" aca="1" ref="Q561" ca="1">IFERROR(INDEX(fesp!$H:$H, MATCH(1, (VALUE(LEFT(fesp!$A:$A,6))=VALUE(LEFT(B561,6)))*(fesp!$C:$C=C561), 0)), "")</f>
        <v>1925</v>
      </c>
      <c r="R561" cm="1">
        <f t="array" aca="1" ref="R561" ca="1">IFERROR(INDEX(fesp!$I:$I, MATCH(1, (VALUE(LEFT(fesp!$A:$A,6))=VALUE(LEFT(B561,6)))*(fesp!$C:$C=C561), 0)), "")</f>
        <v>705503</v>
      </c>
      <c r="S561" cm="1">
        <f t="array" aca="1" ref="S561" ca="1">IFERROR(INDEX(fesp!$J:$J, MATCH(1, (VALUE(LEFT(fesp!$A:$A,6))=VALUE(LEFT(B561,6)))*(fesp!$C:$C=C561), 0)), "")</f>
        <v>10827294</v>
      </c>
    </row>
    <row r="562" spans="1:19">
      <c r="A562" s="1" t="s">
        <v>1</v>
      </c>
      <c r="B562" s="3">
        <v>355030</v>
      </c>
      <c r="C562" s="4">
        <v>2025</v>
      </c>
      <c r="D562" cm="1">
        <f t="array" ref="D562">IFERROR(INDEX(fesp!$D:$D, MATCH(1, (VALUE(LEFT(fesp!$A:$A,6))=VALUE(LEFT(B562,6)))*(fesp!$C:$C=C562), 0)), "")</f>
        <v>0</v>
      </c>
      <c r="E562" cm="1">
        <f t="array" aca="1" ref="E562" ca="1">IFERROR(INDEX(ft_medicos_clinicos!$C:$C, MATCH(1, (VALUE(LEFT(ft_medicos_clinicos!$A:$A,6))=VALUE(LEFT(B562,6)))*(ft_medicos_clinicos!$B:$B=C562), 0)), "")</f>
        <v>12748</v>
      </c>
      <c r="F562" cm="1">
        <f t="array" aca="1" ref="F562" ca="1">IFERROR(INDEX(ft_enfermeiros!$C:$C, MATCH(1, (VALUE(LEFT(ft_enfermeiros!$A:$A,6))=VALUE(LEFT(B562,6)))*(ft_enfermeiros!$B:$B=C562), 0)), "")</f>
        <v>29745</v>
      </c>
      <c r="G562" cm="1">
        <f t="array" aca="1" ref="G562" ca="1">IFERROR(INDEX(ft_equipes_acs!$C:$C, MATCH(1, (VALUE(LEFT(ft_equipes_acs!$A:$A,6))=VALUE(LEFT(B562,6)))*(ft_equipes_acs!$B:$B=C562), 0)), "")</f>
        <v>1</v>
      </c>
      <c r="H562" cm="1">
        <f t="array" aca="1" ref="H562" ca="1">IFERROR(INDEX(ci_leitos_internacao!$C:$C, MATCH(1, (VALUE(LEFT(ci_leitos_internacao!$A:$A,6))=VALUE(LEFT(B562,6)))*(ci_leitos_internacao!$B:$B=C562), 0)), "")</f>
        <v>30351</v>
      </c>
      <c r="I562" cm="1">
        <f t="array" aca="1" ref="I562" ca="1">IFERROR(INDEX(ci_hospitais_internacao!$C:$C, MATCH(1, (VALUE(LEFT(ci_hospitais_internacao!$A:$A,6))=VALUE(LEFT(B562,6)))*(ci_hospitais_internacao!$B:$B=C562), 0)), "")</f>
        <v>68</v>
      </c>
      <c r="J562" t="str" cm="1">
        <f t="array" aca="1" ref="J562" ca="1">IFERROR(INDEX(ci_pa_clinico!$C:$C, MATCH(1, (VALUE(LEFT(ci_pa_clinico!$A:$A,6))=VALUE(LEFT(B562,6)))*(ci_pa_clinico!$B:$B=C562), 0)), "")</f>
        <v/>
      </c>
      <c r="K562" cm="1">
        <f t="array" aca="1" ref="K562" ca="1">IFERROR(INDEX(aps_equipes_esf!$C:$C, MATCH(1, (VALUE(LEFT(aps_equipes_esf!$A:$A,6))=VALUE(LEFT(B562,6)))*(aps_equipes_esf!$B:$B=C562), 0)), "")</f>
        <v>6</v>
      </c>
      <c r="L562" cm="1">
        <f t="array" aca="1" ref="L562" ca="1">IFERROR(INDEX(casos!$C:$C, MATCH(1, (VALUE(LEFT(casos!$A:$A,6))=VALUE(LEFT(B562,6)))*(casos!$B:$B=C562), 0)), "")</f>
        <v>72585</v>
      </c>
      <c r="M562" cm="1">
        <f t="array" ref="M562">IFERROR(INDEX(srag!$D:$D, MATCH(1, (VALUE(LEFT(srag!$A:$A,6))=VALUE(LEFT(B562,6)))*(srag!$C:$C=C562), 0)), "")</f>
        <v>17239</v>
      </c>
      <c r="N562" cm="1">
        <f t="array" aca="1" ref="N562" ca="1">IFERROR(INDEX(fesp!$E:$E, MATCH(1, (VALUE(LEFT(fesp!$A:$A,6))=VALUE(LEFT(B562,6)))*(fesp!$C:$C=C562), 0)), "")</f>
        <v>2375</v>
      </c>
      <c r="O562" cm="1">
        <f t="array" aca="1" ref="O562" ca="1">IFERROR(INDEX(fesp!$F:$F, MATCH(1, (VALUE(LEFT(fesp!$A:$A,6))=VALUE(LEFT(B562,6)))*(fesp!$C:$C=C562), 0)), "")</f>
        <v>108119</v>
      </c>
      <c r="P562" cm="1">
        <f t="array" aca="1" ref="P562" ca="1">IFERROR(INDEX(fesp!$G:$G, MATCH(1, (VALUE(LEFT(fesp!$A:$A,6))=VALUE(LEFT(B562,6)))*(fesp!$C:$C=C562), 0)), "")</f>
        <v>80864076</v>
      </c>
      <c r="Q562" cm="1">
        <f t="array" aca="1" ref="Q562" ca="1">IFERROR(INDEX(fesp!$H:$H, MATCH(1, (VALUE(LEFT(fesp!$A:$A,6))=VALUE(LEFT(B562,6)))*(fesp!$C:$C=C562), 0)), "")</f>
        <v>1417</v>
      </c>
      <c r="R562" cm="1">
        <f t="array" aca="1" ref="R562" ca="1">IFERROR(INDEX(fesp!$I:$I, MATCH(1, (VALUE(LEFT(fesp!$A:$A,6))=VALUE(LEFT(B562,6)))*(fesp!$C:$C=C562), 0)), "")</f>
        <v>623503</v>
      </c>
      <c r="S562" cm="1">
        <f t="array" aca="1" ref="S562" ca="1">IFERROR(INDEX(fesp!$J:$J, MATCH(1, (VALUE(LEFT(fesp!$A:$A,6))=VALUE(LEFT(B562,6)))*(fesp!$C:$C=C562), 0)), "")</f>
        <v>9078313</v>
      </c>
    </row>
    <row r="563" spans="1:19">
      <c r="A563" s="1" t="s">
        <v>51</v>
      </c>
      <c r="B563" s="3">
        <v>3552205</v>
      </c>
      <c r="C563" s="3">
        <v>2015</v>
      </c>
      <c r="D563" cm="1">
        <f t="array" ref="D563">IFERROR(INDEX(fesp!$D:$D, MATCH(1, (VALUE(LEFT(fesp!$A:$A,6))=VALUE(LEFT(B563,6)))*(fesp!$C:$C=C563), 0)), "")</f>
        <v>644919</v>
      </c>
      <c r="E563" cm="1">
        <f t="array" aca="1" ref="E563" ca="1">IFERROR(INDEX(ft_medicos_clinicos!$C:$C, MATCH(1, (VALUE(LEFT(ft_medicos_clinicos!$A:$A,6))=VALUE(LEFT(B563,6)))*(ft_medicos_clinicos!$B:$B=C563), 0)), "")</f>
        <v>323</v>
      </c>
      <c r="F563" cm="1">
        <f t="array" aca="1" ref="F563" ca="1">IFERROR(INDEX(ft_enfermeiros!$C:$C, MATCH(1, (VALUE(LEFT(ft_enfermeiros!$A:$A,6))=VALUE(LEFT(B563,6)))*(ft_enfermeiros!$B:$B=C563), 0)), "")</f>
        <v>552</v>
      </c>
      <c r="G563" t="str" cm="1">
        <f t="array" aca="1" ref="G563" ca="1">IFERROR(INDEX(ft_equipes_acs!$C:$C, MATCH(1, (VALUE(LEFT(ft_equipes_acs!$A:$A,6))=VALUE(LEFT(B563,6)))*(ft_equipes_acs!$B:$B=C563), 0)), "")</f>
        <v>-</v>
      </c>
      <c r="H563" cm="1">
        <f t="array" aca="1" ref="H563" ca="1">IFERROR(INDEX(ci_leitos_internacao!$C:$C, MATCH(1, (VALUE(LEFT(ci_leitos_internacao!$A:$A,6))=VALUE(LEFT(B563,6)))*(ci_leitos_internacao!$B:$B=C563), 0)), "")</f>
        <v>1924</v>
      </c>
      <c r="I563" cm="1">
        <f t="array" aca="1" ref="I563" ca="1">IFERROR(INDEX(ci_hospitais_internacao!$C:$C, MATCH(1, (VALUE(LEFT(ci_hospitais_internacao!$A:$A,6))=VALUE(LEFT(B563,6)))*(ci_hospitais_internacao!$B:$B=C563), 0)), "")</f>
        <v>5</v>
      </c>
      <c r="J563" t="str" cm="1">
        <f t="array" aca="1" ref="J563" ca="1">IFERROR(INDEX(ci_pa_clinico!$C:$C, MATCH(1, (VALUE(LEFT(ci_pa_clinico!$A:$A,6))=VALUE(LEFT(B563,6)))*(ci_pa_clinico!$B:$B=C563), 0)), "")</f>
        <v/>
      </c>
      <c r="K563" cm="1">
        <f t="array" aca="1" ref="K563" ca="1">IFERROR(INDEX(aps_equipes_esf!$C:$C, MATCH(1, (VALUE(LEFT(aps_equipes_esf!$A:$A,6))=VALUE(LEFT(B563,6)))*(aps_equipes_esf!$B:$B=C563), 0)), "")</f>
        <v>38</v>
      </c>
      <c r="L563" cm="1">
        <f t="array" aca="1" ref="L563" ca="1">IFERROR(INDEX(casos!$C:$C, MATCH(1, (VALUE(LEFT(casos!$A:$A,6))=VALUE(LEFT(B563,6)))*(casos!$B:$B=C563), 0)), "")</f>
        <v>58225</v>
      </c>
      <c r="M563" cm="1">
        <f t="array" ref="M563">IFERROR(INDEX(srag!$D:$D, MATCH(1, (VALUE(LEFT(srag!$A:$A,6))=VALUE(LEFT(B563,6)))*(srag!$C:$C=C563), 0)), "")</f>
        <v>49</v>
      </c>
      <c r="N563" cm="1">
        <f t="array" aca="1" ref="N563" ca="1">IFERROR(INDEX(fesp!$E:$E, MATCH(1, (VALUE(LEFT(fesp!$A:$A,6))=VALUE(LEFT(B563,6)))*(fesp!$C:$C=C563), 0)), "")</f>
        <v>88</v>
      </c>
      <c r="O563" cm="1">
        <f t="array" aca="1" ref="O563" ca="1">IFERROR(INDEX(fesp!$F:$F, MATCH(1, (VALUE(LEFT(fesp!$A:$A,6))=VALUE(LEFT(B563,6)))*(fesp!$C:$C=C563), 0)), "")</f>
        <v>6282</v>
      </c>
      <c r="P563" cm="1">
        <f t="array" aca="1" ref="P563" ca="1">IFERROR(INDEX(fesp!$G:$G, MATCH(1, (VALUE(LEFT(fesp!$A:$A,6))=VALUE(LEFT(B563,6)))*(fesp!$C:$C=C563), 0)), "")</f>
        <v>4150589</v>
      </c>
      <c r="Q563" cm="1">
        <f t="array" aca="1" ref="Q563" ca="1">IFERROR(INDEX(fesp!$H:$H, MATCH(1, (VALUE(LEFT(fesp!$A:$A,6))=VALUE(LEFT(B563,6)))*(fesp!$C:$C=C563), 0)), "")</f>
        <v>38</v>
      </c>
      <c r="R563" cm="1">
        <f t="array" aca="1" ref="R563" ca="1">IFERROR(INDEX(fesp!$I:$I, MATCH(1, (VALUE(LEFT(fesp!$A:$A,6))=VALUE(LEFT(B563,6)))*(fesp!$C:$C=C563), 0)), "")</f>
        <v>44674</v>
      </c>
      <c r="S563" cm="1">
        <f t="array" aca="1" ref="S563" ca="1">IFERROR(INDEX(fesp!$J:$J, MATCH(1, (VALUE(LEFT(fesp!$A:$A,6))=VALUE(LEFT(B563,6)))*(fesp!$C:$C=C563), 0)), "")</f>
        <v>500550</v>
      </c>
    </row>
    <row r="564" spans="1:19">
      <c r="A564" s="1" t="s">
        <v>51</v>
      </c>
      <c r="B564" s="3" t="s">
        <v>50</v>
      </c>
      <c r="C564" s="3">
        <v>2016</v>
      </c>
      <c r="D564" cm="1">
        <f t="array" ref="D564">IFERROR(INDEX(fesp!$D:$D, MATCH(1, (VALUE(LEFT(fesp!$A:$A,6))=VALUE(LEFT(B564,6)))*(fesp!$C:$C=C564), 0)), "")</f>
        <v>0</v>
      </c>
      <c r="E564" cm="1">
        <f t="array" aca="1" ref="E564" ca="1">IFERROR(INDEX(ft_medicos_clinicos!$C:$C, MATCH(1, (VALUE(LEFT(ft_medicos_clinicos!$A:$A,6))=VALUE(LEFT(B564,6)))*(ft_medicos_clinicos!$B:$B=C564), 0)), "")</f>
        <v>336</v>
      </c>
      <c r="F564" cm="1">
        <f t="array" aca="1" ref="F564" ca="1">IFERROR(INDEX(ft_enfermeiros!$C:$C, MATCH(1, (VALUE(LEFT(ft_enfermeiros!$A:$A,6))=VALUE(LEFT(B564,6)))*(ft_enfermeiros!$B:$B=C564), 0)), "")</f>
        <v>567</v>
      </c>
      <c r="G564" t="str" cm="1">
        <f t="array" aca="1" ref="G564" ca="1">IFERROR(INDEX(ft_equipes_acs!$C:$C, MATCH(1, (VALUE(LEFT(ft_equipes_acs!$A:$A,6))=VALUE(LEFT(B564,6)))*(ft_equipes_acs!$B:$B=C564), 0)), "")</f>
        <v>-</v>
      </c>
      <c r="H564" cm="1">
        <f t="array" aca="1" ref="H564" ca="1">IFERROR(INDEX(ci_leitos_internacao!$C:$C, MATCH(1, (VALUE(LEFT(ci_leitos_internacao!$A:$A,6))=VALUE(LEFT(B564,6)))*(ci_leitos_internacao!$B:$B=C564), 0)), "")</f>
        <v>1615</v>
      </c>
      <c r="I564" cm="1">
        <f t="array" aca="1" ref="I564" ca="1">IFERROR(INDEX(ci_hospitais_internacao!$C:$C, MATCH(1, (VALUE(LEFT(ci_hospitais_internacao!$A:$A,6))=VALUE(LEFT(B564,6)))*(ci_hospitais_internacao!$B:$B=C564), 0)), "")</f>
        <v>5</v>
      </c>
      <c r="J564" t="str" cm="1">
        <f t="array" aca="1" ref="J564" ca="1">IFERROR(INDEX(ci_pa_clinico!$C:$C, MATCH(1, (VALUE(LEFT(ci_pa_clinico!$A:$A,6))=VALUE(LEFT(B564,6)))*(ci_pa_clinico!$B:$B=C564), 0)), "")</f>
        <v/>
      </c>
      <c r="K564" cm="1">
        <f t="array" aca="1" ref="K564" ca="1">IFERROR(INDEX(aps_equipes_esf!$C:$C, MATCH(1, (VALUE(LEFT(aps_equipes_esf!$A:$A,6))=VALUE(LEFT(B564,6)))*(aps_equipes_esf!$B:$B=C564), 0)), "")</f>
        <v>40</v>
      </c>
      <c r="L564" cm="1">
        <f t="array" aca="1" ref="L564" ca="1">IFERROR(INDEX(casos!$C:$C, MATCH(1, (VALUE(LEFT(casos!$A:$A,6))=VALUE(LEFT(B564,6)))*(casos!$B:$B=C564), 0)), "")</f>
        <v>465</v>
      </c>
      <c r="M564" cm="1">
        <f t="array" ref="M564">IFERROR(INDEX(srag!$D:$D, MATCH(1, (VALUE(LEFT(srag!$A:$A,6))=VALUE(LEFT(B564,6)))*(srag!$C:$C=C564), 0)), "")</f>
        <v>231</v>
      </c>
      <c r="N564" cm="1">
        <f t="array" aca="1" ref="N564" ca="1">IFERROR(INDEX(fesp!$E:$E, MATCH(1, (VALUE(LEFT(fesp!$A:$A,6))=VALUE(LEFT(B564,6)))*(fesp!$C:$C=C564), 0)), "")</f>
        <v>82</v>
      </c>
      <c r="O564" cm="1">
        <f t="array" aca="1" ref="O564" ca="1">IFERROR(INDEX(fesp!$F:$F, MATCH(1, (VALUE(LEFT(fesp!$A:$A,6))=VALUE(LEFT(B564,6)))*(fesp!$C:$C=C564), 0)), "")</f>
        <v>7820</v>
      </c>
      <c r="P564" cm="1">
        <f t="array" aca="1" ref="P564" ca="1">IFERROR(INDEX(fesp!$G:$G, MATCH(1, (VALUE(LEFT(fesp!$A:$A,6))=VALUE(LEFT(B564,6)))*(fesp!$C:$C=C564), 0)), "")</f>
        <v>4842569</v>
      </c>
      <c r="Q564" cm="1">
        <f t="array" aca="1" ref="Q564" ca="1">IFERROR(INDEX(fesp!$H:$H, MATCH(1, (VALUE(LEFT(fesp!$A:$A,6))=VALUE(LEFT(B564,6)))*(fesp!$C:$C=C564), 0)), "")</f>
        <v>63</v>
      </c>
      <c r="R564" cm="1">
        <f t="array" aca="1" ref="R564" ca="1">IFERROR(INDEX(fesp!$I:$I, MATCH(1, (VALUE(LEFT(fesp!$A:$A,6))=VALUE(LEFT(B564,6)))*(fesp!$C:$C=C564), 0)), "")</f>
        <v>69979</v>
      </c>
      <c r="S564" cm="1">
        <f t="array" aca="1" ref="S564" ca="1">IFERROR(INDEX(fesp!$J:$J, MATCH(1, (VALUE(LEFT(fesp!$A:$A,6))=VALUE(LEFT(B564,6)))*(fesp!$C:$C=C564), 0)), "")</f>
        <v>445771</v>
      </c>
    </row>
    <row r="565" spans="1:19">
      <c r="A565" s="1" t="s">
        <v>51</v>
      </c>
      <c r="B565" s="3" t="s">
        <v>50</v>
      </c>
      <c r="C565" s="3">
        <v>2017</v>
      </c>
      <c r="D565" cm="1">
        <f t="array" ref="D565">IFERROR(INDEX(fesp!$D:$D, MATCH(1, (VALUE(LEFT(fesp!$A:$A,6))=VALUE(LEFT(B565,6)))*(fesp!$C:$C=C565), 0)), "")</f>
        <v>0</v>
      </c>
      <c r="E565" cm="1">
        <f t="array" aca="1" ref="E565" ca="1">IFERROR(INDEX(ft_medicos_clinicos!$C:$C, MATCH(1, (VALUE(LEFT(ft_medicos_clinicos!$A:$A,6))=VALUE(LEFT(B565,6)))*(ft_medicos_clinicos!$B:$B=C565), 0)), "")</f>
        <v>295</v>
      </c>
      <c r="F565" cm="1">
        <f t="array" aca="1" ref="F565" ca="1">IFERROR(INDEX(ft_enfermeiros!$C:$C, MATCH(1, (VALUE(LEFT(ft_enfermeiros!$A:$A,6))=VALUE(LEFT(B565,6)))*(ft_enfermeiros!$B:$B=C565), 0)), "")</f>
        <v>579</v>
      </c>
      <c r="G565" cm="1">
        <f t="array" aca="1" ref="G565" ca="1">IFERROR(INDEX(ft_equipes_acs!$C:$C, MATCH(1, (VALUE(LEFT(ft_equipes_acs!$A:$A,6))=VALUE(LEFT(B565,6)))*(ft_equipes_acs!$B:$B=C565), 0)), "")</f>
        <v>1</v>
      </c>
      <c r="H565" cm="1">
        <f t="array" aca="1" ref="H565" ca="1">IFERROR(INDEX(ci_leitos_internacao!$C:$C, MATCH(1, (VALUE(LEFT(ci_leitos_internacao!$A:$A,6))=VALUE(LEFT(B565,6)))*(ci_leitos_internacao!$B:$B=C565), 0)), "")</f>
        <v>1455</v>
      </c>
      <c r="I565" cm="1">
        <f t="array" aca="1" ref="I565" ca="1">IFERROR(INDEX(ci_hospitais_internacao!$C:$C, MATCH(1, (VALUE(LEFT(ci_hospitais_internacao!$A:$A,6))=VALUE(LEFT(B565,6)))*(ci_hospitais_internacao!$B:$B=C565), 0)), "")</f>
        <v>5</v>
      </c>
      <c r="J565" t="str" cm="1">
        <f t="array" aca="1" ref="J565" ca="1">IFERROR(INDEX(ci_pa_clinico!$C:$C, MATCH(1, (VALUE(LEFT(ci_pa_clinico!$A:$A,6))=VALUE(LEFT(B565,6)))*(ci_pa_clinico!$B:$B=C565), 0)), "")</f>
        <v/>
      </c>
      <c r="K565" cm="1">
        <f t="array" aca="1" ref="K565" ca="1">IFERROR(INDEX(aps_equipes_esf!$C:$C, MATCH(1, (VALUE(LEFT(aps_equipes_esf!$A:$A,6))=VALUE(LEFT(B565,6)))*(aps_equipes_esf!$B:$B=C565), 0)), "")</f>
        <v>41</v>
      </c>
      <c r="L565" cm="1">
        <f t="array" aca="1" ref="L565" ca="1">IFERROR(INDEX(casos!$C:$C, MATCH(1, (VALUE(LEFT(casos!$A:$A,6))=VALUE(LEFT(B565,6)))*(casos!$B:$B=C565), 0)), "")</f>
        <v>82</v>
      </c>
      <c r="M565" cm="1">
        <f t="array" ref="M565">IFERROR(INDEX(srag!$D:$D, MATCH(1, (VALUE(LEFT(srag!$A:$A,6))=VALUE(LEFT(B565,6)))*(srag!$C:$C=C565), 0)), "")</f>
        <v>72</v>
      </c>
      <c r="N565" cm="1">
        <f t="array" aca="1" ref="N565" ca="1">IFERROR(INDEX(fesp!$E:$E, MATCH(1, (VALUE(LEFT(fesp!$A:$A,6))=VALUE(LEFT(B565,6)))*(fesp!$C:$C=C565), 0)), "")</f>
        <v>90</v>
      </c>
      <c r="O565" cm="1">
        <f t="array" aca="1" ref="O565" ca="1">IFERROR(INDEX(fesp!$F:$F, MATCH(1, (VALUE(LEFT(fesp!$A:$A,6))=VALUE(LEFT(B565,6)))*(fesp!$C:$C=C565), 0)), "")</f>
        <v>10482</v>
      </c>
      <c r="P565" cm="1">
        <f t="array" aca="1" ref="P565" ca="1">IFERROR(INDEX(fesp!$G:$G, MATCH(1, (VALUE(LEFT(fesp!$A:$A,6))=VALUE(LEFT(B565,6)))*(fesp!$C:$C=C565), 0)), "")</f>
        <v>5127377</v>
      </c>
      <c r="Q565" cm="1">
        <f t="array" aca="1" ref="Q565" ca="1">IFERROR(INDEX(fesp!$H:$H, MATCH(1, (VALUE(LEFT(fesp!$A:$A,6))=VALUE(LEFT(B565,6)))*(fesp!$C:$C=C565), 0)), "")</f>
        <v>59</v>
      </c>
      <c r="R565" cm="1">
        <f t="array" aca="1" ref="R565" ca="1">IFERROR(INDEX(fesp!$I:$I, MATCH(1, (VALUE(LEFT(fesp!$A:$A,6))=VALUE(LEFT(B565,6)))*(fesp!$C:$C=C565), 0)), "")</f>
        <v>77303</v>
      </c>
      <c r="S565" cm="1">
        <f t="array" aca="1" ref="S565" ca="1">IFERROR(INDEX(fesp!$J:$J, MATCH(1, (VALUE(LEFT(fesp!$A:$A,6))=VALUE(LEFT(B565,6)))*(fesp!$C:$C=C565), 0)), "")</f>
        <v>430265</v>
      </c>
    </row>
    <row r="566" spans="1:19">
      <c r="A566" s="1" t="s">
        <v>51</v>
      </c>
      <c r="B566" s="3">
        <v>3552205</v>
      </c>
      <c r="C566" s="3">
        <v>2018</v>
      </c>
      <c r="D566" cm="1">
        <f t="array" ref="D566">IFERROR(INDEX(fesp!$D:$D, MATCH(1, (VALUE(LEFT(fesp!$A:$A,6))=VALUE(LEFT(B566,6)))*(fesp!$C:$C=C566), 0)), "")</f>
        <v>0</v>
      </c>
      <c r="E566" cm="1">
        <f t="array" aca="1" ref="E566" ca="1">IFERROR(INDEX(ft_medicos_clinicos!$C:$C, MATCH(1, (VALUE(LEFT(ft_medicos_clinicos!$A:$A,6))=VALUE(LEFT(B566,6)))*(ft_medicos_clinicos!$B:$B=C566), 0)), "")</f>
        <v>350</v>
      </c>
      <c r="F566" cm="1">
        <f t="array" aca="1" ref="F566" ca="1">IFERROR(INDEX(ft_enfermeiros!$C:$C, MATCH(1, (VALUE(LEFT(ft_enfermeiros!$A:$A,6))=VALUE(LEFT(B566,6)))*(ft_enfermeiros!$B:$B=C566), 0)), "")</f>
        <v>643</v>
      </c>
      <c r="G566" cm="1">
        <f t="array" aca="1" ref="G566" ca="1">IFERROR(INDEX(ft_equipes_acs!$C:$C, MATCH(1, (VALUE(LEFT(ft_equipes_acs!$A:$A,6))=VALUE(LEFT(B566,6)))*(ft_equipes_acs!$B:$B=C566), 0)), "")</f>
        <v>1</v>
      </c>
      <c r="H566" cm="1">
        <f t="array" aca="1" ref="H566" ca="1">IFERROR(INDEX(ci_leitos_internacao!$C:$C, MATCH(1, (VALUE(LEFT(ci_leitos_internacao!$A:$A,6))=VALUE(LEFT(B566,6)))*(ci_leitos_internacao!$B:$B=C566), 0)), "")</f>
        <v>1403</v>
      </c>
      <c r="I566" cm="1">
        <f t="array" aca="1" ref="I566" ca="1">IFERROR(INDEX(ci_hospitais_internacao!$C:$C, MATCH(1, (VALUE(LEFT(ci_hospitais_internacao!$A:$A,6))=VALUE(LEFT(B566,6)))*(ci_hospitais_internacao!$B:$B=C566), 0)), "")</f>
        <v>6</v>
      </c>
      <c r="J566" t="str" cm="1">
        <f t="array" aca="1" ref="J566" ca="1">IFERROR(INDEX(ci_pa_clinico!$C:$C, MATCH(1, (VALUE(LEFT(ci_pa_clinico!$A:$A,6))=VALUE(LEFT(B566,6)))*(ci_pa_clinico!$B:$B=C566), 0)), "")</f>
        <v/>
      </c>
      <c r="K566" cm="1">
        <f t="array" aca="1" ref="K566" ca="1">IFERROR(INDEX(aps_equipes_esf!$C:$C, MATCH(1, (VALUE(LEFT(aps_equipes_esf!$A:$A,6))=VALUE(LEFT(B566,6)))*(aps_equipes_esf!$B:$B=C566), 0)), "")</f>
        <v>43</v>
      </c>
      <c r="L566" cm="1">
        <f t="array" aca="1" ref="L566" ca="1">IFERROR(INDEX(casos!$C:$C, MATCH(1, (VALUE(LEFT(casos!$A:$A,6))=VALUE(LEFT(B566,6)))*(casos!$B:$B=C566), 0)), "")</f>
        <v>87</v>
      </c>
      <c r="M566" cm="1">
        <f t="array" ref="M566">IFERROR(INDEX(srag!$D:$D, MATCH(1, (VALUE(LEFT(srag!$A:$A,6))=VALUE(LEFT(B566,6)))*(srag!$C:$C=C566), 0)), "")</f>
        <v>160</v>
      </c>
      <c r="N566" cm="1">
        <f t="array" aca="1" ref="N566" ca="1">IFERROR(INDEX(fesp!$E:$E, MATCH(1, (VALUE(LEFT(fesp!$A:$A,6))=VALUE(LEFT(B566,6)))*(fesp!$C:$C=C566), 0)), "")</f>
        <v>120</v>
      </c>
      <c r="O566" cm="1">
        <f t="array" aca="1" ref="O566" ca="1">IFERROR(INDEX(fesp!$F:$F, MATCH(1, (VALUE(LEFT(fesp!$A:$A,6))=VALUE(LEFT(B566,6)))*(fesp!$C:$C=C566), 0)), "")</f>
        <v>12894</v>
      </c>
      <c r="P566" cm="1">
        <f t="array" aca="1" ref="P566" ca="1">IFERROR(INDEX(fesp!$G:$G, MATCH(1, (VALUE(LEFT(fesp!$A:$A,6))=VALUE(LEFT(B566,6)))*(fesp!$C:$C=C566), 0)), "")</f>
        <v>5056445</v>
      </c>
      <c r="Q566" cm="1">
        <f t="array" aca="1" ref="Q566" ca="1">IFERROR(INDEX(fesp!$H:$H, MATCH(1, (VALUE(LEFT(fesp!$A:$A,6))=VALUE(LEFT(B566,6)))*(fesp!$C:$C=C566), 0)), "")</f>
        <v>76</v>
      </c>
      <c r="R566" cm="1">
        <f t="array" aca="1" ref="R566" ca="1">IFERROR(INDEX(fesp!$I:$I, MATCH(1, (VALUE(LEFT(fesp!$A:$A,6))=VALUE(LEFT(B566,6)))*(fesp!$C:$C=C566), 0)), "")</f>
        <v>75136</v>
      </c>
      <c r="S566" cm="1">
        <f t="array" aca="1" ref="S566" ca="1">IFERROR(INDEX(fesp!$J:$J, MATCH(1, (VALUE(LEFT(fesp!$A:$A,6))=VALUE(LEFT(B566,6)))*(fesp!$C:$C=C566), 0)), "")</f>
        <v>412410</v>
      </c>
    </row>
    <row r="567" spans="1:19">
      <c r="A567" s="1" t="s">
        <v>51</v>
      </c>
      <c r="B567" s="3" t="s">
        <v>50</v>
      </c>
      <c r="C567" s="3">
        <v>2019</v>
      </c>
      <c r="D567" cm="1">
        <f t="array" ref="D567">IFERROR(INDEX(fesp!$D:$D, MATCH(1, (VALUE(LEFT(fesp!$A:$A,6))=VALUE(LEFT(B567,6)))*(fesp!$C:$C=C567), 0)), "")</f>
        <v>0</v>
      </c>
      <c r="E567" cm="1">
        <f t="array" aca="1" ref="E567" ca="1">IFERROR(INDEX(ft_medicos_clinicos!$C:$C, MATCH(1, (VALUE(LEFT(ft_medicos_clinicos!$A:$A,6))=VALUE(LEFT(B567,6)))*(ft_medicos_clinicos!$B:$B=C567), 0)), "")</f>
        <v>373</v>
      </c>
      <c r="F567" cm="1">
        <f t="array" aca="1" ref="F567" ca="1">IFERROR(INDEX(ft_enfermeiros!$C:$C, MATCH(1, (VALUE(LEFT(ft_enfermeiros!$A:$A,6))=VALUE(LEFT(B567,6)))*(ft_enfermeiros!$B:$B=C567), 0)), "")</f>
        <v>754</v>
      </c>
      <c r="G567" cm="1">
        <f t="array" aca="1" ref="G567" ca="1">IFERROR(INDEX(ft_equipes_acs!$C:$C, MATCH(1, (VALUE(LEFT(ft_equipes_acs!$A:$A,6))=VALUE(LEFT(B567,6)))*(ft_equipes_acs!$B:$B=C567), 0)), "")</f>
        <v>1</v>
      </c>
      <c r="H567" cm="1">
        <f t="array" aca="1" ref="H567" ca="1">IFERROR(INDEX(ci_leitos_internacao!$C:$C, MATCH(1, (VALUE(LEFT(ci_leitos_internacao!$A:$A,6))=VALUE(LEFT(B567,6)))*(ci_leitos_internacao!$B:$B=C567), 0)), "")</f>
        <v>1429</v>
      </c>
      <c r="I567" cm="1">
        <f t="array" aca="1" ref="I567" ca="1">IFERROR(INDEX(ci_hospitais_internacao!$C:$C, MATCH(1, (VALUE(LEFT(ci_hospitais_internacao!$A:$A,6))=VALUE(LEFT(B567,6)))*(ci_hospitais_internacao!$B:$B=C567), 0)), "")</f>
        <v>6</v>
      </c>
      <c r="J567" t="str" cm="1">
        <f t="array" aca="1" ref="J567" ca="1">IFERROR(INDEX(ci_pa_clinico!$C:$C, MATCH(1, (VALUE(LEFT(ci_pa_clinico!$A:$A,6))=VALUE(LEFT(B567,6)))*(ci_pa_clinico!$B:$B=C567), 0)), "")</f>
        <v/>
      </c>
      <c r="K567" cm="1">
        <f t="array" aca="1" ref="K567" ca="1">IFERROR(INDEX(aps_equipes_esf!$C:$C, MATCH(1, (VALUE(LEFT(aps_equipes_esf!$A:$A,6))=VALUE(LEFT(B567,6)))*(aps_equipes_esf!$B:$B=C567), 0)), "")</f>
        <v>41</v>
      </c>
      <c r="L567" cm="1">
        <f t="array" aca="1" ref="L567" ca="1">IFERROR(INDEX(casos!$C:$C, MATCH(1, (VALUE(LEFT(casos!$A:$A,6))=VALUE(LEFT(B567,6)))*(casos!$B:$B=C567), 0)), "")</f>
        <v>1372</v>
      </c>
      <c r="M567" cm="1">
        <f t="array" ref="M567">IFERROR(INDEX(srag!$D:$D, MATCH(1, (VALUE(LEFT(srag!$A:$A,6))=VALUE(LEFT(B567,6)))*(srag!$C:$C=C567), 0)), "")</f>
        <v>127</v>
      </c>
      <c r="N567" cm="1">
        <f t="array" aca="1" ref="N567" ca="1">IFERROR(INDEX(fesp!$E:$E, MATCH(1, (VALUE(LEFT(fesp!$A:$A,6))=VALUE(LEFT(B567,6)))*(fesp!$C:$C=C567), 0)), "")</f>
        <v>137</v>
      </c>
      <c r="O567" cm="1">
        <f t="array" aca="1" ref="O567" ca="1">IFERROR(INDEX(fesp!$F:$F, MATCH(1, (VALUE(LEFT(fesp!$A:$A,6))=VALUE(LEFT(B567,6)))*(fesp!$C:$C=C567), 0)), "")</f>
        <v>11544</v>
      </c>
      <c r="P567" cm="1">
        <f t="array" aca="1" ref="P567" ca="1">IFERROR(INDEX(fesp!$G:$G, MATCH(1, (VALUE(LEFT(fesp!$A:$A,6))=VALUE(LEFT(B567,6)))*(fesp!$C:$C=C567), 0)), "")</f>
        <v>5885849</v>
      </c>
      <c r="Q567" cm="1">
        <f t="array" aca="1" ref="Q567" ca="1">IFERROR(INDEX(fesp!$H:$H, MATCH(1, (VALUE(LEFT(fesp!$A:$A,6))=VALUE(LEFT(B567,6)))*(fesp!$C:$C=C567), 0)), "")</f>
        <v>77</v>
      </c>
      <c r="R567" cm="1">
        <f t="array" aca="1" ref="R567" ca="1">IFERROR(INDEX(fesp!$I:$I, MATCH(1, (VALUE(LEFT(fesp!$A:$A,6))=VALUE(LEFT(B567,6)))*(fesp!$C:$C=C567), 0)), "")</f>
        <v>48601</v>
      </c>
      <c r="S567" cm="1">
        <f t="array" aca="1" ref="S567" ca="1">IFERROR(INDEX(fesp!$J:$J, MATCH(1, (VALUE(LEFT(fesp!$A:$A,6))=VALUE(LEFT(B567,6)))*(fesp!$C:$C=C567), 0)), "")</f>
        <v>449664</v>
      </c>
    </row>
    <row r="568" spans="1:19">
      <c r="A568" s="1" t="s">
        <v>51</v>
      </c>
      <c r="B568" s="3" t="s">
        <v>50</v>
      </c>
      <c r="C568" s="3">
        <v>2020</v>
      </c>
      <c r="D568" cm="1">
        <f t="array" ref="D568">IFERROR(INDEX(fesp!$D:$D, MATCH(1, (VALUE(LEFT(fesp!$A:$A,6))=VALUE(LEFT(B568,6)))*(fesp!$C:$C=C568), 0)), "")</f>
        <v>0</v>
      </c>
      <c r="E568" cm="1">
        <f t="array" aca="1" ref="E568" ca="1">IFERROR(INDEX(ft_medicos_clinicos!$C:$C, MATCH(1, (VALUE(LEFT(ft_medicos_clinicos!$A:$A,6))=VALUE(LEFT(B568,6)))*(ft_medicos_clinicos!$B:$B=C568), 0)), "")</f>
        <v>390</v>
      </c>
      <c r="F568" cm="1">
        <f t="array" aca="1" ref="F568" ca="1">IFERROR(INDEX(ft_enfermeiros!$C:$C, MATCH(1, (VALUE(LEFT(ft_enfermeiros!$A:$A,6))=VALUE(LEFT(B568,6)))*(ft_enfermeiros!$B:$B=C568), 0)), "")</f>
        <v>817</v>
      </c>
      <c r="G568" t="str" cm="1">
        <f t="array" aca="1" ref="G568" ca="1">IFERROR(INDEX(ft_equipes_acs!$C:$C, MATCH(1, (VALUE(LEFT(ft_equipes_acs!$A:$A,6))=VALUE(LEFT(B568,6)))*(ft_equipes_acs!$B:$B=C568), 0)), "")</f>
        <v>-</v>
      </c>
      <c r="H568" cm="1">
        <f t="array" aca="1" ref="H568" ca="1">IFERROR(INDEX(ci_leitos_internacao!$C:$C, MATCH(1, (VALUE(LEFT(ci_leitos_internacao!$A:$A,6))=VALUE(LEFT(B568,6)))*(ci_leitos_internacao!$B:$B=C568), 0)), "")</f>
        <v>1484</v>
      </c>
      <c r="I568" cm="1">
        <f t="array" aca="1" ref="I568" ca="1">IFERROR(INDEX(ci_hospitais_internacao!$C:$C, MATCH(1, (VALUE(LEFT(ci_hospitais_internacao!$A:$A,6))=VALUE(LEFT(B568,6)))*(ci_hospitais_internacao!$B:$B=C568), 0)), "")</f>
        <v>7</v>
      </c>
      <c r="J568" t="str" cm="1">
        <f t="array" aca="1" ref="J568" ca="1">IFERROR(INDEX(ci_pa_clinico!$C:$C, MATCH(1, (VALUE(LEFT(ci_pa_clinico!$A:$A,6))=VALUE(LEFT(B568,6)))*(ci_pa_clinico!$B:$B=C568), 0)), "")</f>
        <v/>
      </c>
      <c r="K568" cm="1">
        <f t="array" aca="1" ref="K568" ca="1">IFERROR(INDEX(aps_equipes_esf!$C:$C, MATCH(1, (VALUE(LEFT(aps_equipes_esf!$A:$A,6))=VALUE(LEFT(B568,6)))*(aps_equipes_esf!$B:$B=C568), 0)), "")</f>
        <v>1</v>
      </c>
      <c r="L568" cm="1">
        <f t="array" aca="1" ref="L568" ca="1">IFERROR(INDEX(casos!$C:$C, MATCH(1, (VALUE(LEFT(casos!$A:$A,6))=VALUE(LEFT(B568,6)))*(casos!$B:$B=C568), 0)), "")</f>
        <v>2270</v>
      </c>
      <c r="M568" cm="1">
        <f t="array" ref="M568">IFERROR(INDEX(srag!$D:$D, MATCH(1, (VALUE(LEFT(srag!$A:$A,6))=VALUE(LEFT(B568,6)))*(srag!$C:$C=C568), 0)), "")</f>
        <v>4141</v>
      </c>
      <c r="N568" cm="1">
        <f t="array" aca="1" ref="N568" ca="1">IFERROR(INDEX(fesp!$E:$E, MATCH(1, (VALUE(LEFT(fesp!$A:$A,6))=VALUE(LEFT(B568,6)))*(fesp!$C:$C=C568), 0)), "")</f>
        <v>155</v>
      </c>
      <c r="O568" cm="1">
        <f t="array" aca="1" ref="O568" ca="1">IFERROR(INDEX(fesp!$F:$F, MATCH(1, (VALUE(LEFT(fesp!$A:$A,6))=VALUE(LEFT(B568,6)))*(fesp!$C:$C=C568), 0)), "")</f>
        <v>7946</v>
      </c>
      <c r="P568" cm="1">
        <f t="array" aca="1" ref="P568" ca="1">IFERROR(INDEX(fesp!$G:$G, MATCH(1, (VALUE(LEFT(fesp!$A:$A,6))=VALUE(LEFT(B568,6)))*(fesp!$C:$C=C568), 0)), "")</f>
        <v>4969128</v>
      </c>
      <c r="Q568" cm="1">
        <f t="array" aca="1" ref="Q568" ca="1">IFERROR(INDEX(fesp!$H:$H, MATCH(1, (VALUE(LEFT(fesp!$A:$A,6))=VALUE(LEFT(B568,6)))*(fesp!$C:$C=C568), 0)), "")</f>
        <v>86</v>
      </c>
      <c r="R568" cm="1">
        <f t="array" aca="1" ref="R568" ca="1">IFERROR(INDEX(fesp!$I:$I, MATCH(1, (VALUE(LEFT(fesp!$A:$A,6))=VALUE(LEFT(B568,6)))*(fesp!$C:$C=C568), 0)), "")</f>
        <v>44226</v>
      </c>
      <c r="S568" cm="1">
        <f t="array" aca="1" ref="S568" ca="1">IFERROR(INDEX(fesp!$J:$J, MATCH(1, (VALUE(LEFT(fesp!$A:$A,6))=VALUE(LEFT(B568,6)))*(fesp!$C:$C=C568), 0)), "")</f>
        <v>325413</v>
      </c>
    </row>
    <row r="569" spans="1:19">
      <c r="A569" s="1" t="s">
        <v>51</v>
      </c>
      <c r="B569" s="3" t="s">
        <v>50</v>
      </c>
      <c r="C569" s="3">
        <v>2021</v>
      </c>
      <c r="D569" cm="1">
        <f t="array" ref="D569">IFERROR(INDEX(fesp!$D:$D, MATCH(1, (VALUE(LEFT(fesp!$A:$A,6))=VALUE(LEFT(B569,6)))*(fesp!$C:$C=C569), 0)), "")</f>
        <v>0</v>
      </c>
      <c r="E569" cm="1">
        <f t="array" aca="1" ref="E569" ca="1">IFERROR(INDEX(ft_medicos_clinicos!$C:$C, MATCH(1, (VALUE(LEFT(ft_medicos_clinicos!$A:$A,6))=VALUE(LEFT(B569,6)))*(ft_medicos_clinicos!$B:$B=C569), 0)), "")</f>
        <v>483</v>
      </c>
      <c r="F569" cm="1">
        <f t="array" aca="1" ref="F569" ca="1">IFERROR(INDEX(ft_enfermeiros!$C:$C, MATCH(1, (VALUE(LEFT(ft_enfermeiros!$A:$A,6))=VALUE(LEFT(B569,6)))*(ft_enfermeiros!$B:$B=C569), 0)), "")</f>
        <v>996</v>
      </c>
      <c r="G569" t="str" cm="1">
        <f t="array" aca="1" ref="G569" ca="1">IFERROR(INDEX(ft_equipes_acs!$C:$C, MATCH(1, (VALUE(LEFT(ft_equipes_acs!$A:$A,6))=VALUE(LEFT(B569,6)))*(ft_equipes_acs!$B:$B=C569), 0)), "")</f>
        <v>-</v>
      </c>
      <c r="H569" cm="1">
        <f t="array" aca="1" ref="H569" ca="1">IFERROR(INDEX(ci_leitos_internacao!$C:$C, MATCH(1, (VALUE(LEFT(ci_leitos_internacao!$A:$A,6))=VALUE(LEFT(B569,6)))*(ci_leitos_internacao!$B:$B=C569), 0)), "")</f>
        <v>1449</v>
      </c>
      <c r="I569" cm="1">
        <f t="array" aca="1" ref="I569" ca="1">IFERROR(INDEX(ci_hospitais_internacao!$C:$C, MATCH(1, (VALUE(LEFT(ci_hospitais_internacao!$A:$A,6))=VALUE(LEFT(B569,6)))*(ci_hospitais_internacao!$B:$B=C569), 0)), "")</f>
        <v>7</v>
      </c>
      <c r="J569" t="str" cm="1">
        <f t="array" aca="1" ref="J569" ca="1">IFERROR(INDEX(ci_pa_clinico!$C:$C, MATCH(1, (VALUE(LEFT(ci_pa_clinico!$A:$A,6))=VALUE(LEFT(B569,6)))*(ci_pa_clinico!$B:$B=C569), 0)), "")</f>
        <v/>
      </c>
      <c r="K569" t="str" cm="1">
        <f t="array" aca="1" ref="K569" ca="1">IFERROR(INDEX(aps_equipes_esf!$C:$C, MATCH(1, (VALUE(LEFT(aps_equipes_esf!$A:$A,6))=VALUE(LEFT(B569,6)))*(aps_equipes_esf!$B:$B=C569), 0)), "")</f>
        <v>-</v>
      </c>
      <c r="L569" cm="1">
        <f t="array" aca="1" ref="L569" ca="1">IFERROR(INDEX(casos!$C:$C, MATCH(1, (VALUE(LEFT(casos!$A:$A,6))=VALUE(LEFT(B569,6)))*(casos!$B:$B=C569), 0)), "")</f>
        <v>1555</v>
      </c>
      <c r="M569" cm="1">
        <f t="array" ref="M569">IFERROR(INDEX(srag!$D:$D, MATCH(1, (VALUE(LEFT(srag!$A:$A,6))=VALUE(LEFT(B569,6)))*(srag!$C:$C=C569), 0)), "")</f>
        <v>9485</v>
      </c>
      <c r="N569" cm="1">
        <f t="array" aca="1" ref="N569" ca="1">IFERROR(INDEX(fesp!$E:$E, MATCH(1, (VALUE(LEFT(fesp!$A:$A,6))=VALUE(LEFT(B569,6)))*(fesp!$C:$C=C569), 0)), "")</f>
        <v>169</v>
      </c>
      <c r="O569" cm="1">
        <f t="array" aca="1" ref="O569" ca="1">IFERROR(INDEX(fesp!$F:$F, MATCH(1, (VALUE(LEFT(fesp!$A:$A,6))=VALUE(LEFT(B569,6)))*(fesp!$C:$C=C569), 0)), "")</f>
        <v>9969</v>
      </c>
      <c r="P569" cm="1">
        <f t="array" aca="1" ref="P569" ca="1">IFERROR(INDEX(fesp!$G:$G, MATCH(1, (VALUE(LEFT(fesp!$A:$A,6))=VALUE(LEFT(B569,6)))*(fesp!$C:$C=C569), 0)), "")</f>
        <v>5623149</v>
      </c>
      <c r="Q569" cm="1">
        <f t="array" aca="1" ref="Q569" ca="1">IFERROR(INDEX(fesp!$H:$H, MATCH(1, (VALUE(LEFT(fesp!$A:$A,6))=VALUE(LEFT(B569,6)))*(fesp!$C:$C=C569), 0)), "")</f>
        <v>95</v>
      </c>
      <c r="R569" cm="1">
        <f t="array" aca="1" ref="R569" ca="1">IFERROR(INDEX(fesp!$I:$I, MATCH(1, (VALUE(LEFT(fesp!$A:$A,6))=VALUE(LEFT(B569,6)))*(fesp!$C:$C=C569), 0)), "")</f>
        <v>39628</v>
      </c>
      <c r="S569" cm="1">
        <f t="array" aca="1" ref="S569" ca="1">IFERROR(INDEX(fesp!$J:$J, MATCH(1, (VALUE(LEFT(fesp!$A:$A,6))=VALUE(LEFT(B569,6)))*(fesp!$C:$C=C569), 0)), "")</f>
        <v>310571</v>
      </c>
    </row>
    <row r="570" spans="1:19">
      <c r="A570" s="1" t="s">
        <v>51</v>
      </c>
      <c r="B570" s="3" t="s">
        <v>50</v>
      </c>
      <c r="C570" s="3">
        <v>2022</v>
      </c>
      <c r="D570" cm="1">
        <f t="array" ref="D570">IFERROR(INDEX(fesp!$D:$D, MATCH(1, (VALUE(LEFT(fesp!$A:$A,6))=VALUE(LEFT(B570,6)))*(fesp!$C:$C=C570), 0)), "")</f>
        <v>723682</v>
      </c>
      <c r="E570" cm="1">
        <f t="array" aca="1" ref="E570" ca="1">IFERROR(INDEX(ft_medicos_clinicos!$C:$C, MATCH(1, (VALUE(LEFT(ft_medicos_clinicos!$A:$A,6))=VALUE(LEFT(B570,6)))*(ft_medicos_clinicos!$B:$B=C570), 0)), "")</f>
        <v>529</v>
      </c>
      <c r="F570" cm="1">
        <f t="array" aca="1" ref="F570" ca="1">IFERROR(INDEX(ft_enfermeiros!$C:$C, MATCH(1, (VALUE(LEFT(ft_enfermeiros!$A:$A,6))=VALUE(LEFT(B570,6)))*(ft_enfermeiros!$B:$B=C570), 0)), "")</f>
        <v>1084</v>
      </c>
      <c r="G570" t="str" cm="1">
        <f t="array" aca="1" ref="G570" ca="1">IFERROR(INDEX(ft_equipes_acs!$C:$C, MATCH(1, (VALUE(LEFT(ft_equipes_acs!$A:$A,6))=VALUE(LEFT(B570,6)))*(ft_equipes_acs!$B:$B=C570), 0)), "")</f>
        <v>-</v>
      </c>
      <c r="H570" cm="1">
        <f t="array" aca="1" ref="H570" ca="1">IFERROR(INDEX(ci_leitos_internacao!$C:$C, MATCH(1, (VALUE(LEFT(ci_leitos_internacao!$A:$A,6))=VALUE(LEFT(B570,6)))*(ci_leitos_internacao!$B:$B=C570), 0)), "")</f>
        <v>1433</v>
      </c>
      <c r="I570" cm="1">
        <f t="array" aca="1" ref="I570" ca="1">IFERROR(INDEX(ci_hospitais_internacao!$C:$C, MATCH(1, (VALUE(LEFT(ci_hospitais_internacao!$A:$A,6))=VALUE(LEFT(B570,6)))*(ci_hospitais_internacao!$B:$B=C570), 0)), "")</f>
        <v>7</v>
      </c>
      <c r="J570" t="str" cm="1">
        <f t="array" aca="1" ref="J570" ca="1">IFERROR(INDEX(ci_pa_clinico!$C:$C, MATCH(1, (VALUE(LEFT(ci_pa_clinico!$A:$A,6))=VALUE(LEFT(B570,6)))*(ci_pa_clinico!$B:$B=C570), 0)), "")</f>
        <v/>
      </c>
      <c r="K570" t="str" cm="1">
        <f t="array" aca="1" ref="K570" ca="1">IFERROR(INDEX(aps_equipes_esf!$C:$C, MATCH(1, (VALUE(LEFT(aps_equipes_esf!$A:$A,6))=VALUE(LEFT(B570,6)))*(aps_equipes_esf!$B:$B=C570), 0)), "")</f>
        <v>-</v>
      </c>
      <c r="L570" cm="1">
        <f t="array" aca="1" ref="L570" ca="1">IFERROR(INDEX(casos!$C:$C, MATCH(1, (VALUE(LEFT(casos!$A:$A,6))=VALUE(LEFT(B570,6)))*(casos!$B:$B=C570), 0)), "")</f>
        <v>1530</v>
      </c>
      <c r="M570" cm="1">
        <f t="array" ref="M570">IFERROR(INDEX(srag!$D:$D, MATCH(1, (VALUE(LEFT(srag!$A:$A,6))=VALUE(LEFT(B570,6)))*(srag!$C:$C=C570), 0)), "")</f>
        <v>3100</v>
      </c>
      <c r="N570" cm="1">
        <f t="array" aca="1" ref="N570" ca="1">IFERROR(INDEX(fesp!$E:$E, MATCH(1, (VALUE(LEFT(fesp!$A:$A,6))=VALUE(LEFT(B570,6)))*(fesp!$C:$C=C570), 0)), "")</f>
        <v>152</v>
      </c>
      <c r="O570" cm="1">
        <f t="array" aca="1" ref="O570" ca="1">IFERROR(INDEX(fesp!$F:$F, MATCH(1, (VALUE(LEFT(fesp!$A:$A,6))=VALUE(LEFT(B570,6)))*(fesp!$C:$C=C570), 0)), "")</f>
        <v>11832</v>
      </c>
      <c r="P570" cm="1">
        <f t="array" aca="1" ref="P570" ca="1">IFERROR(INDEX(fesp!$G:$G, MATCH(1, (VALUE(LEFT(fesp!$A:$A,6))=VALUE(LEFT(B570,6)))*(fesp!$C:$C=C570), 0)), "")</f>
        <v>5238587</v>
      </c>
      <c r="Q570" cm="1">
        <f t="array" aca="1" ref="Q570" ca="1">IFERROR(INDEX(fesp!$H:$H, MATCH(1, (VALUE(LEFT(fesp!$A:$A,6))=VALUE(LEFT(B570,6)))*(fesp!$C:$C=C570), 0)), "")</f>
        <v>95</v>
      </c>
      <c r="R570" cm="1">
        <f t="array" aca="1" ref="R570" ca="1">IFERROR(INDEX(fesp!$I:$I, MATCH(1, (VALUE(LEFT(fesp!$A:$A,6))=VALUE(LEFT(B570,6)))*(fesp!$C:$C=C570), 0)), "")</f>
        <v>35056</v>
      </c>
      <c r="S570" cm="1">
        <f t="array" aca="1" ref="S570" ca="1">IFERROR(INDEX(fesp!$J:$J, MATCH(1, (VALUE(LEFT(fesp!$A:$A,6))=VALUE(LEFT(B570,6)))*(fesp!$C:$C=C570), 0)), "")</f>
        <v>380518</v>
      </c>
    </row>
    <row r="571" spans="1:19">
      <c r="A571" s="1" t="s">
        <v>51</v>
      </c>
      <c r="B571" s="3" t="s">
        <v>50</v>
      </c>
      <c r="C571" s="3">
        <v>2023</v>
      </c>
      <c r="D571" cm="1">
        <f t="array" ref="D571">IFERROR(INDEX(fesp!$D:$D, MATCH(1, (VALUE(LEFT(fesp!$A:$A,6))=VALUE(LEFT(B571,6)))*(fesp!$C:$C=C571), 0)), "")</f>
        <v>0</v>
      </c>
      <c r="E571" cm="1">
        <f t="array" aca="1" ref="E571" ca="1">IFERROR(INDEX(ft_medicos_clinicos!$C:$C, MATCH(1, (VALUE(LEFT(ft_medicos_clinicos!$A:$A,6))=VALUE(LEFT(B571,6)))*(ft_medicos_clinicos!$B:$B=C571), 0)), "")</f>
        <v>562</v>
      </c>
      <c r="F571" cm="1">
        <f t="array" aca="1" ref="F571" ca="1">IFERROR(INDEX(ft_enfermeiros!$C:$C, MATCH(1, (VALUE(LEFT(ft_enfermeiros!$A:$A,6))=VALUE(LEFT(B571,6)))*(ft_enfermeiros!$B:$B=C571), 0)), "")</f>
        <v>1416</v>
      </c>
      <c r="G571" t="str" cm="1">
        <f t="array" aca="1" ref="G571" ca="1">IFERROR(INDEX(ft_equipes_acs!$C:$C, MATCH(1, (VALUE(LEFT(ft_equipes_acs!$A:$A,6))=VALUE(LEFT(B571,6)))*(ft_equipes_acs!$B:$B=C571), 0)), "")</f>
        <v>-</v>
      </c>
      <c r="H571" cm="1">
        <f t="array" aca="1" ref="H571" ca="1">IFERROR(INDEX(ci_leitos_internacao!$C:$C, MATCH(1, (VALUE(LEFT(ci_leitos_internacao!$A:$A,6))=VALUE(LEFT(B571,6)))*(ci_leitos_internacao!$B:$B=C571), 0)), "")</f>
        <v>1611</v>
      </c>
      <c r="I571" cm="1">
        <f t="array" aca="1" ref="I571" ca="1">IFERROR(INDEX(ci_hospitais_internacao!$C:$C, MATCH(1, (VALUE(LEFT(ci_hospitais_internacao!$A:$A,6))=VALUE(LEFT(B571,6)))*(ci_hospitais_internacao!$B:$B=C571), 0)), "")</f>
        <v>6</v>
      </c>
      <c r="J571" t="str" cm="1">
        <f t="array" aca="1" ref="J571" ca="1">IFERROR(INDEX(ci_pa_clinico!$C:$C, MATCH(1, (VALUE(LEFT(ci_pa_clinico!$A:$A,6))=VALUE(LEFT(B571,6)))*(ci_pa_clinico!$B:$B=C571), 0)), "")</f>
        <v/>
      </c>
      <c r="K571" t="str" cm="1">
        <f t="array" aca="1" ref="K571" ca="1">IFERROR(INDEX(aps_equipes_esf!$C:$C, MATCH(1, (VALUE(LEFT(aps_equipes_esf!$A:$A,6))=VALUE(LEFT(B571,6)))*(aps_equipes_esf!$B:$B=C571), 0)), "")</f>
        <v>-</v>
      </c>
      <c r="L571" cm="1">
        <f t="array" aca="1" ref="L571" ca="1">IFERROR(INDEX(casos!$C:$C, MATCH(1, (VALUE(LEFT(casos!$A:$A,6))=VALUE(LEFT(B571,6)))*(casos!$B:$B=C571), 0)), "")</f>
        <v>5909</v>
      </c>
      <c r="M571" cm="1">
        <f t="array" ref="M571">IFERROR(INDEX(srag!$D:$D, MATCH(1, (VALUE(LEFT(srag!$A:$A,6))=VALUE(LEFT(B571,6)))*(srag!$C:$C=C571), 0)), "")</f>
        <v>1256</v>
      </c>
      <c r="N571" cm="1">
        <f t="array" aca="1" ref="N571" ca="1">IFERROR(INDEX(fesp!$E:$E, MATCH(1, (VALUE(LEFT(fesp!$A:$A,6))=VALUE(LEFT(B571,6)))*(fesp!$C:$C=C571), 0)), "")</f>
        <v>135</v>
      </c>
      <c r="O571" cm="1">
        <f t="array" aca="1" ref="O571" ca="1">IFERROR(INDEX(fesp!$F:$F, MATCH(1, (VALUE(LEFT(fesp!$A:$A,6))=VALUE(LEFT(B571,6)))*(fesp!$C:$C=C571), 0)), "")</f>
        <v>12012</v>
      </c>
      <c r="P571" cm="1">
        <f t="array" aca="1" ref="P571" ca="1">IFERROR(INDEX(fesp!$G:$G, MATCH(1, (VALUE(LEFT(fesp!$A:$A,6))=VALUE(LEFT(B571,6)))*(fesp!$C:$C=C571), 0)), "")</f>
        <v>5765269</v>
      </c>
      <c r="Q571" cm="1">
        <f t="array" aca="1" ref="Q571" ca="1">IFERROR(INDEX(fesp!$H:$H, MATCH(1, (VALUE(LEFT(fesp!$A:$A,6))=VALUE(LEFT(B571,6)))*(fesp!$C:$C=C571), 0)), "")</f>
        <v>103</v>
      </c>
      <c r="R571" cm="1">
        <f t="array" aca="1" ref="R571" ca="1">IFERROR(INDEX(fesp!$I:$I, MATCH(1, (VALUE(LEFT(fesp!$A:$A,6))=VALUE(LEFT(B571,6)))*(fesp!$C:$C=C571), 0)), "")</f>
        <v>42747</v>
      </c>
      <c r="S571" cm="1">
        <f t="array" aca="1" ref="S571" ca="1">IFERROR(INDEX(fesp!$J:$J, MATCH(1, (VALUE(LEFT(fesp!$A:$A,6))=VALUE(LEFT(B571,6)))*(fesp!$C:$C=C571), 0)), "")</f>
        <v>480642</v>
      </c>
    </row>
    <row r="572" spans="1:19">
      <c r="A572" s="1" t="s">
        <v>51</v>
      </c>
      <c r="B572" s="3" t="s">
        <v>50</v>
      </c>
      <c r="C572" s="3">
        <v>2024</v>
      </c>
      <c r="D572" cm="1">
        <f t="array" ref="D572">IFERROR(INDEX(fesp!$D:$D, MATCH(1, (VALUE(LEFT(fesp!$A:$A,6))=VALUE(LEFT(B572,6)))*(fesp!$C:$C=C572), 0)), "")</f>
        <v>0</v>
      </c>
      <c r="E572" cm="1">
        <f t="array" aca="1" ref="E572" ca="1">IFERROR(INDEX(ft_medicos_clinicos!$C:$C, MATCH(1, (VALUE(LEFT(ft_medicos_clinicos!$A:$A,6))=VALUE(LEFT(B572,6)))*(ft_medicos_clinicos!$B:$B=C572), 0)), "")</f>
        <v>590</v>
      </c>
      <c r="F572" cm="1">
        <f t="array" aca="1" ref="F572" ca="1">IFERROR(INDEX(ft_enfermeiros!$C:$C, MATCH(1, (VALUE(LEFT(ft_enfermeiros!$A:$A,6))=VALUE(LEFT(B572,6)))*(ft_enfermeiros!$B:$B=C572), 0)), "")</f>
        <v>1554</v>
      </c>
      <c r="G572" t="str" cm="1">
        <f t="array" aca="1" ref="G572" ca="1">IFERROR(INDEX(ft_equipes_acs!$C:$C, MATCH(1, (VALUE(LEFT(ft_equipes_acs!$A:$A,6))=VALUE(LEFT(B572,6)))*(ft_equipes_acs!$B:$B=C572), 0)), "")</f>
        <v>-</v>
      </c>
      <c r="H572" cm="1">
        <f t="array" aca="1" ref="H572" ca="1">IFERROR(INDEX(ci_leitos_internacao!$C:$C, MATCH(1, (VALUE(LEFT(ci_leitos_internacao!$A:$A,6))=VALUE(LEFT(B572,6)))*(ci_leitos_internacao!$B:$B=C572), 0)), "")</f>
        <v>1685</v>
      </c>
      <c r="I572" cm="1">
        <f t="array" aca="1" ref="I572" ca="1">IFERROR(INDEX(ci_hospitais_internacao!$C:$C, MATCH(1, (VALUE(LEFT(ci_hospitais_internacao!$A:$A,6))=VALUE(LEFT(B572,6)))*(ci_hospitais_internacao!$B:$B=C572), 0)), "")</f>
        <v>7</v>
      </c>
      <c r="J572" t="str" cm="1">
        <f t="array" aca="1" ref="J572" ca="1">IFERROR(INDEX(ci_pa_clinico!$C:$C, MATCH(1, (VALUE(LEFT(ci_pa_clinico!$A:$A,6))=VALUE(LEFT(B572,6)))*(ci_pa_clinico!$B:$B=C572), 0)), "")</f>
        <v/>
      </c>
      <c r="K572" t="str" cm="1">
        <f t="array" aca="1" ref="K572" ca="1">IFERROR(INDEX(aps_equipes_esf!$C:$C, MATCH(1, (VALUE(LEFT(aps_equipes_esf!$A:$A,6))=VALUE(LEFT(B572,6)))*(aps_equipes_esf!$B:$B=C572), 0)), "")</f>
        <v>-</v>
      </c>
      <c r="L572" cm="1">
        <f t="array" aca="1" ref="L572" ca="1">IFERROR(INDEX(casos!$C:$C, MATCH(1, (VALUE(LEFT(casos!$A:$A,6))=VALUE(LEFT(B572,6)))*(casos!$B:$B=C572), 0)), "")</f>
        <v>52051</v>
      </c>
      <c r="M572" cm="1">
        <f t="array" ref="M572">IFERROR(INDEX(srag!$D:$D, MATCH(1, (VALUE(LEFT(srag!$A:$A,6))=VALUE(LEFT(B572,6)))*(srag!$C:$C=C572), 0)), "")</f>
        <v>1093</v>
      </c>
      <c r="N572" cm="1">
        <f t="array" aca="1" ref="N572" ca="1">IFERROR(INDEX(fesp!$E:$E, MATCH(1, (VALUE(LEFT(fesp!$A:$A,6))=VALUE(LEFT(B572,6)))*(fesp!$C:$C=C572), 0)), "")</f>
        <v>208</v>
      </c>
      <c r="O572" cm="1">
        <f t="array" aca="1" ref="O572" ca="1">IFERROR(INDEX(fesp!$F:$F, MATCH(1, (VALUE(LEFT(fesp!$A:$A,6))=VALUE(LEFT(B572,6)))*(fesp!$C:$C=C572), 0)), "")</f>
        <v>11615</v>
      </c>
      <c r="P572" cm="1">
        <f t="array" aca="1" ref="P572" ca="1">IFERROR(INDEX(fesp!$G:$G, MATCH(1, (VALUE(LEFT(fesp!$A:$A,6))=VALUE(LEFT(B572,6)))*(fesp!$C:$C=C572), 0)), "")</f>
        <v>6132288</v>
      </c>
      <c r="Q572" cm="1">
        <f t="array" aca="1" ref="Q572" ca="1">IFERROR(INDEX(fesp!$H:$H, MATCH(1, (VALUE(LEFT(fesp!$A:$A,6))=VALUE(LEFT(B572,6)))*(fesp!$C:$C=C572), 0)), "")</f>
        <v>106</v>
      </c>
      <c r="R572" cm="1">
        <f t="array" aca="1" ref="R572" ca="1">IFERROR(INDEX(fesp!$I:$I, MATCH(1, (VALUE(LEFT(fesp!$A:$A,6))=VALUE(LEFT(B572,6)))*(fesp!$C:$C=C572), 0)), "")</f>
        <v>43611</v>
      </c>
      <c r="S572" cm="1">
        <f t="array" aca="1" ref="S572" ca="1">IFERROR(INDEX(fesp!$J:$J, MATCH(1, (VALUE(LEFT(fesp!$A:$A,6))=VALUE(LEFT(B572,6)))*(fesp!$C:$C=C572), 0)), "")</f>
        <v>465306</v>
      </c>
    </row>
    <row r="573" spans="1:19">
      <c r="A573" s="1" t="s">
        <v>51</v>
      </c>
      <c r="B573" s="3">
        <v>3552205</v>
      </c>
      <c r="C573" s="3">
        <v>2025</v>
      </c>
      <c r="D573" cm="1">
        <f t="array" ref="D573">IFERROR(INDEX(fesp!$D:$D, MATCH(1, (VALUE(LEFT(fesp!$A:$A,6))=VALUE(LEFT(B573,6)))*(fesp!$C:$C=C573), 0)), "")</f>
        <v>0</v>
      </c>
      <c r="E573" cm="1">
        <f t="array" aca="1" ref="E573" ca="1">IFERROR(INDEX(ft_medicos_clinicos!$C:$C, MATCH(1, (VALUE(LEFT(ft_medicos_clinicos!$A:$A,6))=VALUE(LEFT(B573,6)))*(ft_medicos_clinicos!$B:$B=C573), 0)), "")</f>
        <v>686</v>
      </c>
      <c r="F573" cm="1">
        <f t="array" aca="1" ref="F573" ca="1">IFERROR(INDEX(ft_enfermeiros!$C:$C, MATCH(1, (VALUE(LEFT(ft_enfermeiros!$A:$A,6))=VALUE(LEFT(B573,6)))*(ft_enfermeiros!$B:$B=C573), 0)), "")</f>
        <v>1645</v>
      </c>
      <c r="G573" t="str" cm="1">
        <f t="array" aca="1" ref="G573" ca="1">IFERROR(INDEX(ft_equipes_acs!$C:$C, MATCH(1, (VALUE(LEFT(ft_equipes_acs!$A:$A,6))=VALUE(LEFT(B573,6)))*(ft_equipes_acs!$B:$B=C573), 0)), "")</f>
        <v>-</v>
      </c>
      <c r="H573" cm="1">
        <f t="array" aca="1" ref="H573" ca="1">IFERROR(INDEX(ci_leitos_internacao!$C:$C, MATCH(1, (VALUE(LEFT(ci_leitos_internacao!$A:$A,6))=VALUE(LEFT(B573,6)))*(ci_leitos_internacao!$B:$B=C573), 0)), "")</f>
        <v>1764</v>
      </c>
      <c r="I573" cm="1">
        <f t="array" aca="1" ref="I573" ca="1">IFERROR(INDEX(ci_hospitais_internacao!$C:$C, MATCH(1, (VALUE(LEFT(ci_hospitais_internacao!$A:$A,6))=VALUE(LEFT(B573,6)))*(ci_hospitais_internacao!$B:$B=C573), 0)), "")</f>
        <v>7</v>
      </c>
      <c r="J573" t="str" cm="1">
        <f t="array" aca="1" ref="J573" ca="1">IFERROR(INDEX(ci_pa_clinico!$C:$C, MATCH(1, (VALUE(LEFT(ci_pa_clinico!$A:$A,6))=VALUE(LEFT(B573,6)))*(ci_pa_clinico!$B:$B=C573), 0)), "")</f>
        <v/>
      </c>
      <c r="K573" t="str" cm="1">
        <f t="array" aca="1" ref="K573" ca="1">IFERROR(INDEX(aps_equipes_esf!$C:$C, MATCH(1, (VALUE(LEFT(aps_equipes_esf!$A:$A,6))=VALUE(LEFT(B573,6)))*(aps_equipes_esf!$B:$B=C573), 0)), "")</f>
        <v>-</v>
      </c>
      <c r="L573" cm="1">
        <f t="array" aca="1" ref="L573" ca="1">IFERROR(INDEX(casos!$C:$C, MATCH(1, (VALUE(LEFT(casos!$A:$A,6))=VALUE(LEFT(B573,6)))*(casos!$B:$B=C573), 0)), "")</f>
        <v>15056</v>
      </c>
      <c r="M573" cm="1">
        <f t="array" ref="M573">IFERROR(INDEX(srag!$D:$D, MATCH(1, (VALUE(LEFT(srag!$A:$A,6))=VALUE(LEFT(B573,6)))*(srag!$C:$C=C573), 0)), "")</f>
        <v>1522</v>
      </c>
      <c r="N573" cm="1">
        <f t="array" aca="1" ref="N573" ca="1">IFERROR(INDEX(fesp!$E:$E, MATCH(1, (VALUE(LEFT(fesp!$A:$A,6))=VALUE(LEFT(B573,6)))*(fesp!$C:$C=C573), 0)), "")</f>
        <v>161</v>
      </c>
      <c r="O573" cm="1">
        <f t="array" aca="1" ref="O573" ca="1">IFERROR(INDEX(fesp!$F:$F, MATCH(1, (VALUE(LEFT(fesp!$A:$A,6))=VALUE(LEFT(B573,6)))*(fesp!$C:$C=C573), 0)), "")</f>
        <v>10018</v>
      </c>
      <c r="P573" cm="1">
        <f t="array" aca="1" ref="P573" ca="1">IFERROR(INDEX(fesp!$G:$G, MATCH(1, (VALUE(LEFT(fesp!$A:$A,6))=VALUE(LEFT(B573,6)))*(fesp!$C:$C=C573), 0)), "")</f>
        <v>5481509</v>
      </c>
      <c r="Q573" cm="1">
        <f t="array" aca="1" ref="Q573" ca="1">IFERROR(INDEX(fesp!$H:$H, MATCH(1, (VALUE(LEFT(fesp!$A:$A,6))=VALUE(LEFT(B573,6)))*(fesp!$C:$C=C573), 0)), "")</f>
        <v>89</v>
      </c>
      <c r="R573" cm="1">
        <f t="array" aca="1" ref="R573" ca="1">IFERROR(INDEX(fesp!$I:$I, MATCH(1, (VALUE(LEFT(fesp!$A:$A,6))=VALUE(LEFT(B573,6)))*(fesp!$C:$C=C573), 0)), "")</f>
        <v>36952</v>
      </c>
      <c r="S573" cm="1">
        <f t="array" aca="1" ref="S573" ca="1">IFERROR(INDEX(fesp!$J:$J, MATCH(1, (VALUE(LEFT(fesp!$A:$A,6))=VALUE(LEFT(B573,6)))*(fesp!$C:$C=C573), 0)), "")</f>
        <v>398150</v>
      </c>
    </row>
    <row r="574" spans="1:19">
      <c r="A574" s="1" t="s">
        <v>15</v>
      </c>
      <c r="B574" s="3">
        <v>4106902</v>
      </c>
      <c r="C574" s="3">
        <v>2015</v>
      </c>
      <c r="D574" cm="1">
        <f t="array" ref="D574">IFERROR(INDEX(fesp!$D:$D, MATCH(1, (VALUE(LEFT(fesp!$A:$A,6))=VALUE(LEFT(B574,6)))*(fesp!$C:$C=C574), 0)), "")</f>
        <v>1879355</v>
      </c>
      <c r="E574" cm="1">
        <f t="array" aca="1" ref="E574" ca="1">IFERROR(INDEX(ft_medicos_clinicos!$C:$C, MATCH(1, (VALUE(LEFT(ft_medicos_clinicos!$A:$A,6))=VALUE(LEFT(B574,6)))*(ft_medicos_clinicos!$B:$B=C574), 0)), "")</f>
        <v>2007</v>
      </c>
      <c r="F574" cm="1">
        <f t="array" aca="1" ref="F574" ca="1">IFERROR(INDEX(ft_enfermeiros!$C:$C, MATCH(1, (VALUE(LEFT(ft_enfermeiros!$A:$A,6))=VALUE(LEFT(B574,6)))*(ft_enfermeiros!$B:$B=C574), 0)), "")</f>
        <v>2403</v>
      </c>
      <c r="G574" cm="1">
        <f t="array" aca="1" ref="G574" ca="1">IFERROR(INDEX(ft_equipes_acs!$C:$C, MATCH(1, (VALUE(LEFT(ft_equipes_acs!$A:$A,6))=VALUE(LEFT(B574,6)))*(ft_equipes_acs!$B:$B=C574), 0)), "")</f>
        <v>48</v>
      </c>
      <c r="H574" cm="1">
        <f t="array" aca="1" ref="H574" ca="1">IFERROR(INDEX(ci_leitos_internacao!$C:$C, MATCH(1, (VALUE(LEFT(ci_leitos_internacao!$A:$A,6))=VALUE(LEFT(B574,6)))*(ci_leitos_internacao!$B:$B=C574), 0)), "")</f>
        <v>5589</v>
      </c>
      <c r="I574" cm="1">
        <f t="array" aca="1" ref="I574" ca="1">IFERROR(INDEX(ci_hospitais_internacao!$C:$C, MATCH(1, (VALUE(LEFT(ci_hospitais_internacao!$A:$A,6))=VALUE(LEFT(B574,6)))*(ci_hospitais_internacao!$B:$B=C574), 0)), "")</f>
        <v>16</v>
      </c>
      <c r="J574" t="str" cm="1">
        <f t="array" aca="1" ref="J574" ca="1">IFERROR(INDEX(ci_pa_clinico!$C:$C, MATCH(1, (VALUE(LEFT(ci_pa_clinico!$A:$A,6))=VALUE(LEFT(B574,6)))*(ci_pa_clinico!$B:$B=C574), 0)), "")</f>
        <v/>
      </c>
      <c r="K574" cm="1">
        <f t="array" aca="1" ref="K574" ca="1">IFERROR(INDEX(aps_equipes_esf!$C:$C, MATCH(1, (VALUE(LEFT(aps_equipes_esf!$A:$A,6))=VALUE(LEFT(B574,6)))*(aps_equipes_esf!$B:$B=C574), 0)), "")</f>
        <v>65</v>
      </c>
      <c r="L574" cm="1">
        <f t="array" aca="1" ref="L574" ca="1">IFERROR(INDEX(casos!$C:$C, MATCH(1, (VALUE(LEFT(casos!$A:$A,6))=VALUE(LEFT(B574,6)))*(casos!$B:$B=C574), 0)), "")</f>
        <v>315</v>
      </c>
      <c r="M574" cm="1">
        <f t="array" ref="M574">IFERROR(INDEX(srag!$D:$D, MATCH(1, (VALUE(LEFT(srag!$A:$A,6))=VALUE(LEFT(B574,6)))*(srag!$C:$C=C574), 0)), "")</f>
        <v>538</v>
      </c>
      <c r="N574" cm="1">
        <f t="array" aca="1" ref="N574" ca="1">IFERROR(INDEX(fesp!$E:$E, MATCH(1, (VALUE(LEFT(fesp!$A:$A,6))=VALUE(LEFT(B574,6)))*(fesp!$C:$C=C574), 0)), "")</f>
        <v>448</v>
      </c>
      <c r="O574" cm="1">
        <f t="array" aca="1" ref="O574" ca="1">IFERROR(INDEX(fesp!$F:$F, MATCH(1, (VALUE(LEFT(fesp!$A:$A,6))=VALUE(LEFT(B574,6)))*(fesp!$C:$C=C574), 0)), "")</f>
        <v>18229</v>
      </c>
      <c r="P574" cm="1">
        <f t="array" aca="1" ref="P574" ca="1">IFERROR(INDEX(fesp!$G:$G, MATCH(1, (VALUE(LEFT(fesp!$A:$A,6))=VALUE(LEFT(B574,6)))*(fesp!$C:$C=C574), 0)), "")</f>
        <v>13775379</v>
      </c>
      <c r="Q574" cm="1">
        <f t="array" aca="1" ref="Q574" ca="1">IFERROR(INDEX(fesp!$H:$H, MATCH(1, (VALUE(LEFT(fesp!$A:$A,6))=VALUE(LEFT(B574,6)))*(fesp!$C:$C=C574), 0)), "")</f>
        <v>139</v>
      </c>
      <c r="R574" cm="1">
        <f t="array" aca="1" ref="R574" ca="1">IFERROR(INDEX(fesp!$I:$I, MATCH(1, (VALUE(LEFT(fesp!$A:$A,6))=VALUE(LEFT(B574,6)))*(fesp!$C:$C=C574), 0)), "")</f>
        <v>161455</v>
      </c>
      <c r="S574" cm="1">
        <f t="array" aca="1" ref="S574" ca="1">IFERROR(INDEX(fesp!$J:$J, MATCH(1, (VALUE(LEFT(fesp!$A:$A,6))=VALUE(LEFT(B574,6)))*(fesp!$C:$C=C574), 0)), "")</f>
        <v>1727119</v>
      </c>
    </row>
    <row r="575" spans="1:19">
      <c r="A575" s="1" t="s">
        <v>15</v>
      </c>
      <c r="B575" s="3" t="s">
        <v>14</v>
      </c>
      <c r="C575" s="3">
        <v>2016</v>
      </c>
      <c r="D575" cm="1">
        <f t="array" ref="D575">IFERROR(INDEX(fesp!$D:$D, MATCH(1, (VALUE(LEFT(fesp!$A:$A,6))=VALUE(LEFT(B575,6)))*(fesp!$C:$C=C575), 0)), "")</f>
        <v>0</v>
      </c>
      <c r="E575" cm="1">
        <f t="array" aca="1" ref="E575" ca="1">IFERROR(INDEX(ft_medicos_clinicos!$C:$C, MATCH(1, (VALUE(LEFT(ft_medicos_clinicos!$A:$A,6))=VALUE(LEFT(B575,6)))*(ft_medicos_clinicos!$B:$B=C575), 0)), "")</f>
        <v>2038</v>
      </c>
      <c r="F575" cm="1">
        <f t="array" aca="1" ref="F575" ca="1">IFERROR(INDEX(ft_enfermeiros!$C:$C, MATCH(1, (VALUE(LEFT(ft_enfermeiros!$A:$A,6))=VALUE(LEFT(B575,6)))*(ft_enfermeiros!$B:$B=C575), 0)), "")</f>
        <v>2499</v>
      </c>
      <c r="G575" cm="1">
        <f t="array" aca="1" ref="G575" ca="1">IFERROR(INDEX(ft_equipes_acs!$C:$C, MATCH(1, (VALUE(LEFT(ft_equipes_acs!$A:$A,6))=VALUE(LEFT(B575,6)))*(ft_equipes_acs!$B:$B=C575), 0)), "")</f>
        <v>48</v>
      </c>
      <c r="H575" cm="1">
        <f t="array" aca="1" ref="H575" ca="1">IFERROR(INDEX(ci_leitos_internacao!$C:$C, MATCH(1, (VALUE(LEFT(ci_leitos_internacao!$A:$A,6))=VALUE(LEFT(B575,6)))*(ci_leitos_internacao!$B:$B=C575), 0)), "")</f>
        <v>5471</v>
      </c>
      <c r="I575" cm="1">
        <f t="array" aca="1" ref="I575" ca="1">IFERROR(INDEX(ci_hospitais_internacao!$C:$C, MATCH(1, (VALUE(LEFT(ci_hospitais_internacao!$A:$A,6))=VALUE(LEFT(B575,6)))*(ci_hospitais_internacao!$B:$B=C575), 0)), "")</f>
        <v>15</v>
      </c>
      <c r="J575" t="str" cm="1">
        <f t="array" aca="1" ref="J575" ca="1">IFERROR(INDEX(ci_pa_clinico!$C:$C, MATCH(1, (VALUE(LEFT(ci_pa_clinico!$A:$A,6))=VALUE(LEFT(B575,6)))*(ci_pa_clinico!$B:$B=C575), 0)), "")</f>
        <v/>
      </c>
      <c r="K575" cm="1">
        <f t="array" aca="1" ref="K575" ca="1">IFERROR(INDEX(aps_equipes_esf!$C:$C, MATCH(1, (VALUE(LEFT(aps_equipes_esf!$A:$A,6))=VALUE(LEFT(B575,6)))*(aps_equipes_esf!$B:$B=C575), 0)), "")</f>
        <v>65</v>
      </c>
      <c r="L575" cm="1">
        <f t="array" aca="1" ref="L575" ca="1">IFERROR(INDEX(casos!$C:$C, MATCH(1, (VALUE(LEFT(casos!$A:$A,6))=VALUE(LEFT(B575,6)))*(casos!$B:$B=C575), 0)), "")</f>
        <v>1072</v>
      </c>
      <c r="M575" cm="1">
        <f t="array" ref="M575">IFERROR(INDEX(srag!$D:$D, MATCH(1, (VALUE(LEFT(srag!$A:$A,6))=VALUE(LEFT(B575,6)))*(srag!$C:$C=C575), 0)), "")</f>
        <v>1227</v>
      </c>
      <c r="N575" cm="1">
        <f t="array" aca="1" ref="N575" ca="1">IFERROR(INDEX(fesp!$E:$E, MATCH(1, (VALUE(LEFT(fesp!$A:$A,6))=VALUE(LEFT(B575,6)))*(fesp!$C:$C=C575), 0)), "")</f>
        <v>444</v>
      </c>
      <c r="O575" cm="1">
        <f t="array" aca="1" ref="O575" ca="1">IFERROR(INDEX(fesp!$F:$F, MATCH(1, (VALUE(LEFT(fesp!$A:$A,6))=VALUE(LEFT(B575,6)))*(fesp!$C:$C=C575), 0)), "")</f>
        <v>17063</v>
      </c>
      <c r="P575" cm="1">
        <f t="array" aca="1" ref="P575" ca="1">IFERROR(INDEX(fesp!$G:$G, MATCH(1, (VALUE(LEFT(fesp!$A:$A,6))=VALUE(LEFT(B575,6)))*(fesp!$C:$C=C575), 0)), "")</f>
        <v>13567576</v>
      </c>
      <c r="Q575" cm="1">
        <f t="array" aca="1" ref="Q575" ca="1">IFERROR(INDEX(fesp!$H:$H, MATCH(1, (VALUE(LEFT(fesp!$A:$A,6))=VALUE(LEFT(B575,6)))*(fesp!$C:$C=C575), 0)), "")</f>
        <v>170</v>
      </c>
      <c r="R575" cm="1">
        <f t="array" aca="1" ref="R575" ca="1">IFERROR(INDEX(fesp!$I:$I, MATCH(1, (VALUE(LEFT(fesp!$A:$A,6))=VALUE(LEFT(B575,6)))*(fesp!$C:$C=C575), 0)), "")</f>
        <v>148097</v>
      </c>
      <c r="S575" cm="1">
        <f t="array" aca="1" ref="S575" ca="1">IFERROR(INDEX(fesp!$J:$J, MATCH(1, (VALUE(LEFT(fesp!$A:$A,6))=VALUE(LEFT(B575,6)))*(fesp!$C:$C=C575), 0)), "")</f>
        <v>1691721</v>
      </c>
    </row>
    <row r="576" spans="1:19">
      <c r="A576" s="1" t="s">
        <v>15</v>
      </c>
      <c r="B576" s="3" t="s">
        <v>14</v>
      </c>
      <c r="C576" s="3">
        <v>2017</v>
      </c>
      <c r="D576" cm="1">
        <f t="array" ref="D576">IFERROR(INDEX(fesp!$D:$D, MATCH(1, (VALUE(LEFT(fesp!$A:$A,6))=VALUE(LEFT(B576,6)))*(fesp!$C:$C=C576), 0)), "")</f>
        <v>0</v>
      </c>
      <c r="E576" cm="1">
        <f t="array" aca="1" ref="E576" ca="1">IFERROR(INDEX(ft_medicos_clinicos!$C:$C, MATCH(1, (VALUE(LEFT(ft_medicos_clinicos!$A:$A,6))=VALUE(LEFT(B576,6)))*(ft_medicos_clinicos!$B:$B=C576), 0)), "")</f>
        <v>2093</v>
      </c>
      <c r="F576" cm="1">
        <f t="array" aca="1" ref="F576" ca="1">IFERROR(INDEX(ft_enfermeiros!$C:$C, MATCH(1, (VALUE(LEFT(ft_enfermeiros!$A:$A,6))=VALUE(LEFT(B576,6)))*(ft_enfermeiros!$B:$B=C576), 0)), "")</f>
        <v>2522</v>
      </c>
      <c r="G576" cm="1">
        <f t="array" aca="1" ref="G576" ca="1">IFERROR(INDEX(ft_equipes_acs!$C:$C, MATCH(1, (VALUE(LEFT(ft_equipes_acs!$A:$A,6))=VALUE(LEFT(B576,6)))*(ft_equipes_acs!$B:$B=C576), 0)), "")</f>
        <v>47</v>
      </c>
      <c r="H576" cm="1">
        <f t="array" aca="1" ref="H576" ca="1">IFERROR(INDEX(ci_leitos_internacao!$C:$C, MATCH(1, (VALUE(LEFT(ci_leitos_internacao!$A:$A,6))=VALUE(LEFT(B576,6)))*(ci_leitos_internacao!$B:$B=C576), 0)), "")</f>
        <v>5536</v>
      </c>
      <c r="I576" cm="1">
        <f t="array" aca="1" ref="I576" ca="1">IFERROR(INDEX(ci_hospitais_internacao!$C:$C, MATCH(1, (VALUE(LEFT(ci_hospitais_internacao!$A:$A,6))=VALUE(LEFT(B576,6)))*(ci_hospitais_internacao!$B:$B=C576), 0)), "")</f>
        <v>17</v>
      </c>
      <c r="J576" t="str" cm="1">
        <f t="array" aca="1" ref="J576" ca="1">IFERROR(INDEX(ci_pa_clinico!$C:$C, MATCH(1, (VALUE(LEFT(ci_pa_clinico!$A:$A,6))=VALUE(LEFT(B576,6)))*(ci_pa_clinico!$B:$B=C576), 0)), "")</f>
        <v/>
      </c>
      <c r="K576" cm="1">
        <f t="array" aca="1" ref="K576" ca="1">IFERROR(INDEX(aps_equipes_esf!$C:$C, MATCH(1, (VALUE(LEFT(aps_equipes_esf!$A:$A,6))=VALUE(LEFT(B576,6)))*(aps_equipes_esf!$B:$B=C576), 0)), "")</f>
        <v>77</v>
      </c>
      <c r="L576" cm="1">
        <f t="array" aca="1" ref="L576" ca="1">IFERROR(INDEX(casos!$C:$C, MATCH(1, (VALUE(LEFT(casos!$A:$A,6))=VALUE(LEFT(B576,6)))*(casos!$B:$B=C576), 0)), "")</f>
        <v>90</v>
      </c>
      <c r="M576" cm="1">
        <f t="array" ref="M576">IFERROR(INDEX(srag!$D:$D, MATCH(1, (VALUE(LEFT(srag!$A:$A,6))=VALUE(LEFT(B576,6)))*(srag!$C:$C=C576), 0)), "")</f>
        <v>1082</v>
      </c>
      <c r="N576" cm="1">
        <f t="array" aca="1" ref="N576" ca="1">IFERROR(INDEX(fesp!$E:$E, MATCH(1, (VALUE(LEFT(fesp!$A:$A,6))=VALUE(LEFT(B576,6)))*(fesp!$C:$C=C576), 0)), "")</f>
        <v>414</v>
      </c>
      <c r="O576" cm="1">
        <f t="array" aca="1" ref="O576" ca="1">IFERROR(INDEX(fesp!$F:$F, MATCH(1, (VALUE(LEFT(fesp!$A:$A,6))=VALUE(LEFT(B576,6)))*(fesp!$C:$C=C576), 0)), "")</f>
        <v>18170</v>
      </c>
      <c r="P576" cm="1">
        <f t="array" aca="1" ref="P576" ca="1">IFERROR(INDEX(fesp!$G:$G, MATCH(1, (VALUE(LEFT(fesp!$A:$A,6))=VALUE(LEFT(B576,6)))*(fesp!$C:$C=C576), 0)), "")</f>
        <v>14223478</v>
      </c>
      <c r="Q576" cm="1">
        <f t="array" aca="1" ref="Q576" ca="1">IFERROR(INDEX(fesp!$H:$H, MATCH(1, (VALUE(LEFT(fesp!$A:$A,6))=VALUE(LEFT(B576,6)))*(fesp!$C:$C=C576), 0)), "")</f>
        <v>180</v>
      </c>
      <c r="R576" cm="1">
        <f t="array" aca="1" ref="R576" ca="1">IFERROR(INDEX(fesp!$I:$I, MATCH(1, (VALUE(LEFT(fesp!$A:$A,6))=VALUE(LEFT(B576,6)))*(fesp!$C:$C=C576), 0)), "")</f>
        <v>137032</v>
      </c>
      <c r="S576" cm="1">
        <f t="array" aca="1" ref="S576" ca="1">IFERROR(INDEX(fesp!$J:$J, MATCH(1, (VALUE(LEFT(fesp!$A:$A,6))=VALUE(LEFT(B576,6)))*(fesp!$C:$C=C576), 0)), "")</f>
        <v>1646964</v>
      </c>
    </row>
    <row r="577" spans="1:19">
      <c r="A577" s="1" t="s">
        <v>15</v>
      </c>
      <c r="B577" s="3" t="s">
        <v>14</v>
      </c>
      <c r="C577" s="3">
        <v>2018</v>
      </c>
      <c r="D577" cm="1">
        <f t="array" ref="D577">IFERROR(INDEX(fesp!$D:$D, MATCH(1, (VALUE(LEFT(fesp!$A:$A,6))=VALUE(LEFT(B577,6)))*(fesp!$C:$C=C577), 0)), "")</f>
        <v>0</v>
      </c>
      <c r="E577" cm="1">
        <f t="array" aca="1" ref="E577" ca="1">IFERROR(INDEX(ft_medicos_clinicos!$C:$C, MATCH(1, (VALUE(LEFT(ft_medicos_clinicos!$A:$A,6))=VALUE(LEFT(B577,6)))*(ft_medicos_clinicos!$B:$B=C577), 0)), "")</f>
        <v>2213</v>
      </c>
      <c r="F577" cm="1">
        <f t="array" aca="1" ref="F577" ca="1">IFERROR(INDEX(ft_enfermeiros!$C:$C, MATCH(1, (VALUE(LEFT(ft_enfermeiros!$A:$A,6))=VALUE(LEFT(B577,6)))*(ft_enfermeiros!$B:$B=C577), 0)), "")</f>
        <v>2799</v>
      </c>
      <c r="G577" cm="1">
        <f t="array" aca="1" ref="G577" ca="1">IFERROR(INDEX(ft_equipes_acs!$C:$C, MATCH(1, (VALUE(LEFT(ft_equipes_acs!$A:$A,6))=VALUE(LEFT(B577,6)))*(ft_equipes_acs!$B:$B=C577), 0)), "")</f>
        <v>49</v>
      </c>
      <c r="H577" cm="1">
        <f t="array" aca="1" ref="H577" ca="1">IFERROR(INDEX(ci_leitos_internacao!$C:$C, MATCH(1, (VALUE(LEFT(ci_leitos_internacao!$A:$A,6))=VALUE(LEFT(B577,6)))*(ci_leitos_internacao!$B:$B=C577), 0)), "")</f>
        <v>5522</v>
      </c>
      <c r="I577" cm="1">
        <f t="array" aca="1" ref="I577" ca="1">IFERROR(INDEX(ci_hospitais_internacao!$C:$C, MATCH(1, (VALUE(LEFT(ci_hospitais_internacao!$A:$A,6))=VALUE(LEFT(B577,6)))*(ci_hospitais_internacao!$B:$B=C577), 0)), "")</f>
        <v>18</v>
      </c>
      <c r="J577" t="str" cm="1">
        <f t="array" aca="1" ref="J577" ca="1">IFERROR(INDEX(ci_pa_clinico!$C:$C, MATCH(1, (VALUE(LEFT(ci_pa_clinico!$A:$A,6))=VALUE(LEFT(B577,6)))*(ci_pa_clinico!$B:$B=C577), 0)), "")</f>
        <v/>
      </c>
      <c r="K577" cm="1">
        <f t="array" aca="1" ref="K577" ca="1">IFERROR(INDEX(aps_equipes_esf!$C:$C, MATCH(1, (VALUE(LEFT(aps_equipes_esf!$A:$A,6))=VALUE(LEFT(B577,6)))*(aps_equipes_esf!$B:$B=C577), 0)), "")</f>
        <v>77</v>
      </c>
      <c r="L577" cm="1">
        <f t="array" aca="1" ref="L577" ca="1">IFERROR(INDEX(casos!$C:$C, MATCH(1, (VALUE(LEFT(casos!$A:$A,6))=VALUE(LEFT(B577,6)))*(casos!$B:$B=C577), 0)), "")</f>
        <v>53</v>
      </c>
      <c r="M577" cm="1">
        <f t="array" ref="M577">IFERROR(INDEX(srag!$D:$D, MATCH(1, (VALUE(LEFT(srag!$A:$A,6))=VALUE(LEFT(B577,6)))*(srag!$C:$C=C577), 0)), "")</f>
        <v>1720</v>
      </c>
      <c r="N577" cm="1">
        <f t="array" aca="1" ref="N577" ca="1">IFERROR(INDEX(fesp!$E:$E, MATCH(1, (VALUE(LEFT(fesp!$A:$A,6))=VALUE(LEFT(B577,6)))*(fesp!$C:$C=C577), 0)), "")</f>
        <v>407</v>
      </c>
      <c r="O577" cm="1">
        <f t="array" aca="1" ref="O577" ca="1">IFERROR(INDEX(fesp!$F:$F, MATCH(1, (VALUE(LEFT(fesp!$A:$A,6))=VALUE(LEFT(B577,6)))*(fesp!$C:$C=C577), 0)), "")</f>
        <v>17402</v>
      </c>
      <c r="P577" cm="1">
        <f t="array" aca="1" ref="P577" ca="1">IFERROR(INDEX(fesp!$G:$G, MATCH(1, (VALUE(LEFT(fesp!$A:$A,6))=VALUE(LEFT(B577,6)))*(fesp!$C:$C=C577), 0)), "")</f>
        <v>15500170</v>
      </c>
      <c r="Q577" cm="1">
        <f t="array" aca="1" ref="Q577" ca="1">IFERROR(INDEX(fesp!$H:$H, MATCH(1, (VALUE(LEFT(fesp!$A:$A,6))=VALUE(LEFT(B577,6)))*(fesp!$C:$C=C577), 0)), "")</f>
        <v>270</v>
      </c>
      <c r="R577" cm="1">
        <f t="array" aca="1" ref="R577" ca="1">IFERROR(INDEX(fesp!$I:$I, MATCH(1, (VALUE(LEFT(fesp!$A:$A,6))=VALUE(LEFT(B577,6)))*(fesp!$C:$C=C577), 0)), "")</f>
        <v>128168</v>
      </c>
      <c r="S577" cm="1">
        <f t="array" aca="1" ref="S577" ca="1">IFERROR(INDEX(fesp!$J:$J, MATCH(1, (VALUE(LEFT(fesp!$A:$A,6))=VALUE(LEFT(B577,6)))*(fesp!$C:$C=C577), 0)), "")</f>
        <v>1576851</v>
      </c>
    </row>
    <row r="578" spans="1:19">
      <c r="A578" s="1" t="s">
        <v>15</v>
      </c>
      <c r="B578" s="3" t="s">
        <v>14</v>
      </c>
      <c r="C578" s="3">
        <v>2019</v>
      </c>
      <c r="D578" cm="1">
        <f t="array" ref="D578">IFERROR(INDEX(fesp!$D:$D, MATCH(1, (VALUE(LEFT(fesp!$A:$A,6))=VALUE(LEFT(B578,6)))*(fesp!$C:$C=C578), 0)), "")</f>
        <v>0</v>
      </c>
      <c r="E578" cm="1">
        <f t="array" aca="1" ref="E578" ca="1">IFERROR(INDEX(ft_medicos_clinicos!$C:$C, MATCH(1, (VALUE(LEFT(ft_medicos_clinicos!$A:$A,6))=VALUE(LEFT(B578,6)))*(ft_medicos_clinicos!$B:$B=C578), 0)), "")</f>
        <v>2198</v>
      </c>
      <c r="F578" cm="1">
        <f t="array" aca="1" ref="F578" ca="1">IFERROR(INDEX(ft_enfermeiros!$C:$C, MATCH(1, (VALUE(LEFT(ft_enfermeiros!$A:$A,6))=VALUE(LEFT(B578,6)))*(ft_enfermeiros!$B:$B=C578), 0)), "")</f>
        <v>2979</v>
      </c>
      <c r="G578" cm="1">
        <f t="array" aca="1" ref="G578" ca="1">IFERROR(INDEX(ft_equipes_acs!$C:$C, MATCH(1, (VALUE(LEFT(ft_equipes_acs!$A:$A,6))=VALUE(LEFT(B578,6)))*(ft_equipes_acs!$B:$B=C578), 0)), "")</f>
        <v>47</v>
      </c>
      <c r="H578" cm="1">
        <f t="array" aca="1" ref="H578" ca="1">IFERROR(INDEX(ci_leitos_internacao!$C:$C, MATCH(1, (VALUE(LEFT(ci_leitos_internacao!$A:$A,6))=VALUE(LEFT(B578,6)))*(ci_leitos_internacao!$B:$B=C578), 0)), "")</f>
        <v>5568</v>
      </c>
      <c r="I578" cm="1">
        <f t="array" aca="1" ref="I578" ca="1">IFERROR(INDEX(ci_hospitais_internacao!$C:$C, MATCH(1, (VALUE(LEFT(ci_hospitais_internacao!$A:$A,6))=VALUE(LEFT(B578,6)))*(ci_hospitais_internacao!$B:$B=C578), 0)), "")</f>
        <v>19</v>
      </c>
      <c r="J578" t="str" cm="1">
        <f t="array" aca="1" ref="J578" ca="1">IFERROR(INDEX(ci_pa_clinico!$C:$C, MATCH(1, (VALUE(LEFT(ci_pa_clinico!$A:$A,6))=VALUE(LEFT(B578,6)))*(ci_pa_clinico!$B:$B=C578), 0)), "")</f>
        <v/>
      </c>
      <c r="K578" cm="1">
        <f t="array" aca="1" ref="K578" ca="1">IFERROR(INDEX(aps_equipes_esf!$C:$C, MATCH(1, (VALUE(LEFT(aps_equipes_esf!$A:$A,6))=VALUE(LEFT(B578,6)))*(aps_equipes_esf!$B:$B=C578), 0)), "")</f>
        <v>66</v>
      </c>
      <c r="L578" cm="1">
        <f t="array" aca="1" ref="L578" ca="1">IFERROR(INDEX(casos!$C:$C, MATCH(1, (VALUE(LEFT(casos!$A:$A,6))=VALUE(LEFT(B578,6)))*(casos!$B:$B=C578), 0)), "")</f>
        <v>176</v>
      </c>
      <c r="M578" cm="1">
        <f t="array" ref="M578">IFERROR(INDEX(srag!$D:$D, MATCH(1, (VALUE(LEFT(srag!$A:$A,6))=VALUE(LEFT(B578,6)))*(srag!$C:$C=C578), 0)), "")</f>
        <v>1728</v>
      </c>
      <c r="N578" cm="1">
        <f t="array" aca="1" ref="N578" ca="1">IFERROR(INDEX(fesp!$E:$E, MATCH(1, (VALUE(LEFT(fesp!$A:$A,6))=VALUE(LEFT(B578,6)))*(fesp!$C:$C=C578), 0)), "")</f>
        <v>365</v>
      </c>
      <c r="O578" cm="1">
        <f t="array" aca="1" ref="O578" ca="1">IFERROR(INDEX(fesp!$F:$F, MATCH(1, (VALUE(LEFT(fesp!$A:$A,6))=VALUE(LEFT(B578,6)))*(fesp!$C:$C=C578), 0)), "")</f>
        <v>18363</v>
      </c>
      <c r="P578" cm="1">
        <f t="array" aca="1" ref="P578" ca="1">IFERROR(INDEX(fesp!$G:$G, MATCH(1, (VALUE(LEFT(fesp!$A:$A,6))=VALUE(LEFT(B578,6)))*(fesp!$C:$C=C578), 0)), "")</f>
        <v>17742788</v>
      </c>
      <c r="Q578" cm="1">
        <f t="array" aca="1" ref="Q578" ca="1">IFERROR(INDEX(fesp!$H:$H, MATCH(1, (VALUE(LEFT(fesp!$A:$A,6))=VALUE(LEFT(B578,6)))*(fesp!$C:$C=C578), 0)), "")</f>
        <v>251</v>
      </c>
      <c r="R578" cm="1">
        <f t="array" aca="1" ref="R578" ca="1">IFERROR(INDEX(fesp!$I:$I, MATCH(1, (VALUE(LEFT(fesp!$A:$A,6))=VALUE(LEFT(B578,6)))*(fesp!$C:$C=C578), 0)), "")</f>
        <v>125290</v>
      </c>
      <c r="S578" cm="1">
        <f t="array" aca="1" ref="S578" ca="1">IFERROR(INDEX(fesp!$J:$J, MATCH(1, (VALUE(LEFT(fesp!$A:$A,6))=VALUE(LEFT(B578,6)))*(fesp!$C:$C=C578), 0)), "")</f>
        <v>1602074</v>
      </c>
    </row>
    <row r="579" spans="1:19">
      <c r="A579" s="1" t="s">
        <v>15</v>
      </c>
      <c r="B579" s="3" t="s">
        <v>14</v>
      </c>
      <c r="C579" s="3">
        <v>2020</v>
      </c>
      <c r="D579" cm="1">
        <f t="array" ref="D579">IFERROR(INDEX(fesp!$D:$D, MATCH(1, (VALUE(LEFT(fesp!$A:$A,6))=VALUE(LEFT(B579,6)))*(fesp!$C:$C=C579), 0)), "")</f>
        <v>0</v>
      </c>
      <c r="E579" cm="1">
        <f t="array" aca="1" ref="E579" ca="1">IFERROR(INDEX(ft_medicos_clinicos!$C:$C, MATCH(1, (VALUE(LEFT(ft_medicos_clinicos!$A:$A,6))=VALUE(LEFT(B579,6)))*(ft_medicos_clinicos!$B:$B=C579), 0)), "")</f>
        <v>2322</v>
      </c>
      <c r="F579" cm="1">
        <f t="array" aca="1" ref="F579" ca="1">IFERROR(INDEX(ft_enfermeiros!$C:$C, MATCH(1, (VALUE(LEFT(ft_enfermeiros!$A:$A,6))=VALUE(LEFT(B579,6)))*(ft_enfermeiros!$B:$B=C579), 0)), "")</f>
        <v>3313</v>
      </c>
      <c r="G579" t="str" cm="1">
        <f t="array" aca="1" ref="G579" ca="1">IFERROR(INDEX(ft_equipes_acs!$C:$C, MATCH(1, (VALUE(LEFT(ft_equipes_acs!$A:$A,6))=VALUE(LEFT(B579,6)))*(ft_equipes_acs!$B:$B=C579), 0)), "")</f>
        <v>-</v>
      </c>
      <c r="H579" cm="1">
        <f t="array" aca="1" ref="H579" ca="1">IFERROR(INDEX(ci_leitos_internacao!$C:$C, MATCH(1, (VALUE(LEFT(ci_leitos_internacao!$A:$A,6))=VALUE(LEFT(B579,6)))*(ci_leitos_internacao!$B:$B=C579), 0)), "")</f>
        <v>5877</v>
      </c>
      <c r="I579" cm="1">
        <f t="array" aca="1" ref="I579" ca="1">IFERROR(INDEX(ci_hospitais_internacao!$C:$C, MATCH(1, (VALUE(LEFT(ci_hospitais_internacao!$A:$A,6))=VALUE(LEFT(B579,6)))*(ci_hospitais_internacao!$B:$B=C579), 0)), "")</f>
        <v>20</v>
      </c>
      <c r="J579" t="str" cm="1">
        <f t="array" aca="1" ref="J579" ca="1">IFERROR(INDEX(ci_pa_clinico!$C:$C, MATCH(1, (VALUE(LEFT(ci_pa_clinico!$A:$A,6))=VALUE(LEFT(B579,6)))*(ci_pa_clinico!$B:$B=C579), 0)), "")</f>
        <v/>
      </c>
      <c r="K579" t="str" cm="1">
        <f t="array" aca="1" ref="K579" ca="1">IFERROR(INDEX(aps_equipes_esf!$C:$C, MATCH(1, (VALUE(LEFT(aps_equipes_esf!$A:$A,6))=VALUE(LEFT(B579,6)))*(aps_equipes_esf!$B:$B=C579), 0)), "")</f>
        <v>-</v>
      </c>
      <c r="L579" cm="1">
        <f t="array" aca="1" ref="L579" ca="1">IFERROR(INDEX(casos!$C:$C, MATCH(1, (VALUE(LEFT(casos!$A:$A,6))=VALUE(LEFT(B579,6)))*(casos!$B:$B=C579), 0)), "")</f>
        <v>380</v>
      </c>
      <c r="M579" cm="1">
        <f t="array" ref="M579">IFERROR(INDEX(srag!$D:$D, MATCH(1, (VALUE(LEFT(srag!$A:$A,6))=VALUE(LEFT(B579,6)))*(srag!$C:$C=C579), 0)), "")</f>
        <v>18009</v>
      </c>
      <c r="N579" cm="1">
        <f t="array" aca="1" ref="N579" ca="1">IFERROR(INDEX(fesp!$E:$E, MATCH(1, (VALUE(LEFT(fesp!$A:$A,6))=VALUE(LEFT(B579,6)))*(fesp!$C:$C=C579), 0)), "")</f>
        <v>484</v>
      </c>
      <c r="O579" cm="1">
        <f t="array" aca="1" ref="O579" ca="1">IFERROR(INDEX(fesp!$F:$F, MATCH(1, (VALUE(LEFT(fesp!$A:$A,6))=VALUE(LEFT(B579,6)))*(fesp!$C:$C=C579), 0)), "")</f>
        <v>12287</v>
      </c>
      <c r="P579" cm="1">
        <f t="array" aca="1" ref="P579" ca="1">IFERROR(INDEX(fesp!$G:$G, MATCH(1, (VALUE(LEFT(fesp!$A:$A,6))=VALUE(LEFT(B579,6)))*(fesp!$C:$C=C579), 0)), "")</f>
        <v>12265240</v>
      </c>
      <c r="Q579" cm="1">
        <f t="array" aca="1" ref="Q579" ca="1">IFERROR(INDEX(fesp!$H:$H, MATCH(1, (VALUE(LEFT(fesp!$A:$A,6))=VALUE(LEFT(B579,6)))*(fesp!$C:$C=C579), 0)), "")</f>
        <v>156</v>
      </c>
      <c r="R579" cm="1">
        <f t="array" aca="1" ref="R579" ca="1">IFERROR(INDEX(fesp!$I:$I, MATCH(1, (VALUE(LEFT(fesp!$A:$A,6))=VALUE(LEFT(B579,6)))*(fesp!$C:$C=C579), 0)), "")</f>
        <v>109622</v>
      </c>
      <c r="S579" cm="1">
        <f t="array" aca="1" ref="S579" ca="1">IFERROR(INDEX(fesp!$J:$J, MATCH(1, (VALUE(LEFT(fesp!$A:$A,6))=VALUE(LEFT(B579,6)))*(fesp!$C:$C=C579), 0)), "")</f>
        <v>1139435</v>
      </c>
    </row>
    <row r="580" spans="1:19">
      <c r="A580" s="1" t="s">
        <v>15</v>
      </c>
      <c r="B580" s="3" t="s">
        <v>14</v>
      </c>
      <c r="C580" s="3">
        <v>2021</v>
      </c>
      <c r="D580" cm="1">
        <f t="array" ref="D580">IFERROR(INDEX(fesp!$D:$D, MATCH(1, (VALUE(LEFT(fesp!$A:$A,6))=VALUE(LEFT(B580,6)))*(fesp!$C:$C=C580), 0)), "")</f>
        <v>0</v>
      </c>
      <c r="E580" cm="1">
        <f t="array" aca="1" ref="E580" ca="1">IFERROR(INDEX(ft_medicos_clinicos!$C:$C, MATCH(1, (VALUE(LEFT(ft_medicos_clinicos!$A:$A,6))=VALUE(LEFT(B580,6)))*(ft_medicos_clinicos!$B:$B=C580), 0)), "")</f>
        <v>2547</v>
      </c>
      <c r="F580" cm="1">
        <f t="array" aca="1" ref="F580" ca="1">IFERROR(INDEX(ft_enfermeiros!$C:$C, MATCH(1, (VALUE(LEFT(ft_enfermeiros!$A:$A,6))=VALUE(LEFT(B580,6)))*(ft_enfermeiros!$B:$B=C580), 0)), "")</f>
        <v>4081</v>
      </c>
      <c r="G580" t="str" cm="1">
        <f t="array" aca="1" ref="G580" ca="1">IFERROR(INDEX(ft_equipes_acs!$C:$C, MATCH(1, (VALUE(LEFT(ft_equipes_acs!$A:$A,6))=VALUE(LEFT(B580,6)))*(ft_equipes_acs!$B:$B=C580), 0)), "")</f>
        <v>-</v>
      </c>
      <c r="H580" cm="1">
        <f t="array" aca="1" ref="H580" ca="1">IFERROR(INDEX(ci_leitos_internacao!$C:$C, MATCH(1, (VALUE(LEFT(ci_leitos_internacao!$A:$A,6))=VALUE(LEFT(B580,6)))*(ci_leitos_internacao!$B:$B=C580), 0)), "")</f>
        <v>5277</v>
      </c>
      <c r="I580" cm="1">
        <f t="array" aca="1" ref="I580" ca="1">IFERROR(INDEX(ci_hospitais_internacao!$C:$C, MATCH(1, (VALUE(LEFT(ci_hospitais_internacao!$A:$A,6))=VALUE(LEFT(B580,6)))*(ci_hospitais_internacao!$B:$B=C580), 0)), "")</f>
        <v>18</v>
      </c>
      <c r="J580" t="str" cm="1">
        <f t="array" aca="1" ref="J580" ca="1">IFERROR(INDEX(ci_pa_clinico!$C:$C, MATCH(1, (VALUE(LEFT(ci_pa_clinico!$A:$A,6))=VALUE(LEFT(B580,6)))*(ci_pa_clinico!$B:$B=C580), 0)), "")</f>
        <v/>
      </c>
      <c r="K580" t="str" cm="1">
        <f t="array" aca="1" ref="K580" ca="1">IFERROR(INDEX(aps_equipes_esf!$C:$C, MATCH(1, (VALUE(LEFT(aps_equipes_esf!$A:$A,6))=VALUE(LEFT(B580,6)))*(aps_equipes_esf!$B:$B=C580), 0)), "")</f>
        <v>-</v>
      </c>
      <c r="L580" cm="1">
        <f t="array" aca="1" ref="L580" ca="1">IFERROR(INDEX(casos!$C:$C, MATCH(1, (VALUE(LEFT(casos!$A:$A,6))=VALUE(LEFT(B580,6)))*(casos!$B:$B=C580), 0)), "")</f>
        <v>60</v>
      </c>
      <c r="M580" cm="1">
        <f t="array" ref="M580">IFERROR(INDEX(srag!$D:$D, MATCH(1, (VALUE(LEFT(srag!$A:$A,6))=VALUE(LEFT(B580,6)))*(srag!$C:$C=C580), 0)), "")</f>
        <v>28258</v>
      </c>
      <c r="N580" cm="1">
        <f t="array" aca="1" ref="N580" ca="1">IFERROR(INDEX(fesp!$E:$E, MATCH(1, (VALUE(LEFT(fesp!$A:$A,6))=VALUE(LEFT(B580,6)))*(fesp!$C:$C=C580), 0)), "")</f>
        <v>621</v>
      </c>
      <c r="O580" cm="1">
        <f t="array" aca="1" ref="O580" ca="1">IFERROR(INDEX(fesp!$F:$F, MATCH(1, (VALUE(LEFT(fesp!$A:$A,6))=VALUE(LEFT(B580,6)))*(fesp!$C:$C=C580), 0)), "")</f>
        <v>16173</v>
      </c>
      <c r="P580" cm="1">
        <f t="array" aca="1" ref="P580" ca="1">IFERROR(INDEX(fesp!$G:$G, MATCH(1, (VALUE(LEFT(fesp!$A:$A,6))=VALUE(LEFT(B580,6)))*(fesp!$C:$C=C580), 0)), "")</f>
        <v>14128178</v>
      </c>
      <c r="Q580" cm="1">
        <f t="array" aca="1" ref="Q580" ca="1">IFERROR(INDEX(fesp!$H:$H, MATCH(1, (VALUE(LEFT(fesp!$A:$A,6))=VALUE(LEFT(B580,6)))*(fesp!$C:$C=C580), 0)), "")</f>
        <v>277</v>
      </c>
      <c r="R580" cm="1">
        <f t="array" aca="1" ref="R580" ca="1">IFERROR(INDEX(fesp!$I:$I, MATCH(1, (VALUE(LEFT(fesp!$A:$A,6))=VALUE(LEFT(B580,6)))*(fesp!$C:$C=C580), 0)), "")</f>
        <v>88771</v>
      </c>
      <c r="S580" cm="1">
        <f t="array" aca="1" ref="S580" ca="1">IFERROR(INDEX(fesp!$J:$J, MATCH(1, (VALUE(LEFT(fesp!$A:$A,6))=VALUE(LEFT(B580,6)))*(fesp!$C:$C=C580), 0)), "")</f>
        <v>1430382</v>
      </c>
    </row>
    <row r="581" spans="1:19">
      <c r="A581" s="1" t="s">
        <v>15</v>
      </c>
      <c r="B581" s="3" t="s">
        <v>14</v>
      </c>
      <c r="C581" s="3">
        <v>2022</v>
      </c>
      <c r="D581" cm="1">
        <f t="array" ref="D581">IFERROR(INDEX(fesp!$D:$D, MATCH(1, (VALUE(LEFT(fesp!$A:$A,6))=VALUE(LEFT(B581,6)))*(fesp!$C:$C=C581), 0)), "")</f>
        <v>1773718</v>
      </c>
      <c r="E581" cm="1">
        <f t="array" aca="1" ref="E581" ca="1">IFERROR(INDEX(ft_medicos_clinicos!$C:$C, MATCH(1, (VALUE(LEFT(ft_medicos_clinicos!$A:$A,6))=VALUE(LEFT(B581,6)))*(ft_medicos_clinicos!$B:$B=C581), 0)), "")</f>
        <v>2834</v>
      </c>
      <c r="F581" cm="1">
        <f t="array" aca="1" ref="F581" ca="1">IFERROR(INDEX(ft_enfermeiros!$C:$C, MATCH(1, (VALUE(LEFT(ft_enfermeiros!$A:$A,6))=VALUE(LEFT(B581,6)))*(ft_enfermeiros!$B:$B=C581), 0)), "")</f>
        <v>4222</v>
      </c>
      <c r="G581" t="str" cm="1">
        <f t="array" aca="1" ref="G581" ca="1">IFERROR(INDEX(ft_equipes_acs!$C:$C, MATCH(1, (VALUE(LEFT(ft_equipes_acs!$A:$A,6))=VALUE(LEFT(B581,6)))*(ft_equipes_acs!$B:$B=C581), 0)), "")</f>
        <v>-</v>
      </c>
      <c r="H581" cm="1">
        <f t="array" aca="1" ref="H581" ca="1">IFERROR(INDEX(ci_leitos_internacao!$C:$C, MATCH(1, (VALUE(LEFT(ci_leitos_internacao!$A:$A,6))=VALUE(LEFT(B581,6)))*(ci_leitos_internacao!$B:$B=C581), 0)), "")</f>
        <v>5269</v>
      </c>
      <c r="I581" cm="1">
        <f t="array" aca="1" ref="I581" ca="1">IFERROR(INDEX(ci_hospitais_internacao!$C:$C, MATCH(1, (VALUE(LEFT(ci_hospitais_internacao!$A:$A,6))=VALUE(LEFT(B581,6)))*(ci_hospitais_internacao!$B:$B=C581), 0)), "")</f>
        <v>16</v>
      </c>
      <c r="J581" t="str" cm="1">
        <f t="array" aca="1" ref="J581" ca="1">IFERROR(INDEX(ci_pa_clinico!$C:$C, MATCH(1, (VALUE(LEFT(ci_pa_clinico!$A:$A,6))=VALUE(LEFT(B581,6)))*(ci_pa_clinico!$B:$B=C581), 0)), "")</f>
        <v/>
      </c>
      <c r="K581" t="str" cm="1">
        <f t="array" aca="1" ref="K581" ca="1">IFERROR(INDEX(aps_equipes_esf!$C:$C, MATCH(1, (VALUE(LEFT(aps_equipes_esf!$A:$A,6))=VALUE(LEFT(B581,6)))*(aps_equipes_esf!$B:$B=C581), 0)), "")</f>
        <v>-</v>
      </c>
      <c r="L581" cm="1">
        <f t="array" aca="1" ref="L581" ca="1">IFERROR(INDEX(casos!$C:$C, MATCH(1, (VALUE(LEFT(casos!$A:$A,6))=VALUE(LEFT(B581,6)))*(casos!$B:$B=C581), 0)), "")</f>
        <v>254</v>
      </c>
      <c r="M581" cm="1">
        <f t="array" ref="M581">IFERROR(INDEX(srag!$D:$D, MATCH(1, (VALUE(LEFT(srag!$A:$A,6))=VALUE(LEFT(B581,6)))*(srag!$C:$C=C581), 0)), "")</f>
        <v>10663</v>
      </c>
      <c r="N581" cm="1">
        <f t="array" aca="1" ref="N581" ca="1">IFERROR(INDEX(fesp!$E:$E, MATCH(1, (VALUE(LEFT(fesp!$A:$A,6))=VALUE(LEFT(B581,6)))*(fesp!$C:$C=C581), 0)), "")</f>
        <v>585</v>
      </c>
      <c r="O581" cm="1">
        <f t="array" aca="1" ref="O581" ca="1">IFERROR(INDEX(fesp!$F:$F, MATCH(1, (VALUE(LEFT(fesp!$A:$A,6))=VALUE(LEFT(B581,6)))*(fesp!$C:$C=C581), 0)), "")</f>
        <v>18935</v>
      </c>
      <c r="P581" cm="1">
        <f t="array" aca="1" ref="P581" ca="1">IFERROR(INDEX(fesp!$G:$G, MATCH(1, (VALUE(LEFT(fesp!$A:$A,6))=VALUE(LEFT(B581,6)))*(fesp!$C:$C=C581), 0)), "")</f>
        <v>17840264</v>
      </c>
      <c r="Q581" cm="1">
        <f t="array" aca="1" ref="Q581" ca="1">IFERROR(INDEX(fesp!$H:$H, MATCH(1, (VALUE(LEFT(fesp!$A:$A,6))=VALUE(LEFT(B581,6)))*(fesp!$C:$C=C581), 0)), "")</f>
        <v>277</v>
      </c>
      <c r="R581" cm="1">
        <f t="array" aca="1" ref="R581" ca="1">IFERROR(INDEX(fesp!$I:$I, MATCH(1, (VALUE(LEFT(fesp!$A:$A,6))=VALUE(LEFT(B581,6)))*(fesp!$C:$C=C581), 0)), "")</f>
        <v>106402</v>
      </c>
      <c r="S581" cm="1">
        <f t="array" aca="1" ref="S581" ca="1">IFERROR(INDEX(fesp!$J:$J, MATCH(1, (VALUE(LEFT(fesp!$A:$A,6))=VALUE(LEFT(B581,6)))*(fesp!$C:$C=C581), 0)), "")</f>
        <v>1853419</v>
      </c>
    </row>
    <row r="582" spans="1:19">
      <c r="A582" s="1" t="s">
        <v>15</v>
      </c>
      <c r="B582" s="3" t="s">
        <v>14</v>
      </c>
      <c r="C582" s="3">
        <v>2023</v>
      </c>
      <c r="D582" cm="1">
        <f t="array" ref="D582">IFERROR(INDEX(fesp!$D:$D, MATCH(1, (VALUE(LEFT(fesp!$A:$A,6))=VALUE(LEFT(B582,6)))*(fesp!$C:$C=C582), 0)), "")</f>
        <v>0</v>
      </c>
      <c r="E582" cm="1">
        <f t="array" aca="1" ref="E582" ca="1">IFERROR(INDEX(ft_medicos_clinicos!$C:$C, MATCH(1, (VALUE(LEFT(ft_medicos_clinicos!$A:$A,6))=VALUE(LEFT(B582,6)))*(ft_medicos_clinicos!$B:$B=C582), 0)), "")</f>
        <v>3060</v>
      </c>
      <c r="F582" cm="1">
        <f t="array" aca="1" ref="F582" ca="1">IFERROR(INDEX(ft_enfermeiros!$C:$C, MATCH(1, (VALUE(LEFT(ft_enfermeiros!$A:$A,6))=VALUE(LEFT(B582,6)))*(ft_enfermeiros!$B:$B=C582), 0)), "")</f>
        <v>4278</v>
      </c>
      <c r="G582" t="str" cm="1">
        <f t="array" aca="1" ref="G582" ca="1">IFERROR(INDEX(ft_equipes_acs!$C:$C, MATCH(1, (VALUE(LEFT(ft_equipes_acs!$A:$A,6))=VALUE(LEFT(B582,6)))*(ft_equipes_acs!$B:$B=C582), 0)), "")</f>
        <v>-</v>
      </c>
      <c r="H582" cm="1">
        <f t="array" aca="1" ref="H582" ca="1">IFERROR(INDEX(ci_leitos_internacao!$C:$C, MATCH(1, (VALUE(LEFT(ci_leitos_internacao!$A:$A,6))=VALUE(LEFT(B582,6)))*(ci_leitos_internacao!$B:$B=C582), 0)), "")</f>
        <v>5087</v>
      </c>
      <c r="I582" cm="1">
        <f t="array" aca="1" ref="I582" ca="1">IFERROR(INDEX(ci_hospitais_internacao!$C:$C, MATCH(1, (VALUE(LEFT(ci_hospitais_internacao!$A:$A,6))=VALUE(LEFT(B582,6)))*(ci_hospitais_internacao!$B:$B=C582), 0)), "")</f>
        <v>16</v>
      </c>
      <c r="J582" t="str" cm="1">
        <f t="array" aca="1" ref="J582" ca="1">IFERROR(INDEX(ci_pa_clinico!$C:$C, MATCH(1, (VALUE(LEFT(ci_pa_clinico!$A:$A,6))=VALUE(LEFT(B582,6)))*(ci_pa_clinico!$B:$B=C582), 0)), "")</f>
        <v/>
      </c>
      <c r="K582" t="str" cm="1">
        <f t="array" aca="1" ref="K582" ca="1">IFERROR(INDEX(aps_equipes_esf!$C:$C, MATCH(1, (VALUE(LEFT(aps_equipes_esf!$A:$A,6))=VALUE(LEFT(B582,6)))*(aps_equipes_esf!$B:$B=C582), 0)), "")</f>
        <v>-</v>
      </c>
      <c r="L582" cm="1">
        <f t="array" aca="1" ref="L582" ca="1">IFERROR(INDEX(casos!$C:$C, MATCH(1, (VALUE(LEFT(casos!$A:$A,6))=VALUE(LEFT(B582,6)))*(casos!$B:$B=C582), 0)), "")</f>
        <v>809</v>
      </c>
      <c r="M582" cm="1">
        <f t="array" ref="M582">IFERROR(INDEX(srag!$D:$D, MATCH(1, (VALUE(LEFT(srag!$A:$A,6))=VALUE(LEFT(B582,6)))*(srag!$C:$C=C582), 0)), "")</f>
        <v>4693</v>
      </c>
      <c r="N582" cm="1">
        <f t="array" aca="1" ref="N582" ca="1">IFERROR(INDEX(fesp!$E:$E, MATCH(1, (VALUE(LEFT(fesp!$A:$A,6))=VALUE(LEFT(B582,6)))*(fesp!$C:$C=C582), 0)), "")</f>
        <v>561</v>
      </c>
      <c r="O582" cm="1">
        <f t="array" aca="1" ref="O582" ca="1">IFERROR(INDEX(fesp!$F:$F, MATCH(1, (VALUE(LEFT(fesp!$A:$A,6))=VALUE(LEFT(B582,6)))*(fesp!$C:$C=C582), 0)), "")</f>
        <v>20607</v>
      </c>
      <c r="P582" cm="1">
        <f t="array" aca="1" ref="P582" ca="1">IFERROR(INDEX(fesp!$G:$G, MATCH(1, (VALUE(LEFT(fesp!$A:$A,6))=VALUE(LEFT(B582,6)))*(fesp!$C:$C=C582), 0)), "")</f>
        <v>22153789</v>
      </c>
      <c r="Q582" cm="1">
        <f t="array" aca="1" ref="Q582" ca="1">IFERROR(INDEX(fesp!$H:$H, MATCH(1, (VALUE(LEFT(fesp!$A:$A,6))=VALUE(LEFT(B582,6)))*(fesp!$C:$C=C582), 0)), "")</f>
        <v>361</v>
      </c>
      <c r="R582" cm="1">
        <f t="array" aca="1" ref="R582" ca="1">IFERROR(INDEX(fesp!$I:$I, MATCH(1, (VALUE(LEFT(fesp!$A:$A,6))=VALUE(LEFT(B582,6)))*(fesp!$C:$C=C582), 0)), "")</f>
        <v>111214</v>
      </c>
      <c r="S582" cm="1">
        <f t="array" aca="1" ref="S582" ca="1">IFERROR(INDEX(fesp!$J:$J, MATCH(1, (VALUE(LEFT(fesp!$A:$A,6))=VALUE(LEFT(B582,6)))*(fesp!$C:$C=C582), 0)), "")</f>
        <v>1924282</v>
      </c>
    </row>
    <row r="583" spans="1:19">
      <c r="A583" s="1" t="s">
        <v>15</v>
      </c>
      <c r="B583" s="3" t="s">
        <v>14</v>
      </c>
      <c r="C583" s="3">
        <v>2024</v>
      </c>
      <c r="D583" cm="1">
        <f t="array" ref="D583">IFERROR(INDEX(fesp!$D:$D, MATCH(1, (VALUE(LEFT(fesp!$A:$A,6))=VALUE(LEFT(B583,6)))*(fesp!$C:$C=C583), 0)), "")</f>
        <v>0</v>
      </c>
      <c r="E583" cm="1">
        <f t="array" aca="1" ref="E583" ca="1">IFERROR(INDEX(ft_medicos_clinicos!$C:$C, MATCH(1, (VALUE(LEFT(ft_medicos_clinicos!$A:$A,6))=VALUE(LEFT(B583,6)))*(ft_medicos_clinicos!$B:$B=C583), 0)), "")</f>
        <v>3059</v>
      </c>
      <c r="F583" cm="1">
        <f t="array" aca="1" ref="F583" ca="1">IFERROR(INDEX(ft_enfermeiros!$C:$C, MATCH(1, (VALUE(LEFT(ft_enfermeiros!$A:$A,6))=VALUE(LEFT(B583,6)))*(ft_enfermeiros!$B:$B=C583), 0)), "")</f>
        <v>4542</v>
      </c>
      <c r="G583" t="str" cm="1">
        <f t="array" aca="1" ref="G583" ca="1">IFERROR(INDEX(ft_equipes_acs!$C:$C, MATCH(1, (VALUE(LEFT(ft_equipes_acs!$A:$A,6))=VALUE(LEFT(B583,6)))*(ft_equipes_acs!$B:$B=C583), 0)), "")</f>
        <v>-</v>
      </c>
      <c r="H583" cm="1">
        <f t="array" aca="1" ref="H583" ca="1">IFERROR(INDEX(ci_leitos_internacao!$C:$C, MATCH(1, (VALUE(LEFT(ci_leitos_internacao!$A:$A,6))=VALUE(LEFT(B583,6)))*(ci_leitos_internacao!$B:$B=C583), 0)), "")</f>
        <v>5085</v>
      </c>
      <c r="I583" cm="1">
        <f t="array" aca="1" ref="I583" ca="1">IFERROR(INDEX(ci_hospitais_internacao!$C:$C, MATCH(1, (VALUE(LEFT(ci_hospitais_internacao!$A:$A,6))=VALUE(LEFT(B583,6)))*(ci_hospitais_internacao!$B:$B=C583), 0)), "")</f>
        <v>17</v>
      </c>
      <c r="J583" t="str" cm="1">
        <f t="array" aca="1" ref="J583" ca="1">IFERROR(INDEX(ci_pa_clinico!$C:$C, MATCH(1, (VALUE(LEFT(ci_pa_clinico!$A:$A,6))=VALUE(LEFT(B583,6)))*(ci_pa_clinico!$B:$B=C583), 0)), "")</f>
        <v/>
      </c>
      <c r="K583" t="str" cm="1">
        <f t="array" aca="1" ref="K583" ca="1">IFERROR(INDEX(aps_equipes_esf!$C:$C, MATCH(1, (VALUE(LEFT(aps_equipes_esf!$A:$A,6))=VALUE(LEFT(B583,6)))*(aps_equipes_esf!$B:$B=C583), 0)), "")</f>
        <v>-</v>
      </c>
      <c r="L583" cm="1">
        <f t="array" aca="1" ref="L583" ca="1">IFERROR(INDEX(casos!$C:$C, MATCH(1, (VALUE(LEFT(casos!$A:$A,6))=VALUE(LEFT(B583,6)))*(casos!$B:$B=C583), 0)), "")</f>
        <v>19730</v>
      </c>
      <c r="M583" cm="1">
        <f t="array" ref="M583">IFERROR(INDEX(srag!$D:$D, MATCH(1, (VALUE(LEFT(srag!$A:$A,6))=VALUE(LEFT(B583,6)))*(srag!$C:$C=C583), 0)), "")</f>
        <v>4421</v>
      </c>
      <c r="N583" cm="1">
        <f t="array" aca="1" ref="N583" ca="1">IFERROR(INDEX(fesp!$E:$E, MATCH(1, (VALUE(LEFT(fesp!$A:$A,6))=VALUE(LEFT(B583,6)))*(fesp!$C:$C=C583), 0)), "")</f>
        <v>656</v>
      </c>
      <c r="O583" cm="1">
        <f t="array" aca="1" ref="O583" ca="1">IFERROR(INDEX(fesp!$F:$F, MATCH(1, (VALUE(LEFT(fesp!$A:$A,6))=VALUE(LEFT(B583,6)))*(fesp!$C:$C=C583), 0)), "")</f>
        <v>21035</v>
      </c>
      <c r="P583" cm="1">
        <f t="array" aca="1" ref="P583" ca="1">IFERROR(INDEX(fesp!$G:$G, MATCH(1, (VALUE(LEFT(fesp!$A:$A,6))=VALUE(LEFT(B583,6)))*(fesp!$C:$C=C583), 0)), "")</f>
        <v>24833615</v>
      </c>
      <c r="Q583" cm="1">
        <f t="array" aca="1" ref="Q583" ca="1">IFERROR(INDEX(fesp!$H:$H, MATCH(1, (VALUE(LEFT(fesp!$A:$A,6))=VALUE(LEFT(B583,6)))*(fesp!$C:$C=C583), 0)), "")</f>
        <v>371</v>
      </c>
      <c r="R583" cm="1">
        <f t="array" aca="1" ref="R583" ca="1">IFERROR(INDEX(fesp!$I:$I, MATCH(1, (VALUE(LEFT(fesp!$A:$A,6))=VALUE(LEFT(B583,6)))*(fesp!$C:$C=C583), 0)), "")</f>
        <v>113298</v>
      </c>
      <c r="S583" cm="1">
        <f t="array" aca="1" ref="S583" ca="1">IFERROR(INDEX(fesp!$J:$J, MATCH(1, (VALUE(LEFT(fesp!$A:$A,6))=VALUE(LEFT(B583,6)))*(fesp!$C:$C=C583), 0)), "")</f>
        <v>1961400</v>
      </c>
    </row>
    <row r="584" spans="1:19">
      <c r="A584" s="1" t="s">
        <v>15</v>
      </c>
      <c r="B584" s="3">
        <v>4106902</v>
      </c>
      <c r="C584" s="3">
        <v>2025</v>
      </c>
      <c r="D584" cm="1">
        <f t="array" ref="D584">IFERROR(INDEX(fesp!$D:$D, MATCH(1, (VALUE(LEFT(fesp!$A:$A,6))=VALUE(LEFT(B584,6)))*(fesp!$C:$C=C584), 0)), "")</f>
        <v>0</v>
      </c>
      <c r="E584" cm="1">
        <f t="array" aca="1" ref="E584" ca="1">IFERROR(INDEX(ft_medicos_clinicos!$C:$C, MATCH(1, (VALUE(LEFT(ft_medicos_clinicos!$A:$A,6))=VALUE(LEFT(B584,6)))*(ft_medicos_clinicos!$B:$B=C584), 0)), "")</f>
        <v>2883</v>
      </c>
      <c r="F584" cm="1">
        <f t="array" aca="1" ref="F584" ca="1">IFERROR(INDEX(ft_enfermeiros!$C:$C, MATCH(1, (VALUE(LEFT(ft_enfermeiros!$A:$A,6))=VALUE(LEFT(B584,6)))*(ft_enfermeiros!$B:$B=C584), 0)), "")</f>
        <v>4579</v>
      </c>
      <c r="G584" t="str" cm="1">
        <f t="array" aca="1" ref="G584" ca="1">IFERROR(INDEX(ft_equipes_acs!$C:$C, MATCH(1, (VALUE(LEFT(ft_equipes_acs!$A:$A,6))=VALUE(LEFT(B584,6)))*(ft_equipes_acs!$B:$B=C584), 0)), "")</f>
        <v>-</v>
      </c>
      <c r="H584" cm="1">
        <f t="array" aca="1" ref="H584" ca="1">IFERROR(INDEX(ci_leitos_internacao!$C:$C, MATCH(1, (VALUE(LEFT(ci_leitos_internacao!$A:$A,6))=VALUE(LEFT(B584,6)))*(ci_leitos_internacao!$B:$B=C584), 0)), "")</f>
        <v>5149</v>
      </c>
      <c r="I584" cm="1">
        <f t="array" aca="1" ref="I584" ca="1">IFERROR(INDEX(ci_hospitais_internacao!$C:$C, MATCH(1, (VALUE(LEFT(ci_hospitais_internacao!$A:$A,6))=VALUE(LEFT(B584,6)))*(ci_hospitais_internacao!$B:$B=C584), 0)), "")</f>
        <v>18</v>
      </c>
      <c r="J584" t="str" cm="1">
        <f t="array" aca="1" ref="J584" ca="1">IFERROR(INDEX(ci_pa_clinico!$C:$C, MATCH(1, (VALUE(LEFT(ci_pa_clinico!$A:$A,6))=VALUE(LEFT(B584,6)))*(ci_pa_clinico!$B:$B=C584), 0)), "")</f>
        <v/>
      </c>
      <c r="K584" t="str" cm="1">
        <f t="array" aca="1" ref="K584" ca="1">IFERROR(INDEX(aps_equipes_esf!$C:$C, MATCH(1, (VALUE(LEFT(aps_equipes_esf!$A:$A,6))=VALUE(LEFT(B584,6)))*(aps_equipes_esf!$B:$B=C584), 0)), "")</f>
        <v>-</v>
      </c>
      <c r="L584" cm="1">
        <f t="array" aca="1" ref="L584" ca="1">IFERROR(INDEX(casos!$C:$C, MATCH(1, (VALUE(LEFT(casos!$A:$A,6))=VALUE(LEFT(B584,6)))*(casos!$B:$B=C584), 0)), "")</f>
        <v>1869</v>
      </c>
      <c r="M584" cm="1">
        <f t="array" ref="M584">IFERROR(INDEX(srag!$D:$D, MATCH(1, (VALUE(LEFT(srag!$A:$A,6))=VALUE(LEFT(B584,6)))*(srag!$C:$C=C584), 0)), "")</f>
        <v>3901</v>
      </c>
      <c r="N584" cm="1">
        <f t="array" aca="1" ref="N584" ca="1">IFERROR(INDEX(fesp!$E:$E, MATCH(1, (VALUE(LEFT(fesp!$A:$A,6))=VALUE(LEFT(B584,6)))*(fesp!$C:$C=C584), 0)), "")</f>
        <v>650</v>
      </c>
      <c r="O584" cm="1">
        <f t="array" aca="1" ref="O584" ca="1">IFERROR(INDEX(fesp!$F:$F, MATCH(1, (VALUE(LEFT(fesp!$A:$A,6))=VALUE(LEFT(B584,6)))*(fesp!$C:$C=C584), 0)), "")</f>
        <v>19279</v>
      </c>
      <c r="P584" cm="1">
        <f t="array" aca="1" ref="P584" ca="1">IFERROR(INDEX(fesp!$G:$G, MATCH(1, (VALUE(LEFT(fesp!$A:$A,6))=VALUE(LEFT(B584,6)))*(fesp!$C:$C=C584), 0)), "")</f>
        <v>21617394</v>
      </c>
      <c r="Q584" cm="1">
        <f t="array" aca="1" ref="Q584" ca="1">IFERROR(INDEX(fesp!$H:$H, MATCH(1, (VALUE(LEFT(fesp!$A:$A,6))=VALUE(LEFT(B584,6)))*(fesp!$C:$C=C584), 0)), "")</f>
        <v>418</v>
      </c>
      <c r="R584" cm="1">
        <f t="array" aca="1" ref="R584" ca="1">IFERROR(INDEX(fesp!$I:$I, MATCH(1, (VALUE(LEFT(fesp!$A:$A,6))=VALUE(LEFT(B584,6)))*(fesp!$C:$C=C584), 0)), "")</f>
        <v>111393</v>
      </c>
      <c r="S584" cm="1">
        <f t="array" aca="1" ref="S584" ca="1">IFERROR(INDEX(fesp!$J:$J, MATCH(1, (VALUE(LEFT(fesp!$A:$A,6))=VALUE(LEFT(B584,6)))*(fesp!$C:$C=C584), 0)), "")</f>
        <v>1675704</v>
      </c>
    </row>
    <row r="585" spans="1:19">
      <c r="A585" s="1" t="s">
        <v>75</v>
      </c>
      <c r="B585" s="3">
        <v>4113700</v>
      </c>
      <c r="C585" s="3">
        <v>2015</v>
      </c>
      <c r="D585" cm="1">
        <f t="array" ref="D585">IFERROR(INDEX(fesp!$D:$D, MATCH(1, (VALUE(LEFT(fesp!$A:$A,6))=VALUE(LEFT(B585,6)))*(fesp!$C:$C=C585), 0)), "")</f>
        <v>548249</v>
      </c>
      <c r="E585" cm="1">
        <f t="array" aca="1" ref="E585" ca="1">IFERROR(INDEX(ft_medicos_clinicos!$C:$C, MATCH(1, (VALUE(LEFT(ft_medicos_clinicos!$A:$A,6))=VALUE(LEFT(B585,6)))*(ft_medicos_clinicos!$B:$B=C585), 0)), "")</f>
        <v>565</v>
      </c>
      <c r="F585" cm="1">
        <f t="array" aca="1" ref="F585" ca="1">IFERROR(INDEX(ft_enfermeiros!$C:$C, MATCH(1, (VALUE(LEFT(ft_enfermeiros!$A:$A,6))=VALUE(LEFT(B585,6)))*(ft_enfermeiros!$B:$B=C585), 0)), "")</f>
        <v>982</v>
      </c>
      <c r="G585" cm="1">
        <f t="array" aca="1" ref="G585" ca="1">IFERROR(INDEX(ft_equipes_acs!$C:$C, MATCH(1, (VALUE(LEFT(ft_equipes_acs!$A:$A,6))=VALUE(LEFT(B585,6)))*(ft_equipes_acs!$B:$B=C585), 0)), "")</f>
        <v>3</v>
      </c>
      <c r="H585" cm="1">
        <f t="array" aca="1" ref="H585" ca="1">IFERROR(INDEX(ci_leitos_internacao!$C:$C, MATCH(1, (VALUE(LEFT(ci_leitos_internacao!$A:$A,6))=VALUE(LEFT(B585,6)))*(ci_leitos_internacao!$B:$B=C585), 0)), "")</f>
        <v>1867</v>
      </c>
      <c r="I585" cm="1">
        <f t="array" aca="1" ref="I585" ca="1">IFERROR(INDEX(ci_hospitais_internacao!$C:$C, MATCH(1, (VALUE(LEFT(ci_hospitais_internacao!$A:$A,6))=VALUE(LEFT(B585,6)))*(ci_hospitais_internacao!$B:$B=C585), 0)), "")</f>
        <v>6</v>
      </c>
      <c r="J585" cm="1">
        <f t="array" aca="1" ref="J585" ca="1">IFERROR(INDEX(ci_pa_clinico!$C:$C, MATCH(1, (VALUE(LEFT(ci_pa_clinico!$A:$A,6))=VALUE(LEFT(B585,6)))*(ci_pa_clinico!$B:$B=C585), 0)), "")</f>
        <v>6</v>
      </c>
      <c r="K585" cm="1">
        <f t="array" aca="1" ref="K585" ca="1">IFERROR(INDEX(aps_equipes_esf!$C:$C, MATCH(1, (VALUE(LEFT(aps_equipes_esf!$A:$A,6))=VALUE(LEFT(B585,6)))*(aps_equipes_esf!$B:$B=C585), 0)), "")</f>
        <v>77</v>
      </c>
      <c r="L585" cm="1">
        <f t="array" aca="1" ref="L585" ca="1">IFERROR(INDEX(casos!$C:$C, MATCH(1, (VALUE(LEFT(casos!$A:$A,6))=VALUE(LEFT(B585,6)))*(casos!$B:$B=C585), 0)), "")</f>
        <v>3289</v>
      </c>
      <c r="M585" cm="1">
        <f t="array" ref="M585">IFERROR(INDEX(srag!$D:$D, MATCH(1, (VALUE(LEFT(srag!$A:$A,6))=VALUE(LEFT(B585,6)))*(srag!$C:$C=C585), 0)), "")</f>
        <v>132</v>
      </c>
      <c r="N585" cm="1">
        <f t="array" aca="1" ref="N585" ca="1">IFERROR(INDEX(fesp!$E:$E, MATCH(1, (VALUE(LEFT(fesp!$A:$A,6))=VALUE(LEFT(B585,6)))*(fesp!$C:$C=C585), 0)), "")</f>
        <v>138</v>
      </c>
      <c r="O585" cm="1">
        <f t="array" aca="1" ref="O585" ca="1">IFERROR(INDEX(fesp!$F:$F, MATCH(1, (VALUE(LEFT(fesp!$A:$A,6))=VALUE(LEFT(B585,6)))*(fesp!$C:$C=C585), 0)), "")</f>
        <v>9962</v>
      </c>
      <c r="P585" cm="1">
        <f t="array" aca="1" ref="P585" ca="1">IFERROR(INDEX(fesp!$G:$G, MATCH(1, (VALUE(LEFT(fesp!$A:$A,6))=VALUE(LEFT(B585,6)))*(fesp!$C:$C=C585), 0)), "")</f>
        <v>4647121</v>
      </c>
      <c r="Q585" cm="1">
        <f t="array" aca="1" ref="Q585" ca="1">IFERROR(INDEX(fesp!$H:$H, MATCH(1, (VALUE(LEFT(fesp!$A:$A,6))=VALUE(LEFT(B585,6)))*(fesp!$C:$C=C585), 0)), "")</f>
        <v>97</v>
      </c>
      <c r="R585" cm="1">
        <f t="array" aca="1" ref="R585" ca="1">IFERROR(INDEX(fesp!$I:$I, MATCH(1, (VALUE(LEFT(fesp!$A:$A,6))=VALUE(LEFT(B585,6)))*(fesp!$C:$C=C585), 0)), "")</f>
        <v>16060</v>
      </c>
      <c r="S585" cm="1">
        <f t="array" aca="1" ref="S585" ca="1">IFERROR(INDEX(fesp!$J:$J, MATCH(1, (VALUE(LEFT(fesp!$A:$A,6))=VALUE(LEFT(B585,6)))*(fesp!$C:$C=C585), 0)), "")</f>
        <v>333955</v>
      </c>
    </row>
    <row r="586" spans="1:19">
      <c r="A586" s="1" t="s">
        <v>75</v>
      </c>
      <c r="B586" s="3">
        <v>4113700</v>
      </c>
      <c r="C586" s="3">
        <v>2016</v>
      </c>
      <c r="D586" cm="1">
        <f t="array" ref="D586">IFERROR(INDEX(fesp!$D:$D, MATCH(1, (VALUE(LEFT(fesp!$A:$A,6))=VALUE(LEFT(B586,6)))*(fesp!$C:$C=C586), 0)), "")</f>
        <v>0</v>
      </c>
      <c r="E586" cm="1">
        <f t="array" aca="1" ref="E586" ca="1">IFERROR(INDEX(ft_medicos_clinicos!$C:$C, MATCH(1, (VALUE(LEFT(ft_medicos_clinicos!$A:$A,6))=VALUE(LEFT(B586,6)))*(ft_medicos_clinicos!$B:$B=C586), 0)), "")</f>
        <v>630</v>
      </c>
      <c r="F586" cm="1">
        <f t="array" aca="1" ref="F586" ca="1">IFERROR(INDEX(ft_enfermeiros!$C:$C, MATCH(1, (VALUE(LEFT(ft_enfermeiros!$A:$A,6))=VALUE(LEFT(B586,6)))*(ft_enfermeiros!$B:$B=C586), 0)), "")</f>
        <v>999</v>
      </c>
      <c r="G586" cm="1">
        <f t="array" aca="1" ref="G586" ca="1">IFERROR(INDEX(ft_equipes_acs!$C:$C, MATCH(1, (VALUE(LEFT(ft_equipes_acs!$A:$A,6))=VALUE(LEFT(B586,6)))*(ft_equipes_acs!$B:$B=C586), 0)), "")</f>
        <v>2</v>
      </c>
      <c r="H586" cm="1">
        <f t="array" aca="1" ref="H586" ca="1">IFERROR(INDEX(ci_leitos_internacao!$C:$C, MATCH(1, (VALUE(LEFT(ci_leitos_internacao!$A:$A,6))=VALUE(LEFT(B586,6)))*(ci_leitos_internacao!$B:$B=C586), 0)), "")</f>
        <v>1856</v>
      </c>
      <c r="I586" cm="1">
        <f t="array" aca="1" ref="I586" ca="1">IFERROR(INDEX(ci_hospitais_internacao!$C:$C, MATCH(1, (VALUE(LEFT(ci_hospitais_internacao!$A:$A,6))=VALUE(LEFT(B586,6)))*(ci_hospitais_internacao!$B:$B=C586), 0)), "")</f>
        <v>6</v>
      </c>
      <c r="J586" cm="1">
        <f t="array" aca="1" ref="J586" ca="1">IFERROR(INDEX(ci_pa_clinico!$C:$C, MATCH(1, (VALUE(LEFT(ci_pa_clinico!$A:$A,6))=VALUE(LEFT(B586,6)))*(ci_pa_clinico!$B:$B=C586), 0)), "")</f>
        <v>6</v>
      </c>
      <c r="K586" cm="1">
        <f t="array" aca="1" ref="K586" ca="1">IFERROR(INDEX(aps_equipes_esf!$C:$C, MATCH(1, (VALUE(LEFT(aps_equipes_esf!$A:$A,6))=VALUE(LEFT(B586,6)))*(aps_equipes_esf!$B:$B=C586), 0)), "")</f>
        <v>78</v>
      </c>
      <c r="L586" cm="1">
        <f t="array" aca="1" ref="L586" ca="1">IFERROR(INDEX(casos!$C:$C, MATCH(1, (VALUE(LEFT(casos!$A:$A,6))=VALUE(LEFT(B586,6)))*(casos!$B:$B=C586), 0)), "")</f>
        <v>5300</v>
      </c>
      <c r="M586" cm="1">
        <f t="array" ref="M586">IFERROR(INDEX(srag!$D:$D, MATCH(1, (VALUE(LEFT(srag!$A:$A,6))=VALUE(LEFT(B586,6)))*(srag!$C:$C=C586), 0)), "")</f>
        <v>320</v>
      </c>
      <c r="N586" cm="1">
        <f t="array" aca="1" ref="N586" ca="1">IFERROR(INDEX(fesp!$E:$E, MATCH(1, (VALUE(LEFT(fesp!$A:$A,6))=VALUE(LEFT(B586,6)))*(fesp!$C:$C=C586), 0)), "")</f>
        <v>136</v>
      </c>
      <c r="O586" cm="1">
        <f t="array" aca="1" ref="O586" ca="1">IFERROR(INDEX(fesp!$F:$F, MATCH(1, (VALUE(LEFT(fesp!$A:$A,6))=VALUE(LEFT(B586,6)))*(fesp!$C:$C=C586), 0)), "")</f>
        <v>8891</v>
      </c>
      <c r="P586" cm="1">
        <f t="array" aca="1" ref="P586" ca="1">IFERROR(INDEX(fesp!$G:$G, MATCH(1, (VALUE(LEFT(fesp!$A:$A,6))=VALUE(LEFT(B586,6)))*(fesp!$C:$C=C586), 0)), "")</f>
        <v>4845388</v>
      </c>
      <c r="Q586" cm="1">
        <f t="array" aca="1" ref="Q586" ca="1">IFERROR(INDEX(fesp!$H:$H, MATCH(1, (VALUE(LEFT(fesp!$A:$A,6))=VALUE(LEFT(B586,6)))*(fesp!$C:$C=C586), 0)), "")</f>
        <v>120</v>
      </c>
      <c r="R586" cm="1">
        <f t="array" aca="1" ref="R586" ca="1">IFERROR(INDEX(fesp!$I:$I, MATCH(1, (VALUE(LEFT(fesp!$A:$A,6))=VALUE(LEFT(B586,6)))*(fesp!$C:$C=C586), 0)), "")</f>
        <v>24847</v>
      </c>
      <c r="S586" cm="1">
        <f t="array" aca="1" ref="S586" ca="1">IFERROR(INDEX(fesp!$J:$J, MATCH(1, (VALUE(LEFT(fesp!$A:$A,6))=VALUE(LEFT(B586,6)))*(fesp!$C:$C=C586), 0)), "")</f>
        <v>315857</v>
      </c>
    </row>
    <row r="587" spans="1:19">
      <c r="A587" s="1" t="s">
        <v>75</v>
      </c>
      <c r="B587" s="3" t="s">
        <v>74</v>
      </c>
      <c r="C587" s="3">
        <v>2017</v>
      </c>
      <c r="D587" cm="1">
        <f t="array" ref="D587">IFERROR(INDEX(fesp!$D:$D, MATCH(1, (VALUE(LEFT(fesp!$A:$A,6))=VALUE(LEFT(B587,6)))*(fesp!$C:$C=C587), 0)), "")</f>
        <v>0</v>
      </c>
      <c r="E587" cm="1">
        <f t="array" aca="1" ref="E587" ca="1">IFERROR(INDEX(ft_medicos_clinicos!$C:$C, MATCH(1, (VALUE(LEFT(ft_medicos_clinicos!$A:$A,6))=VALUE(LEFT(B587,6)))*(ft_medicos_clinicos!$B:$B=C587), 0)), "")</f>
        <v>702</v>
      </c>
      <c r="F587" cm="1">
        <f t="array" aca="1" ref="F587" ca="1">IFERROR(INDEX(ft_enfermeiros!$C:$C, MATCH(1, (VALUE(LEFT(ft_enfermeiros!$A:$A,6))=VALUE(LEFT(B587,6)))*(ft_enfermeiros!$B:$B=C587), 0)), "")</f>
        <v>999</v>
      </c>
      <c r="G587" cm="1">
        <f t="array" aca="1" ref="G587" ca="1">IFERROR(INDEX(ft_equipes_acs!$C:$C, MATCH(1, (VALUE(LEFT(ft_equipes_acs!$A:$A,6))=VALUE(LEFT(B587,6)))*(ft_equipes_acs!$B:$B=C587), 0)), "")</f>
        <v>7</v>
      </c>
      <c r="H587" cm="1">
        <f t="array" aca="1" ref="H587" ca="1">IFERROR(INDEX(ci_leitos_internacao!$C:$C, MATCH(1, (VALUE(LEFT(ci_leitos_internacao!$A:$A,6))=VALUE(LEFT(B587,6)))*(ci_leitos_internacao!$B:$B=C587), 0)), "")</f>
        <v>1903</v>
      </c>
      <c r="I587" cm="1">
        <f t="array" aca="1" ref="I587" ca="1">IFERROR(INDEX(ci_hospitais_internacao!$C:$C, MATCH(1, (VALUE(LEFT(ci_hospitais_internacao!$A:$A,6))=VALUE(LEFT(B587,6)))*(ci_hospitais_internacao!$B:$B=C587), 0)), "")</f>
        <v>6</v>
      </c>
      <c r="J587" cm="1">
        <f t="array" aca="1" ref="J587" ca="1">IFERROR(INDEX(ci_pa_clinico!$C:$C, MATCH(1, (VALUE(LEFT(ci_pa_clinico!$A:$A,6))=VALUE(LEFT(B587,6)))*(ci_pa_clinico!$B:$B=C587), 0)), "")</f>
        <v>6</v>
      </c>
      <c r="K587" cm="1">
        <f t="array" aca="1" ref="K587" ca="1">IFERROR(INDEX(aps_equipes_esf!$C:$C, MATCH(1, (VALUE(LEFT(aps_equipes_esf!$A:$A,6))=VALUE(LEFT(B587,6)))*(aps_equipes_esf!$B:$B=C587), 0)), "")</f>
        <v>72</v>
      </c>
      <c r="L587" cm="1">
        <f t="array" aca="1" ref="L587" ca="1">IFERROR(INDEX(casos!$C:$C, MATCH(1, (VALUE(LEFT(casos!$A:$A,6))=VALUE(LEFT(B587,6)))*(casos!$B:$B=C587), 0)), "")</f>
        <v>113</v>
      </c>
      <c r="M587" cm="1">
        <f t="array" ref="M587">IFERROR(INDEX(srag!$D:$D, MATCH(1, (VALUE(LEFT(srag!$A:$A,6))=VALUE(LEFT(B587,6)))*(srag!$C:$C=C587), 0)), "")</f>
        <v>226</v>
      </c>
      <c r="N587" cm="1">
        <f t="array" aca="1" ref="N587" ca="1">IFERROR(INDEX(fesp!$E:$E, MATCH(1, (VALUE(LEFT(fesp!$A:$A,6))=VALUE(LEFT(B587,6)))*(fesp!$C:$C=C587), 0)), "")</f>
        <v>155</v>
      </c>
      <c r="O587" cm="1">
        <f t="array" aca="1" ref="O587" ca="1">IFERROR(INDEX(fesp!$F:$F, MATCH(1, (VALUE(LEFT(fesp!$A:$A,6))=VALUE(LEFT(B587,6)))*(fesp!$C:$C=C587), 0)), "")</f>
        <v>7143</v>
      </c>
      <c r="P587" cm="1">
        <f t="array" aca="1" ref="P587" ca="1">IFERROR(INDEX(fesp!$G:$G, MATCH(1, (VALUE(LEFT(fesp!$A:$A,6))=VALUE(LEFT(B587,6)))*(fesp!$C:$C=C587), 0)), "")</f>
        <v>4877150</v>
      </c>
      <c r="Q587" cm="1">
        <f t="array" aca="1" ref="Q587" ca="1">IFERROR(INDEX(fesp!$H:$H, MATCH(1, (VALUE(LEFT(fesp!$A:$A,6))=VALUE(LEFT(B587,6)))*(fesp!$C:$C=C587), 0)), "")</f>
        <v>69</v>
      </c>
      <c r="R587" cm="1">
        <f t="array" aca="1" ref="R587" ca="1">IFERROR(INDEX(fesp!$I:$I, MATCH(1, (VALUE(LEFT(fesp!$A:$A,6))=VALUE(LEFT(B587,6)))*(fesp!$C:$C=C587), 0)), "")</f>
        <v>31365</v>
      </c>
      <c r="S587" cm="1">
        <f t="array" aca="1" ref="S587" ca="1">IFERROR(INDEX(fesp!$J:$J, MATCH(1, (VALUE(LEFT(fesp!$A:$A,6))=VALUE(LEFT(B587,6)))*(fesp!$C:$C=C587), 0)), "")</f>
        <v>175170</v>
      </c>
    </row>
    <row r="588" spans="1:19">
      <c r="A588" s="1" t="s">
        <v>75</v>
      </c>
      <c r="B588" s="3" t="s">
        <v>74</v>
      </c>
      <c r="C588" s="3">
        <v>2018</v>
      </c>
      <c r="D588" cm="1">
        <f t="array" ref="D588">IFERROR(INDEX(fesp!$D:$D, MATCH(1, (VALUE(LEFT(fesp!$A:$A,6))=VALUE(LEFT(B588,6)))*(fesp!$C:$C=C588), 0)), "")</f>
        <v>0</v>
      </c>
      <c r="E588" cm="1">
        <f t="array" aca="1" ref="E588" ca="1">IFERROR(INDEX(ft_medicos_clinicos!$C:$C, MATCH(1, (VALUE(LEFT(ft_medicos_clinicos!$A:$A,6))=VALUE(LEFT(B588,6)))*(ft_medicos_clinicos!$B:$B=C588), 0)), "")</f>
        <v>791</v>
      </c>
      <c r="F588" cm="1">
        <f t="array" aca="1" ref="F588" ca="1">IFERROR(INDEX(ft_enfermeiros!$C:$C, MATCH(1, (VALUE(LEFT(ft_enfermeiros!$A:$A,6))=VALUE(LEFT(B588,6)))*(ft_enfermeiros!$B:$B=C588), 0)), "")</f>
        <v>1033</v>
      </c>
      <c r="G588" cm="1">
        <f t="array" aca="1" ref="G588" ca="1">IFERROR(INDEX(ft_equipes_acs!$C:$C, MATCH(1, (VALUE(LEFT(ft_equipes_acs!$A:$A,6))=VALUE(LEFT(B588,6)))*(ft_equipes_acs!$B:$B=C588), 0)), "")</f>
        <v>9</v>
      </c>
      <c r="H588" cm="1">
        <f t="array" aca="1" ref="H588" ca="1">IFERROR(INDEX(ci_leitos_internacao!$C:$C, MATCH(1, (VALUE(LEFT(ci_leitos_internacao!$A:$A,6))=VALUE(LEFT(B588,6)))*(ci_leitos_internacao!$B:$B=C588), 0)), "")</f>
        <v>1927</v>
      </c>
      <c r="I588" cm="1">
        <f t="array" aca="1" ref="I588" ca="1">IFERROR(INDEX(ci_hospitais_internacao!$C:$C, MATCH(1, (VALUE(LEFT(ci_hospitais_internacao!$A:$A,6))=VALUE(LEFT(B588,6)))*(ci_hospitais_internacao!$B:$B=C588), 0)), "")</f>
        <v>6</v>
      </c>
      <c r="J588" cm="1">
        <f t="array" aca="1" ref="J588" ca="1">IFERROR(INDEX(ci_pa_clinico!$C:$C, MATCH(1, (VALUE(LEFT(ci_pa_clinico!$A:$A,6))=VALUE(LEFT(B588,6)))*(ci_pa_clinico!$B:$B=C588), 0)), "")</f>
        <v>6</v>
      </c>
      <c r="K588" cm="1">
        <f t="array" aca="1" ref="K588" ca="1">IFERROR(INDEX(aps_equipes_esf!$C:$C, MATCH(1, (VALUE(LEFT(aps_equipes_esf!$A:$A,6))=VALUE(LEFT(B588,6)))*(aps_equipes_esf!$B:$B=C588), 0)), "")</f>
        <v>73</v>
      </c>
      <c r="L588" cm="1">
        <f t="array" aca="1" ref="L588" ca="1">IFERROR(INDEX(casos!$C:$C, MATCH(1, (VALUE(LEFT(casos!$A:$A,6))=VALUE(LEFT(B588,6)))*(casos!$B:$B=C588), 0)), "")</f>
        <v>113</v>
      </c>
      <c r="M588" cm="1">
        <f t="array" ref="M588">IFERROR(INDEX(srag!$D:$D, MATCH(1, (VALUE(LEFT(srag!$A:$A,6))=VALUE(LEFT(B588,6)))*(srag!$C:$C=C588), 0)), "")</f>
        <v>323</v>
      </c>
      <c r="N588" cm="1">
        <f t="array" aca="1" ref="N588" ca="1">IFERROR(INDEX(fesp!$E:$E, MATCH(1, (VALUE(LEFT(fesp!$A:$A,6))=VALUE(LEFT(B588,6)))*(fesp!$C:$C=C588), 0)), "")</f>
        <v>164</v>
      </c>
      <c r="O588" cm="1">
        <f t="array" aca="1" ref="O588" ca="1">IFERROR(INDEX(fesp!$F:$F, MATCH(1, (VALUE(LEFT(fesp!$A:$A,6))=VALUE(LEFT(B588,6)))*(fesp!$C:$C=C588), 0)), "")</f>
        <v>10209</v>
      </c>
      <c r="P588" cm="1">
        <f t="array" aca="1" ref="P588" ca="1">IFERROR(INDEX(fesp!$G:$G, MATCH(1, (VALUE(LEFT(fesp!$A:$A,6))=VALUE(LEFT(B588,6)))*(fesp!$C:$C=C588), 0)), "")</f>
        <v>4903101</v>
      </c>
      <c r="Q588" cm="1">
        <f t="array" aca="1" ref="Q588" ca="1">IFERROR(INDEX(fesp!$H:$H, MATCH(1, (VALUE(LEFT(fesp!$A:$A,6))=VALUE(LEFT(B588,6)))*(fesp!$C:$C=C588), 0)), "")</f>
        <v>94</v>
      </c>
      <c r="R588" cm="1">
        <f t="array" aca="1" ref="R588" ca="1">IFERROR(INDEX(fesp!$I:$I, MATCH(1, (VALUE(LEFT(fesp!$A:$A,6))=VALUE(LEFT(B588,6)))*(fesp!$C:$C=C588), 0)), "")</f>
        <v>6595</v>
      </c>
      <c r="S588" cm="1">
        <f t="array" aca="1" ref="S588" ca="1">IFERROR(INDEX(fesp!$J:$J, MATCH(1, (VALUE(LEFT(fesp!$A:$A,6))=VALUE(LEFT(B588,6)))*(fesp!$C:$C=C588), 0)), "")</f>
        <v>6770</v>
      </c>
    </row>
    <row r="589" spans="1:19">
      <c r="A589" s="1" t="s">
        <v>75</v>
      </c>
      <c r="B589" s="3" t="s">
        <v>74</v>
      </c>
      <c r="C589" s="3">
        <v>2019</v>
      </c>
      <c r="D589" cm="1">
        <f t="array" ref="D589">IFERROR(INDEX(fesp!$D:$D, MATCH(1, (VALUE(LEFT(fesp!$A:$A,6))=VALUE(LEFT(B589,6)))*(fesp!$C:$C=C589), 0)), "")</f>
        <v>0</v>
      </c>
      <c r="E589" cm="1">
        <f t="array" aca="1" ref="E589" ca="1">IFERROR(INDEX(ft_medicos_clinicos!$C:$C, MATCH(1, (VALUE(LEFT(ft_medicos_clinicos!$A:$A,6))=VALUE(LEFT(B589,6)))*(ft_medicos_clinicos!$B:$B=C589), 0)), "")</f>
        <v>770</v>
      </c>
      <c r="F589" cm="1">
        <f t="array" aca="1" ref="F589" ca="1">IFERROR(INDEX(ft_enfermeiros!$C:$C, MATCH(1, (VALUE(LEFT(ft_enfermeiros!$A:$A,6))=VALUE(LEFT(B589,6)))*(ft_enfermeiros!$B:$B=C589), 0)), "")</f>
        <v>1128</v>
      </c>
      <c r="G589" cm="1">
        <f t="array" aca="1" ref="G589" ca="1">IFERROR(INDEX(ft_equipes_acs!$C:$C, MATCH(1, (VALUE(LEFT(ft_equipes_acs!$A:$A,6))=VALUE(LEFT(B589,6)))*(ft_equipes_acs!$B:$B=C589), 0)), "")</f>
        <v>9</v>
      </c>
      <c r="H589" cm="1">
        <f t="array" aca="1" ref="H589" ca="1">IFERROR(INDEX(ci_leitos_internacao!$C:$C, MATCH(1, (VALUE(LEFT(ci_leitos_internacao!$A:$A,6))=VALUE(LEFT(B589,6)))*(ci_leitos_internacao!$B:$B=C589), 0)), "")</f>
        <v>1859</v>
      </c>
      <c r="I589" cm="1">
        <f t="array" aca="1" ref="I589" ca="1">IFERROR(INDEX(ci_hospitais_internacao!$C:$C, MATCH(1, (VALUE(LEFT(ci_hospitais_internacao!$A:$A,6))=VALUE(LEFT(B589,6)))*(ci_hospitais_internacao!$B:$B=C589), 0)), "")</f>
        <v>6</v>
      </c>
      <c r="J589" cm="1">
        <f t="array" aca="1" ref="J589" ca="1">IFERROR(INDEX(ci_pa_clinico!$C:$C, MATCH(1, (VALUE(LEFT(ci_pa_clinico!$A:$A,6))=VALUE(LEFT(B589,6)))*(ci_pa_clinico!$B:$B=C589), 0)), "")</f>
        <v>5</v>
      </c>
      <c r="K589" cm="1">
        <f t="array" aca="1" ref="K589" ca="1">IFERROR(INDEX(aps_equipes_esf!$C:$C, MATCH(1, (VALUE(LEFT(aps_equipes_esf!$A:$A,6))=VALUE(LEFT(B589,6)))*(aps_equipes_esf!$B:$B=C589), 0)), "")</f>
        <v>73</v>
      </c>
      <c r="L589" cm="1">
        <f t="array" aca="1" ref="L589" ca="1">IFERROR(INDEX(casos!$C:$C, MATCH(1, (VALUE(LEFT(casos!$A:$A,6))=VALUE(LEFT(B589,6)))*(casos!$B:$B=C589), 0)), "")</f>
        <v>3948</v>
      </c>
      <c r="M589" cm="1">
        <f t="array" ref="M589">IFERROR(INDEX(srag!$D:$D, MATCH(1, (VALUE(LEFT(srag!$A:$A,6))=VALUE(LEFT(B589,6)))*(srag!$C:$C=C589), 0)), "")</f>
        <v>288</v>
      </c>
      <c r="N589" cm="1">
        <f t="array" aca="1" ref="N589" ca="1">IFERROR(INDEX(fesp!$E:$E, MATCH(1, (VALUE(LEFT(fesp!$A:$A,6))=VALUE(LEFT(B589,6)))*(fesp!$C:$C=C589), 0)), "")</f>
        <v>204</v>
      </c>
      <c r="O589" cm="1">
        <f t="array" aca="1" ref="O589" ca="1">IFERROR(INDEX(fesp!$F:$F, MATCH(1, (VALUE(LEFT(fesp!$A:$A,6))=VALUE(LEFT(B589,6)))*(fesp!$C:$C=C589), 0)), "")</f>
        <v>10753</v>
      </c>
      <c r="P589" cm="1">
        <f t="array" aca="1" ref="P589" ca="1">IFERROR(INDEX(fesp!$G:$G, MATCH(1, (VALUE(LEFT(fesp!$A:$A,6))=VALUE(LEFT(B589,6)))*(fesp!$C:$C=C589), 0)), "")</f>
        <v>5341253</v>
      </c>
      <c r="Q589" cm="1">
        <f t="array" aca="1" ref="Q589" ca="1">IFERROR(INDEX(fesp!$H:$H, MATCH(1, (VALUE(LEFT(fesp!$A:$A,6))=VALUE(LEFT(B589,6)))*(fesp!$C:$C=C589), 0)), "")</f>
        <v>89</v>
      </c>
      <c r="R589" cm="1">
        <f t="array" aca="1" ref="R589" ca="1">IFERROR(INDEX(fesp!$I:$I, MATCH(1, (VALUE(LEFT(fesp!$A:$A,6))=VALUE(LEFT(B589,6)))*(fesp!$C:$C=C589), 0)), "")</f>
        <v>5376</v>
      </c>
      <c r="S589" cm="1">
        <f t="array" aca="1" ref="S589" ca="1">IFERROR(INDEX(fesp!$J:$J, MATCH(1, (VALUE(LEFT(fesp!$A:$A,6))=VALUE(LEFT(B589,6)))*(fesp!$C:$C=C589), 0)), "")</f>
        <v>7187</v>
      </c>
    </row>
    <row r="590" spans="1:19">
      <c r="A590" s="1" t="s">
        <v>75</v>
      </c>
      <c r="B590" s="3" t="s">
        <v>74</v>
      </c>
      <c r="C590" s="3">
        <v>2020</v>
      </c>
      <c r="D590" cm="1">
        <f t="array" ref="D590">IFERROR(INDEX(fesp!$D:$D, MATCH(1, (VALUE(LEFT(fesp!$A:$A,6))=VALUE(LEFT(B590,6)))*(fesp!$C:$C=C590), 0)), "")</f>
        <v>0</v>
      </c>
      <c r="E590" cm="1">
        <f t="array" aca="1" ref="E590" ca="1">IFERROR(INDEX(ft_medicos_clinicos!$C:$C, MATCH(1, (VALUE(LEFT(ft_medicos_clinicos!$A:$A,6))=VALUE(LEFT(B590,6)))*(ft_medicos_clinicos!$B:$B=C590), 0)), "")</f>
        <v>824</v>
      </c>
      <c r="F590" cm="1">
        <f t="array" aca="1" ref="F590" ca="1">IFERROR(INDEX(ft_enfermeiros!$C:$C, MATCH(1, (VALUE(LEFT(ft_enfermeiros!$A:$A,6))=VALUE(LEFT(B590,6)))*(ft_enfermeiros!$B:$B=C590), 0)), "")</f>
        <v>1172</v>
      </c>
      <c r="G590" cm="1">
        <f t="array" aca="1" ref="G590" ca="1">IFERROR(INDEX(ft_equipes_acs!$C:$C, MATCH(1, (VALUE(LEFT(ft_equipes_acs!$A:$A,6))=VALUE(LEFT(B590,6)))*(ft_equipes_acs!$B:$B=C590), 0)), "")</f>
        <v>1</v>
      </c>
      <c r="H590" cm="1">
        <f t="array" aca="1" ref="H590" ca="1">IFERROR(INDEX(ci_leitos_internacao!$C:$C, MATCH(1, (VALUE(LEFT(ci_leitos_internacao!$A:$A,6))=VALUE(LEFT(B590,6)))*(ci_leitos_internacao!$B:$B=C590), 0)), "")</f>
        <v>1953</v>
      </c>
      <c r="I590" cm="1">
        <f t="array" aca="1" ref="I590" ca="1">IFERROR(INDEX(ci_hospitais_internacao!$C:$C, MATCH(1, (VALUE(LEFT(ci_hospitais_internacao!$A:$A,6))=VALUE(LEFT(B590,6)))*(ci_hospitais_internacao!$B:$B=C590), 0)), "")</f>
        <v>6</v>
      </c>
      <c r="J590" cm="1">
        <f t="array" aca="1" ref="J590" ca="1">IFERROR(INDEX(ci_pa_clinico!$C:$C, MATCH(1, (VALUE(LEFT(ci_pa_clinico!$A:$A,6))=VALUE(LEFT(B590,6)))*(ci_pa_clinico!$B:$B=C590), 0)), "")</f>
        <v>5</v>
      </c>
      <c r="K590" cm="1">
        <f t="array" aca="1" ref="K590" ca="1">IFERROR(INDEX(aps_equipes_esf!$C:$C, MATCH(1, (VALUE(LEFT(aps_equipes_esf!$A:$A,6))=VALUE(LEFT(B590,6)))*(aps_equipes_esf!$B:$B=C590), 0)), "")</f>
        <v>16</v>
      </c>
      <c r="L590" cm="1">
        <f t="array" aca="1" ref="L590" ca="1">IFERROR(INDEX(casos!$C:$C, MATCH(1, (VALUE(LEFT(casos!$A:$A,6))=VALUE(LEFT(B590,6)))*(casos!$B:$B=C590), 0)), "")</f>
        <v>43885</v>
      </c>
      <c r="M590" cm="1">
        <f t="array" ref="M590">IFERROR(INDEX(srag!$D:$D, MATCH(1, (VALUE(LEFT(srag!$A:$A,6))=VALUE(LEFT(B590,6)))*(srag!$C:$C=C590), 0)), "")</f>
        <v>5523</v>
      </c>
      <c r="N590" cm="1">
        <f t="array" aca="1" ref="N590" ca="1">IFERROR(INDEX(fesp!$E:$E, MATCH(1, (VALUE(LEFT(fesp!$A:$A,6))=VALUE(LEFT(B590,6)))*(fesp!$C:$C=C590), 0)), "")</f>
        <v>170</v>
      </c>
      <c r="O590" cm="1">
        <f t="array" aca="1" ref="O590" ca="1">IFERROR(INDEX(fesp!$F:$F, MATCH(1, (VALUE(LEFT(fesp!$A:$A,6))=VALUE(LEFT(B590,6)))*(fesp!$C:$C=C590), 0)), "")</f>
        <v>4971</v>
      </c>
      <c r="P590" cm="1">
        <f t="array" aca="1" ref="P590" ca="1">IFERROR(INDEX(fesp!$G:$G, MATCH(1, (VALUE(LEFT(fesp!$A:$A,6))=VALUE(LEFT(B590,6)))*(fesp!$C:$C=C590), 0)), "")</f>
        <v>3930739</v>
      </c>
      <c r="Q590" cm="1">
        <f t="array" aca="1" ref="Q590" ca="1">IFERROR(INDEX(fesp!$H:$H, MATCH(1, (VALUE(LEFT(fesp!$A:$A,6))=VALUE(LEFT(B590,6)))*(fesp!$C:$C=C590), 0)), "")</f>
        <v>55</v>
      </c>
      <c r="R590" cm="1">
        <f t="array" aca="1" ref="R590" ca="1">IFERROR(INDEX(fesp!$I:$I, MATCH(1, (VALUE(LEFT(fesp!$A:$A,6))=VALUE(LEFT(B590,6)))*(fesp!$C:$C=C590), 0)), "")</f>
        <v>4254</v>
      </c>
      <c r="S590" cm="1">
        <f t="array" aca="1" ref="S590" ca="1">IFERROR(INDEX(fesp!$J:$J, MATCH(1, (VALUE(LEFT(fesp!$A:$A,6))=VALUE(LEFT(B590,6)))*(fesp!$C:$C=C590), 0)), "")</f>
        <v>3303</v>
      </c>
    </row>
    <row r="591" spans="1:19">
      <c r="A591" s="1" t="s">
        <v>75</v>
      </c>
      <c r="B591" s="3" t="s">
        <v>74</v>
      </c>
      <c r="C591" s="3">
        <v>2021</v>
      </c>
      <c r="D591" cm="1">
        <f t="array" ref="D591">IFERROR(INDEX(fesp!$D:$D, MATCH(1, (VALUE(LEFT(fesp!$A:$A,6))=VALUE(LEFT(B591,6)))*(fesp!$C:$C=C591), 0)), "")</f>
        <v>0</v>
      </c>
      <c r="E591" cm="1">
        <f t="array" aca="1" ref="E591" ca="1">IFERROR(INDEX(ft_medicos_clinicos!$C:$C, MATCH(1, (VALUE(LEFT(ft_medicos_clinicos!$A:$A,6))=VALUE(LEFT(B591,6)))*(ft_medicos_clinicos!$B:$B=C591), 0)), "")</f>
        <v>741</v>
      </c>
      <c r="F591" cm="1">
        <f t="array" aca="1" ref="F591" ca="1">IFERROR(INDEX(ft_enfermeiros!$C:$C, MATCH(1, (VALUE(LEFT(ft_enfermeiros!$A:$A,6))=VALUE(LEFT(B591,6)))*(ft_enfermeiros!$B:$B=C591), 0)), "")</f>
        <v>1345</v>
      </c>
      <c r="G591" cm="1">
        <f t="array" aca="1" ref="G591" ca="1">IFERROR(INDEX(ft_equipes_acs!$C:$C, MATCH(1, (VALUE(LEFT(ft_equipes_acs!$A:$A,6))=VALUE(LEFT(B591,6)))*(ft_equipes_acs!$B:$B=C591), 0)), "")</f>
        <v>1</v>
      </c>
      <c r="H591" cm="1">
        <f t="array" aca="1" ref="H591" ca="1">IFERROR(INDEX(ci_leitos_internacao!$C:$C, MATCH(1, (VALUE(LEFT(ci_leitos_internacao!$A:$A,6))=VALUE(LEFT(B591,6)))*(ci_leitos_internacao!$B:$B=C591), 0)), "")</f>
        <v>1913</v>
      </c>
      <c r="I591" cm="1">
        <f t="array" aca="1" ref="I591" ca="1">IFERROR(INDEX(ci_hospitais_internacao!$C:$C, MATCH(1, (VALUE(LEFT(ci_hospitais_internacao!$A:$A,6))=VALUE(LEFT(B591,6)))*(ci_hospitais_internacao!$B:$B=C591), 0)), "")</f>
        <v>5</v>
      </c>
      <c r="J591" cm="1">
        <f t="array" aca="1" ref="J591" ca="1">IFERROR(INDEX(ci_pa_clinico!$C:$C, MATCH(1, (VALUE(LEFT(ci_pa_clinico!$A:$A,6))=VALUE(LEFT(B591,6)))*(ci_pa_clinico!$B:$B=C591), 0)), "")</f>
        <v>5</v>
      </c>
      <c r="K591" cm="1">
        <f t="array" aca="1" ref="K591" ca="1">IFERROR(INDEX(aps_equipes_esf!$C:$C, MATCH(1, (VALUE(LEFT(aps_equipes_esf!$A:$A,6))=VALUE(LEFT(B591,6)))*(aps_equipes_esf!$B:$B=C591), 0)), "")</f>
        <v>16</v>
      </c>
      <c r="L591" cm="1">
        <f t="array" aca="1" ref="L591" ca="1">IFERROR(INDEX(casos!$C:$C, MATCH(1, (VALUE(LEFT(casos!$A:$A,6))=VALUE(LEFT(B591,6)))*(casos!$B:$B=C591), 0)), "")</f>
        <v>7493</v>
      </c>
      <c r="M591" cm="1">
        <f t="array" ref="M591">IFERROR(INDEX(srag!$D:$D, MATCH(1, (VALUE(LEFT(srag!$A:$A,6))=VALUE(LEFT(B591,6)))*(srag!$C:$C=C591), 0)), "")</f>
        <v>10323</v>
      </c>
      <c r="N591" cm="1">
        <f t="array" aca="1" ref="N591" ca="1">IFERROR(INDEX(fesp!$E:$E, MATCH(1, (VALUE(LEFT(fesp!$A:$A,6))=VALUE(LEFT(B591,6)))*(fesp!$C:$C=C591), 0)), "")</f>
        <v>155</v>
      </c>
      <c r="O591" cm="1">
        <f t="array" aca="1" ref="O591" ca="1">IFERROR(INDEX(fesp!$F:$F, MATCH(1, (VALUE(LEFT(fesp!$A:$A,6))=VALUE(LEFT(B591,6)))*(fesp!$C:$C=C591), 0)), "")</f>
        <v>6039</v>
      </c>
      <c r="P591" cm="1">
        <f t="array" aca="1" ref="P591" ca="1">IFERROR(INDEX(fesp!$G:$G, MATCH(1, (VALUE(LEFT(fesp!$A:$A,6))=VALUE(LEFT(B591,6)))*(fesp!$C:$C=C591), 0)), "")</f>
        <v>4518212</v>
      </c>
      <c r="Q591" cm="1">
        <f t="array" aca="1" ref="Q591" ca="1">IFERROR(INDEX(fesp!$H:$H, MATCH(1, (VALUE(LEFT(fesp!$A:$A,6))=VALUE(LEFT(B591,6)))*(fesp!$C:$C=C591), 0)), "")</f>
        <v>28</v>
      </c>
      <c r="R591" cm="1">
        <f t="array" aca="1" ref="R591" ca="1">IFERROR(INDEX(fesp!$I:$I, MATCH(1, (VALUE(LEFT(fesp!$A:$A,6))=VALUE(LEFT(B591,6)))*(fesp!$C:$C=C591), 0)), "")</f>
        <v>2754</v>
      </c>
      <c r="S591" cm="1">
        <f t="array" aca="1" ref="S591" ca="1">IFERROR(INDEX(fesp!$J:$J, MATCH(1, (VALUE(LEFT(fesp!$A:$A,6))=VALUE(LEFT(B591,6)))*(fesp!$C:$C=C591), 0)), "")</f>
        <v>3270</v>
      </c>
    </row>
    <row r="592" spans="1:19">
      <c r="A592" s="1" t="s">
        <v>75</v>
      </c>
      <c r="B592" s="3" t="s">
        <v>74</v>
      </c>
      <c r="C592" s="3">
        <v>2022</v>
      </c>
      <c r="D592" cm="1">
        <f t="array" ref="D592">IFERROR(INDEX(fesp!$D:$D, MATCH(1, (VALUE(LEFT(fesp!$A:$A,6))=VALUE(LEFT(B592,6)))*(fesp!$C:$C=C592), 0)), "")</f>
        <v>555965</v>
      </c>
      <c r="E592" cm="1">
        <f t="array" aca="1" ref="E592" ca="1">IFERROR(INDEX(ft_medicos_clinicos!$C:$C, MATCH(1, (VALUE(LEFT(ft_medicos_clinicos!$A:$A,6))=VALUE(LEFT(B592,6)))*(ft_medicos_clinicos!$B:$B=C592), 0)), "")</f>
        <v>777</v>
      </c>
      <c r="F592" cm="1">
        <f t="array" aca="1" ref="F592" ca="1">IFERROR(INDEX(ft_enfermeiros!$C:$C, MATCH(1, (VALUE(LEFT(ft_enfermeiros!$A:$A,6))=VALUE(LEFT(B592,6)))*(ft_enfermeiros!$B:$B=C592), 0)), "")</f>
        <v>1424</v>
      </c>
      <c r="G592" cm="1">
        <f t="array" aca="1" ref="G592" ca="1">IFERROR(INDEX(ft_equipes_acs!$C:$C, MATCH(1, (VALUE(LEFT(ft_equipes_acs!$A:$A,6))=VALUE(LEFT(B592,6)))*(ft_equipes_acs!$B:$B=C592), 0)), "")</f>
        <v>1</v>
      </c>
      <c r="H592" cm="1">
        <f t="array" aca="1" ref="H592" ca="1">IFERROR(INDEX(ci_leitos_internacao!$C:$C, MATCH(1, (VALUE(LEFT(ci_leitos_internacao!$A:$A,6))=VALUE(LEFT(B592,6)))*(ci_leitos_internacao!$B:$B=C592), 0)), "")</f>
        <v>1943</v>
      </c>
      <c r="I592" cm="1">
        <f t="array" aca="1" ref="I592" ca="1">IFERROR(INDEX(ci_hospitais_internacao!$C:$C, MATCH(1, (VALUE(LEFT(ci_hospitais_internacao!$A:$A,6))=VALUE(LEFT(B592,6)))*(ci_hospitais_internacao!$B:$B=C592), 0)), "")</f>
        <v>5</v>
      </c>
      <c r="J592" cm="1">
        <f t="array" aca="1" ref="J592" ca="1">IFERROR(INDEX(ci_pa_clinico!$C:$C, MATCH(1, (VALUE(LEFT(ci_pa_clinico!$A:$A,6))=VALUE(LEFT(B592,6)))*(ci_pa_clinico!$B:$B=C592), 0)), "")</f>
        <v>5</v>
      </c>
      <c r="K592" cm="1">
        <f t="array" aca="1" ref="K592" ca="1">IFERROR(INDEX(aps_equipes_esf!$C:$C, MATCH(1, (VALUE(LEFT(aps_equipes_esf!$A:$A,6))=VALUE(LEFT(B592,6)))*(aps_equipes_esf!$B:$B=C592), 0)), "")</f>
        <v>15</v>
      </c>
      <c r="L592" cm="1">
        <f t="array" aca="1" ref="L592" ca="1">IFERROR(INDEX(casos!$C:$C, MATCH(1, (VALUE(LEFT(casos!$A:$A,6))=VALUE(LEFT(B592,6)))*(casos!$B:$B=C592), 0)), "")</f>
        <v>3676</v>
      </c>
      <c r="M592" cm="1">
        <f t="array" ref="M592">IFERROR(INDEX(srag!$D:$D, MATCH(1, (VALUE(LEFT(srag!$A:$A,6))=VALUE(LEFT(B592,6)))*(srag!$C:$C=C592), 0)), "")</f>
        <v>6428</v>
      </c>
      <c r="N592" cm="1">
        <f t="array" aca="1" ref="N592" ca="1">IFERROR(INDEX(fesp!$E:$E, MATCH(1, (VALUE(LEFT(fesp!$A:$A,6))=VALUE(LEFT(B592,6)))*(fesp!$C:$C=C592), 0)), "")</f>
        <v>217</v>
      </c>
      <c r="O592" cm="1">
        <f t="array" aca="1" ref="O592" ca="1">IFERROR(INDEX(fesp!$F:$F, MATCH(1, (VALUE(LEFT(fesp!$A:$A,6))=VALUE(LEFT(B592,6)))*(fesp!$C:$C=C592), 0)), "")</f>
        <v>6602</v>
      </c>
      <c r="P592" cm="1">
        <f t="array" aca="1" ref="P592" ca="1">IFERROR(INDEX(fesp!$G:$G, MATCH(1, (VALUE(LEFT(fesp!$A:$A,6))=VALUE(LEFT(B592,6)))*(fesp!$C:$C=C592), 0)), "")</f>
        <v>5317863</v>
      </c>
      <c r="Q592" cm="1">
        <f t="array" aca="1" ref="Q592" ca="1">IFERROR(INDEX(fesp!$H:$H, MATCH(1, (VALUE(LEFT(fesp!$A:$A,6))=VALUE(LEFT(B592,6)))*(fesp!$C:$C=C592), 0)), "")</f>
        <v>51</v>
      </c>
      <c r="R592" cm="1">
        <f t="array" aca="1" ref="R592" ca="1">IFERROR(INDEX(fesp!$I:$I, MATCH(1, (VALUE(LEFT(fesp!$A:$A,6))=VALUE(LEFT(B592,6)))*(fesp!$C:$C=C592), 0)), "")</f>
        <v>2346</v>
      </c>
      <c r="S592" cm="1">
        <f t="array" aca="1" ref="S592" ca="1">IFERROR(INDEX(fesp!$J:$J, MATCH(1, (VALUE(LEFT(fesp!$A:$A,6))=VALUE(LEFT(B592,6)))*(fesp!$C:$C=C592), 0)), "")</f>
        <v>4774</v>
      </c>
    </row>
    <row r="593" spans="1:19">
      <c r="A593" s="1" t="s">
        <v>75</v>
      </c>
      <c r="B593" s="3" t="s">
        <v>74</v>
      </c>
      <c r="C593" s="3">
        <v>2023</v>
      </c>
      <c r="D593" cm="1">
        <f t="array" ref="D593">IFERROR(INDEX(fesp!$D:$D, MATCH(1, (VALUE(LEFT(fesp!$A:$A,6))=VALUE(LEFT(B593,6)))*(fesp!$C:$C=C593), 0)), "")</f>
        <v>0</v>
      </c>
      <c r="E593" cm="1">
        <f t="array" aca="1" ref="E593" ca="1">IFERROR(INDEX(ft_medicos_clinicos!$C:$C, MATCH(1, (VALUE(LEFT(ft_medicos_clinicos!$A:$A,6))=VALUE(LEFT(B593,6)))*(ft_medicos_clinicos!$B:$B=C593), 0)), "")</f>
        <v>847</v>
      </c>
      <c r="F593" cm="1">
        <f t="array" aca="1" ref="F593" ca="1">IFERROR(INDEX(ft_enfermeiros!$C:$C, MATCH(1, (VALUE(LEFT(ft_enfermeiros!$A:$A,6))=VALUE(LEFT(B593,6)))*(ft_enfermeiros!$B:$B=C593), 0)), "")</f>
        <v>1444</v>
      </c>
      <c r="G593" cm="1">
        <f t="array" aca="1" ref="G593" ca="1">IFERROR(INDEX(ft_equipes_acs!$C:$C, MATCH(1, (VALUE(LEFT(ft_equipes_acs!$A:$A,6))=VALUE(LEFT(B593,6)))*(ft_equipes_acs!$B:$B=C593), 0)), "")</f>
        <v>1</v>
      </c>
      <c r="H593" cm="1">
        <f t="array" aca="1" ref="H593" ca="1">IFERROR(INDEX(ci_leitos_internacao!$C:$C, MATCH(1, (VALUE(LEFT(ci_leitos_internacao!$A:$A,6))=VALUE(LEFT(B593,6)))*(ci_leitos_internacao!$B:$B=C593), 0)), "")</f>
        <v>1927</v>
      </c>
      <c r="I593" cm="1">
        <f t="array" aca="1" ref="I593" ca="1">IFERROR(INDEX(ci_hospitais_internacao!$C:$C, MATCH(1, (VALUE(LEFT(ci_hospitais_internacao!$A:$A,6))=VALUE(LEFT(B593,6)))*(ci_hospitais_internacao!$B:$B=C593), 0)), "")</f>
        <v>5</v>
      </c>
      <c r="J593" cm="1">
        <f t="array" aca="1" ref="J593" ca="1">IFERROR(INDEX(ci_pa_clinico!$C:$C, MATCH(1, (VALUE(LEFT(ci_pa_clinico!$A:$A,6))=VALUE(LEFT(B593,6)))*(ci_pa_clinico!$B:$B=C593), 0)), "")</f>
        <v>5</v>
      </c>
      <c r="K593" cm="1">
        <f t="array" aca="1" ref="K593" ca="1">IFERROR(INDEX(aps_equipes_esf!$C:$C, MATCH(1, (VALUE(LEFT(aps_equipes_esf!$A:$A,6))=VALUE(LEFT(B593,6)))*(aps_equipes_esf!$B:$B=C593), 0)), "")</f>
        <v>13</v>
      </c>
      <c r="L593" cm="1">
        <f t="array" aca="1" ref="L593" ca="1">IFERROR(INDEX(casos!$C:$C, MATCH(1, (VALUE(LEFT(casos!$A:$A,6))=VALUE(LEFT(B593,6)))*(casos!$B:$B=C593), 0)), "")</f>
        <v>47289</v>
      </c>
      <c r="M593" cm="1">
        <f t="array" ref="M593">IFERROR(INDEX(srag!$D:$D, MATCH(1, (VALUE(LEFT(srag!$A:$A,6))=VALUE(LEFT(B593,6)))*(srag!$C:$C=C593), 0)), "")</f>
        <v>2701</v>
      </c>
      <c r="N593" cm="1">
        <f t="array" aca="1" ref="N593" ca="1">IFERROR(INDEX(fesp!$E:$E, MATCH(1, (VALUE(LEFT(fesp!$A:$A,6))=VALUE(LEFT(B593,6)))*(fesp!$C:$C=C593), 0)), "")</f>
        <v>282</v>
      </c>
      <c r="O593" cm="1">
        <f t="array" aca="1" ref="O593" ca="1">IFERROR(INDEX(fesp!$F:$F, MATCH(1, (VALUE(LEFT(fesp!$A:$A,6))=VALUE(LEFT(B593,6)))*(fesp!$C:$C=C593), 0)), "")</f>
        <v>10360</v>
      </c>
      <c r="P593" cm="1">
        <f t="array" aca="1" ref="P593" ca="1">IFERROR(INDEX(fesp!$G:$G, MATCH(1, (VALUE(LEFT(fesp!$A:$A,6))=VALUE(LEFT(B593,6)))*(fesp!$C:$C=C593), 0)), "")</f>
        <v>6103113</v>
      </c>
      <c r="Q593" cm="1">
        <f t="array" aca="1" ref="Q593" ca="1">IFERROR(INDEX(fesp!$H:$H, MATCH(1, (VALUE(LEFT(fesp!$A:$A,6))=VALUE(LEFT(B593,6)))*(fesp!$C:$C=C593), 0)), "")</f>
        <v>76</v>
      </c>
      <c r="R593" cm="1">
        <f t="array" aca="1" ref="R593" ca="1">IFERROR(INDEX(fesp!$I:$I, MATCH(1, (VALUE(LEFT(fesp!$A:$A,6))=VALUE(LEFT(B593,6)))*(fesp!$C:$C=C593), 0)), "")</f>
        <v>2018</v>
      </c>
      <c r="S593" cm="1">
        <f t="array" aca="1" ref="S593" ca="1">IFERROR(INDEX(fesp!$J:$J, MATCH(1, (VALUE(LEFT(fesp!$A:$A,6))=VALUE(LEFT(B593,6)))*(fesp!$C:$C=C593), 0)), "")</f>
        <v>4944</v>
      </c>
    </row>
    <row r="594" spans="1:19">
      <c r="A594" s="1" t="s">
        <v>75</v>
      </c>
      <c r="B594" s="3" t="s">
        <v>74</v>
      </c>
      <c r="C594" s="3">
        <v>2024</v>
      </c>
      <c r="D594" cm="1">
        <f t="array" ref="D594">IFERROR(INDEX(fesp!$D:$D, MATCH(1, (VALUE(LEFT(fesp!$A:$A,6))=VALUE(LEFT(B594,6)))*(fesp!$C:$C=C594), 0)), "")</f>
        <v>0</v>
      </c>
      <c r="E594" cm="1">
        <f t="array" aca="1" ref="E594" ca="1">IFERROR(INDEX(ft_medicos_clinicos!$C:$C, MATCH(1, (VALUE(LEFT(ft_medicos_clinicos!$A:$A,6))=VALUE(LEFT(B594,6)))*(ft_medicos_clinicos!$B:$B=C594), 0)), "")</f>
        <v>853</v>
      </c>
      <c r="F594" cm="1">
        <f t="array" aca="1" ref="F594" ca="1">IFERROR(INDEX(ft_enfermeiros!$C:$C, MATCH(1, (VALUE(LEFT(ft_enfermeiros!$A:$A,6))=VALUE(LEFT(B594,6)))*(ft_enfermeiros!$B:$B=C594), 0)), "")</f>
        <v>1565</v>
      </c>
      <c r="G594" cm="1">
        <f t="array" aca="1" ref="G594" ca="1">IFERROR(INDEX(ft_equipes_acs!$C:$C, MATCH(1, (VALUE(LEFT(ft_equipes_acs!$A:$A,6))=VALUE(LEFT(B594,6)))*(ft_equipes_acs!$B:$B=C594), 0)), "")</f>
        <v>1</v>
      </c>
      <c r="H594" cm="1">
        <f t="array" aca="1" ref="H594" ca="1">IFERROR(INDEX(ci_leitos_internacao!$C:$C, MATCH(1, (VALUE(LEFT(ci_leitos_internacao!$A:$A,6))=VALUE(LEFT(B594,6)))*(ci_leitos_internacao!$B:$B=C594), 0)), "")</f>
        <v>2116</v>
      </c>
      <c r="I594" cm="1">
        <f t="array" aca="1" ref="I594" ca="1">IFERROR(INDEX(ci_hospitais_internacao!$C:$C, MATCH(1, (VALUE(LEFT(ci_hospitais_internacao!$A:$A,6))=VALUE(LEFT(B594,6)))*(ci_hospitais_internacao!$B:$B=C594), 0)), "")</f>
        <v>5</v>
      </c>
      <c r="J594" cm="1">
        <f t="array" aca="1" ref="J594" ca="1">IFERROR(INDEX(ci_pa_clinico!$C:$C, MATCH(1, (VALUE(LEFT(ci_pa_clinico!$A:$A,6))=VALUE(LEFT(B594,6)))*(ci_pa_clinico!$B:$B=C594), 0)), "")</f>
        <v>5</v>
      </c>
      <c r="K594" cm="1">
        <f t="array" aca="1" ref="K594" ca="1">IFERROR(INDEX(aps_equipes_esf!$C:$C, MATCH(1, (VALUE(LEFT(aps_equipes_esf!$A:$A,6))=VALUE(LEFT(B594,6)))*(aps_equipes_esf!$B:$B=C594), 0)), "")</f>
        <v>13</v>
      </c>
      <c r="L594" cm="1">
        <f t="array" aca="1" ref="L594" ca="1">IFERROR(INDEX(casos!$C:$C, MATCH(1, (VALUE(LEFT(casos!$A:$A,6))=VALUE(LEFT(B594,6)))*(casos!$B:$B=C594), 0)), "")</f>
        <v>50300</v>
      </c>
      <c r="M594" cm="1">
        <f t="array" ref="M594">IFERROR(INDEX(srag!$D:$D, MATCH(1, (VALUE(LEFT(srag!$A:$A,6))=VALUE(LEFT(B594,6)))*(srag!$C:$C=C594), 0)), "")</f>
        <v>1686</v>
      </c>
      <c r="N594" cm="1">
        <f t="array" aca="1" ref="N594" ca="1">IFERROR(INDEX(fesp!$E:$E, MATCH(1, (VALUE(LEFT(fesp!$A:$A,6))=VALUE(LEFT(B594,6)))*(fesp!$C:$C=C594), 0)), "")</f>
        <v>357</v>
      </c>
      <c r="O594" cm="1">
        <f t="array" aca="1" ref="O594" ca="1">IFERROR(INDEX(fesp!$F:$F, MATCH(1, (VALUE(LEFT(fesp!$A:$A,6))=VALUE(LEFT(B594,6)))*(fesp!$C:$C=C594), 0)), "")</f>
        <v>11666</v>
      </c>
      <c r="P594" cm="1">
        <f t="array" aca="1" ref="P594" ca="1">IFERROR(INDEX(fesp!$G:$G, MATCH(1, (VALUE(LEFT(fesp!$A:$A,6))=VALUE(LEFT(B594,6)))*(fesp!$C:$C=C594), 0)), "")</f>
        <v>6394513</v>
      </c>
      <c r="Q594" cm="1">
        <f t="array" aca="1" ref="Q594" ca="1">IFERROR(INDEX(fesp!$H:$H, MATCH(1, (VALUE(LEFT(fesp!$A:$A,6))=VALUE(LEFT(B594,6)))*(fesp!$C:$C=C594), 0)), "")</f>
        <v>78</v>
      </c>
      <c r="R594" cm="1">
        <f t="array" aca="1" ref="R594" ca="1">IFERROR(INDEX(fesp!$I:$I, MATCH(1, (VALUE(LEFT(fesp!$A:$A,6))=VALUE(LEFT(B594,6)))*(fesp!$C:$C=C594), 0)), "")</f>
        <v>2021</v>
      </c>
      <c r="S594" cm="1">
        <f t="array" aca="1" ref="S594" ca="1">IFERROR(INDEX(fesp!$J:$J, MATCH(1, (VALUE(LEFT(fesp!$A:$A,6))=VALUE(LEFT(B594,6)))*(fesp!$C:$C=C594), 0)), "")</f>
        <v>1853</v>
      </c>
    </row>
    <row r="595" spans="1:19">
      <c r="A595" s="1" t="s">
        <v>75</v>
      </c>
      <c r="B595" s="3">
        <v>4113700</v>
      </c>
      <c r="C595" s="3">
        <v>2025</v>
      </c>
      <c r="D595" cm="1">
        <f t="array" ref="D595">IFERROR(INDEX(fesp!$D:$D, MATCH(1, (VALUE(LEFT(fesp!$A:$A,6))=VALUE(LEFT(B595,6)))*(fesp!$C:$C=C595), 0)), "")</f>
        <v>0</v>
      </c>
      <c r="E595" cm="1">
        <f t="array" aca="1" ref="E595" ca="1">IFERROR(INDEX(ft_medicos_clinicos!$C:$C, MATCH(1, (VALUE(LEFT(ft_medicos_clinicos!$A:$A,6))=VALUE(LEFT(B595,6)))*(ft_medicos_clinicos!$B:$B=C595), 0)), "")</f>
        <v>940</v>
      </c>
      <c r="F595" cm="1">
        <f t="array" aca="1" ref="F595" ca="1">IFERROR(INDEX(ft_enfermeiros!$C:$C, MATCH(1, (VALUE(LEFT(ft_enfermeiros!$A:$A,6))=VALUE(LEFT(B595,6)))*(ft_enfermeiros!$B:$B=C595), 0)), "")</f>
        <v>1697</v>
      </c>
      <c r="G595" cm="1">
        <f t="array" aca="1" ref="G595" ca="1">IFERROR(INDEX(ft_equipes_acs!$C:$C, MATCH(1, (VALUE(LEFT(ft_equipes_acs!$A:$A,6))=VALUE(LEFT(B595,6)))*(ft_equipes_acs!$B:$B=C595), 0)), "")</f>
        <v>1</v>
      </c>
      <c r="H595" cm="1">
        <f t="array" aca="1" ref="H595" ca="1">IFERROR(INDEX(ci_leitos_internacao!$C:$C, MATCH(1, (VALUE(LEFT(ci_leitos_internacao!$A:$A,6))=VALUE(LEFT(B595,6)))*(ci_leitos_internacao!$B:$B=C595), 0)), "")</f>
        <v>2088</v>
      </c>
      <c r="I595" cm="1">
        <f t="array" aca="1" ref="I595" ca="1">IFERROR(INDEX(ci_hospitais_internacao!$C:$C, MATCH(1, (VALUE(LEFT(ci_hospitais_internacao!$A:$A,6))=VALUE(LEFT(B595,6)))*(ci_hospitais_internacao!$B:$B=C595), 0)), "")</f>
        <v>5</v>
      </c>
      <c r="J595" cm="1">
        <f t="array" aca="1" ref="J595" ca="1">IFERROR(INDEX(ci_pa_clinico!$C:$C, MATCH(1, (VALUE(LEFT(ci_pa_clinico!$A:$A,6))=VALUE(LEFT(B595,6)))*(ci_pa_clinico!$B:$B=C595), 0)), "")</f>
        <v>5</v>
      </c>
      <c r="K595" cm="1">
        <f t="array" aca="1" ref="K595" ca="1">IFERROR(INDEX(aps_equipes_esf!$C:$C, MATCH(1, (VALUE(LEFT(aps_equipes_esf!$A:$A,6))=VALUE(LEFT(B595,6)))*(aps_equipes_esf!$B:$B=C595), 0)), "")</f>
        <v>12</v>
      </c>
      <c r="L595" cm="1">
        <f t="array" aca="1" ref="L595" ca="1">IFERROR(INDEX(casos!$C:$C, MATCH(1, (VALUE(LEFT(casos!$A:$A,6))=VALUE(LEFT(B595,6)))*(casos!$B:$B=C595), 0)), "")</f>
        <v>7728</v>
      </c>
      <c r="M595" cm="1">
        <f t="array" ref="M595">IFERROR(INDEX(srag!$D:$D, MATCH(1, (VALUE(LEFT(srag!$A:$A,6))=VALUE(LEFT(B595,6)))*(srag!$C:$C=C595), 0)), "")</f>
        <v>2092</v>
      </c>
      <c r="N595" cm="1">
        <f t="array" aca="1" ref="N595" ca="1">IFERROR(INDEX(fesp!$E:$E, MATCH(1, (VALUE(LEFT(fesp!$A:$A,6))=VALUE(LEFT(B595,6)))*(fesp!$C:$C=C595), 0)), "")</f>
        <v>229</v>
      </c>
      <c r="O595" cm="1">
        <f t="array" aca="1" ref="O595" ca="1">IFERROR(INDEX(fesp!$F:$F, MATCH(1, (VALUE(LEFT(fesp!$A:$A,6))=VALUE(LEFT(B595,6)))*(fesp!$C:$C=C595), 0)), "")</f>
        <v>9710</v>
      </c>
      <c r="P595" cm="1">
        <f t="array" aca="1" ref="P595" ca="1">IFERROR(INDEX(fesp!$G:$G, MATCH(1, (VALUE(LEFT(fesp!$A:$A,6))=VALUE(LEFT(B595,6)))*(fesp!$C:$C=C595), 0)), "")</f>
        <v>5432005</v>
      </c>
      <c r="Q595" cm="1">
        <f t="array" aca="1" ref="Q595" ca="1">IFERROR(INDEX(fesp!$H:$H, MATCH(1, (VALUE(LEFT(fesp!$A:$A,6))=VALUE(LEFT(B595,6)))*(fesp!$C:$C=C595), 0)), "")</f>
        <v>71</v>
      </c>
      <c r="R595" cm="1">
        <f t="array" aca="1" ref="R595" ca="1">IFERROR(INDEX(fesp!$I:$I, MATCH(1, (VALUE(LEFT(fesp!$A:$A,6))=VALUE(LEFT(B595,6)))*(fesp!$C:$C=C595), 0)), "")</f>
        <v>1793</v>
      </c>
      <c r="S595" cm="1">
        <f t="array" aca="1" ref="S595" ca="1">IFERROR(INDEX(fesp!$J:$J, MATCH(1, (VALUE(LEFT(fesp!$A:$A,6))=VALUE(LEFT(B595,6)))*(fesp!$C:$C=C595), 0)), "")</f>
        <v>1382</v>
      </c>
    </row>
    <row r="596" spans="1:19">
      <c r="A596" s="1" t="s">
        <v>117</v>
      </c>
      <c r="B596" s="3">
        <v>4115200</v>
      </c>
      <c r="C596" s="3">
        <v>2015</v>
      </c>
      <c r="D596" cm="1">
        <f t="array" ref="D596">IFERROR(INDEX(fesp!$D:$D, MATCH(1, (VALUE(LEFT(fesp!$A:$A,6))=VALUE(LEFT(B596,6)))*(fesp!$C:$C=C596), 0)), "")</f>
        <v>397437</v>
      </c>
      <c r="E596" cm="1">
        <f t="array" aca="1" ref="E596" ca="1">IFERROR(INDEX(ft_medicos_clinicos!$C:$C, MATCH(1, (VALUE(LEFT(ft_medicos_clinicos!$A:$A,6))=VALUE(LEFT(B596,6)))*(ft_medicos_clinicos!$B:$B=C596), 0)), "")</f>
        <v>417</v>
      </c>
      <c r="F596" cm="1">
        <f t="array" aca="1" ref="F596" ca="1">IFERROR(INDEX(ft_enfermeiros!$C:$C, MATCH(1, (VALUE(LEFT(ft_enfermeiros!$A:$A,6))=VALUE(LEFT(B596,6)))*(ft_enfermeiros!$B:$B=C596), 0)), "")</f>
        <v>815</v>
      </c>
      <c r="G596" t="str" cm="1">
        <f t="array" aca="1" ref="G596" ca="1">IFERROR(INDEX(ft_equipes_acs!$C:$C, MATCH(1, (VALUE(LEFT(ft_equipes_acs!$A:$A,6))=VALUE(LEFT(B596,6)))*(ft_equipes_acs!$B:$B=C596), 0)), "")</f>
        <v>-</v>
      </c>
      <c r="H596" cm="1">
        <f t="array" aca="1" ref="H596" ca="1">IFERROR(INDEX(ci_leitos_internacao!$C:$C, MATCH(1, (VALUE(LEFT(ci_leitos_internacao!$A:$A,6))=VALUE(LEFT(B596,6)))*(ci_leitos_internacao!$B:$B=C596), 0)), "")</f>
        <v>1393</v>
      </c>
      <c r="I596" cm="1">
        <f t="array" aca="1" ref="I596" ca="1">IFERROR(INDEX(ci_hospitais_internacao!$C:$C, MATCH(1, (VALUE(LEFT(ci_hospitais_internacao!$A:$A,6))=VALUE(LEFT(B596,6)))*(ci_hospitais_internacao!$B:$B=C596), 0)), "")</f>
        <v>8</v>
      </c>
      <c r="J596" cm="1">
        <f t="array" aca="1" ref="J596" ca="1">IFERROR(INDEX(ci_pa_clinico!$C:$C, MATCH(1, (VALUE(LEFT(ci_pa_clinico!$A:$A,6))=VALUE(LEFT(B596,6)))*(ci_pa_clinico!$B:$B=C596), 0)), "")</f>
        <v>8</v>
      </c>
      <c r="K596" cm="1">
        <f t="array" aca="1" ref="K596" ca="1">IFERROR(INDEX(aps_equipes_esf!$C:$C, MATCH(1, (VALUE(LEFT(aps_equipes_esf!$A:$A,6))=VALUE(LEFT(B596,6)))*(aps_equipes_esf!$B:$B=C596), 0)), "")</f>
        <v>44</v>
      </c>
      <c r="L596" cm="1">
        <f t="array" aca="1" ref="L596" ca="1">IFERROR(INDEX(casos!$C:$C, MATCH(1, (VALUE(LEFT(casos!$A:$A,6))=VALUE(LEFT(B596,6)))*(casos!$B:$B=C596), 0)), "")</f>
        <v>1699</v>
      </c>
      <c r="M596" cm="1">
        <f t="array" ref="M596">IFERROR(INDEX(srag!$D:$D, MATCH(1, (VALUE(LEFT(srag!$A:$A,6))=VALUE(LEFT(B596,6)))*(srag!$C:$C=C596), 0)), "")</f>
        <v>485</v>
      </c>
      <c r="N596" cm="1">
        <f t="array" aca="1" ref="N596" ca="1">IFERROR(INDEX(fesp!$E:$E, MATCH(1, (VALUE(LEFT(fesp!$A:$A,6))=VALUE(LEFT(B596,6)))*(fesp!$C:$C=C596), 0)), "")</f>
        <v>168</v>
      </c>
      <c r="O596" cm="1">
        <f t="array" aca="1" ref="O596" ca="1">IFERROR(INDEX(fesp!$F:$F, MATCH(1, (VALUE(LEFT(fesp!$A:$A,6))=VALUE(LEFT(B596,6)))*(fesp!$C:$C=C596), 0)), "")</f>
        <v>4527</v>
      </c>
      <c r="P596" cm="1">
        <f t="array" aca="1" ref="P596" ca="1">IFERROR(INDEX(fesp!$G:$G, MATCH(1, (VALUE(LEFT(fesp!$A:$A,6))=VALUE(LEFT(B596,6)))*(fesp!$C:$C=C596), 0)), "")</f>
        <v>2866917</v>
      </c>
      <c r="Q596" cm="1">
        <f t="array" aca="1" ref="Q596" ca="1">IFERROR(INDEX(fesp!$H:$H, MATCH(1, (VALUE(LEFT(fesp!$A:$A,6))=VALUE(LEFT(B596,6)))*(fesp!$C:$C=C596), 0)), "")</f>
        <v>93</v>
      </c>
      <c r="R596" cm="1">
        <f t="array" aca="1" ref="R596" ca="1">IFERROR(INDEX(fesp!$I:$I, MATCH(1, (VALUE(LEFT(fesp!$A:$A,6))=VALUE(LEFT(B596,6)))*(fesp!$C:$C=C596), 0)), "")</f>
        <v>25606</v>
      </c>
      <c r="S596" cm="1">
        <f t="array" aca="1" ref="S596" ca="1">IFERROR(INDEX(fesp!$J:$J, MATCH(1, (VALUE(LEFT(fesp!$A:$A,6))=VALUE(LEFT(B596,6)))*(fesp!$C:$C=C596), 0)), "")</f>
        <v>453946</v>
      </c>
    </row>
    <row r="597" spans="1:19">
      <c r="A597" s="1" t="s">
        <v>117</v>
      </c>
      <c r="B597" s="3">
        <v>4115200</v>
      </c>
      <c r="C597" s="3">
        <v>2016</v>
      </c>
      <c r="D597" cm="1">
        <f t="array" ref="D597">IFERROR(INDEX(fesp!$D:$D, MATCH(1, (VALUE(LEFT(fesp!$A:$A,6))=VALUE(LEFT(B597,6)))*(fesp!$C:$C=C597), 0)), "")</f>
        <v>0</v>
      </c>
      <c r="E597" cm="1">
        <f t="array" aca="1" ref="E597" ca="1">IFERROR(INDEX(ft_medicos_clinicos!$C:$C, MATCH(1, (VALUE(LEFT(ft_medicos_clinicos!$A:$A,6))=VALUE(LEFT(B597,6)))*(ft_medicos_clinicos!$B:$B=C597), 0)), "")</f>
        <v>410</v>
      </c>
      <c r="F597" cm="1">
        <f t="array" aca="1" ref="F597" ca="1">IFERROR(INDEX(ft_enfermeiros!$C:$C, MATCH(1, (VALUE(LEFT(ft_enfermeiros!$A:$A,6))=VALUE(LEFT(B597,6)))*(ft_enfermeiros!$B:$B=C597), 0)), "")</f>
        <v>870</v>
      </c>
      <c r="G597" t="str" cm="1">
        <f t="array" aca="1" ref="G597" ca="1">IFERROR(INDEX(ft_equipes_acs!$C:$C, MATCH(1, (VALUE(LEFT(ft_equipes_acs!$A:$A,6))=VALUE(LEFT(B597,6)))*(ft_equipes_acs!$B:$B=C597), 0)), "")</f>
        <v>-</v>
      </c>
      <c r="H597" cm="1">
        <f t="array" aca="1" ref="H597" ca="1">IFERROR(INDEX(ci_leitos_internacao!$C:$C, MATCH(1, (VALUE(LEFT(ci_leitos_internacao!$A:$A,6))=VALUE(LEFT(B597,6)))*(ci_leitos_internacao!$B:$B=C597), 0)), "")</f>
        <v>1463</v>
      </c>
      <c r="I597" cm="1">
        <f t="array" aca="1" ref="I597" ca="1">IFERROR(INDEX(ci_hospitais_internacao!$C:$C, MATCH(1, (VALUE(LEFT(ci_hospitais_internacao!$A:$A,6))=VALUE(LEFT(B597,6)))*(ci_hospitais_internacao!$B:$B=C597), 0)), "")</f>
        <v>8</v>
      </c>
      <c r="J597" cm="1">
        <f t="array" aca="1" ref="J597" ca="1">IFERROR(INDEX(ci_pa_clinico!$C:$C, MATCH(1, (VALUE(LEFT(ci_pa_clinico!$A:$A,6))=VALUE(LEFT(B597,6)))*(ci_pa_clinico!$B:$B=C597), 0)), "")</f>
        <v>8</v>
      </c>
      <c r="K597" cm="1">
        <f t="array" aca="1" ref="K597" ca="1">IFERROR(INDEX(aps_equipes_esf!$C:$C, MATCH(1, (VALUE(LEFT(aps_equipes_esf!$A:$A,6))=VALUE(LEFT(B597,6)))*(aps_equipes_esf!$B:$B=C597), 0)), "")</f>
        <v>43</v>
      </c>
      <c r="L597" cm="1">
        <f t="array" aca="1" ref="L597" ca="1">IFERROR(INDEX(casos!$C:$C, MATCH(1, (VALUE(LEFT(casos!$A:$A,6))=VALUE(LEFT(B597,6)))*(casos!$B:$B=C597), 0)), "")</f>
        <v>3523</v>
      </c>
      <c r="M597" cm="1">
        <f t="array" ref="M597">IFERROR(INDEX(srag!$D:$D, MATCH(1, (VALUE(LEFT(srag!$A:$A,6))=VALUE(LEFT(B597,6)))*(srag!$C:$C=C597), 0)), "")</f>
        <v>824</v>
      </c>
      <c r="N597" cm="1">
        <f t="array" aca="1" ref="N597" ca="1">IFERROR(INDEX(fesp!$E:$E, MATCH(1, (VALUE(LEFT(fesp!$A:$A,6))=VALUE(LEFT(B597,6)))*(fesp!$C:$C=C597), 0)), "")</f>
        <v>113</v>
      </c>
      <c r="O597" cm="1">
        <f t="array" aca="1" ref="O597" ca="1">IFERROR(INDEX(fesp!$F:$F, MATCH(1, (VALUE(LEFT(fesp!$A:$A,6))=VALUE(LEFT(B597,6)))*(fesp!$C:$C=C597), 0)), "")</f>
        <v>4228</v>
      </c>
      <c r="P597" cm="1">
        <f t="array" aca="1" ref="P597" ca="1">IFERROR(INDEX(fesp!$G:$G, MATCH(1, (VALUE(LEFT(fesp!$A:$A,6))=VALUE(LEFT(B597,6)))*(fesp!$C:$C=C597), 0)), "")</f>
        <v>3042404</v>
      </c>
      <c r="Q597" cm="1">
        <f t="array" aca="1" ref="Q597" ca="1">IFERROR(INDEX(fesp!$H:$H, MATCH(1, (VALUE(LEFT(fesp!$A:$A,6))=VALUE(LEFT(B597,6)))*(fesp!$C:$C=C597), 0)), "")</f>
        <v>102</v>
      </c>
      <c r="R597" cm="1">
        <f t="array" aca="1" ref="R597" ca="1">IFERROR(INDEX(fesp!$I:$I, MATCH(1, (VALUE(LEFT(fesp!$A:$A,6))=VALUE(LEFT(B597,6)))*(fesp!$C:$C=C597), 0)), "")</f>
        <v>24714</v>
      </c>
      <c r="S597" cm="1">
        <f t="array" aca="1" ref="S597" ca="1">IFERROR(INDEX(fesp!$J:$J, MATCH(1, (VALUE(LEFT(fesp!$A:$A,6))=VALUE(LEFT(B597,6)))*(fesp!$C:$C=C597), 0)), "")</f>
        <v>483884</v>
      </c>
    </row>
    <row r="598" spans="1:19">
      <c r="A598" s="1" t="s">
        <v>117</v>
      </c>
      <c r="B598" s="3">
        <v>4115200</v>
      </c>
      <c r="C598" s="3">
        <v>2017</v>
      </c>
      <c r="D598" cm="1">
        <f t="array" ref="D598">IFERROR(INDEX(fesp!$D:$D, MATCH(1, (VALUE(LEFT(fesp!$A:$A,6))=VALUE(LEFT(B598,6)))*(fesp!$C:$C=C598), 0)), "")</f>
        <v>0</v>
      </c>
      <c r="E598" cm="1">
        <f t="array" aca="1" ref="E598" ca="1">IFERROR(INDEX(ft_medicos_clinicos!$C:$C, MATCH(1, (VALUE(LEFT(ft_medicos_clinicos!$A:$A,6))=VALUE(LEFT(B598,6)))*(ft_medicos_clinicos!$B:$B=C598), 0)), "")</f>
        <v>429</v>
      </c>
      <c r="F598" cm="1">
        <f t="array" aca="1" ref="F598" ca="1">IFERROR(INDEX(ft_enfermeiros!$C:$C, MATCH(1, (VALUE(LEFT(ft_enfermeiros!$A:$A,6))=VALUE(LEFT(B598,6)))*(ft_enfermeiros!$B:$B=C598), 0)), "")</f>
        <v>856</v>
      </c>
      <c r="G598" t="str" cm="1">
        <f t="array" aca="1" ref="G598" ca="1">IFERROR(INDEX(ft_equipes_acs!$C:$C, MATCH(1, (VALUE(LEFT(ft_equipes_acs!$A:$A,6))=VALUE(LEFT(B598,6)))*(ft_equipes_acs!$B:$B=C598), 0)), "")</f>
        <v>-</v>
      </c>
      <c r="H598" cm="1">
        <f t="array" aca="1" ref="H598" ca="1">IFERROR(INDEX(ci_leitos_internacao!$C:$C, MATCH(1, (VALUE(LEFT(ci_leitos_internacao!$A:$A,6))=VALUE(LEFT(B598,6)))*(ci_leitos_internacao!$B:$B=C598), 0)), "")</f>
        <v>1507</v>
      </c>
      <c r="I598" cm="1">
        <f t="array" aca="1" ref="I598" ca="1">IFERROR(INDEX(ci_hospitais_internacao!$C:$C, MATCH(1, (VALUE(LEFT(ci_hospitais_internacao!$A:$A,6))=VALUE(LEFT(B598,6)))*(ci_hospitais_internacao!$B:$B=C598), 0)), "")</f>
        <v>8</v>
      </c>
      <c r="J598" cm="1">
        <f t="array" aca="1" ref="J598" ca="1">IFERROR(INDEX(ci_pa_clinico!$C:$C, MATCH(1, (VALUE(LEFT(ci_pa_clinico!$A:$A,6))=VALUE(LEFT(B598,6)))*(ci_pa_clinico!$B:$B=C598), 0)), "")</f>
        <v>8</v>
      </c>
      <c r="K598" cm="1">
        <f t="array" aca="1" ref="K598" ca="1">IFERROR(INDEX(aps_equipes_esf!$C:$C, MATCH(1, (VALUE(LEFT(aps_equipes_esf!$A:$A,6))=VALUE(LEFT(B598,6)))*(aps_equipes_esf!$B:$B=C598), 0)), "")</f>
        <v>43</v>
      </c>
      <c r="L598" cm="1">
        <f t="array" aca="1" ref="L598" ca="1">IFERROR(INDEX(casos!$C:$C, MATCH(1, (VALUE(LEFT(casos!$A:$A,6))=VALUE(LEFT(B598,6)))*(casos!$B:$B=C598), 0)), "")</f>
        <v>249</v>
      </c>
      <c r="M598" cm="1">
        <f t="array" ref="M598">IFERROR(INDEX(srag!$D:$D, MATCH(1, (VALUE(LEFT(srag!$A:$A,6))=VALUE(LEFT(B598,6)))*(srag!$C:$C=C598), 0)), "")</f>
        <v>339</v>
      </c>
      <c r="N598" cm="1">
        <f t="array" aca="1" ref="N598" ca="1">IFERROR(INDEX(fesp!$E:$E, MATCH(1, (VALUE(LEFT(fesp!$A:$A,6))=VALUE(LEFT(B598,6)))*(fesp!$C:$C=C598), 0)), "")</f>
        <v>233</v>
      </c>
      <c r="O598" cm="1">
        <f t="array" aca="1" ref="O598" ca="1">IFERROR(INDEX(fesp!$F:$F, MATCH(1, (VALUE(LEFT(fesp!$A:$A,6))=VALUE(LEFT(B598,6)))*(fesp!$C:$C=C598), 0)), "")</f>
        <v>4026</v>
      </c>
      <c r="P598" cm="1">
        <f t="array" aca="1" ref="P598" ca="1">IFERROR(INDEX(fesp!$G:$G, MATCH(1, (VALUE(LEFT(fesp!$A:$A,6))=VALUE(LEFT(B598,6)))*(fesp!$C:$C=C598), 0)), "")</f>
        <v>3057616</v>
      </c>
      <c r="Q598" cm="1">
        <f t="array" aca="1" ref="Q598" ca="1">IFERROR(INDEX(fesp!$H:$H, MATCH(1, (VALUE(LEFT(fesp!$A:$A,6))=VALUE(LEFT(B598,6)))*(fesp!$C:$C=C598), 0)), "")</f>
        <v>203</v>
      </c>
      <c r="R598" cm="1">
        <f t="array" aca="1" ref="R598" ca="1">IFERROR(INDEX(fesp!$I:$I, MATCH(1, (VALUE(LEFT(fesp!$A:$A,6))=VALUE(LEFT(B598,6)))*(fesp!$C:$C=C598), 0)), "")</f>
        <v>27260</v>
      </c>
      <c r="S598" cm="1">
        <f t="array" aca="1" ref="S598" ca="1">IFERROR(INDEX(fesp!$J:$J, MATCH(1, (VALUE(LEFT(fesp!$A:$A,6))=VALUE(LEFT(B598,6)))*(fesp!$C:$C=C598), 0)), "")</f>
        <v>496968</v>
      </c>
    </row>
    <row r="599" spans="1:19">
      <c r="A599" s="1" t="s">
        <v>117</v>
      </c>
      <c r="B599" s="3" t="s">
        <v>116</v>
      </c>
      <c r="C599" s="3">
        <v>2018</v>
      </c>
      <c r="D599" cm="1">
        <f t="array" ref="D599">IFERROR(INDEX(fesp!$D:$D, MATCH(1, (VALUE(LEFT(fesp!$A:$A,6))=VALUE(LEFT(B599,6)))*(fesp!$C:$C=C599), 0)), "")</f>
        <v>0</v>
      </c>
      <c r="E599" cm="1">
        <f t="array" aca="1" ref="E599" ca="1">IFERROR(INDEX(ft_medicos_clinicos!$C:$C, MATCH(1, (VALUE(LEFT(ft_medicos_clinicos!$A:$A,6))=VALUE(LEFT(B599,6)))*(ft_medicos_clinicos!$B:$B=C599), 0)), "")</f>
        <v>445</v>
      </c>
      <c r="F599" cm="1">
        <f t="array" aca="1" ref="F599" ca="1">IFERROR(INDEX(ft_enfermeiros!$C:$C, MATCH(1, (VALUE(LEFT(ft_enfermeiros!$A:$A,6))=VALUE(LEFT(B599,6)))*(ft_enfermeiros!$B:$B=C599), 0)), "")</f>
        <v>899</v>
      </c>
      <c r="G599" cm="1">
        <f t="array" aca="1" ref="G599" ca="1">IFERROR(INDEX(ft_equipes_acs!$C:$C, MATCH(1, (VALUE(LEFT(ft_equipes_acs!$A:$A,6))=VALUE(LEFT(B599,6)))*(ft_equipes_acs!$B:$B=C599), 0)), "")</f>
        <v>1</v>
      </c>
      <c r="H599" cm="1">
        <f t="array" aca="1" ref="H599" ca="1">IFERROR(INDEX(ci_leitos_internacao!$C:$C, MATCH(1, (VALUE(LEFT(ci_leitos_internacao!$A:$A,6))=VALUE(LEFT(B599,6)))*(ci_leitos_internacao!$B:$B=C599), 0)), "")</f>
        <v>1456</v>
      </c>
      <c r="I599" cm="1">
        <f t="array" aca="1" ref="I599" ca="1">IFERROR(INDEX(ci_hospitais_internacao!$C:$C, MATCH(1, (VALUE(LEFT(ci_hospitais_internacao!$A:$A,6))=VALUE(LEFT(B599,6)))*(ci_hospitais_internacao!$B:$B=C599), 0)), "")</f>
        <v>8</v>
      </c>
      <c r="J599" cm="1">
        <f t="array" aca="1" ref="J599" ca="1">IFERROR(INDEX(ci_pa_clinico!$C:$C, MATCH(1, (VALUE(LEFT(ci_pa_clinico!$A:$A,6))=VALUE(LEFT(B599,6)))*(ci_pa_clinico!$B:$B=C599), 0)), "")</f>
        <v>8</v>
      </c>
      <c r="K599" cm="1">
        <f t="array" aca="1" ref="K599" ca="1">IFERROR(INDEX(aps_equipes_esf!$C:$C, MATCH(1, (VALUE(LEFT(aps_equipes_esf!$A:$A,6))=VALUE(LEFT(B599,6)))*(aps_equipes_esf!$B:$B=C599), 0)), "")</f>
        <v>45</v>
      </c>
      <c r="L599" cm="1">
        <f t="array" aca="1" ref="L599" ca="1">IFERROR(INDEX(casos!$C:$C, MATCH(1, (VALUE(LEFT(casos!$A:$A,6))=VALUE(LEFT(B599,6)))*(casos!$B:$B=C599), 0)), "")</f>
        <v>27</v>
      </c>
      <c r="M599" cm="1">
        <f t="array" ref="M599">IFERROR(INDEX(srag!$D:$D, MATCH(1, (VALUE(LEFT(srag!$A:$A,6))=VALUE(LEFT(B599,6)))*(srag!$C:$C=C599), 0)), "")</f>
        <v>315</v>
      </c>
      <c r="N599" cm="1">
        <f t="array" aca="1" ref="N599" ca="1">IFERROR(INDEX(fesp!$E:$E, MATCH(1, (VALUE(LEFT(fesp!$A:$A,6))=VALUE(LEFT(B599,6)))*(fesp!$C:$C=C599), 0)), "")</f>
        <v>289</v>
      </c>
      <c r="O599" cm="1">
        <f t="array" aca="1" ref="O599" ca="1">IFERROR(INDEX(fesp!$F:$F, MATCH(1, (VALUE(LEFT(fesp!$A:$A,6))=VALUE(LEFT(B599,6)))*(fesp!$C:$C=C599), 0)), "")</f>
        <v>5561</v>
      </c>
      <c r="P599" cm="1">
        <f t="array" aca="1" ref="P599" ca="1">IFERROR(INDEX(fesp!$G:$G, MATCH(1, (VALUE(LEFT(fesp!$A:$A,6))=VALUE(LEFT(B599,6)))*(fesp!$C:$C=C599), 0)), "")</f>
        <v>3290363</v>
      </c>
      <c r="Q599" cm="1">
        <f t="array" aca="1" ref="Q599" ca="1">IFERROR(INDEX(fesp!$H:$H, MATCH(1, (VALUE(LEFT(fesp!$A:$A,6))=VALUE(LEFT(B599,6)))*(fesp!$C:$C=C599), 0)), "")</f>
        <v>172</v>
      </c>
      <c r="R599" cm="1">
        <f t="array" aca="1" ref="R599" ca="1">IFERROR(INDEX(fesp!$I:$I, MATCH(1, (VALUE(LEFT(fesp!$A:$A,6))=VALUE(LEFT(B599,6)))*(fesp!$C:$C=C599), 0)), "")</f>
        <v>23818</v>
      </c>
      <c r="S599" cm="1">
        <f t="array" aca="1" ref="S599" ca="1">IFERROR(INDEX(fesp!$J:$J, MATCH(1, (VALUE(LEFT(fesp!$A:$A,6))=VALUE(LEFT(B599,6)))*(fesp!$C:$C=C599), 0)), "")</f>
        <v>510858</v>
      </c>
    </row>
    <row r="600" spans="1:19">
      <c r="A600" s="1" t="s">
        <v>117</v>
      </c>
      <c r="B600" s="3" t="s">
        <v>116</v>
      </c>
      <c r="C600" s="3">
        <v>2019</v>
      </c>
      <c r="D600" cm="1">
        <f t="array" ref="D600">IFERROR(INDEX(fesp!$D:$D, MATCH(1, (VALUE(LEFT(fesp!$A:$A,6))=VALUE(LEFT(B600,6)))*(fesp!$C:$C=C600), 0)), "")</f>
        <v>0</v>
      </c>
      <c r="E600" cm="1">
        <f t="array" aca="1" ref="E600" ca="1">IFERROR(INDEX(ft_medicos_clinicos!$C:$C, MATCH(1, (VALUE(LEFT(ft_medicos_clinicos!$A:$A,6))=VALUE(LEFT(B600,6)))*(ft_medicos_clinicos!$B:$B=C600), 0)), "")</f>
        <v>479</v>
      </c>
      <c r="F600" cm="1">
        <f t="array" aca="1" ref="F600" ca="1">IFERROR(INDEX(ft_enfermeiros!$C:$C, MATCH(1, (VALUE(LEFT(ft_enfermeiros!$A:$A,6))=VALUE(LEFT(B600,6)))*(ft_enfermeiros!$B:$B=C600), 0)), "")</f>
        <v>1067</v>
      </c>
      <c r="G600" cm="1">
        <f t="array" aca="1" ref="G600" ca="1">IFERROR(INDEX(ft_equipes_acs!$C:$C, MATCH(1, (VALUE(LEFT(ft_equipes_acs!$A:$A,6))=VALUE(LEFT(B600,6)))*(ft_equipes_acs!$B:$B=C600), 0)), "")</f>
        <v>1</v>
      </c>
      <c r="H600" cm="1">
        <f t="array" aca="1" ref="H600" ca="1">IFERROR(INDEX(ci_leitos_internacao!$C:$C, MATCH(1, (VALUE(LEFT(ci_leitos_internacao!$A:$A,6))=VALUE(LEFT(B600,6)))*(ci_leitos_internacao!$B:$B=C600), 0)), "")</f>
        <v>1498</v>
      </c>
      <c r="I600" cm="1">
        <f t="array" aca="1" ref="I600" ca="1">IFERROR(INDEX(ci_hospitais_internacao!$C:$C, MATCH(1, (VALUE(LEFT(ci_hospitais_internacao!$A:$A,6))=VALUE(LEFT(B600,6)))*(ci_hospitais_internacao!$B:$B=C600), 0)), "")</f>
        <v>9</v>
      </c>
      <c r="J600" cm="1">
        <f t="array" aca="1" ref="J600" ca="1">IFERROR(INDEX(ci_pa_clinico!$C:$C, MATCH(1, (VALUE(LEFT(ci_pa_clinico!$A:$A,6))=VALUE(LEFT(B600,6)))*(ci_pa_clinico!$B:$B=C600), 0)), "")</f>
        <v>8</v>
      </c>
      <c r="K600" cm="1">
        <f t="array" aca="1" ref="K600" ca="1">IFERROR(INDEX(aps_equipes_esf!$C:$C, MATCH(1, (VALUE(LEFT(aps_equipes_esf!$A:$A,6))=VALUE(LEFT(B600,6)))*(aps_equipes_esf!$B:$B=C600), 0)), "")</f>
        <v>47</v>
      </c>
      <c r="L600" cm="1">
        <f t="array" aca="1" ref="L600" ca="1">IFERROR(INDEX(casos!$C:$C, MATCH(1, (VALUE(LEFT(casos!$A:$A,6))=VALUE(LEFT(B600,6)))*(casos!$B:$B=C600), 0)), "")</f>
        <v>1816</v>
      </c>
      <c r="M600" cm="1">
        <f t="array" ref="M600">IFERROR(INDEX(srag!$D:$D, MATCH(1, (VALUE(LEFT(srag!$A:$A,6))=VALUE(LEFT(B600,6)))*(srag!$C:$C=C600), 0)), "")</f>
        <v>270</v>
      </c>
      <c r="N600" cm="1">
        <f t="array" aca="1" ref="N600" ca="1">IFERROR(INDEX(fesp!$E:$E, MATCH(1, (VALUE(LEFT(fesp!$A:$A,6))=VALUE(LEFT(B600,6)))*(fesp!$C:$C=C600), 0)), "")</f>
        <v>231</v>
      </c>
      <c r="O600" cm="1">
        <f t="array" aca="1" ref="O600" ca="1">IFERROR(INDEX(fesp!$F:$F, MATCH(1, (VALUE(LEFT(fesp!$A:$A,6))=VALUE(LEFT(B600,6)))*(fesp!$C:$C=C600), 0)), "")</f>
        <v>4514</v>
      </c>
      <c r="P600" cm="1">
        <f t="array" aca="1" ref="P600" ca="1">IFERROR(INDEX(fesp!$G:$G, MATCH(1, (VALUE(LEFT(fesp!$A:$A,6))=VALUE(LEFT(B600,6)))*(fesp!$C:$C=C600), 0)), "")</f>
        <v>3559811</v>
      </c>
      <c r="Q600" cm="1">
        <f t="array" aca="1" ref="Q600" ca="1">IFERROR(INDEX(fesp!$H:$H, MATCH(1, (VALUE(LEFT(fesp!$A:$A,6))=VALUE(LEFT(B600,6)))*(fesp!$C:$C=C600), 0)), "")</f>
        <v>170</v>
      </c>
      <c r="R600" cm="1">
        <f t="array" aca="1" ref="R600" ca="1">IFERROR(INDEX(fesp!$I:$I, MATCH(1, (VALUE(LEFT(fesp!$A:$A,6))=VALUE(LEFT(B600,6)))*(fesp!$C:$C=C600), 0)), "")</f>
        <v>25074</v>
      </c>
      <c r="S600" cm="1">
        <f t="array" aca="1" ref="S600" ca="1">IFERROR(INDEX(fesp!$J:$J, MATCH(1, (VALUE(LEFT(fesp!$A:$A,6))=VALUE(LEFT(B600,6)))*(fesp!$C:$C=C600), 0)), "")</f>
        <v>523533</v>
      </c>
    </row>
    <row r="601" spans="1:19">
      <c r="A601" s="1" t="s">
        <v>117</v>
      </c>
      <c r="B601" s="3" t="s">
        <v>116</v>
      </c>
      <c r="C601" s="3">
        <v>2020</v>
      </c>
      <c r="D601" cm="1">
        <f t="array" ref="D601">IFERROR(INDEX(fesp!$D:$D, MATCH(1, (VALUE(LEFT(fesp!$A:$A,6))=VALUE(LEFT(B601,6)))*(fesp!$C:$C=C601), 0)), "")</f>
        <v>0</v>
      </c>
      <c r="E601" cm="1">
        <f t="array" aca="1" ref="E601" ca="1">IFERROR(INDEX(ft_medicos_clinicos!$C:$C, MATCH(1, (VALUE(LEFT(ft_medicos_clinicos!$A:$A,6))=VALUE(LEFT(B601,6)))*(ft_medicos_clinicos!$B:$B=C601), 0)), "")</f>
        <v>565</v>
      </c>
      <c r="F601" cm="1">
        <f t="array" aca="1" ref="F601" ca="1">IFERROR(INDEX(ft_enfermeiros!$C:$C, MATCH(1, (VALUE(LEFT(ft_enfermeiros!$A:$A,6))=VALUE(LEFT(B601,6)))*(ft_enfermeiros!$B:$B=C601), 0)), "")</f>
        <v>1106</v>
      </c>
      <c r="G601" cm="1">
        <f t="array" aca="1" ref="G601" ca="1">IFERROR(INDEX(ft_equipes_acs!$C:$C, MATCH(1, (VALUE(LEFT(ft_equipes_acs!$A:$A,6))=VALUE(LEFT(B601,6)))*(ft_equipes_acs!$B:$B=C601), 0)), "")</f>
        <v>1</v>
      </c>
      <c r="H601" cm="1">
        <f t="array" aca="1" ref="H601" ca="1">IFERROR(INDEX(ci_leitos_internacao!$C:$C, MATCH(1, (VALUE(LEFT(ci_leitos_internacao!$A:$A,6))=VALUE(LEFT(B601,6)))*(ci_leitos_internacao!$B:$B=C601), 0)), "")</f>
        <v>1748</v>
      </c>
      <c r="I601" cm="1">
        <f t="array" aca="1" ref="I601" ca="1">IFERROR(INDEX(ci_hospitais_internacao!$C:$C, MATCH(1, (VALUE(LEFT(ci_hospitais_internacao!$A:$A,6))=VALUE(LEFT(B601,6)))*(ci_hospitais_internacao!$B:$B=C601), 0)), "")</f>
        <v>9</v>
      </c>
      <c r="J601" cm="1">
        <f t="array" aca="1" ref="J601" ca="1">IFERROR(INDEX(ci_pa_clinico!$C:$C, MATCH(1, (VALUE(LEFT(ci_pa_clinico!$A:$A,6))=VALUE(LEFT(B601,6)))*(ci_pa_clinico!$B:$B=C601), 0)), "")</f>
        <v>9</v>
      </c>
      <c r="K601" t="str" cm="1">
        <f t="array" aca="1" ref="K601" ca="1">IFERROR(INDEX(aps_equipes_esf!$C:$C, MATCH(1, (VALUE(LEFT(aps_equipes_esf!$A:$A,6))=VALUE(LEFT(B601,6)))*(aps_equipes_esf!$B:$B=C601), 0)), "")</f>
        <v>-</v>
      </c>
      <c r="L601" cm="1">
        <f t="array" aca="1" ref="L601" ca="1">IFERROR(INDEX(casos!$C:$C, MATCH(1, (VALUE(LEFT(casos!$A:$A,6))=VALUE(LEFT(B601,6)))*(casos!$B:$B=C601), 0)), "")</f>
        <v>14188</v>
      </c>
      <c r="M601" cm="1">
        <f t="array" ref="M601">IFERROR(INDEX(srag!$D:$D, MATCH(1, (VALUE(LEFT(srag!$A:$A,6))=VALUE(LEFT(B601,6)))*(srag!$C:$C=C601), 0)), "")</f>
        <v>3401</v>
      </c>
      <c r="N601" cm="1">
        <f t="array" aca="1" ref="N601" ca="1">IFERROR(INDEX(fesp!$E:$E, MATCH(1, (VALUE(LEFT(fesp!$A:$A,6))=VALUE(LEFT(B601,6)))*(fesp!$C:$C=C601), 0)), "")</f>
        <v>266</v>
      </c>
      <c r="O601" cm="1">
        <f t="array" aca="1" ref="O601" ca="1">IFERROR(INDEX(fesp!$F:$F, MATCH(1, (VALUE(LEFT(fesp!$A:$A,6))=VALUE(LEFT(B601,6)))*(fesp!$C:$C=C601), 0)), "")</f>
        <v>4497</v>
      </c>
      <c r="P601" cm="1">
        <f t="array" aca="1" ref="P601" ca="1">IFERROR(INDEX(fesp!$G:$G, MATCH(1, (VALUE(LEFT(fesp!$A:$A,6))=VALUE(LEFT(B601,6)))*(fesp!$C:$C=C601), 0)), "")</f>
        <v>2756153</v>
      </c>
      <c r="Q601" cm="1">
        <f t="array" aca="1" ref="Q601" ca="1">IFERROR(INDEX(fesp!$H:$H, MATCH(1, (VALUE(LEFT(fesp!$A:$A,6))=VALUE(LEFT(B601,6)))*(fesp!$C:$C=C601), 0)), "")</f>
        <v>203</v>
      </c>
      <c r="R601" cm="1">
        <f t="array" aca="1" ref="R601" ca="1">IFERROR(INDEX(fesp!$I:$I, MATCH(1, (VALUE(LEFT(fesp!$A:$A,6))=VALUE(LEFT(B601,6)))*(fesp!$C:$C=C601), 0)), "")</f>
        <v>23200</v>
      </c>
      <c r="S601" cm="1">
        <f t="array" aca="1" ref="S601" ca="1">IFERROR(INDEX(fesp!$J:$J, MATCH(1, (VALUE(LEFT(fesp!$A:$A,6))=VALUE(LEFT(B601,6)))*(fesp!$C:$C=C601), 0)), "")</f>
        <v>441296</v>
      </c>
    </row>
    <row r="602" spans="1:19">
      <c r="A602" s="1" t="s">
        <v>117</v>
      </c>
      <c r="B602" s="3" t="s">
        <v>116</v>
      </c>
      <c r="C602" s="3">
        <v>2021</v>
      </c>
      <c r="D602" cm="1">
        <f t="array" ref="D602">IFERROR(INDEX(fesp!$D:$D, MATCH(1, (VALUE(LEFT(fesp!$A:$A,6))=VALUE(LEFT(B602,6)))*(fesp!$C:$C=C602), 0)), "")</f>
        <v>0</v>
      </c>
      <c r="E602" cm="1">
        <f t="array" aca="1" ref="E602" ca="1">IFERROR(INDEX(ft_medicos_clinicos!$C:$C, MATCH(1, (VALUE(LEFT(ft_medicos_clinicos!$A:$A,6))=VALUE(LEFT(B602,6)))*(ft_medicos_clinicos!$B:$B=C602), 0)), "")</f>
        <v>579</v>
      </c>
      <c r="F602" cm="1">
        <f t="array" aca="1" ref="F602" ca="1">IFERROR(INDEX(ft_enfermeiros!$C:$C, MATCH(1, (VALUE(LEFT(ft_enfermeiros!$A:$A,6))=VALUE(LEFT(B602,6)))*(ft_enfermeiros!$B:$B=C602), 0)), "")</f>
        <v>1128</v>
      </c>
      <c r="G602" cm="1">
        <f t="array" aca="1" ref="G602" ca="1">IFERROR(INDEX(ft_equipes_acs!$C:$C, MATCH(1, (VALUE(LEFT(ft_equipes_acs!$A:$A,6))=VALUE(LEFT(B602,6)))*(ft_equipes_acs!$B:$B=C602), 0)), "")</f>
        <v>1</v>
      </c>
      <c r="H602" cm="1">
        <f t="array" aca="1" ref="H602" ca="1">IFERROR(INDEX(ci_leitos_internacao!$C:$C, MATCH(1, (VALUE(LEFT(ci_leitos_internacao!$A:$A,6))=VALUE(LEFT(B602,6)))*(ci_leitos_internacao!$B:$B=C602), 0)), "")</f>
        <v>1745</v>
      </c>
      <c r="I602" cm="1">
        <f t="array" aca="1" ref="I602" ca="1">IFERROR(INDEX(ci_hospitais_internacao!$C:$C, MATCH(1, (VALUE(LEFT(ci_hospitais_internacao!$A:$A,6))=VALUE(LEFT(B602,6)))*(ci_hospitais_internacao!$B:$B=C602), 0)), "")</f>
        <v>9</v>
      </c>
      <c r="J602" cm="1">
        <f t="array" aca="1" ref="J602" ca="1">IFERROR(INDEX(ci_pa_clinico!$C:$C, MATCH(1, (VALUE(LEFT(ci_pa_clinico!$A:$A,6))=VALUE(LEFT(B602,6)))*(ci_pa_clinico!$B:$B=C602), 0)), "")</f>
        <v>9</v>
      </c>
      <c r="K602" t="str" cm="1">
        <f t="array" aca="1" ref="K602" ca="1">IFERROR(INDEX(aps_equipes_esf!$C:$C, MATCH(1, (VALUE(LEFT(aps_equipes_esf!$A:$A,6))=VALUE(LEFT(B602,6)))*(aps_equipes_esf!$B:$B=C602), 0)), "")</f>
        <v>-</v>
      </c>
      <c r="L602" cm="1">
        <f t="array" aca="1" ref="L602" ca="1">IFERROR(INDEX(casos!$C:$C, MATCH(1, (VALUE(LEFT(casos!$A:$A,6))=VALUE(LEFT(B602,6)))*(casos!$B:$B=C602), 0)), "")</f>
        <v>894</v>
      </c>
      <c r="M602" cm="1">
        <f t="array" ref="M602">IFERROR(INDEX(srag!$D:$D, MATCH(1, (VALUE(LEFT(srag!$A:$A,6))=VALUE(LEFT(B602,6)))*(srag!$C:$C=C602), 0)), "")</f>
        <v>8360</v>
      </c>
      <c r="N602" cm="1">
        <f t="array" aca="1" ref="N602" ca="1">IFERROR(INDEX(fesp!$E:$E, MATCH(1, (VALUE(LEFT(fesp!$A:$A,6))=VALUE(LEFT(B602,6)))*(fesp!$C:$C=C602), 0)), "")</f>
        <v>260</v>
      </c>
      <c r="O602" cm="1">
        <f t="array" aca="1" ref="O602" ca="1">IFERROR(INDEX(fesp!$F:$F, MATCH(1, (VALUE(LEFT(fesp!$A:$A,6))=VALUE(LEFT(B602,6)))*(fesp!$C:$C=C602), 0)), "")</f>
        <v>4951</v>
      </c>
      <c r="P602" cm="1">
        <f t="array" aca="1" ref="P602" ca="1">IFERROR(INDEX(fesp!$G:$G, MATCH(1, (VALUE(LEFT(fesp!$A:$A,6))=VALUE(LEFT(B602,6)))*(fesp!$C:$C=C602), 0)), "")</f>
        <v>3081003</v>
      </c>
      <c r="Q602" cm="1">
        <f t="array" aca="1" ref="Q602" ca="1">IFERROR(INDEX(fesp!$H:$H, MATCH(1, (VALUE(LEFT(fesp!$A:$A,6))=VALUE(LEFT(B602,6)))*(fesp!$C:$C=C602), 0)), "")</f>
        <v>131</v>
      </c>
      <c r="R602" cm="1">
        <f t="array" aca="1" ref="R602" ca="1">IFERROR(INDEX(fesp!$I:$I, MATCH(1, (VALUE(LEFT(fesp!$A:$A,6))=VALUE(LEFT(B602,6)))*(fesp!$C:$C=C602), 0)), "")</f>
        <v>21325</v>
      </c>
      <c r="S602" cm="1">
        <f t="array" aca="1" ref="S602" ca="1">IFERROR(INDEX(fesp!$J:$J, MATCH(1, (VALUE(LEFT(fesp!$A:$A,6))=VALUE(LEFT(B602,6)))*(fesp!$C:$C=C602), 0)), "")</f>
        <v>434240</v>
      </c>
    </row>
    <row r="603" spans="1:19">
      <c r="A603" s="1" t="s">
        <v>117</v>
      </c>
      <c r="B603" s="3" t="s">
        <v>116</v>
      </c>
      <c r="C603" s="3">
        <v>2022</v>
      </c>
      <c r="D603" cm="1">
        <f t="array" ref="D603">IFERROR(INDEX(fesp!$D:$D, MATCH(1, (VALUE(LEFT(fesp!$A:$A,6))=VALUE(LEFT(B603,6)))*(fesp!$C:$C=C603), 0)), "")</f>
        <v>409657</v>
      </c>
      <c r="E603" cm="1">
        <f t="array" aca="1" ref="E603" ca="1">IFERROR(INDEX(ft_medicos_clinicos!$C:$C, MATCH(1, (VALUE(LEFT(ft_medicos_clinicos!$A:$A,6))=VALUE(LEFT(B603,6)))*(ft_medicos_clinicos!$B:$B=C603), 0)), "")</f>
        <v>655</v>
      </c>
      <c r="F603" cm="1">
        <f t="array" aca="1" ref="F603" ca="1">IFERROR(INDEX(ft_enfermeiros!$C:$C, MATCH(1, (VALUE(LEFT(ft_enfermeiros!$A:$A,6))=VALUE(LEFT(B603,6)))*(ft_enfermeiros!$B:$B=C603), 0)), "")</f>
        <v>1164</v>
      </c>
      <c r="G603" cm="1">
        <f t="array" aca="1" ref="G603" ca="1">IFERROR(INDEX(ft_equipes_acs!$C:$C, MATCH(1, (VALUE(LEFT(ft_equipes_acs!$A:$A,6))=VALUE(LEFT(B603,6)))*(ft_equipes_acs!$B:$B=C603), 0)), "")</f>
        <v>1</v>
      </c>
      <c r="H603" cm="1">
        <f t="array" aca="1" ref="H603" ca="1">IFERROR(INDEX(ci_leitos_internacao!$C:$C, MATCH(1, (VALUE(LEFT(ci_leitos_internacao!$A:$A,6))=VALUE(LEFT(B603,6)))*(ci_leitos_internacao!$B:$B=C603), 0)), "")</f>
        <v>1943</v>
      </c>
      <c r="I603" cm="1">
        <f t="array" aca="1" ref="I603" ca="1">IFERROR(INDEX(ci_hospitais_internacao!$C:$C, MATCH(1, (VALUE(LEFT(ci_hospitais_internacao!$A:$A,6))=VALUE(LEFT(B603,6)))*(ci_hospitais_internacao!$B:$B=C603), 0)), "")</f>
        <v>9</v>
      </c>
      <c r="J603" cm="1">
        <f t="array" aca="1" ref="J603" ca="1">IFERROR(INDEX(ci_pa_clinico!$C:$C, MATCH(1, (VALUE(LEFT(ci_pa_clinico!$A:$A,6))=VALUE(LEFT(B603,6)))*(ci_pa_clinico!$B:$B=C603), 0)), "")</f>
        <v>9</v>
      </c>
      <c r="K603" t="str" cm="1">
        <f t="array" aca="1" ref="K603" ca="1">IFERROR(INDEX(aps_equipes_esf!$C:$C, MATCH(1, (VALUE(LEFT(aps_equipes_esf!$A:$A,6))=VALUE(LEFT(B603,6)))*(aps_equipes_esf!$B:$B=C603), 0)), "")</f>
        <v>-</v>
      </c>
      <c r="L603" cm="1">
        <f t="array" aca="1" ref="L603" ca="1">IFERROR(INDEX(casos!$C:$C, MATCH(1, (VALUE(LEFT(casos!$A:$A,6))=VALUE(LEFT(B603,6)))*(casos!$B:$B=C603), 0)), "")</f>
        <v>8036</v>
      </c>
      <c r="M603" cm="1">
        <f t="array" ref="M603">IFERROR(INDEX(srag!$D:$D, MATCH(1, (VALUE(LEFT(srag!$A:$A,6))=VALUE(LEFT(B603,6)))*(srag!$C:$C=C603), 0)), "")</f>
        <v>4248</v>
      </c>
      <c r="N603" cm="1">
        <f t="array" aca="1" ref="N603" ca="1">IFERROR(INDEX(fesp!$E:$E, MATCH(1, (VALUE(LEFT(fesp!$A:$A,6))=VALUE(LEFT(B603,6)))*(fesp!$C:$C=C603), 0)), "")</f>
        <v>114</v>
      </c>
      <c r="O603" cm="1">
        <f t="array" aca="1" ref="O603" ca="1">IFERROR(INDEX(fesp!$F:$F, MATCH(1, (VALUE(LEFT(fesp!$A:$A,6))=VALUE(LEFT(B603,6)))*(fesp!$C:$C=C603), 0)), "")</f>
        <v>5011</v>
      </c>
      <c r="P603" cm="1">
        <f t="array" aca="1" ref="P603" ca="1">IFERROR(INDEX(fesp!$G:$G, MATCH(1, (VALUE(LEFT(fesp!$A:$A,6))=VALUE(LEFT(B603,6)))*(fesp!$C:$C=C603), 0)), "")</f>
        <v>3420134</v>
      </c>
      <c r="Q603" cm="1">
        <f t="array" aca="1" ref="Q603" ca="1">IFERROR(INDEX(fesp!$H:$H, MATCH(1, (VALUE(LEFT(fesp!$A:$A,6))=VALUE(LEFT(B603,6)))*(fesp!$C:$C=C603), 0)), "")</f>
        <v>227</v>
      </c>
      <c r="R603" cm="1">
        <f t="array" aca="1" ref="R603" ca="1">IFERROR(INDEX(fesp!$I:$I, MATCH(1, (VALUE(LEFT(fesp!$A:$A,6))=VALUE(LEFT(B603,6)))*(fesp!$C:$C=C603), 0)), "")</f>
        <v>20671</v>
      </c>
      <c r="S603" cm="1">
        <f t="array" aca="1" ref="S603" ca="1">IFERROR(INDEX(fesp!$J:$J, MATCH(1, (VALUE(LEFT(fesp!$A:$A,6))=VALUE(LEFT(B603,6)))*(fesp!$C:$C=C603), 0)), "")</f>
        <v>481172</v>
      </c>
    </row>
    <row r="604" spans="1:19">
      <c r="A604" s="1" t="s">
        <v>117</v>
      </c>
      <c r="B604" s="3" t="s">
        <v>116</v>
      </c>
      <c r="C604" s="3">
        <v>2023</v>
      </c>
      <c r="D604" cm="1">
        <f t="array" ref="D604">IFERROR(INDEX(fesp!$D:$D, MATCH(1, (VALUE(LEFT(fesp!$A:$A,6))=VALUE(LEFT(B604,6)))*(fesp!$C:$C=C604), 0)), "")</f>
        <v>0</v>
      </c>
      <c r="E604" cm="1">
        <f t="array" aca="1" ref="E604" ca="1">IFERROR(INDEX(ft_medicos_clinicos!$C:$C, MATCH(1, (VALUE(LEFT(ft_medicos_clinicos!$A:$A,6))=VALUE(LEFT(B604,6)))*(ft_medicos_clinicos!$B:$B=C604), 0)), "")</f>
        <v>701</v>
      </c>
      <c r="F604" cm="1">
        <f t="array" aca="1" ref="F604" ca="1">IFERROR(INDEX(ft_enfermeiros!$C:$C, MATCH(1, (VALUE(LEFT(ft_enfermeiros!$A:$A,6))=VALUE(LEFT(B604,6)))*(ft_enfermeiros!$B:$B=C604), 0)), "")</f>
        <v>1305</v>
      </c>
      <c r="G604" cm="1">
        <f t="array" aca="1" ref="G604" ca="1">IFERROR(INDEX(ft_equipes_acs!$C:$C, MATCH(1, (VALUE(LEFT(ft_equipes_acs!$A:$A,6))=VALUE(LEFT(B604,6)))*(ft_equipes_acs!$B:$B=C604), 0)), "")</f>
        <v>1</v>
      </c>
      <c r="H604" cm="1">
        <f t="array" aca="1" ref="H604" ca="1">IFERROR(INDEX(ci_leitos_internacao!$C:$C, MATCH(1, (VALUE(LEFT(ci_leitos_internacao!$A:$A,6))=VALUE(LEFT(B604,6)))*(ci_leitos_internacao!$B:$B=C604), 0)), "")</f>
        <v>1545</v>
      </c>
      <c r="I604" cm="1">
        <f t="array" aca="1" ref="I604" ca="1">IFERROR(INDEX(ci_hospitais_internacao!$C:$C, MATCH(1, (VALUE(LEFT(ci_hospitais_internacao!$A:$A,6))=VALUE(LEFT(B604,6)))*(ci_hospitais_internacao!$B:$B=C604), 0)), "")</f>
        <v>8</v>
      </c>
      <c r="J604" cm="1">
        <f t="array" aca="1" ref="J604" ca="1">IFERROR(INDEX(ci_pa_clinico!$C:$C, MATCH(1, (VALUE(LEFT(ci_pa_clinico!$A:$A,6))=VALUE(LEFT(B604,6)))*(ci_pa_clinico!$B:$B=C604), 0)), "")</f>
        <v>9</v>
      </c>
      <c r="K604" t="str" cm="1">
        <f t="array" aca="1" ref="K604" ca="1">IFERROR(INDEX(aps_equipes_esf!$C:$C, MATCH(1, (VALUE(LEFT(aps_equipes_esf!$A:$A,6))=VALUE(LEFT(B604,6)))*(aps_equipes_esf!$B:$B=C604), 0)), "")</f>
        <v>-</v>
      </c>
      <c r="L604" cm="1">
        <f t="array" aca="1" ref="L604" ca="1">IFERROR(INDEX(casos!$C:$C, MATCH(1, (VALUE(LEFT(casos!$A:$A,6))=VALUE(LEFT(B604,6)))*(casos!$B:$B=C604), 0)), "")</f>
        <v>4819</v>
      </c>
      <c r="M604" cm="1">
        <f t="array" ref="M604">IFERROR(INDEX(srag!$D:$D, MATCH(1, (VALUE(LEFT(srag!$A:$A,6))=VALUE(LEFT(B604,6)))*(srag!$C:$C=C604), 0)), "")</f>
        <v>1592</v>
      </c>
      <c r="N604" cm="1">
        <f t="array" aca="1" ref="N604" ca="1">IFERROR(INDEX(fesp!$E:$E, MATCH(1, (VALUE(LEFT(fesp!$A:$A,6))=VALUE(LEFT(B604,6)))*(fesp!$C:$C=C604), 0)), "")</f>
        <v>114</v>
      </c>
      <c r="O604" cm="1">
        <f t="array" aca="1" ref="O604" ca="1">IFERROR(INDEX(fesp!$F:$F, MATCH(1, (VALUE(LEFT(fesp!$A:$A,6))=VALUE(LEFT(B604,6)))*(fesp!$C:$C=C604), 0)), "")</f>
        <v>6755</v>
      </c>
      <c r="P604" cm="1">
        <f t="array" aca="1" ref="P604" ca="1">IFERROR(INDEX(fesp!$G:$G, MATCH(1, (VALUE(LEFT(fesp!$A:$A,6))=VALUE(LEFT(B604,6)))*(fesp!$C:$C=C604), 0)), "")</f>
        <v>3885149</v>
      </c>
      <c r="Q604" cm="1">
        <f t="array" aca="1" ref="Q604" ca="1">IFERROR(INDEX(fesp!$H:$H, MATCH(1, (VALUE(LEFT(fesp!$A:$A,6))=VALUE(LEFT(B604,6)))*(fesp!$C:$C=C604), 0)), "")</f>
        <v>380</v>
      </c>
      <c r="R604" cm="1">
        <f t="array" aca="1" ref="R604" ca="1">IFERROR(INDEX(fesp!$I:$I, MATCH(1, (VALUE(LEFT(fesp!$A:$A,6))=VALUE(LEFT(B604,6)))*(fesp!$C:$C=C604), 0)), "")</f>
        <v>20437</v>
      </c>
      <c r="S604" cm="1">
        <f t="array" aca="1" ref="S604" ca="1">IFERROR(INDEX(fesp!$J:$J, MATCH(1, (VALUE(LEFT(fesp!$A:$A,6))=VALUE(LEFT(B604,6)))*(fesp!$C:$C=C604), 0)), "")</f>
        <v>565650</v>
      </c>
    </row>
    <row r="605" spans="1:19">
      <c r="A605" s="1" t="s">
        <v>117</v>
      </c>
      <c r="B605" s="3" t="s">
        <v>116</v>
      </c>
      <c r="C605" s="3">
        <v>2024</v>
      </c>
      <c r="D605" cm="1">
        <f t="array" ref="D605">IFERROR(INDEX(fesp!$D:$D, MATCH(1, (VALUE(LEFT(fesp!$A:$A,6))=VALUE(LEFT(B605,6)))*(fesp!$C:$C=C605), 0)), "")</f>
        <v>0</v>
      </c>
      <c r="E605" cm="1">
        <f t="array" aca="1" ref="E605" ca="1">IFERROR(INDEX(ft_medicos_clinicos!$C:$C, MATCH(1, (VALUE(LEFT(ft_medicos_clinicos!$A:$A,6))=VALUE(LEFT(B605,6)))*(ft_medicos_clinicos!$B:$B=C605), 0)), "")</f>
        <v>642</v>
      </c>
      <c r="F605" cm="1">
        <f t="array" aca="1" ref="F605" ca="1">IFERROR(INDEX(ft_enfermeiros!$C:$C, MATCH(1, (VALUE(LEFT(ft_enfermeiros!$A:$A,6))=VALUE(LEFT(B605,6)))*(ft_enfermeiros!$B:$B=C605), 0)), "")</f>
        <v>1230</v>
      </c>
      <c r="G605" cm="1">
        <f t="array" aca="1" ref="G605" ca="1">IFERROR(INDEX(ft_equipes_acs!$C:$C, MATCH(1, (VALUE(LEFT(ft_equipes_acs!$A:$A,6))=VALUE(LEFT(B605,6)))*(ft_equipes_acs!$B:$B=C605), 0)), "")</f>
        <v>1</v>
      </c>
      <c r="H605" cm="1">
        <f t="array" aca="1" ref="H605" ca="1">IFERROR(INDEX(ci_leitos_internacao!$C:$C, MATCH(1, (VALUE(LEFT(ci_leitos_internacao!$A:$A,6))=VALUE(LEFT(B605,6)))*(ci_leitos_internacao!$B:$B=C605), 0)), "")</f>
        <v>1553</v>
      </c>
      <c r="I605" cm="1">
        <f t="array" aca="1" ref="I605" ca="1">IFERROR(INDEX(ci_hospitais_internacao!$C:$C, MATCH(1, (VALUE(LEFT(ci_hospitais_internacao!$A:$A,6))=VALUE(LEFT(B605,6)))*(ci_hospitais_internacao!$B:$B=C605), 0)), "")</f>
        <v>7</v>
      </c>
      <c r="J605" cm="1">
        <f t="array" aca="1" ref="J605" ca="1">IFERROR(INDEX(ci_pa_clinico!$C:$C, MATCH(1, (VALUE(LEFT(ci_pa_clinico!$A:$A,6))=VALUE(LEFT(B605,6)))*(ci_pa_clinico!$B:$B=C605), 0)), "")</f>
        <v>10</v>
      </c>
      <c r="K605" t="str" cm="1">
        <f t="array" aca="1" ref="K605" ca="1">IFERROR(INDEX(aps_equipes_esf!$C:$C, MATCH(1, (VALUE(LEFT(aps_equipes_esf!$A:$A,6))=VALUE(LEFT(B605,6)))*(aps_equipes_esf!$B:$B=C605), 0)), "")</f>
        <v>-</v>
      </c>
      <c r="L605" cm="1">
        <f t="array" aca="1" ref="L605" ca="1">IFERROR(INDEX(casos!$C:$C, MATCH(1, (VALUE(LEFT(casos!$A:$A,6))=VALUE(LEFT(B605,6)))*(casos!$B:$B=C605), 0)), "")</f>
        <v>26159</v>
      </c>
      <c r="M605" cm="1">
        <f t="array" ref="M605">IFERROR(INDEX(srag!$D:$D, MATCH(1, (VALUE(LEFT(srag!$A:$A,6))=VALUE(LEFT(B605,6)))*(srag!$C:$C=C605), 0)), "")</f>
        <v>1146</v>
      </c>
      <c r="N605" cm="1">
        <f t="array" aca="1" ref="N605" ca="1">IFERROR(INDEX(fesp!$E:$E, MATCH(1, (VALUE(LEFT(fesp!$A:$A,6))=VALUE(LEFT(B605,6)))*(fesp!$C:$C=C605), 0)), "")</f>
        <v>106</v>
      </c>
      <c r="O605" cm="1">
        <f t="array" aca="1" ref="O605" ca="1">IFERROR(INDEX(fesp!$F:$F, MATCH(1, (VALUE(LEFT(fesp!$A:$A,6))=VALUE(LEFT(B605,6)))*(fesp!$C:$C=C605), 0)), "")</f>
        <v>8191</v>
      </c>
      <c r="P605" cm="1">
        <f t="array" aca="1" ref="P605" ca="1">IFERROR(INDEX(fesp!$G:$G, MATCH(1, (VALUE(LEFT(fesp!$A:$A,6))=VALUE(LEFT(B605,6)))*(fesp!$C:$C=C605), 0)), "")</f>
        <v>4321440</v>
      </c>
      <c r="Q605" cm="1">
        <f t="array" aca="1" ref="Q605" ca="1">IFERROR(INDEX(fesp!$H:$H, MATCH(1, (VALUE(LEFT(fesp!$A:$A,6))=VALUE(LEFT(B605,6)))*(fesp!$C:$C=C605), 0)), "")</f>
        <v>192</v>
      </c>
      <c r="R605" cm="1">
        <f t="array" aca="1" ref="R605" ca="1">IFERROR(INDEX(fesp!$I:$I, MATCH(1, (VALUE(LEFT(fesp!$A:$A,6))=VALUE(LEFT(B605,6)))*(fesp!$C:$C=C605), 0)), "")</f>
        <v>20281</v>
      </c>
      <c r="S605" cm="1">
        <f t="array" aca="1" ref="S605" ca="1">IFERROR(INDEX(fesp!$J:$J, MATCH(1, (VALUE(LEFT(fesp!$A:$A,6))=VALUE(LEFT(B605,6)))*(fesp!$C:$C=C605), 0)), "")</f>
        <v>612563</v>
      </c>
    </row>
    <row r="606" spans="1:19">
      <c r="A606" s="1" t="s">
        <v>117</v>
      </c>
      <c r="B606" s="3" t="s">
        <v>116</v>
      </c>
      <c r="C606" s="3">
        <v>2025</v>
      </c>
      <c r="D606" cm="1">
        <f t="array" ref="D606">IFERROR(INDEX(fesp!$D:$D, MATCH(1, (VALUE(LEFT(fesp!$A:$A,6))=VALUE(LEFT(B606,6)))*(fesp!$C:$C=C606), 0)), "")</f>
        <v>0</v>
      </c>
      <c r="E606" cm="1">
        <f t="array" aca="1" ref="E606" ca="1">IFERROR(INDEX(ft_medicos_clinicos!$C:$C, MATCH(1, (VALUE(LEFT(ft_medicos_clinicos!$A:$A,6))=VALUE(LEFT(B606,6)))*(ft_medicos_clinicos!$B:$B=C606), 0)), "")</f>
        <v>638</v>
      </c>
      <c r="F606" cm="1">
        <f t="array" aca="1" ref="F606" ca="1">IFERROR(INDEX(ft_enfermeiros!$C:$C, MATCH(1, (VALUE(LEFT(ft_enfermeiros!$A:$A,6))=VALUE(LEFT(B606,6)))*(ft_enfermeiros!$B:$B=C606), 0)), "")</f>
        <v>1337</v>
      </c>
      <c r="G606" cm="1">
        <f t="array" aca="1" ref="G606" ca="1">IFERROR(INDEX(ft_equipes_acs!$C:$C, MATCH(1, (VALUE(LEFT(ft_equipes_acs!$A:$A,6))=VALUE(LEFT(B606,6)))*(ft_equipes_acs!$B:$B=C606), 0)), "")</f>
        <v>1</v>
      </c>
      <c r="H606" cm="1">
        <f t="array" aca="1" ref="H606" ca="1">IFERROR(INDEX(ci_leitos_internacao!$C:$C, MATCH(1, (VALUE(LEFT(ci_leitos_internacao!$A:$A,6))=VALUE(LEFT(B606,6)))*(ci_leitos_internacao!$B:$B=C606), 0)), "")</f>
        <v>1594</v>
      </c>
      <c r="I606" cm="1">
        <f t="array" aca="1" ref="I606" ca="1">IFERROR(INDEX(ci_hospitais_internacao!$C:$C, MATCH(1, (VALUE(LEFT(ci_hospitais_internacao!$A:$A,6))=VALUE(LEFT(B606,6)))*(ci_hospitais_internacao!$B:$B=C606), 0)), "")</f>
        <v>7</v>
      </c>
      <c r="J606" cm="1">
        <f t="array" aca="1" ref="J606" ca="1">IFERROR(INDEX(ci_pa_clinico!$C:$C, MATCH(1, (VALUE(LEFT(ci_pa_clinico!$A:$A,6))=VALUE(LEFT(B606,6)))*(ci_pa_clinico!$B:$B=C606), 0)), "")</f>
        <v>10</v>
      </c>
      <c r="K606" t="str" cm="1">
        <f t="array" aca="1" ref="K606" ca="1">IFERROR(INDEX(aps_equipes_esf!$C:$C, MATCH(1, (VALUE(LEFT(aps_equipes_esf!$A:$A,6))=VALUE(LEFT(B606,6)))*(aps_equipes_esf!$B:$B=C606), 0)), "")</f>
        <v>-</v>
      </c>
      <c r="L606" cm="1">
        <f t="array" aca="1" ref="L606" ca="1">IFERROR(INDEX(casos!$C:$C, MATCH(1, (VALUE(LEFT(casos!$A:$A,6))=VALUE(LEFT(B606,6)))*(casos!$B:$B=C606), 0)), "")</f>
        <v>5513</v>
      </c>
      <c r="M606" cm="1">
        <f t="array" ref="M606">IFERROR(INDEX(srag!$D:$D, MATCH(1, (VALUE(LEFT(srag!$A:$A,6))=VALUE(LEFT(B606,6)))*(srag!$C:$C=C606), 0)), "")</f>
        <v>1245</v>
      </c>
      <c r="N606" cm="1">
        <f t="array" aca="1" ref="N606" ca="1">IFERROR(INDEX(fesp!$E:$E, MATCH(1, (VALUE(LEFT(fesp!$A:$A,6))=VALUE(LEFT(B606,6)))*(fesp!$C:$C=C606), 0)), "")</f>
        <v>134</v>
      </c>
      <c r="O606" cm="1">
        <f t="array" aca="1" ref="O606" ca="1">IFERROR(INDEX(fesp!$F:$F, MATCH(1, (VALUE(LEFT(fesp!$A:$A,6))=VALUE(LEFT(B606,6)))*(fesp!$C:$C=C606), 0)), "")</f>
        <v>6597</v>
      </c>
      <c r="P606" cm="1">
        <f t="array" aca="1" ref="P606" ca="1">IFERROR(INDEX(fesp!$G:$G, MATCH(1, (VALUE(LEFT(fesp!$A:$A,6))=VALUE(LEFT(B606,6)))*(fesp!$C:$C=C606), 0)), "")</f>
        <v>3693965</v>
      </c>
      <c r="Q606" cm="1">
        <f t="array" aca="1" ref="Q606" ca="1">IFERROR(INDEX(fesp!$H:$H, MATCH(1, (VALUE(LEFT(fesp!$A:$A,6))=VALUE(LEFT(B606,6)))*(fesp!$C:$C=C606), 0)), "")</f>
        <v>195</v>
      </c>
      <c r="R606" cm="1">
        <f t="array" aca="1" ref="R606" ca="1">IFERROR(INDEX(fesp!$I:$I, MATCH(1, (VALUE(LEFT(fesp!$A:$A,6))=VALUE(LEFT(B606,6)))*(fesp!$C:$C=C606), 0)), "")</f>
        <v>18719</v>
      </c>
      <c r="S606" cm="1">
        <f t="array" aca="1" ref="S606" ca="1">IFERROR(INDEX(fesp!$J:$J, MATCH(1, (VALUE(LEFT(fesp!$A:$A,6))=VALUE(LEFT(B606,6)))*(fesp!$C:$C=C606), 0)), "")</f>
        <v>508743</v>
      </c>
    </row>
    <row r="607" spans="1:19">
      <c r="A607" s="1" t="s">
        <v>73</v>
      </c>
      <c r="B607" s="3">
        <v>4205407</v>
      </c>
      <c r="C607" s="3">
        <v>2015</v>
      </c>
      <c r="D607" cm="1">
        <f t="array" ref="D607">IFERROR(INDEX(fesp!$D:$D, MATCH(1, (VALUE(LEFT(fesp!$A:$A,6))=VALUE(LEFT(B607,6)))*(fesp!$C:$C=C607), 0)), "")</f>
        <v>469690</v>
      </c>
      <c r="E607" cm="1">
        <f t="array" aca="1" ref="E607" ca="1">IFERROR(INDEX(ft_medicos_clinicos!$C:$C, MATCH(1, (VALUE(LEFT(ft_medicos_clinicos!$A:$A,6))=VALUE(LEFT(B607,6)))*(ft_medicos_clinicos!$B:$B=C607), 0)), "")</f>
        <v>493</v>
      </c>
      <c r="F607" cm="1">
        <f t="array" aca="1" ref="F607" ca="1">IFERROR(INDEX(ft_enfermeiros!$C:$C, MATCH(1, (VALUE(LEFT(ft_enfermeiros!$A:$A,6))=VALUE(LEFT(B607,6)))*(ft_enfermeiros!$B:$B=C607), 0)), "")</f>
        <v>869</v>
      </c>
      <c r="G607" cm="1">
        <f t="array" aca="1" ref="G607" ca="1">IFERROR(INDEX(ft_equipes_acs!$C:$C, MATCH(1, (VALUE(LEFT(ft_equipes_acs!$A:$A,6))=VALUE(LEFT(B607,6)))*(ft_equipes_acs!$B:$B=C607), 0)), "")</f>
        <v>2</v>
      </c>
      <c r="H607" cm="1">
        <f t="array" aca="1" ref="H607" ca="1">IFERROR(INDEX(ci_leitos_internacao!$C:$C, MATCH(1, (VALUE(LEFT(ci_leitos_internacao!$A:$A,6))=VALUE(LEFT(B607,6)))*(ci_leitos_internacao!$B:$B=C607), 0)), "")</f>
        <v>1474</v>
      </c>
      <c r="I607" cm="1">
        <f t="array" aca="1" ref="I607" ca="1">IFERROR(INDEX(ci_hospitais_internacao!$C:$C, MATCH(1, (VALUE(LEFT(ci_hospitais_internacao!$A:$A,6))=VALUE(LEFT(B607,6)))*(ci_hospitais_internacao!$B:$B=C607), 0)), "")</f>
        <v>10</v>
      </c>
      <c r="J607" cm="1">
        <f t="array" aca="1" ref="J607" ca="1">IFERROR(INDEX(ci_pa_clinico!$C:$C, MATCH(1, (VALUE(LEFT(ci_pa_clinico!$A:$A,6))=VALUE(LEFT(B607,6)))*(ci_pa_clinico!$B:$B=C607), 0)), "")</f>
        <v>13</v>
      </c>
      <c r="K607" cm="1">
        <f t="array" aca="1" ref="K607" ca="1">IFERROR(INDEX(aps_equipes_esf!$C:$C, MATCH(1, (VALUE(LEFT(aps_equipes_esf!$A:$A,6))=VALUE(LEFT(B607,6)))*(aps_equipes_esf!$B:$B=C607), 0)), "")</f>
        <v>70</v>
      </c>
      <c r="L607" cm="1">
        <f t="array" aca="1" ref="L607" ca="1">IFERROR(INDEX(casos!$C:$C, MATCH(1, (VALUE(LEFT(casos!$A:$A,6))=VALUE(LEFT(B607,6)))*(casos!$B:$B=C607), 0)), "")</f>
        <v>124</v>
      </c>
      <c r="M607" cm="1">
        <f t="array" ref="M607">IFERROR(INDEX(srag!$D:$D, MATCH(1, (VALUE(LEFT(srag!$A:$A,6))=VALUE(LEFT(B607,6)))*(srag!$C:$C=C607), 0)), "")</f>
        <v>56</v>
      </c>
      <c r="N607" cm="1">
        <f t="array" aca="1" ref="N607" ca="1">IFERROR(INDEX(fesp!$E:$E, MATCH(1, (VALUE(LEFT(fesp!$A:$A,6))=VALUE(LEFT(B607,6)))*(fesp!$C:$C=C607), 0)), "")</f>
        <v>170</v>
      </c>
      <c r="O607" cm="1">
        <f t="array" aca="1" ref="O607" ca="1">IFERROR(INDEX(fesp!$F:$F, MATCH(1, (VALUE(LEFT(fesp!$A:$A,6))=VALUE(LEFT(B607,6)))*(fesp!$C:$C=C607), 0)), "")</f>
        <v>4054</v>
      </c>
      <c r="P607" cm="1">
        <f t="array" aca="1" ref="P607" ca="1">IFERROR(INDEX(fesp!$G:$G, MATCH(1, (VALUE(LEFT(fesp!$A:$A,6))=VALUE(LEFT(B607,6)))*(fesp!$C:$C=C607), 0)), "")</f>
        <v>4339934</v>
      </c>
      <c r="Q607" cm="1">
        <f t="array" aca="1" ref="Q607" ca="1">IFERROR(INDEX(fesp!$H:$H, MATCH(1, (VALUE(LEFT(fesp!$A:$A,6))=VALUE(LEFT(B607,6)))*(fesp!$C:$C=C607), 0)), "")</f>
        <v>11</v>
      </c>
      <c r="R607" cm="1">
        <f t="array" aca="1" ref="R607" ca="1">IFERROR(INDEX(fesp!$I:$I, MATCH(1, (VALUE(LEFT(fesp!$A:$A,6))=VALUE(LEFT(B607,6)))*(fesp!$C:$C=C607), 0)), "")</f>
        <v>39417</v>
      </c>
      <c r="S607" cm="1">
        <f t="array" aca="1" ref="S607" ca="1">IFERROR(INDEX(fesp!$J:$J, MATCH(1, (VALUE(LEFT(fesp!$A:$A,6))=VALUE(LEFT(B607,6)))*(fesp!$C:$C=C607), 0)), "")</f>
        <v>380869</v>
      </c>
    </row>
    <row r="608" spans="1:19">
      <c r="A608" s="1" t="s">
        <v>73</v>
      </c>
      <c r="B608" s="3">
        <v>4205407</v>
      </c>
      <c r="C608" s="3">
        <v>2016</v>
      </c>
      <c r="D608" cm="1">
        <f t="array" ref="D608">IFERROR(INDEX(fesp!$D:$D, MATCH(1, (VALUE(LEFT(fesp!$A:$A,6))=VALUE(LEFT(B608,6)))*(fesp!$C:$C=C608), 0)), "")</f>
        <v>0</v>
      </c>
      <c r="E608" cm="1">
        <f t="array" aca="1" ref="E608" ca="1">IFERROR(INDEX(ft_medicos_clinicos!$C:$C, MATCH(1, (VALUE(LEFT(ft_medicos_clinicos!$A:$A,6))=VALUE(LEFT(B608,6)))*(ft_medicos_clinicos!$B:$B=C608), 0)), "")</f>
        <v>528</v>
      </c>
      <c r="F608" cm="1">
        <f t="array" aca="1" ref="F608" ca="1">IFERROR(INDEX(ft_enfermeiros!$C:$C, MATCH(1, (VALUE(LEFT(ft_enfermeiros!$A:$A,6))=VALUE(LEFT(B608,6)))*(ft_enfermeiros!$B:$B=C608), 0)), "")</f>
        <v>951</v>
      </c>
      <c r="G608" cm="1">
        <f t="array" aca="1" ref="G608" ca="1">IFERROR(INDEX(ft_equipes_acs!$C:$C, MATCH(1, (VALUE(LEFT(ft_equipes_acs!$A:$A,6))=VALUE(LEFT(B608,6)))*(ft_equipes_acs!$B:$B=C608), 0)), "")</f>
        <v>2</v>
      </c>
      <c r="H608" cm="1">
        <f t="array" aca="1" ref="H608" ca="1">IFERROR(INDEX(ci_leitos_internacao!$C:$C, MATCH(1, (VALUE(LEFT(ci_leitos_internacao!$A:$A,6))=VALUE(LEFT(B608,6)))*(ci_leitos_internacao!$B:$B=C608), 0)), "")</f>
        <v>1423</v>
      </c>
      <c r="I608" cm="1">
        <f t="array" aca="1" ref="I608" ca="1">IFERROR(INDEX(ci_hospitais_internacao!$C:$C, MATCH(1, (VALUE(LEFT(ci_hospitais_internacao!$A:$A,6))=VALUE(LEFT(B608,6)))*(ci_hospitais_internacao!$B:$B=C608), 0)), "")</f>
        <v>9</v>
      </c>
      <c r="J608" cm="1">
        <f t="array" aca="1" ref="J608" ca="1">IFERROR(INDEX(ci_pa_clinico!$C:$C, MATCH(1, (VALUE(LEFT(ci_pa_clinico!$A:$A,6))=VALUE(LEFT(B608,6)))*(ci_pa_clinico!$B:$B=C608), 0)), "")</f>
        <v>13</v>
      </c>
      <c r="K608" cm="1">
        <f t="array" aca="1" ref="K608" ca="1">IFERROR(INDEX(aps_equipes_esf!$C:$C, MATCH(1, (VALUE(LEFT(aps_equipes_esf!$A:$A,6))=VALUE(LEFT(B608,6)))*(aps_equipes_esf!$B:$B=C608), 0)), "")</f>
        <v>85</v>
      </c>
      <c r="L608" cm="1">
        <f t="array" aca="1" ref="L608" ca="1">IFERROR(INDEX(casos!$C:$C, MATCH(1, (VALUE(LEFT(casos!$A:$A,6))=VALUE(LEFT(B608,6)))*(casos!$B:$B=C608), 0)), "")</f>
        <v>329</v>
      </c>
      <c r="M608" cm="1">
        <f t="array" ref="M608">IFERROR(INDEX(srag!$D:$D, MATCH(1, (VALUE(LEFT(srag!$A:$A,6))=VALUE(LEFT(B608,6)))*(srag!$C:$C=C608), 0)), "")</f>
        <v>168</v>
      </c>
      <c r="N608" cm="1">
        <f t="array" aca="1" ref="N608" ca="1">IFERROR(INDEX(fesp!$E:$E, MATCH(1, (VALUE(LEFT(fesp!$A:$A,6))=VALUE(LEFT(B608,6)))*(fesp!$C:$C=C608), 0)), "")</f>
        <v>179</v>
      </c>
      <c r="O608" cm="1">
        <f t="array" aca="1" ref="O608" ca="1">IFERROR(INDEX(fesp!$F:$F, MATCH(1, (VALUE(LEFT(fesp!$A:$A,6))=VALUE(LEFT(B608,6)))*(fesp!$C:$C=C608), 0)), "")</f>
        <v>3336</v>
      </c>
      <c r="P608" cm="1">
        <f t="array" aca="1" ref="P608" ca="1">IFERROR(INDEX(fesp!$G:$G, MATCH(1, (VALUE(LEFT(fesp!$A:$A,6))=VALUE(LEFT(B608,6)))*(fesp!$C:$C=C608), 0)), "")</f>
        <v>3990876</v>
      </c>
      <c r="Q608" cm="1">
        <f t="array" aca="1" ref="Q608" ca="1">IFERROR(INDEX(fesp!$H:$H, MATCH(1, (VALUE(LEFT(fesp!$A:$A,6))=VALUE(LEFT(B608,6)))*(fesp!$C:$C=C608), 0)), "")</f>
        <v>23</v>
      </c>
      <c r="R608" cm="1">
        <f t="array" aca="1" ref="R608" ca="1">IFERROR(INDEX(fesp!$I:$I, MATCH(1, (VALUE(LEFT(fesp!$A:$A,6))=VALUE(LEFT(B608,6)))*(fesp!$C:$C=C608), 0)), "")</f>
        <v>46177</v>
      </c>
      <c r="S608" cm="1">
        <f t="array" aca="1" ref="S608" ca="1">IFERROR(INDEX(fesp!$J:$J, MATCH(1, (VALUE(LEFT(fesp!$A:$A,6))=VALUE(LEFT(B608,6)))*(fesp!$C:$C=C608), 0)), "")</f>
        <v>420586</v>
      </c>
    </row>
    <row r="609" spans="1:19">
      <c r="A609" s="1" t="s">
        <v>73</v>
      </c>
      <c r="B609" s="3">
        <v>4205407</v>
      </c>
      <c r="C609" s="3">
        <v>2017</v>
      </c>
      <c r="D609" cm="1">
        <f t="array" ref="D609">IFERROR(INDEX(fesp!$D:$D, MATCH(1, (VALUE(LEFT(fesp!$A:$A,6))=VALUE(LEFT(B609,6)))*(fesp!$C:$C=C609), 0)), "")</f>
        <v>0</v>
      </c>
      <c r="E609" cm="1">
        <f t="array" aca="1" ref="E609" ca="1">IFERROR(INDEX(ft_medicos_clinicos!$C:$C, MATCH(1, (VALUE(LEFT(ft_medicos_clinicos!$A:$A,6))=VALUE(LEFT(B609,6)))*(ft_medicos_clinicos!$B:$B=C609), 0)), "")</f>
        <v>551</v>
      </c>
      <c r="F609" cm="1">
        <f t="array" aca="1" ref="F609" ca="1">IFERROR(INDEX(ft_enfermeiros!$C:$C, MATCH(1, (VALUE(LEFT(ft_enfermeiros!$A:$A,6))=VALUE(LEFT(B609,6)))*(ft_enfermeiros!$B:$B=C609), 0)), "")</f>
        <v>1024</v>
      </c>
      <c r="G609" cm="1">
        <f t="array" aca="1" ref="G609" ca="1">IFERROR(INDEX(ft_equipes_acs!$C:$C, MATCH(1, (VALUE(LEFT(ft_equipes_acs!$A:$A,6))=VALUE(LEFT(B609,6)))*(ft_equipes_acs!$B:$B=C609), 0)), "")</f>
        <v>4</v>
      </c>
      <c r="H609" cm="1">
        <f t="array" aca="1" ref="H609" ca="1">IFERROR(INDEX(ci_leitos_internacao!$C:$C, MATCH(1, (VALUE(LEFT(ci_leitos_internacao!$A:$A,6))=VALUE(LEFT(B609,6)))*(ci_leitos_internacao!$B:$B=C609), 0)), "")</f>
        <v>1490</v>
      </c>
      <c r="I609" cm="1">
        <f t="array" aca="1" ref="I609" ca="1">IFERROR(INDEX(ci_hospitais_internacao!$C:$C, MATCH(1, (VALUE(LEFT(ci_hospitais_internacao!$A:$A,6))=VALUE(LEFT(B609,6)))*(ci_hospitais_internacao!$B:$B=C609), 0)), "")</f>
        <v>9</v>
      </c>
      <c r="J609" cm="1">
        <f t="array" aca="1" ref="J609" ca="1">IFERROR(INDEX(ci_pa_clinico!$C:$C, MATCH(1, (VALUE(LEFT(ci_pa_clinico!$A:$A,6))=VALUE(LEFT(B609,6)))*(ci_pa_clinico!$B:$B=C609), 0)), "")</f>
        <v>13</v>
      </c>
      <c r="K609" cm="1">
        <f t="array" aca="1" ref="K609" ca="1">IFERROR(INDEX(aps_equipes_esf!$C:$C, MATCH(1, (VALUE(LEFT(aps_equipes_esf!$A:$A,6))=VALUE(LEFT(B609,6)))*(aps_equipes_esf!$B:$B=C609), 0)), "")</f>
        <v>86</v>
      </c>
      <c r="L609" cm="1">
        <f t="array" aca="1" ref="L609" ca="1">IFERROR(INDEX(casos!$C:$C, MATCH(1, (VALUE(LEFT(casos!$A:$A,6))=VALUE(LEFT(B609,6)))*(casos!$B:$B=C609), 0)), "")</f>
        <v>74</v>
      </c>
      <c r="M609" cm="1">
        <f t="array" ref="M609">IFERROR(INDEX(srag!$D:$D, MATCH(1, (VALUE(LEFT(srag!$A:$A,6))=VALUE(LEFT(B609,6)))*(srag!$C:$C=C609), 0)), "")</f>
        <v>109</v>
      </c>
      <c r="N609" cm="1">
        <f t="array" aca="1" ref="N609" ca="1">IFERROR(INDEX(fesp!$E:$E, MATCH(1, (VALUE(LEFT(fesp!$A:$A,6))=VALUE(LEFT(B609,6)))*(fesp!$C:$C=C609), 0)), "")</f>
        <v>146</v>
      </c>
      <c r="O609" cm="1">
        <f t="array" aca="1" ref="O609" ca="1">IFERROR(INDEX(fesp!$F:$F, MATCH(1, (VALUE(LEFT(fesp!$A:$A,6))=VALUE(LEFT(B609,6)))*(fesp!$C:$C=C609), 0)), "")</f>
        <v>2209</v>
      </c>
      <c r="P609" cm="1">
        <f t="array" aca="1" ref="P609" ca="1">IFERROR(INDEX(fesp!$G:$G, MATCH(1, (VALUE(LEFT(fesp!$A:$A,6))=VALUE(LEFT(B609,6)))*(fesp!$C:$C=C609), 0)), "")</f>
        <v>3840477</v>
      </c>
      <c r="Q609" cm="1">
        <f t="array" aca="1" ref="Q609" ca="1">IFERROR(INDEX(fesp!$H:$H, MATCH(1, (VALUE(LEFT(fesp!$A:$A,6))=VALUE(LEFT(B609,6)))*(fesp!$C:$C=C609), 0)), "")</f>
        <v>21</v>
      </c>
      <c r="R609" cm="1">
        <f t="array" aca="1" ref="R609" ca="1">IFERROR(INDEX(fesp!$I:$I, MATCH(1, (VALUE(LEFT(fesp!$A:$A,6))=VALUE(LEFT(B609,6)))*(fesp!$C:$C=C609), 0)), "")</f>
        <v>44117</v>
      </c>
      <c r="S609" cm="1">
        <f t="array" aca="1" ref="S609" ca="1">IFERROR(INDEX(fesp!$J:$J, MATCH(1, (VALUE(LEFT(fesp!$A:$A,6))=VALUE(LEFT(B609,6)))*(fesp!$C:$C=C609), 0)), "")</f>
        <v>404525</v>
      </c>
    </row>
    <row r="610" spans="1:19">
      <c r="A610" s="1" t="s">
        <v>73</v>
      </c>
      <c r="B610" s="3" t="s">
        <v>72</v>
      </c>
      <c r="C610" s="3">
        <v>2018</v>
      </c>
      <c r="D610" cm="1">
        <f t="array" ref="D610">IFERROR(INDEX(fesp!$D:$D, MATCH(1, (VALUE(LEFT(fesp!$A:$A,6))=VALUE(LEFT(B610,6)))*(fesp!$C:$C=C610), 0)), "")</f>
        <v>0</v>
      </c>
      <c r="E610" cm="1">
        <f t="array" aca="1" ref="E610" ca="1">IFERROR(INDEX(ft_medicos_clinicos!$C:$C, MATCH(1, (VALUE(LEFT(ft_medicos_clinicos!$A:$A,6))=VALUE(LEFT(B610,6)))*(ft_medicos_clinicos!$B:$B=C610), 0)), "")</f>
        <v>592</v>
      </c>
      <c r="F610" cm="1">
        <f t="array" aca="1" ref="F610" ca="1">IFERROR(INDEX(ft_enfermeiros!$C:$C, MATCH(1, (VALUE(LEFT(ft_enfermeiros!$A:$A,6))=VALUE(LEFT(B610,6)))*(ft_enfermeiros!$B:$B=C610), 0)), "")</f>
        <v>1092</v>
      </c>
      <c r="G610" cm="1">
        <f t="array" aca="1" ref="G610" ca="1">IFERROR(INDEX(ft_equipes_acs!$C:$C, MATCH(1, (VALUE(LEFT(ft_equipes_acs!$A:$A,6))=VALUE(LEFT(B610,6)))*(ft_equipes_acs!$B:$B=C610), 0)), "")</f>
        <v>8</v>
      </c>
      <c r="H610" cm="1">
        <f t="array" aca="1" ref="H610" ca="1">IFERROR(INDEX(ci_leitos_internacao!$C:$C, MATCH(1, (VALUE(LEFT(ci_leitos_internacao!$A:$A,6))=VALUE(LEFT(B610,6)))*(ci_leitos_internacao!$B:$B=C610), 0)), "")</f>
        <v>1589</v>
      </c>
      <c r="I610" cm="1">
        <f t="array" aca="1" ref="I610" ca="1">IFERROR(INDEX(ci_hospitais_internacao!$C:$C, MATCH(1, (VALUE(LEFT(ci_hospitais_internacao!$A:$A,6))=VALUE(LEFT(B610,6)))*(ci_hospitais_internacao!$B:$B=C610), 0)), "")</f>
        <v>10</v>
      </c>
      <c r="J610" cm="1">
        <f t="array" aca="1" ref="J610" ca="1">IFERROR(INDEX(ci_pa_clinico!$C:$C, MATCH(1, (VALUE(LEFT(ci_pa_clinico!$A:$A,6))=VALUE(LEFT(B610,6)))*(ci_pa_clinico!$B:$B=C610), 0)), "")</f>
        <v>13</v>
      </c>
      <c r="K610" cm="1">
        <f t="array" aca="1" ref="K610" ca="1">IFERROR(INDEX(aps_equipes_esf!$C:$C, MATCH(1, (VALUE(LEFT(aps_equipes_esf!$A:$A,6))=VALUE(LEFT(B610,6)))*(aps_equipes_esf!$B:$B=C610), 0)), "")</f>
        <v>104</v>
      </c>
      <c r="L610" cm="1">
        <f t="array" aca="1" ref="L610" ca="1">IFERROR(INDEX(casos!$C:$C, MATCH(1, (VALUE(LEFT(casos!$A:$A,6))=VALUE(LEFT(B610,6)))*(casos!$B:$B=C610), 0)), "")</f>
        <v>20</v>
      </c>
      <c r="M610" cm="1">
        <f t="array" ref="M610">IFERROR(INDEX(srag!$D:$D, MATCH(1, (VALUE(LEFT(srag!$A:$A,6))=VALUE(LEFT(B610,6)))*(srag!$C:$C=C610), 0)), "")</f>
        <v>215</v>
      </c>
      <c r="N610" cm="1">
        <f t="array" aca="1" ref="N610" ca="1">IFERROR(INDEX(fesp!$E:$E, MATCH(1, (VALUE(LEFT(fesp!$A:$A,6))=VALUE(LEFT(B610,6)))*(fesp!$C:$C=C610), 0)), "")</f>
        <v>214</v>
      </c>
      <c r="O610" cm="1">
        <f t="array" aca="1" ref="O610" ca="1">IFERROR(INDEX(fesp!$F:$F, MATCH(1, (VALUE(LEFT(fesp!$A:$A,6))=VALUE(LEFT(B610,6)))*(fesp!$C:$C=C610), 0)), "")</f>
        <v>3192</v>
      </c>
      <c r="P610" cm="1">
        <f t="array" aca="1" ref="P610" ca="1">IFERROR(INDEX(fesp!$G:$G, MATCH(1, (VALUE(LEFT(fesp!$A:$A,6))=VALUE(LEFT(B610,6)))*(fesp!$C:$C=C610), 0)), "")</f>
        <v>4154787</v>
      </c>
      <c r="Q610" cm="1">
        <f t="array" aca="1" ref="Q610" ca="1">IFERROR(INDEX(fesp!$H:$H, MATCH(1, (VALUE(LEFT(fesp!$A:$A,6))=VALUE(LEFT(B610,6)))*(fesp!$C:$C=C610), 0)), "")</f>
        <v>27</v>
      </c>
      <c r="R610" cm="1">
        <f t="array" aca="1" ref="R610" ca="1">IFERROR(INDEX(fesp!$I:$I, MATCH(1, (VALUE(LEFT(fesp!$A:$A,6))=VALUE(LEFT(B610,6)))*(fesp!$C:$C=C610), 0)), "")</f>
        <v>47647</v>
      </c>
      <c r="S610" cm="1">
        <f t="array" ref="S610">IFERROR(INDEX(fesp!$J:$J, MATCH(1, (VALUE(LEFT(fesp!$A:$A,6))=VALUE(LEFT(B610,6)))*(fesp!$C:$C=C610), 0)), "")</f>
        <v>452432</v>
      </c>
    </row>
    <row r="611" spans="1:19">
      <c r="A611" s="1" t="s">
        <v>73</v>
      </c>
      <c r="B611" s="3" t="s">
        <v>72</v>
      </c>
      <c r="C611" s="3">
        <v>2019</v>
      </c>
      <c r="D611" cm="1">
        <f t="array" ref="D611">IFERROR(INDEX(fesp!$D:$D, MATCH(1, (VALUE(LEFT(fesp!$A:$A,6))=VALUE(LEFT(B611,6)))*(fesp!$C:$C=C611), 0)), "")</f>
        <v>0</v>
      </c>
      <c r="E611" cm="1">
        <f t="array" aca="1" ref="E611" ca="1">IFERROR(INDEX(ft_medicos_clinicos!$C:$C, MATCH(1, (VALUE(LEFT(ft_medicos_clinicos!$A:$A,6))=VALUE(LEFT(B611,6)))*(ft_medicos_clinicos!$B:$B=C611), 0)), "")</f>
        <v>695</v>
      </c>
      <c r="F611" cm="1">
        <f t="array" aca="1" ref="F611" ca="1">IFERROR(INDEX(ft_enfermeiros!$C:$C, MATCH(1, (VALUE(LEFT(ft_enfermeiros!$A:$A,6))=VALUE(LEFT(B611,6)))*(ft_enfermeiros!$B:$B=C611), 0)), "")</f>
        <v>1142</v>
      </c>
      <c r="G611" cm="1">
        <f t="array" aca="1" ref="G611" ca="1">IFERROR(INDEX(ft_equipes_acs!$C:$C, MATCH(1, (VALUE(LEFT(ft_equipes_acs!$A:$A,6))=VALUE(LEFT(B611,6)))*(ft_equipes_acs!$B:$B=C611), 0)), "")</f>
        <v>6</v>
      </c>
      <c r="H611" cm="1">
        <f t="array" aca="1" ref="H611" ca="1">IFERROR(INDEX(ci_leitos_internacao!$C:$C, MATCH(1, (VALUE(LEFT(ci_leitos_internacao!$A:$A,6))=VALUE(LEFT(B611,6)))*(ci_leitos_internacao!$B:$B=C611), 0)), "")</f>
        <v>1595</v>
      </c>
      <c r="I611" cm="1">
        <f t="array" aca="1" ref="I611" ca="1">IFERROR(INDEX(ci_hospitais_internacao!$C:$C, MATCH(1, (VALUE(LEFT(ci_hospitais_internacao!$A:$A,6))=VALUE(LEFT(B611,6)))*(ci_hospitais_internacao!$B:$B=C611), 0)), "")</f>
        <v>10</v>
      </c>
      <c r="J611" cm="1">
        <f t="array" aca="1" ref="J611" ca="1">IFERROR(INDEX(ci_pa_clinico!$C:$C, MATCH(1, (VALUE(LEFT(ci_pa_clinico!$A:$A,6))=VALUE(LEFT(B611,6)))*(ci_pa_clinico!$B:$B=C611), 0)), "")</f>
        <v>14</v>
      </c>
      <c r="K611" cm="1">
        <f t="array" aca="1" ref="K611" ca="1">IFERROR(INDEX(aps_equipes_esf!$C:$C, MATCH(1, (VALUE(LEFT(aps_equipes_esf!$A:$A,6))=VALUE(LEFT(B611,6)))*(aps_equipes_esf!$B:$B=C611), 0)), "")</f>
        <v>123</v>
      </c>
      <c r="L611" cm="1">
        <f t="array" aca="1" ref="L611" ca="1">IFERROR(INDEX(casos!$C:$C, MATCH(1, (VALUE(LEFT(casos!$A:$A,6))=VALUE(LEFT(B611,6)))*(casos!$B:$B=C611), 0)), "")</f>
        <v>123</v>
      </c>
      <c r="M611" cm="1">
        <f t="array" ref="M611">IFERROR(INDEX(srag!$D:$D, MATCH(1, (VALUE(LEFT(srag!$A:$A,6))=VALUE(LEFT(B611,6)))*(srag!$C:$C=C611), 0)), "")</f>
        <v>238</v>
      </c>
      <c r="N611" cm="1">
        <f t="array" aca="1" ref="N611" ca="1">IFERROR(INDEX(fesp!$E:$E, MATCH(1, (VALUE(LEFT(fesp!$A:$A,6))=VALUE(LEFT(B611,6)))*(fesp!$C:$C=C611), 0)), "")</f>
        <v>203</v>
      </c>
      <c r="O611" cm="1">
        <f t="array" aca="1" ref="O611" ca="1">IFERROR(INDEX(fesp!$F:$F, MATCH(1, (VALUE(LEFT(fesp!$A:$A,6))=VALUE(LEFT(B611,6)))*(fesp!$C:$C=C611), 0)), "")</f>
        <v>9060</v>
      </c>
      <c r="P611" cm="1">
        <f t="array" aca="1" ref="P611" ca="1">IFERROR(INDEX(fesp!$G:$G, MATCH(1, (VALUE(LEFT(fesp!$A:$A,6))=VALUE(LEFT(B611,6)))*(fesp!$C:$C=C611), 0)), "")</f>
        <v>4595779</v>
      </c>
      <c r="Q611" cm="1">
        <f t="array" aca="1" ref="Q611" ca="1">IFERROR(INDEX(fesp!$H:$H, MATCH(1, (VALUE(LEFT(fesp!$A:$A,6))=VALUE(LEFT(B611,6)))*(fesp!$C:$C=C611), 0)), "")</f>
        <v>36</v>
      </c>
      <c r="R611" cm="1">
        <f t="array" aca="1" ref="R611" ca="1">IFERROR(INDEX(fesp!$I:$I, MATCH(1, (VALUE(LEFT(fesp!$A:$A,6))=VALUE(LEFT(B611,6)))*(fesp!$C:$C=C611), 0)), "")</f>
        <v>9730</v>
      </c>
      <c r="S611" cm="1">
        <f t="array" aca="1" ref="S611" ca="1">IFERROR(INDEX(fesp!$J:$J, MATCH(1, (VALUE(LEFT(fesp!$A:$A,6))=VALUE(LEFT(B611,6)))*(fesp!$C:$C=C611), 0)), "")</f>
        <v>90051</v>
      </c>
    </row>
    <row r="612" spans="1:19">
      <c r="A612" s="1" t="s">
        <v>73</v>
      </c>
      <c r="B612" s="3" t="s">
        <v>72</v>
      </c>
      <c r="C612" s="3">
        <v>2020</v>
      </c>
      <c r="D612" cm="1">
        <f t="array" ref="D612">IFERROR(INDEX(fesp!$D:$D, MATCH(1, (VALUE(LEFT(fesp!$A:$A,6))=VALUE(LEFT(B612,6)))*(fesp!$C:$C=C612), 0)), "")</f>
        <v>0</v>
      </c>
      <c r="E612" cm="1">
        <f t="array" aca="1" ref="E612" ca="1">IFERROR(INDEX(ft_medicos_clinicos!$C:$C, MATCH(1, (VALUE(LEFT(ft_medicos_clinicos!$A:$A,6))=VALUE(LEFT(B612,6)))*(ft_medicos_clinicos!$B:$B=C612), 0)), "")</f>
        <v>755</v>
      </c>
      <c r="F612" cm="1">
        <f t="array" aca="1" ref="F612" ca="1">IFERROR(INDEX(ft_enfermeiros!$C:$C, MATCH(1, (VALUE(LEFT(ft_enfermeiros!$A:$A,6))=VALUE(LEFT(B612,6)))*(ft_enfermeiros!$B:$B=C612), 0)), "")</f>
        <v>1283</v>
      </c>
      <c r="G612" cm="1">
        <f t="array" aca="1" ref="G612" ca="1">IFERROR(INDEX(ft_equipes_acs!$C:$C, MATCH(1, (VALUE(LEFT(ft_equipes_acs!$A:$A,6))=VALUE(LEFT(B612,6)))*(ft_equipes_acs!$B:$B=C612), 0)), "")</f>
        <v>2</v>
      </c>
      <c r="H612" cm="1">
        <f t="array" aca="1" ref="H612" ca="1">IFERROR(INDEX(ci_leitos_internacao!$C:$C, MATCH(1, (VALUE(LEFT(ci_leitos_internacao!$A:$A,6))=VALUE(LEFT(B612,6)))*(ci_leitos_internacao!$B:$B=C612), 0)), "")</f>
        <v>1586</v>
      </c>
      <c r="I612" cm="1">
        <f t="array" aca="1" ref="I612" ca="1">IFERROR(INDEX(ci_hospitais_internacao!$C:$C, MATCH(1, (VALUE(LEFT(ci_hospitais_internacao!$A:$A,6))=VALUE(LEFT(B612,6)))*(ci_hospitais_internacao!$B:$B=C612), 0)), "")</f>
        <v>10</v>
      </c>
      <c r="J612" cm="1">
        <f t="array" aca="1" ref="J612" ca="1">IFERROR(INDEX(ci_pa_clinico!$C:$C, MATCH(1, (VALUE(LEFT(ci_pa_clinico!$A:$A,6))=VALUE(LEFT(B612,6)))*(ci_pa_clinico!$B:$B=C612), 0)), "")</f>
        <v>14</v>
      </c>
      <c r="K612" cm="1">
        <f t="array" aca="1" ref="K612" ca="1">IFERROR(INDEX(aps_equipes_esf!$C:$C, MATCH(1, (VALUE(LEFT(aps_equipes_esf!$A:$A,6))=VALUE(LEFT(B612,6)))*(aps_equipes_esf!$B:$B=C612), 0)), "")</f>
        <v>4</v>
      </c>
      <c r="L612" cm="1">
        <f t="array" aca="1" ref="L612" ca="1">IFERROR(INDEX(casos!$C:$C, MATCH(1, (VALUE(LEFT(casos!$A:$A,6))=VALUE(LEFT(B612,6)))*(casos!$B:$B=C612), 0)), "")</f>
        <v>216</v>
      </c>
      <c r="M612" cm="1">
        <f t="array" ref="M612">IFERROR(INDEX(srag!$D:$D, MATCH(1, (VALUE(LEFT(srag!$A:$A,6))=VALUE(LEFT(B612,6)))*(srag!$C:$C=C612), 0)), "")</f>
        <v>2307</v>
      </c>
      <c r="N612" cm="1">
        <f t="array" aca="1" ref="N612" ca="1">IFERROR(INDEX(fesp!$E:$E, MATCH(1, (VALUE(LEFT(fesp!$A:$A,6))=VALUE(LEFT(B612,6)))*(fesp!$C:$C=C612), 0)), "")</f>
        <v>157</v>
      </c>
      <c r="O612" cm="1">
        <f t="array" aca="1" ref="O612" ca="1">IFERROR(INDEX(fesp!$F:$F, MATCH(1, (VALUE(LEFT(fesp!$A:$A,6))=VALUE(LEFT(B612,6)))*(fesp!$C:$C=C612), 0)), "")</f>
        <v>3914</v>
      </c>
      <c r="P612" cm="1">
        <f t="array" aca="1" ref="P612" ca="1">IFERROR(INDEX(fesp!$G:$G, MATCH(1, (VALUE(LEFT(fesp!$A:$A,6))=VALUE(LEFT(B612,6)))*(fesp!$C:$C=C612), 0)), "")</f>
        <v>2872208</v>
      </c>
      <c r="Q612" cm="1">
        <f t="array" aca="1" ref="Q612" ca="1">IFERROR(INDEX(fesp!$H:$H, MATCH(1, (VALUE(LEFT(fesp!$A:$A,6))=VALUE(LEFT(B612,6)))*(fesp!$C:$C=C612), 0)), "")</f>
        <v>20</v>
      </c>
      <c r="R612" cm="1">
        <f t="array" aca="1" ref="R612" ca="1">IFERROR(INDEX(fesp!$I:$I, MATCH(1, (VALUE(LEFT(fesp!$A:$A,6))=VALUE(LEFT(B612,6)))*(fesp!$C:$C=C612), 0)), "")</f>
        <v>425</v>
      </c>
      <c r="S612" cm="1">
        <f t="array" aca="1" ref="S612" ca="1">IFERROR(INDEX(fesp!$J:$J, MATCH(1, (VALUE(LEFT(fesp!$A:$A,6))=VALUE(LEFT(B612,6)))*(fesp!$C:$C=C612), 0)), "")</f>
        <v>441</v>
      </c>
    </row>
    <row r="613" spans="1:19">
      <c r="A613" s="1" t="s">
        <v>73</v>
      </c>
      <c r="B613" s="3" t="s">
        <v>72</v>
      </c>
      <c r="C613" s="3">
        <v>2021</v>
      </c>
      <c r="D613" cm="1">
        <f t="array" ref="D613">IFERROR(INDEX(fesp!$D:$D, MATCH(1, (VALUE(LEFT(fesp!$A:$A,6))=VALUE(LEFT(B613,6)))*(fesp!$C:$C=C613), 0)), "")</f>
        <v>0</v>
      </c>
      <c r="E613" cm="1">
        <f t="array" aca="1" ref="E613" ca="1">IFERROR(INDEX(ft_medicos_clinicos!$C:$C, MATCH(1, (VALUE(LEFT(ft_medicos_clinicos!$A:$A,6))=VALUE(LEFT(B613,6)))*(ft_medicos_clinicos!$B:$B=C613), 0)), "")</f>
        <v>859</v>
      </c>
      <c r="F613" cm="1">
        <f t="array" aca="1" ref="F613" ca="1">IFERROR(INDEX(ft_enfermeiros!$C:$C, MATCH(1, (VALUE(LEFT(ft_enfermeiros!$A:$A,6))=VALUE(LEFT(B613,6)))*(ft_enfermeiros!$B:$B=C613), 0)), "")</f>
        <v>1347</v>
      </c>
      <c r="G613" cm="1">
        <f t="array" aca="1" ref="G613" ca="1">IFERROR(INDEX(ft_equipes_acs!$C:$C, MATCH(1, (VALUE(LEFT(ft_equipes_acs!$A:$A,6))=VALUE(LEFT(B613,6)))*(ft_equipes_acs!$B:$B=C613), 0)), "")</f>
        <v>2</v>
      </c>
      <c r="H613" cm="1">
        <f t="array" aca="1" ref="H613" ca="1">IFERROR(INDEX(ci_leitos_internacao!$C:$C, MATCH(1, (VALUE(LEFT(ci_leitos_internacao!$A:$A,6))=VALUE(LEFT(B613,6)))*(ci_leitos_internacao!$B:$B=C613), 0)), "")</f>
        <v>1781</v>
      </c>
      <c r="I613" cm="1">
        <f t="array" aca="1" ref="I613" ca="1">IFERROR(INDEX(ci_hospitais_internacao!$C:$C, MATCH(1, (VALUE(LEFT(ci_hospitais_internacao!$A:$A,6))=VALUE(LEFT(B613,6)))*(ci_hospitais_internacao!$B:$B=C613), 0)), "")</f>
        <v>10</v>
      </c>
      <c r="J613" cm="1">
        <f t="array" aca="1" ref="J613" ca="1">IFERROR(INDEX(ci_pa_clinico!$C:$C, MATCH(1, (VALUE(LEFT(ci_pa_clinico!$A:$A,6))=VALUE(LEFT(B613,6)))*(ci_pa_clinico!$B:$B=C613), 0)), "")</f>
        <v>15</v>
      </c>
      <c r="K613" cm="1">
        <f t="array" aca="1" ref="K613" ca="1">IFERROR(INDEX(aps_equipes_esf!$C:$C, MATCH(1, (VALUE(LEFT(aps_equipes_esf!$A:$A,6))=VALUE(LEFT(B613,6)))*(aps_equipes_esf!$B:$B=C613), 0)), "")</f>
        <v>3</v>
      </c>
      <c r="L613" cm="1">
        <f t="array" aca="1" ref="L613" ca="1">IFERROR(INDEX(casos!$C:$C, MATCH(1, (VALUE(LEFT(casos!$A:$A,6))=VALUE(LEFT(B613,6)))*(casos!$B:$B=C613), 0)), "")</f>
        <v>301</v>
      </c>
      <c r="M613" cm="1">
        <f t="array" ref="M613">IFERROR(INDEX(srag!$D:$D, MATCH(1, (VALUE(LEFT(srag!$A:$A,6))=VALUE(LEFT(B613,6)))*(srag!$C:$C=C613), 0)), "")</f>
        <v>4360</v>
      </c>
      <c r="N613" cm="1">
        <f t="array" aca="1" ref="N613" ca="1">IFERROR(INDEX(fesp!$E:$E, MATCH(1, (VALUE(LEFT(fesp!$A:$A,6))=VALUE(LEFT(B613,6)))*(fesp!$C:$C=C613), 0)), "")</f>
        <v>168</v>
      </c>
      <c r="O613" cm="1">
        <f t="array" aca="1" ref="O613" ca="1">IFERROR(INDEX(fesp!$F:$F, MATCH(1, (VALUE(LEFT(fesp!$A:$A,6))=VALUE(LEFT(B613,6)))*(fesp!$C:$C=C613), 0)), "")</f>
        <v>8038</v>
      </c>
      <c r="P613" cm="1">
        <f t="array" aca="1" ref="P613" ca="1">IFERROR(INDEX(fesp!$G:$G, MATCH(1, (VALUE(LEFT(fesp!$A:$A,6))=VALUE(LEFT(B613,6)))*(fesp!$C:$C=C613), 0)), "")</f>
        <v>3413459</v>
      </c>
      <c r="Q613" cm="1">
        <f t="array" aca="1" ref="Q613" ca="1">IFERROR(INDEX(fesp!$H:$H, MATCH(1, (VALUE(LEFT(fesp!$A:$A,6))=VALUE(LEFT(B613,6)))*(fesp!$C:$C=C613), 0)), "")</f>
        <v>20</v>
      </c>
      <c r="R613" cm="1">
        <f t="array" aca="1" ref="R613" ca="1">IFERROR(INDEX(fesp!$I:$I, MATCH(1, (VALUE(LEFT(fesp!$A:$A,6))=VALUE(LEFT(B613,6)))*(fesp!$C:$C=C613), 0)), "")</f>
        <v>312</v>
      </c>
      <c r="S613" cm="1">
        <f t="array" aca="1" ref="S613" ca="1">IFERROR(INDEX(fesp!$J:$J, MATCH(1, (VALUE(LEFT(fesp!$A:$A,6))=VALUE(LEFT(B613,6)))*(fesp!$C:$C=C613), 0)), "")</f>
        <v>17</v>
      </c>
    </row>
    <row r="614" spans="1:19">
      <c r="A614" s="1" t="s">
        <v>73</v>
      </c>
      <c r="B614" s="3" t="s">
        <v>72</v>
      </c>
      <c r="C614" s="3">
        <v>2022</v>
      </c>
      <c r="D614" cm="1">
        <f t="array" ref="D614">IFERROR(INDEX(fesp!$D:$D, MATCH(1, (VALUE(LEFT(fesp!$A:$A,6))=VALUE(LEFT(B614,6)))*(fesp!$C:$C=C614), 0)), "")</f>
        <v>537211</v>
      </c>
      <c r="E614" cm="1">
        <f t="array" aca="1" ref="E614" ca="1">IFERROR(INDEX(ft_medicos_clinicos!$C:$C, MATCH(1, (VALUE(LEFT(ft_medicos_clinicos!$A:$A,6))=VALUE(LEFT(B614,6)))*(ft_medicos_clinicos!$B:$B=C614), 0)), "")</f>
        <v>975</v>
      </c>
      <c r="F614" cm="1">
        <f t="array" aca="1" ref="F614" ca="1">IFERROR(INDEX(ft_enfermeiros!$C:$C, MATCH(1, (VALUE(LEFT(ft_enfermeiros!$A:$A,6))=VALUE(LEFT(B614,6)))*(ft_enfermeiros!$B:$B=C614), 0)), "")</f>
        <v>1366</v>
      </c>
      <c r="G614" cm="1">
        <f t="array" aca="1" ref="G614" ca="1">IFERROR(INDEX(ft_equipes_acs!$C:$C, MATCH(1, (VALUE(LEFT(ft_equipes_acs!$A:$A,6))=VALUE(LEFT(B614,6)))*(ft_equipes_acs!$B:$B=C614), 0)), "")</f>
        <v>2</v>
      </c>
      <c r="H614" cm="1">
        <f t="array" aca="1" ref="H614" ca="1">IFERROR(INDEX(ci_leitos_internacao!$C:$C, MATCH(1, (VALUE(LEFT(ci_leitos_internacao!$A:$A,6))=VALUE(LEFT(B614,6)))*(ci_leitos_internacao!$B:$B=C614), 0)), "")</f>
        <v>1862</v>
      </c>
      <c r="I614" cm="1">
        <f t="array" aca="1" ref="I614" ca="1">IFERROR(INDEX(ci_hospitais_internacao!$C:$C, MATCH(1, (VALUE(LEFT(ci_hospitais_internacao!$A:$A,6))=VALUE(LEFT(B614,6)))*(ci_hospitais_internacao!$B:$B=C614), 0)), "")</f>
        <v>10</v>
      </c>
      <c r="J614" cm="1">
        <f t="array" aca="1" ref="J614" ca="1">IFERROR(INDEX(ci_pa_clinico!$C:$C, MATCH(1, (VALUE(LEFT(ci_pa_clinico!$A:$A,6))=VALUE(LEFT(B614,6)))*(ci_pa_clinico!$B:$B=C614), 0)), "")</f>
        <v>14</v>
      </c>
      <c r="K614" cm="1">
        <f t="array" aca="1" ref="K614" ca="1">IFERROR(INDEX(aps_equipes_esf!$C:$C, MATCH(1, (VALUE(LEFT(aps_equipes_esf!$A:$A,6))=VALUE(LEFT(B614,6)))*(aps_equipes_esf!$B:$B=C614), 0)), "")</f>
        <v>3</v>
      </c>
      <c r="L614" cm="1">
        <f t="array" aca="1" ref="L614" ca="1">IFERROR(INDEX(casos!$C:$C, MATCH(1, (VALUE(LEFT(casos!$A:$A,6))=VALUE(LEFT(B614,6)))*(casos!$B:$B=C614), 0)), "")</f>
        <v>4941</v>
      </c>
      <c r="M614" cm="1">
        <f t="array" ref="M614">IFERROR(INDEX(srag!$D:$D, MATCH(1, (VALUE(LEFT(srag!$A:$A,6))=VALUE(LEFT(B614,6)))*(srag!$C:$C=C614), 0)), "")</f>
        <v>2340</v>
      </c>
      <c r="N614" cm="1">
        <f t="array" aca="1" ref="N614" ca="1">IFERROR(INDEX(fesp!$E:$E, MATCH(1, (VALUE(LEFT(fesp!$A:$A,6))=VALUE(LEFT(B614,6)))*(fesp!$C:$C=C614), 0)), "")</f>
        <v>176</v>
      </c>
      <c r="O614" cm="1">
        <f t="array" aca="1" ref="O614" ca="1">IFERROR(INDEX(fesp!$F:$F, MATCH(1, (VALUE(LEFT(fesp!$A:$A,6))=VALUE(LEFT(B614,6)))*(fesp!$C:$C=C614), 0)), "")</f>
        <v>8879</v>
      </c>
      <c r="P614" cm="1">
        <f t="array" aca="1" ref="P614" ca="1">IFERROR(INDEX(fesp!$G:$G, MATCH(1, (VALUE(LEFT(fesp!$A:$A,6))=VALUE(LEFT(B614,6)))*(fesp!$C:$C=C614), 0)), "")</f>
        <v>4629610</v>
      </c>
      <c r="Q614" cm="1">
        <f t="array" aca="1" ref="Q614" ca="1">IFERROR(INDEX(fesp!$H:$H, MATCH(1, (VALUE(LEFT(fesp!$A:$A,6))=VALUE(LEFT(B614,6)))*(fesp!$C:$C=C614), 0)), "")</f>
        <v>29</v>
      </c>
      <c r="R614" cm="1">
        <f t="array" aca="1" ref="R614" ca="1">IFERROR(INDEX(fesp!$I:$I, MATCH(1, (VALUE(LEFT(fesp!$A:$A,6))=VALUE(LEFT(B614,6)))*(fesp!$C:$C=C614), 0)), "")</f>
        <v>320</v>
      </c>
      <c r="S614" cm="1">
        <f t="array" aca="1" ref="S614" ca="1">IFERROR(INDEX(fesp!$J:$J, MATCH(1, (VALUE(LEFT(fesp!$A:$A,6))=VALUE(LEFT(B614,6)))*(fesp!$C:$C=C614), 0)), "")</f>
        <v>1</v>
      </c>
    </row>
    <row r="615" spans="1:19">
      <c r="A615" s="1" t="s">
        <v>73</v>
      </c>
      <c r="B615" s="3" t="s">
        <v>72</v>
      </c>
      <c r="C615" s="3">
        <v>2023</v>
      </c>
      <c r="D615" cm="1">
        <f t="array" ref="D615">IFERROR(INDEX(fesp!$D:$D, MATCH(1, (VALUE(LEFT(fesp!$A:$A,6))=VALUE(LEFT(B615,6)))*(fesp!$C:$C=C615), 0)), "")</f>
        <v>0</v>
      </c>
      <c r="E615" cm="1">
        <f t="array" aca="1" ref="E615" ca="1">IFERROR(INDEX(ft_medicos_clinicos!$C:$C, MATCH(1, (VALUE(LEFT(ft_medicos_clinicos!$A:$A,6))=VALUE(LEFT(B615,6)))*(ft_medicos_clinicos!$B:$B=C615), 0)), "")</f>
        <v>1055</v>
      </c>
      <c r="F615" cm="1">
        <f t="array" aca="1" ref="F615" ca="1">IFERROR(INDEX(ft_enfermeiros!$C:$C, MATCH(1, (VALUE(LEFT(ft_enfermeiros!$A:$A,6))=VALUE(LEFT(B615,6)))*(ft_enfermeiros!$B:$B=C615), 0)), "")</f>
        <v>1624</v>
      </c>
      <c r="G615" cm="1">
        <f t="array" aca="1" ref="G615" ca="1">IFERROR(INDEX(ft_equipes_acs!$C:$C, MATCH(1, (VALUE(LEFT(ft_equipes_acs!$A:$A,6))=VALUE(LEFT(B615,6)))*(ft_equipes_acs!$B:$B=C615), 0)), "")</f>
        <v>2</v>
      </c>
      <c r="H615" cm="1">
        <f t="array" aca="1" ref="H615" ca="1">IFERROR(INDEX(ci_leitos_internacao!$C:$C, MATCH(1, (VALUE(LEFT(ci_leitos_internacao!$A:$A,6))=VALUE(LEFT(B615,6)))*(ci_leitos_internacao!$B:$B=C615), 0)), "")</f>
        <v>1920</v>
      </c>
      <c r="I615" cm="1">
        <f t="array" aca="1" ref="I615" ca="1">IFERROR(INDEX(ci_hospitais_internacao!$C:$C, MATCH(1, (VALUE(LEFT(ci_hospitais_internacao!$A:$A,6))=VALUE(LEFT(B615,6)))*(ci_hospitais_internacao!$B:$B=C615), 0)), "")</f>
        <v>11</v>
      </c>
      <c r="J615" cm="1">
        <f t="array" aca="1" ref="J615" ca="1">IFERROR(INDEX(ci_pa_clinico!$C:$C, MATCH(1, (VALUE(LEFT(ci_pa_clinico!$A:$A,6))=VALUE(LEFT(B615,6)))*(ci_pa_clinico!$B:$B=C615), 0)), "")</f>
        <v>14</v>
      </c>
      <c r="K615" cm="1">
        <f t="array" aca="1" ref="K615" ca="1">IFERROR(INDEX(aps_equipes_esf!$C:$C, MATCH(1, (VALUE(LEFT(aps_equipes_esf!$A:$A,6))=VALUE(LEFT(B615,6)))*(aps_equipes_esf!$B:$B=C615), 0)), "")</f>
        <v>3</v>
      </c>
      <c r="L615" cm="1">
        <f t="array" aca="1" ref="L615" ca="1">IFERROR(INDEX(casos!$C:$C, MATCH(1, (VALUE(LEFT(casos!$A:$A,6))=VALUE(LEFT(B615,6)))*(casos!$B:$B=C615), 0)), "")</f>
        <v>42126</v>
      </c>
      <c r="M615" cm="1">
        <f t="array" ref="M615">IFERROR(INDEX(srag!$D:$D, MATCH(1, (VALUE(LEFT(srag!$A:$A,6))=VALUE(LEFT(B615,6)))*(srag!$C:$C=C615), 0)), "")</f>
        <v>1495</v>
      </c>
      <c r="N615" cm="1">
        <f t="array" aca="1" ref="N615" ca="1">IFERROR(INDEX(fesp!$E:$E, MATCH(1, (VALUE(LEFT(fesp!$A:$A,6))=VALUE(LEFT(B615,6)))*(fesp!$C:$C=C615), 0)), "")</f>
        <v>199</v>
      </c>
      <c r="O615" cm="1">
        <f t="array" aca="1" ref="O615" ca="1">IFERROR(INDEX(fesp!$F:$F, MATCH(1, (VALUE(LEFT(fesp!$A:$A,6))=VALUE(LEFT(B615,6)))*(fesp!$C:$C=C615), 0)), "")</f>
        <v>7520</v>
      </c>
      <c r="P615" cm="1">
        <f t="array" aca="1" ref="P615" ca="1">IFERROR(INDEX(fesp!$G:$G, MATCH(1, (VALUE(LEFT(fesp!$A:$A,6))=VALUE(LEFT(B615,6)))*(fesp!$C:$C=C615), 0)), "")</f>
        <v>4548993</v>
      </c>
      <c r="Q615" cm="1">
        <f t="array" aca="1" ref="Q615" ca="1">IFERROR(INDEX(fesp!$H:$H, MATCH(1, (VALUE(LEFT(fesp!$A:$A,6))=VALUE(LEFT(B615,6)))*(fesp!$C:$C=C615), 0)), "")</f>
        <v>41</v>
      </c>
      <c r="R615" cm="1">
        <f t="array" aca="1" ref="R615" ca="1">IFERROR(INDEX(fesp!$I:$I, MATCH(1, (VALUE(LEFT(fesp!$A:$A,6))=VALUE(LEFT(B615,6)))*(fesp!$C:$C=C615), 0)), "")</f>
        <v>439</v>
      </c>
      <c r="S615" cm="1">
        <f t="array" aca="1" ref="S615" ca="1">IFERROR(INDEX(fesp!$J:$J, MATCH(1, (VALUE(LEFT(fesp!$A:$A,6))=VALUE(LEFT(B615,6)))*(fesp!$C:$C=C615), 0)), "")</f>
        <v>51</v>
      </c>
    </row>
    <row r="616" spans="1:19">
      <c r="A616" s="1" t="s">
        <v>73</v>
      </c>
      <c r="B616" s="3" t="s">
        <v>72</v>
      </c>
      <c r="C616" s="3">
        <v>2024</v>
      </c>
      <c r="D616" cm="1">
        <f t="array" ref="D616">IFERROR(INDEX(fesp!$D:$D, MATCH(1, (VALUE(LEFT(fesp!$A:$A,6))=VALUE(LEFT(B616,6)))*(fesp!$C:$C=C616), 0)), "")</f>
        <v>0</v>
      </c>
      <c r="E616" cm="1">
        <f t="array" aca="1" ref="E616" ca="1">IFERROR(INDEX(ft_medicos_clinicos!$C:$C, MATCH(1, (VALUE(LEFT(ft_medicos_clinicos!$A:$A,6))=VALUE(LEFT(B616,6)))*(ft_medicos_clinicos!$B:$B=C616), 0)), "")</f>
        <v>1189</v>
      </c>
      <c r="F616" cm="1">
        <f t="array" aca="1" ref="F616" ca="1">IFERROR(INDEX(ft_enfermeiros!$C:$C, MATCH(1, (VALUE(LEFT(ft_enfermeiros!$A:$A,6))=VALUE(LEFT(B616,6)))*(ft_enfermeiros!$B:$B=C616), 0)), "")</f>
        <v>1639</v>
      </c>
      <c r="G616" cm="1">
        <f t="array" aca="1" ref="G616" ca="1">IFERROR(INDEX(ft_equipes_acs!$C:$C, MATCH(1, (VALUE(LEFT(ft_equipes_acs!$A:$A,6))=VALUE(LEFT(B616,6)))*(ft_equipes_acs!$B:$B=C616), 0)), "")</f>
        <v>2</v>
      </c>
      <c r="H616" cm="1">
        <f t="array" aca="1" ref="H616" ca="1">IFERROR(INDEX(ci_leitos_internacao!$C:$C, MATCH(1, (VALUE(LEFT(ci_leitos_internacao!$A:$A,6))=VALUE(LEFT(B616,6)))*(ci_leitos_internacao!$B:$B=C616), 0)), "")</f>
        <v>1943</v>
      </c>
      <c r="I616" cm="1">
        <f t="array" aca="1" ref="I616" ca="1">IFERROR(INDEX(ci_hospitais_internacao!$C:$C, MATCH(1, (VALUE(LEFT(ci_hospitais_internacao!$A:$A,6))=VALUE(LEFT(B616,6)))*(ci_hospitais_internacao!$B:$B=C616), 0)), "")</f>
        <v>11</v>
      </c>
      <c r="J616" cm="1">
        <f t="array" aca="1" ref="J616" ca="1">IFERROR(INDEX(ci_pa_clinico!$C:$C, MATCH(1, (VALUE(LEFT(ci_pa_clinico!$A:$A,6))=VALUE(LEFT(B616,6)))*(ci_pa_clinico!$B:$B=C616), 0)), "")</f>
        <v>14</v>
      </c>
      <c r="K616" cm="1">
        <f t="array" aca="1" ref="K616" ca="1">IFERROR(INDEX(aps_equipes_esf!$C:$C, MATCH(1, (VALUE(LEFT(aps_equipes_esf!$A:$A,6))=VALUE(LEFT(B616,6)))*(aps_equipes_esf!$B:$B=C616), 0)), "")</f>
        <v>2</v>
      </c>
      <c r="L616" cm="1">
        <f t="array" aca="1" ref="L616" ca="1">IFERROR(INDEX(casos!$C:$C, MATCH(1, (VALUE(LEFT(casos!$A:$A,6))=VALUE(LEFT(B616,6)))*(casos!$B:$B=C616), 0)), "")</f>
        <v>15951</v>
      </c>
      <c r="M616" cm="1">
        <f t="array" ref="M616">IFERROR(INDEX(srag!$D:$D, MATCH(1, (VALUE(LEFT(srag!$A:$A,6))=VALUE(LEFT(B616,6)))*(srag!$C:$C=C616), 0)), "")</f>
        <v>1744</v>
      </c>
      <c r="N616" cm="1">
        <f t="array" aca="1" ref="N616" ca="1">IFERROR(INDEX(fesp!$E:$E, MATCH(1, (VALUE(LEFT(fesp!$A:$A,6))=VALUE(LEFT(B616,6)))*(fesp!$C:$C=C616), 0)), "")</f>
        <v>182</v>
      </c>
      <c r="O616" cm="1">
        <f t="array" aca="1" ref="O616" ca="1">IFERROR(INDEX(fesp!$F:$F, MATCH(1, (VALUE(LEFT(fesp!$A:$A,6))=VALUE(LEFT(B616,6)))*(fesp!$C:$C=C616), 0)), "")</f>
        <v>3605</v>
      </c>
      <c r="P616" cm="1">
        <f t="array" aca="1" ref="P616" ca="1">IFERROR(INDEX(fesp!$G:$G, MATCH(1, (VALUE(LEFT(fesp!$A:$A,6))=VALUE(LEFT(B616,6)))*(fesp!$C:$C=C616), 0)), "")</f>
        <v>4565604</v>
      </c>
      <c r="Q616" cm="1">
        <f t="array" aca="1" ref="Q616" ca="1">IFERROR(INDEX(fesp!$H:$H, MATCH(1, (VALUE(LEFT(fesp!$A:$A,6))=VALUE(LEFT(B616,6)))*(fesp!$C:$C=C616), 0)), "")</f>
        <v>32</v>
      </c>
      <c r="R616" cm="1">
        <f t="array" aca="1" ref="R616" ca="1">IFERROR(INDEX(fesp!$I:$I, MATCH(1, (VALUE(LEFT(fesp!$A:$A,6))=VALUE(LEFT(B616,6)))*(fesp!$C:$C=C616), 0)), "")</f>
        <v>439</v>
      </c>
      <c r="S616" cm="1">
        <f t="array" aca="1" ref="S616" ca="1">IFERROR(INDEX(fesp!$J:$J, MATCH(1, (VALUE(LEFT(fesp!$A:$A,6))=VALUE(LEFT(B616,6)))*(fesp!$C:$C=C616), 0)), "")</f>
        <v>834</v>
      </c>
    </row>
    <row r="617" spans="1:19">
      <c r="A617" s="1" t="s">
        <v>73</v>
      </c>
      <c r="B617" s="3">
        <v>4205407</v>
      </c>
      <c r="C617" s="3">
        <v>2025</v>
      </c>
      <c r="D617" cm="1">
        <f t="array" ref="D617">IFERROR(INDEX(fesp!$D:$D, MATCH(1, (VALUE(LEFT(fesp!$A:$A,6))=VALUE(LEFT(B617,6)))*(fesp!$C:$C=C617), 0)), "")</f>
        <v>0</v>
      </c>
      <c r="E617" cm="1">
        <f t="array" aca="1" ref="E617" ca="1">IFERROR(INDEX(ft_medicos_clinicos!$C:$C, MATCH(1, (VALUE(LEFT(ft_medicos_clinicos!$A:$A,6))=VALUE(LEFT(B617,6)))*(ft_medicos_clinicos!$B:$B=C617), 0)), "")</f>
        <v>1318</v>
      </c>
      <c r="F617" cm="1">
        <f t="array" aca="1" ref="F617" ca="1">IFERROR(INDEX(ft_enfermeiros!$C:$C, MATCH(1, (VALUE(LEFT(ft_enfermeiros!$A:$A,6))=VALUE(LEFT(B617,6)))*(ft_enfermeiros!$B:$B=C617), 0)), "")</f>
        <v>1646</v>
      </c>
      <c r="G617" cm="1">
        <f t="array" aca="1" ref="G617" ca="1">IFERROR(INDEX(ft_equipes_acs!$C:$C, MATCH(1, (VALUE(LEFT(ft_equipes_acs!$A:$A,6))=VALUE(LEFT(B617,6)))*(ft_equipes_acs!$B:$B=C617), 0)), "")</f>
        <v>2</v>
      </c>
      <c r="H617" cm="1">
        <f t="array" aca="1" ref="H617" ca="1">IFERROR(INDEX(ci_leitos_internacao!$C:$C, MATCH(1, (VALUE(LEFT(ci_leitos_internacao!$A:$A,6))=VALUE(LEFT(B617,6)))*(ci_leitos_internacao!$B:$B=C617), 0)), "")</f>
        <v>2022</v>
      </c>
      <c r="I617" cm="1">
        <f t="array" aca="1" ref="I617" ca="1">IFERROR(INDEX(ci_hospitais_internacao!$C:$C, MATCH(1, (VALUE(LEFT(ci_hospitais_internacao!$A:$A,6))=VALUE(LEFT(B617,6)))*(ci_hospitais_internacao!$B:$B=C617), 0)), "")</f>
        <v>11</v>
      </c>
      <c r="J617" cm="1">
        <f t="array" aca="1" ref="J617" ca="1">IFERROR(INDEX(ci_pa_clinico!$C:$C, MATCH(1, (VALUE(LEFT(ci_pa_clinico!$A:$A,6))=VALUE(LEFT(B617,6)))*(ci_pa_clinico!$B:$B=C617), 0)), "")</f>
        <v>13</v>
      </c>
      <c r="K617" cm="1">
        <f t="array" aca="1" ref="K617" ca="1">IFERROR(INDEX(aps_equipes_esf!$C:$C, MATCH(1, (VALUE(LEFT(aps_equipes_esf!$A:$A,6))=VALUE(LEFT(B617,6)))*(aps_equipes_esf!$B:$B=C617), 0)), "")</f>
        <v>1</v>
      </c>
      <c r="L617" cm="1">
        <f t="array" aca="1" ref="L617" ca="1">IFERROR(INDEX(casos!$C:$C, MATCH(1, (VALUE(LEFT(casos!$A:$A,6))=VALUE(LEFT(B617,6)))*(casos!$B:$B=C617), 0)), "")</f>
        <v>7121</v>
      </c>
      <c r="M617" cm="1">
        <f t="array" ref="M617">IFERROR(INDEX(srag!$D:$D, MATCH(1, (VALUE(LEFT(srag!$A:$A,6))=VALUE(LEFT(B617,6)))*(srag!$C:$C=C617), 0)), "")</f>
        <v>2049</v>
      </c>
      <c r="N617" cm="1">
        <f t="array" aca="1" ref="N617" ca="1">IFERROR(INDEX(fesp!$E:$E, MATCH(1, (VALUE(LEFT(fesp!$A:$A,6))=VALUE(LEFT(B617,6)))*(fesp!$C:$C=C617), 0)), "")</f>
        <v>175</v>
      </c>
      <c r="O617" cm="1">
        <f t="array" aca="1" ref="O617" ca="1">IFERROR(INDEX(fesp!$F:$F, MATCH(1, (VALUE(LEFT(fesp!$A:$A,6))=VALUE(LEFT(B617,6)))*(fesp!$C:$C=C617), 0)), "")</f>
        <v>6291</v>
      </c>
      <c r="P617" cm="1">
        <f t="array" aca="1" ref="P617" ca="1">IFERROR(INDEX(fesp!$G:$G, MATCH(1, (VALUE(LEFT(fesp!$A:$A,6))=VALUE(LEFT(B617,6)))*(fesp!$C:$C=C617), 0)), "")</f>
        <v>4534629</v>
      </c>
      <c r="Q617" cm="1">
        <f t="array" aca="1" ref="Q617" ca="1">IFERROR(INDEX(fesp!$H:$H, MATCH(1, (VALUE(LEFT(fesp!$A:$A,6))=VALUE(LEFT(B617,6)))*(fesp!$C:$C=C617), 0)), "")</f>
        <v>22</v>
      </c>
      <c r="R617" cm="1">
        <f t="array" aca="1" ref="R617" ca="1">IFERROR(INDEX(fesp!$I:$I, MATCH(1, (VALUE(LEFT(fesp!$A:$A,6))=VALUE(LEFT(B617,6)))*(fesp!$C:$C=C617), 0)), "")</f>
        <v>663</v>
      </c>
      <c r="S617" cm="1">
        <f t="array" aca="1" ref="S617" ca="1">IFERROR(INDEX(fesp!$J:$J, MATCH(1, (VALUE(LEFT(fesp!$A:$A,6))=VALUE(LEFT(B617,6)))*(fesp!$C:$C=C617), 0)), "")</f>
        <v>825</v>
      </c>
    </row>
    <row r="618" spans="1:19">
      <c r="A618" s="1" t="s">
        <v>65</v>
      </c>
      <c r="B618" s="3">
        <v>4209102</v>
      </c>
      <c r="C618" s="3">
        <v>2015</v>
      </c>
      <c r="D618" cm="1">
        <f t="array" ref="D618">IFERROR(INDEX(fesp!$D:$D, MATCH(1, (VALUE(LEFT(fesp!$A:$A,6))=VALUE(LEFT(B618,6)))*(fesp!$C:$C=C618), 0)), "")</f>
        <v>562151</v>
      </c>
      <c r="E618" cm="1">
        <f t="array" aca="1" ref="E618" ca="1">IFERROR(INDEX(ft_medicos_clinicos!$C:$C, MATCH(1, (VALUE(LEFT(ft_medicos_clinicos!$A:$A,6))=VALUE(LEFT(B618,6)))*(ft_medicos_clinicos!$B:$B=C618), 0)), "")</f>
        <v>418</v>
      </c>
      <c r="F618" cm="1">
        <f t="array" aca="1" ref="F618" ca="1">IFERROR(INDEX(ft_enfermeiros!$C:$C, MATCH(1, (VALUE(LEFT(ft_enfermeiros!$A:$A,6))=VALUE(LEFT(B618,6)))*(ft_enfermeiros!$B:$B=C618), 0)), "")</f>
        <v>498</v>
      </c>
      <c r="G618" cm="1">
        <f t="array" aca="1" ref="G618" ca="1">IFERROR(INDEX(ft_equipes_acs!$C:$C, MATCH(1, (VALUE(LEFT(ft_equipes_acs!$A:$A,6))=VALUE(LEFT(B618,6)))*(ft_equipes_acs!$B:$B=C618), 0)), "")</f>
        <v>11</v>
      </c>
      <c r="H618" cm="1">
        <f t="array" aca="1" ref="H618" ca="1">IFERROR(INDEX(ci_leitos_internacao!$C:$C, MATCH(1, (VALUE(LEFT(ci_leitos_internacao!$A:$A,6))=VALUE(LEFT(B618,6)))*(ci_leitos_internacao!$B:$B=C618), 0)), "")</f>
        <v>1136</v>
      </c>
      <c r="I618" cm="1">
        <f t="array" aca="1" ref="I618" ca="1">IFERROR(INDEX(ci_hospitais_internacao!$C:$C, MATCH(1, (VALUE(LEFT(ci_hospitais_internacao!$A:$A,6))=VALUE(LEFT(B618,6)))*(ci_hospitais_internacao!$B:$B=C618), 0)), "")</f>
        <v>5</v>
      </c>
      <c r="J618" t="str" cm="1">
        <f t="array" aca="1" ref="J618" ca="1">IFERROR(INDEX(ci_pa_clinico!$C:$C, MATCH(1, (VALUE(LEFT(ci_pa_clinico!$A:$A,6))=VALUE(LEFT(B618,6)))*(ci_pa_clinico!$B:$B=C618), 0)), "")</f>
        <v/>
      </c>
      <c r="K618" cm="1">
        <f t="array" aca="1" ref="K618" ca="1">IFERROR(INDEX(aps_equipes_esf!$C:$C, MATCH(1, (VALUE(LEFT(aps_equipes_esf!$A:$A,6))=VALUE(LEFT(B618,6)))*(aps_equipes_esf!$B:$B=C618), 0)), "")</f>
        <v>59</v>
      </c>
      <c r="L618" cm="1">
        <f t="array" aca="1" ref="L618" ca="1">IFERROR(INDEX(casos!$C:$C, MATCH(1, (VALUE(LEFT(casos!$A:$A,6))=VALUE(LEFT(B618,6)))*(casos!$B:$B=C618), 0)), "")</f>
        <v>57</v>
      </c>
      <c r="M618" cm="1">
        <f t="array" ref="M618">IFERROR(INDEX(srag!$D:$D, MATCH(1, (VALUE(LEFT(srag!$A:$A,6))=VALUE(LEFT(B618,6)))*(srag!$C:$C=C618), 0)), "")</f>
        <v>24</v>
      </c>
      <c r="N618" cm="1">
        <f t="array" aca="1" ref="N618" ca="1">IFERROR(INDEX(fesp!$E:$E, MATCH(1, (VALUE(LEFT(fesp!$A:$A,6))=VALUE(LEFT(B618,6)))*(fesp!$C:$C=C618), 0)), "")</f>
        <v>117</v>
      </c>
      <c r="O618" cm="1">
        <f t="array" aca="1" ref="O618" ca="1">IFERROR(INDEX(fesp!$F:$F, MATCH(1, (VALUE(LEFT(fesp!$A:$A,6))=VALUE(LEFT(B618,6)))*(fesp!$C:$C=C618), 0)), "")</f>
        <v>3265</v>
      </c>
      <c r="P618" cm="1">
        <f t="array" aca="1" ref="P618" ca="1">IFERROR(INDEX(fesp!$G:$G, MATCH(1, (VALUE(LEFT(fesp!$A:$A,6))=VALUE(LEFT(B618,6)))*(fesp!$C:$C=C618), 0)), "")</f>
        <v>3097952</v>
      </c>
      <c r="Q618" cm="1">
        <f t="array" aca="1" ref="Q618" ca="1">IFERROR(INDEX(fesp!$H:$H, MATCH(1, (VALUE(LEFT(fesp!$A:$A,6))=VALUE(LEFT(B618,6)))*(fesp!$C:$C=C618), 0)), "")</f>
        <v>17</v>
      </c>
      <c r="R618" cm="1">
        <f t="array" aca="1" ref="R618" ca="1">IFERROR(INDEX(fesp!$I:$I, MATCH(1, (VALUE(LEFT(fesp!$A:$A,6))=VALUE(LEFT(B618,6)))*(fesp!$C:$C=C618), 0)), "")</f>
        <v>55785</v>
      </c>
      <c r="S618" cm="1">
        <f t="array" aca="1" ref="S618" ca="1">IFERROR(INDEX(fesp!$J:$J, MATCH(1, (VALUE(LEFT(fesp!$A:$A,6))=VALUE(LEFT(B618,6)))*(fesp!$C:$C=C618), 0)), "")</f>
        <v>535512</v>
      </c>
    </row>
    <row r="619" spans="1:19">
      <c r="A619" s="1" t="s">
        <v>65</v>
      </c>
      <c r="B619" s="3" t="s">
        <v>64</v>
      </c>
      <c r="C619" s="3">
        <v>2016</v>
      </c>
      <c r="D619" cm="1">
        <f t="array" ref="D619">IFERROR(INDEX(fesp!$D:$D, MATCH(1, (VALUE(LEFT(fesp!$A:$A,6))=VALUE(LEFT(B619,6)))*(fesp!$C:$C=C619), 0)), "")</f>
        <v>0</v>
      </c>
      <c r="E619" cm="1">
        <f t="array" aca="1" ref="E619" ca="1">IFERROR(INDEX(ft_medicos_clinicos!$C:$C, MATCH(1, (VALUE(LEFT(ft_medicos_clinicos!$A:$A,6))=VALUE(LEFT(B619,6)))*(ft_medicos_clinicos!$B:$B=C619), 0)), "")</f>
        <v>419</v>
      </c>
      <c r="F619" cm="1">
        <f t="array" aca="1" ref="F619" ca="1">IFERROR(INDEX(ft_enfermeiros!$C:$C, MATCH(1, (VALUE(LEFT(ft_enfermeiros!$A:$A,6))=VALUE(LEFT(B619,6)))*(ft_enfermeiros!$B:$B=C619), 0)), "")</f>
        <v>512</v>
      </c>
      <c r="G619" cm="1">
        <f t="array" aca="1" ref="G619" ca="1">IFERROR(INDEX(ft_equipes_acs!$C:$C, MATCH(1, (VALUE(LEFT(ft_equipes_acs!$A:$A,6))=VALUE(LEFT(B619,6)))*(ft_equipes_acs!$B:$B=C619), 0)), "")</f>
        <v>11</v>
      </c>
      <c r="H619" cm="1">
        <f t="array" aca="1" ref="H619" ca="1">IFERROR(INDEX(ci_leitos_internacao!$C:$C, MATCH(1, (VALUE(LEFT(ci_leitos_internacao!$A:$A,6))=VALUE(LEFT(B619,6)))*(ci_leitos_internacao!$B:$B=C619), 0)), "")</f>
        <v>1060</v>
      </c>
      <c r="I619" cm="1">
        <f t="array" aca="1" ref="I619" ca="1">IFERROR(INDEX(ci_hospitais_internacao!$C:$C, MATCH(1, (VALUE(LEFT(ci_hospitais_internacao!$A:$A,6))=VALUE(LEFT(B619,6)))*(ci_hospitais_internacao!$B:$B=C619), 0)), "")</f>
        <v>6</v>
      </c>
      <c r="J619" t="str" cm="1">
        <f t="array" aca="1" ref="J619" ca="1">IFERROR(INDEX(ci_pa_clinico!$C:$C, MATCH(1, (VALUE(LEFT(ci_pa_clinico!$A:$A,6))=VALUE(LEFT(B619,6)))*(ci_pa_clinico!$B:$B=C619), 0)), "")</f>
        <v/>
      </c>
      <c r="K619" cm="1">
        <f t="array" aca="1" ref="K619" ca="1">IFERROR(INDEX(aps_equipes_esf!$C:$C, MATCH(1, (VALUE(LEFT(aps_equipes_esf!$A:$A,6))=VALUE(LEFT(B619,6)))*(aps_equipes_esf!$B:$B=C619), 0)), "")</f>
        <v>62</v>
      </c>
      <c r="L619" cm="1">
        <f t="array" aca="1" ref="L619" ca="1">IFERROR(INDEX(casos!$C:$C, MATCH(1, (VALUE(LEFT(casos!$A:$A,6))=VALUE(LEFT(B619,6)))*(casos!$B:$B=C619), 0)), "")</f>
        <v>32</v>
      </c>
      <c r="M619" cm="1">
        <f t="array" ref="M619">IFERROR(INDEX(srag!$D:$D, MATCH(1, (VALUE(LEFT(srag!$A:$A,6))=VALUE(LEFT(B619,6)))*(srag!$C:$C=C619), 0)), "")</f>
        <v>189</v>
      </c>
      <c r="N619" cm="1">
        <f t="array" aca="1" ref="N619" ca="1">IFERROR(INDEX(fesp!$E:$E, MATCH(1, (VALUE(LEFT(fesp!$A:$A,6))=VALUE(LEFT(B619,6)))*(fesp!$C:$C=C619), 0)), "")</f>
        <v>131</v>
      </c>
      <c r="O619" cm="1">
        <f t="array" aca="1" ref="O619" ca="1">IFERROR(INDEX(fesp!$F:$F, MATCH(1, (VALUE(LEFT(fesp!$A:$A,6))=VALUE(LEFT(B619,6)))*(fesp!$C:$C=C619), 0)), "")</f>
        <v>2581</v>
      </c>
      <c r="P619" cm="1">
        <f t="array" aca="1" ref="P619" ca="1">IFERROR(INDEX(fesp!$G:$G, MATCH(1, (VALUE(LEFT(fesp!$A:$A,6))=VALUE(LEFT(B619,6)))*(fesp!$C:$C=C619), 0)), "")</f>
        <v>2925607</v>
      </c>
      <c r="Q619" cm="1">
        <f t="array" aca="1" ref="Q619" ca="1">IFERROR(INDEX(fesp!$H:$H, MATCH(1, (VALUE(LEFT(fesp!$A:$A,6))=VALUE(LEFT(B619,6)))*(fesp!$C:$C=C619), 0)), "")</f>
        <v>12</v>
      </c>
      <c r="R619" cm="1">
        <f t="array" aca="1" ref="R619" ca="1">IFERROR(INDEX(fesp!$I:$I, MATCH(1, (VALUE(LEFT(fesp!$A:$A,6))=VALUE(LEFT(B619,6)))*(fesp!$C:$C=C619), 0)), "")</f>
        <v>50102</v>
      </c>
      <c r="S619" cm="1">
        <f t="array" aca="1" ref="S619" ca="1">IFERROR(INDEX(fesp!$J:$J, MATCH(1, (VALUE(LEFT(fesp!$A:$A,6))=VALUE(LEFT(B619,6)))*(fesp!$C:$C=C619), 0)), "")</f>
        <v>362538</v>
      </c>
    </row>
    <row r="620" spans="1:19">
      <c r="A620" s="1" t="s">
        <v>65</v>
      </c>
      <c r="B620" s="3" t="s">
        <v>64</v>
      </c>
      <c r="C620" s="3">
        <v>2017</v>
      </c>
      <c r="D620" cm="1">
        <f t="array" ref="D620">IFERROR(INDEX(fesp!$D:$D, MATCH(1, (VALUE(LEFT(fesp!$A:$A,6))=VALUE(LEFT(B620,6)))*(fesp!$C:$C=C620), 0)), "")</f>
        <v>0</v>
      </c>
      <c r="E620" cm="1">
        <f t="array" aca="1" ref="E620" ca="1">IFERROR(INDEX(ft_medicos_clinicos!$C:$C, MATCH(1, (VALUE(LEFT(ft_medicos_clinicos!$A:$A,6))=VALUE(LEFT(B620,6)))*(ft_medicos_clinicos!$B:$B=C620), 0)), "")</f>
        <v>412</v>
      </c>
      <c r="F620" cm="1">
        <f t="array" aca="1" ref="F620" ca="1">IFERROR(INDEX(ft_enfermeiros!$C:$C, MATCH(1, (VALUE(LEFT(ft_enfermeiros!$A:$A,6))=VALUE(LEFT(B620,6)))*(ft_enfermeiros!$B:$B=C620), 0)), "")</f>
        <v>609</v>
      </c>
      <c r="G620" cm="1">
        <f t="array" aca="1" ref="G620" ca="1">IFERROR(INDEX(ft_equipes_acs!$C:$C, MATCH(1, (VALUE(LEFT(ft_equipes_acs!$A:$A,6))=VALUE(LEFT(B620,6)))*(ft_equipes_acs!$B:$B=C620), 0)), "")</f>
        <v>10</v>
      </c>
      <c r="H620" cm="1">
        <f t="array" aca="1" ref="H620" ca="1">IFERROR(INDEX(ci_leitos_internacao!$C:$C, MATCH(1, (VALUE(LEFT(ci_leitos_internacao!$A:$A,6))=VALUE(LEFT(B620,6)))*(ci_leitos_internacao!$B:$B=C620), 0)), "")</f>
        <v>1065</v>
      </c>
      <c r="I620" cm="1">
        <f t="array" aca="1" ref="I620" ca="1">IFERROR(INDEX(ci_hospitais_internacao!$C:$C, MATCH(1, (VALUE(LEFT(ci_hospitais_internacao!$A:$A,6))=VALUE(LEFT(B620,6)))*(ci_hospitais_internacao!$B:$B=C620), 0)), "")</f>
        <v>6</v>
      </c>
      <c r="J620" t="str" cm="1">
        <f t="array" aca="1" ref="J620" ca="1">IFERROR(INDEX(ci_pa_clinico!$C:$C, MATCH(1, (VALUE(LEFT(ci_pa_clinico!$A:$A,6))=VALUE(LEFT(B620,6)))*(ci_pa_clinico!$B:$B=C620), 0)), "")</f>
        <v/>
      </c>
      <c r="K620" cm="1">
        <f t="array" aca="1" ref="K620" ca="1">IFERROR(INDEX(aps_equipes_esf!$C:$C, MATCH(1, (VALUE(LEFT(aps_equipes_esf!$A:$A,6))=VALUE(LEFT(B620,6)))*(aps_equipes_esf!$B:$B=C620), 0)), "")</f>
        <v>83</v>
      </c>
      <c r="L620" cm="1">
        <f t="array" aca="1" ref="L620" ca="1">IFERROR(INDEX(casos!$C:$C, MATCH(1, (VALUE(LEFT(casos!$A:$A,6))=VALUE(LEFT(B620,6)))*(casos!$B:$B=C620), 0)), "")</f>
        <v>2</v>
      </c>
      <c r="M620" cm="1">
        <f t="array" ref="M620">IFERROR(INDEX(srag!$D:$D, MATCH(1, (VALUE(LEFT(srag!$A:$A,6))=VALUE(LEFT(B620,6)))*(srag!$C:$C=C620), 0)), "")</f>
        <v>88</v>
      </c>
      <c r="N620" cm="1">
        <f t="array" aca="1" ref="N620" ca="1">IFERROR(INDEX(fesp!$E:$E, MATCH(1, (VALUE(LEFT(fesp!$A:$A,6))=VALUE(LEFT(B620,6)))*(fesp!$C:$C=C620), 0)), "")</f>
        <v>130</v>
      </c>
      <c r="O620" cm="1">
        <f t="array" aca="1" ref="O620" ca="1">IFERROR(INDEX(fesp!$F:$F, MATCH(1, (VALUE(LEFT(fesp!$A:$A,6))=VALUE(LEFT(B620,6)))*(fesp!$C:$C=C620), 0)), "")</f>
        <v>7324</v>
      </c>
      <c r="P620" cm="1">
        <f t="array" aca="1" ref="P620" ca="1">IFERROR(INDEX(fesp!$G:$G, MATCH(1, (VALUE(LEFT(fesp!$A:$A,6))=VALUE(LEFT(B620,6)))*(fesp!$C:$C=C620), 0)), "")</f>
        <v>3757101</v>
      </c>
      <c r="Q620" cm="1">
        <f t="array" aca="1" ref="Q620" ca="1">IFERROR(INDEX(fesp!$H:$H, MATCH(1, (VALUE(LEFT(fesp!$A:$A,6))=VALUE(LEFT(B620,6)))*(fesp!$C:$C=C620), 0)), "")</f>
        <v>21</v>
      </c>
      <c r="R620" cm="1">
        <f t="array" aca="1" ref="R620" ca="1">IFERROR(INDEX(fesp!$I:$I, MATCH(1, (VALUE(LEFT(fesp!$A:$A,6))=VALUE(LEFT(B620,6)))*(fesp!$C:$C=C620), 0)), "")</f>
        <v>45509</v>
      </c>
      <c r="S620" cm="1">
        <f t="array" aca="1" ref="S620" ca="1">IFERROR(INDEX(fesp!$J:$J, MATCH(1, (VALUE(LEFT(fesp!$A:$A,6))=VALUE(LEFT(B620,6)))*(fesp!$C:$C=C620), 0)), "")</f>
        <v>353212</v>
      </c>
    </row>
    <row r="621" spans="1:19">
      <c r="A621" s="1" t="s">
        <v>65</v>
      </c>
      <c r="B621" s="3">
        <v>4209102</v>
      </c>
      <c r="C621" s="3">
        <v>2018</v>
      </c>
      <c r="D621" cm="1">
        <f t="array" ref="D621">IFERROR(INDEX(fesp!$D:$D, MATCH(1, (VALUE(LEFT(fesp!$A:$A,6))=VALUE(LEFT(B621,6)))*(fesp!$C:$C=C621), 0)), "")</f>
        <v>0</v>
      </c>
      <c r="E621" cm="1">
        <f t="array" aca="1" ref="E621" ca="1">IFERROR(INDEX(ft_medicos_clinicos!$C:$C, MATCH(1, (VALUE(LEFT(ft_medicos_clinicos!$A:$A,6))=VALUE(LEFT(B621,6)))*(ft_medicos_clinicos!$B:$B=C621), 0)), "")</f>
        <v>418</v>
      </c>
      <c r="F621" cm="1">
        <f t="array" aca="1" ref="F621" ca="1">IFERROR(INDEX(ft_enfermeiros!$C:$C, MATCH(1, (VALUE(LEFT(ft_enfermeiros!$A:$A,6))=VALUE(LEFT(B621,6)))*(ft_enfermeiros!$B:$B=C621), 0)), "")</f>
        <v>705</v>
      </c>
      <c r="G621" cm="1">
        <f t="array" aca="1" ref="G621" ca="1">IFERROR(INDEX(ft_equipes_acs!$C:$C, MATCH(1, (VALUE(LEFT(ft_equipes_acs!$A:$A,6))=VALUE(LEFT(B621,6)))*(ft_equipes_acs!$B:$B=C621), 0)), "")</f>
        <v>7</v>
      </c>
      <c r="H621" cm="1">
        <f t="array" aca="1" ref="H621" ca="1">IFERROR(INDEX(ci_leitos_internacao!$C:$C, MATCH(1, (VALUE(LEFT(ci_leitos_internacao!$A:$A,6))=VALUE(LEFT(B621,6)))*(ci_leitos_internacao!$B:$B=C621), 0)), "")</f>
        <v>1084</v>
      </c>
      <c r="I621" cm="1">
        <f t="array" aca="1" ref="I621" ca="1">IFERROR(INDEX(ci_hospitais_internacao!$C:$C, MATCH(1, (VALUE(LEFT(ci_hospitais_internacao!$A:$A,6))=VALUE(LEFT(B621,6)))*(ci_hospitais_internacao!$B:$B=C621), 0)), "")</f>
        <v>6</v>
      </c>
      <c r="J621" t="str" cm="1">
        <f t="array" aca="1" ref="J621" ca="1">IFERROR(INDEX(ci_pa_clinico!$C:$C, MATCH(1, (VALUE(LEFT(ci_pa_clinico!$A:$A,6))=VALUE(LEFT(B621,6)))*(ci_pa_clinico!$B:$B=C621), 0)), "")</f>
        <v/>
      </c>
      <c r="K621" cm="1">
        <f t="array" aca="1" ref="K621" ca="1">IFERROR(INDEX(aps_equipes_esf!$C:$C, MATCH(1, (VALUE(LEFT(aps_equipes_esf!$A:$A,6))=VALUE(LEFT(B621,6)))*(aps_equipes_esf!$B:$B=C621), 0)), "")</f>
        <v>108</v>
      </c>
      <c r="L621" cm="1">
        <f t="array" aca="1" ref="L621" ca="1">IFERROR(INDEX(casos!$C:$C, MATCH(1, (VALUE(LEFT(casos!$A:$A,6))=VALUE(LEFT(B621,6)))*(casos!$B:$B=C621), 0)), "")</f>
        <v>4</v>
      </c>
      <c r="M621" cm="1">
        <f t="array" ref="M621">IFERROR(INDEX(srag!$D:$D, MATCH(1, (VALUE(LEFT(srag!$A:$A,6))=VALUE(LEFT(B621,6)))*(srag!$C:$C=C621), 0)), "")</f>
        <v>111</v>
      </c>
      <c r="N621" cm="1">
        <f t="array" aca="1" ref="N621" ca="1">IFERROR(INDEX(fesp!$E:$E, MATCH(1, (VALUE(LEFT(fesp!$A:$A,6))=VALUE(LEFT(B621,6)))*(fesp!$C:$C=C621), 0)), "")</f>
        <v>129</v>
      </c>
      <c r="O621" cm="1">
        <f t="array" aca="1" ref="O621" ca="1">IFERROR(INDEX(fesp!$F:$F, MATCH(1, (VALUE(LEFT(fesp!$A:$A,6))=VALUE(LEFT(B621,6)))*(fesp!$C:$C=C621), 0)), "")</f>
        <v>9107</v>
      </c>
      <c r="P621" cm="1">
        <f t="array" aca="1" ref="P621" ca="1">IFERROR(INDEX(fesp!$G:$G, MATCH(1, (VALUE(LEFT(fesp!$A:$A,6))=VALUE(LEFT(B621,6)))*(fesp!$C:$C=C621), 0)), "")</f>
        <v>3517319</v>
      </c>
      <c r="Q621" cm="1">
        <f t="array" aca="1" ref="Q621" ca="1">IFERROR(INDEX(fesp!$H:$H, MATCH(1, (VALUE(LEFT(fesp!$A:$A,6))=VALUE(LEFT(B621,6)))*(fesp!$C:$C=C621), 0)), "")</f>
        <v>28</v>
      </c>
      <c r="R621" cm="1">
        <f t="array" aca="1" ref="R621" ca="1">IFERROR(INDEX(fesp!$I:$I, MATCH(1, (VALUE(LEFT(fesp!$A:$A,6))=VALUE(LEFT(B621,6)))*(fesp!$C:$C=C621), 0)), "")</f>
        <v>56163</v>
      </c>
      <c r="S621" cm="1">
        <f t="array" aca="1" ref="S621" ca="1">IFERROR(INDEX(fesp!$J:$J, MATCH(1, (VALUE(LEFT(fesp!$A:$A,6))=VALUE(LEFT(B621,6)))*(fesp!$C:$C=C621), 0)), "")</f>
        <v>507048</v>
      </c>
    </row>
    <row r="622" spans="1:19">
      <c r="A622" s="1" t="s">
        <v>65</v>
      </c>
      <c r="B622" s="3" t="s">
        <v>64</v>
      </c>
      <c r="C622" s="3">
        <v>2019</v>
      </c>
      <c r="D622" cm="1">
        <f t="array" ref="D622">IFERROR(INDEX(fesp!$D:$D, MATCH(1, (VALUE(LEFT(fesp!$A:$A,6))=VALUE(LEFT(B622,6)))*(fesp!$C:$C=C622), 0)), "")</f>
        <v>0</v>
      </c>
      <c r="E622" cm="1">
        <f t="array" aca="1" ref="E622" ca="1">IFERROR(INDEX(ft_medicos_clinicos!$C:$C, MATCH(1, (VALUE(LEFT(ft_medicos_clinicos!$A:$A,6))=VALUE(LEFT(B622,6)))*(ft_medicos_clinicos!$B:$B=C622), 0)), "")</f>
        <v>497</v>
      </c>
      <c r="F622" cm="1">
        <f t="array" aca="1" ref="F622" ca="1">IFERROR(INDEX(ft_enfermeiros!$C:$C, MATCH(1, (VALUE(LEFT(ft_enfermeiros!$A:$A,6))=VALUE(LEFT(B622,6)))*(ft_enfermeiros!$B:$B=C622), 0)), "")</f>
        <v>821</v>
      </c>
      <c r="G622" cm="1">
        <f t="array" aca="1" ref="G622" ca="1">IFERROR(INDEX(ft_equipes_acs!$C:$C, MATCH(1, (VALUE(LEFT(ft_equipes_acs!$A:$A,6))=VALUE(LEFT(B622,6)))*(ft_equipes_acs!$B:$B=C622), 0)), "")</f>
        <v>6</v>
      </c>
      <c r="H622" cm="1">
        <f t="array" aca="1" ref="H622" ca="1">IFERROR(INDEX(ci_leitos_internacao!$C:$C, MATCH(1, (VALUE(LEFT(ci_leitos_internacao!$A:$A,6))=VALUE(LEFT(B622,6)))*(ci_leitos_internacao!$B:$B=C622), 0)), "")</f>
        <v>1186</v>
      </c>
      <c r="I622" cm="1">
        <f t="array" aca="1" ref="I622" ca="1">IFERROR(INDEX(ci_hospitais_internacao!$C:$C, MATCH(1, (VALUE(LEFT(ci_hospitais_internacao!$A:$A,6))=VALUE(LEFT(B622,6)))*(ci_hospitais_internacao!$B:$B=C622), 0)), "")</f>
        <v>6</v>
      </c>
      <c r="J622" t="str" cm="1">
        <f t="array" aca="1" ref="J622" ca="1">IFERROR(INDEX(ci_pa_clinico!$C:$C, MATCH(1, (VALUE(LEFT(ci_pa_clinico!$A:$A,6))=VALUE(LEFT(B622,6)))*(ci_pa_clinico!$B:$B=C622), 0)), "")</f>
        <v/>
      </c>
      <c r="K622" cm="1">
        <f t="array" aca="1" ref="K622" ca="1">IFERROR(INDEX(aps_equipes_esf!$C:$C, MATCH(1, (VALUE(LEFT(aps_equipes_esf!$A:$A,6))=VALUE(LEFT(B622,6)))*(aps_equipes_esf!$B:$B=C622), 0)), "")</f>
        <v>127</v>
      </c>
      <c r="L622" cm="1">
        <f t="array" aca="1" ref="L622" ca="1">IFERROR(INDEX(casos!$C:$C, MATCH(1, (VALUE(LEFT(casos!$A:$A,6))=VALUE(LEFT(B622,6)))*(casos!$B:$B=C622), 0)), "")</f>
        <v>21</v>
      </c>
      <c r="M622" cm="1">
        <f t="array" ref="M622">IFERROR(INDEX(srag!$D:$D, MATCH(1, (VALUE(LEFT(srag!$A:$A,6))=VALUE(LEFT(B622,6)))*(srag!$C:$C=C622), 0)), "")</f>
        <v>121</v>
      </c>
      <c r="N622" cm="1">
        <f t="array" aca="1" ref="N622" ca="1">IFERROR(INDEX(fesp!$E:$E, MATCH(1, (VALUE(LEFT(fesp!$A:$A,6))=VALUE(LEFT(B622,6)))*(fesp!$C:$C=C622), 0)), "")</f>
        <v>141</v>
      </c>
      <c r="O622" cm="1">
        <f t="array" aca="1" ref="O622" ca="1">IFERROR(INDEX(fesp!$F:$F, MATCH(1, (VALUE(LEFT(fesp!$A:$A,6))=VALUE(LEFT(B622,6)))*(fesp!$C:$C=C622), 0)), "")</f>
        <v>10167</v>
      </c>
      <c r="P622" cm="1">
        <f t="array" aca="1" ref="P622" ca="1">IFERROR(INDEX(fesp!$G:$G, MATCH(1, (VALUE(LEFT(fesp!$A:$A,6))=VALUE(LEFT(B622,6)))*(fesp!$C:$C=C622), 0)), "")</f>
        <v>4014717</v>
      </c>
      <c r="Q622" cm="1">
        <f t="array" aca="1" ref="Q622" ca="1">IFERROR(INDEX(fesp!$H:$H, MATCH(1, (VALUE(LEFT(fesp!$A:$A,6))=VALUE(LEFT(B622,6)))*(fesp!$C:$C=C622), 0)), "")</f>
        <v>22</v>
      </c>
      <c r="R622" cm="1">
        <f t="array" aca="1" ref="R622" ca="1">IFERROR(INDEX(fesp!$I:$I, MATCH(1, (VALUE(LEFT(fesp!$A:$A,6))=VALUE(LEFT(B622,6)))*(fesp!$C:$C=C622), 0)), "")</f>
        <v>36255</v>
      </c>
      <c r="S622" cm="1">
        <f t="array" aca="1" ref="S622" ca="1">IFERROR(INDEX(fesp!$J:$J, MATCH(1, (VALUE(LEFT(fesp!$A:$A,6))=VALUE(LEFT(B622,6)))*(fesp!$C:$C=C622), 0)), "")</f>
        <v>551850</v>
      </c>
    </row>
    <row r="623" spans="1:19">
      <c r="A623" s="1" t="s">
        <v>65</v>
      </c>
      <c r="B623" s="3" t="s">
        <v>64</v>
      </c>
      <c r="C623" s="3">
        <v>2020</v>
      </c>
      <c r="D623" cm="1">
        <f t="array" ref="D623">IFERROR(INDEX(fesp!$D:$D, MATCH(1, (VALUE(LEFT(fesp!$A:$A,6))=VALUE(LEFT(B623,6)))*(fesp!$C:$C=C623), 0)), "")</f>
        <v>0</v>
      </c>
      <c r="E623" cm="1">
        <f t="array" aca="1" ref="E623" ca="1">IFERROR(INDEX(ft_medicos_clinicos!$C:$C, MATCH(1, (VALUE(LEFT(ft_medicos_clinicos!$A:$A,6))=VALUE(LEFT(B623,6)))*(ft_medicos_clinicos!$B:$B=C623), 0)), "")</f>
        <v>484</v>
      </c>
      <c r="F623" cm="1">
        <f t="array" aca="1" ref="F623" ca="1">IFERROR(INDEX(ft_enfermeiros!$C:$C, MATCH(1, (VALUE(LEFT(ft_enfermeiros!$A:$A,6))=VALUE(LEFT(B623,6)))*(ft_enfermeiros!$B:$B=C623), 0)), "")</f>
        <v>874</v>
      </c>
      <c r="G623" cm="1">
        <f t="array" aca="1" ref="G623" ca="1">IFERROR(INDEX(ft_equipes_acs!$C:$C, MATCH(1, (VALUE(LEFT(ft_equipes_acs!$A:$A,6))=VALUE(LEFT(B623,6)))*(ft_equipes_acs!$B:$B=C623), 0)), "")</f>
        <v>2</v>
      </c>
      <c r="H623" cm="1">
        <f t="array" aca="1" ref="H623" ca="1">IFERROR(INDEX(ci_leitos_internacao!$C:$C, MATCH(1, (VALUE(LEFT(ci_leitos_internacao!$A:$A,6))=VALUE(LEFT(B623,6)))*(ci_leitos_internacao!$B:$B=C623), 0)), "")</f>
        <v>1148</v>
      </c>
      <c r="I623" cm="1">
        <f t="array" aca="1" ref="I623" ca="1">IFERROR(INDEX(ci_hospitais_internacao!$C:$C, MATCH(1, (VALUE(LEFT(ci_hospitais_internacao!$A:$A,6))=VALUE(LEFT(B623,6)))*(ci_hospitais_internacao!$B:$B=C623), 0)), "")</f>
        <v>6</v>
      </c>
      <c r="J623" t="str" cm="1">
        <f t="array" aca="1" ref="J623" ca="1">IFERROR(INDEX(ci_pa_clinico!$C:$C, MATCH(1, (VALUE(LEFT(ci_pa_clinico!$A:$A,6))=VALUE(LEFT(B623,6)))*(ci_pa_clinico!$B:$B=C623), 0)), "")</f>
        <v/>
      </c>
      <c r="K623" cm="1">
        <f t="array" aca="1" ref="K623" ca="1">IFERROR(INDEX(aps_equipes_esf!$C:$C, MATCH(1, (VALUE(LEFT(aps_equipes_esf!$A:$A,6))=VALUE(LEFT(B623,6)))*(aps_equipes_esf!$B:$B=C623), 0)), "")</f>
        <v>1</v>
      </c>
      <c r="L623" cm="1">
        <f t="array" aca="1" ref="L623" ca="1">IFERROR(INDEX(casos!$C:$C, MATCH(1, (VALUE(LEFT(casos!$A:$A,6))=VALUE(LEFT(B623,6)))*(casos!$B:$B=C623), 0)), "")</f>
        <v>8787</v>
      </c>
      <c r="M623" cm="1">
        <f t="array" ref="M623">IFERROR(INDEX(srag!$D:$D, MATCH(1, (VALUE(LEFT(srag!$A:$A,6))=VALUE(LEFT(B623,6)))*(srag!$C:$C=C623), 0)), "")</f>
        <v>2582</v>
      </c>
      <c r="N623" cm="1">
        <f t="array" aca="1" ref="N623" ca="1">IFERROR(INDEX(fesp!$E:$E, MATCH(1, (VALUE(LEFT(fesp!$A:$A,6))=VALUE(LEFT(B623,6)))*(fesp!$C:$C=C623), 0)), "")</f>
        <v>149</v>
      </c>
      <c r="O623" cm="1">
        <f t="array" aca="1" ref="O623" ca="1">IFERROR(INDEX(fesp!$F:$F, MATCH(1, (VALUE(LEFT(fesp!$A:$A,6))=VALUE(LEFT(B623,6)))*(fesp!$C:$C=C623), 0)), "")</f>
        <v>8335</v>
      </c>
      <c r="P623" cm="1">
        <f t="array" aca="1" ref="P623" ca="1">IFERROR(INDEX(fesp!$G:$G, MATCH(1, (VALUE(LEFT(fesp!$A:$A,6))=VALUE(LEFT(B623,6)))*(fesp!$C:$C=C623), 0)), "")</f>
        <v>3168076</v>
      </c>
      <c r="Q623" cm="1">
        <f t="array" aca="1" ref="Q623" ca="1">IFERROR(INDEX(fesp!$H:$H, MATCH(1, (VALUE(LEFT(fesp!$A:$A,6))=VALUE(LEFT(B623,6)))*(fesp!$C:$C=C623), 0)), "")</f>
        <v>36</v>
      </c>
      <c r="R623" cm="1">
        <f t="array" aca="1" ref="R623" ca="1">IFERROR(INDEX(fesp!$I:$I, MATCH(1, (VALUE(LEFT(fesp!$A:$A,6))=VALUE(LEFT(B623,6)))*(fesp!$C:$C=C623), 0)), "")</f>
        <v>34511</v>
      </c>
      <c r="S623" cm="1">
        <f t="array" aca="1" ref="S623" ca="1">IFERROR(INDEX(fesp!$J:$J, MATCH(1, (VALUE(LEFT(fesp!$A:$A,6))=VALUE(LEFT(B623,6)))*(fesp!$C:$C=C623), 0)), "")</f>
        <v>520652</v>
      </c>
    </row>
    <row r="624" spans="1:19">
      <c r="A624" s="1" t="s">
        <v>65</v>
      </c>
      <c r="B624" s="3" t="s">
        <v>64</v>
      </c>
      <c r="C624" s="3">
        <v>2021</v>
      </c>
      <c r="D624" cm="1">
        <f t="array" ref="D624">IFERROR(INDEX(fesp!$D:$D, MATCH(1, (VALUE(LEFT(fesp!$A:$A,6))=VALUE(LEFT(B624,6)))*(fesp!$C:$C=C624), 0)), "")</f>
        <v>0</v>
      </c>
      <c r="E624" cm="1">
        <f t="array" aca="1" ref="E624" ca="1">IFERROR(INDEX(ft_medicos_clinicos!$C:$C, MATCH(1, (VALUE(LEFT(ft_medicos_clinicos!$A:$A,6))=VALUE(LEFT(B624,6)))*(ft_medicos_clinicos!$B:$B=C624), 0)), "")</f>
        <v>502</v>
      </c>
      <c r="F624" cm="1">
        <f t="array" aca="1" ref="F624" ca="1">IFERROR(INDEX(ft_enfermeiros!$C:$C, MATCH(1, (VALUE(LEFT(ft_enfermeiros!$A:$A,6))=VALUE(LEFT(B624,6)))*(ft_enfermeiros!$B:$B=C624), 0)), "")</f>
        <v>971</v>
      </c>
      <c r="G624" cm="1">
        <f t="array" aca="1" ref="G624" ca="1">IFERROR(INDEX(ft_equipes_acs!$C:$C, MATCH(1, (VALUE(LEFT(ft_equipes_acs!$A:$A,6))=VALUE(LEFT(B624,6)))*(ft_equipes_acs!$B:$B=C624), 0)), "")</f>
        <v>2</v>
      </c>
      <c r="H624" cm="1">
        <f t="array" aca="1" ref="H624" ca="1">IFERROR(INDEX(ci_leitos_internacao!$C:$C, MATCH(1, (VALUE(LEFT(ci_leitos_internacao!$A:$A,6))=VALUE(LEFT(B624,6)))*(ci_leitos_internacao!$B:$B=C624), 0)), "")</f>
        <v>1213</v>
      </c>
      <c r="I624" cm="1">
        <f t="array" aca="1" ref="I624" ca="1">IFERROR(INDEX(ci_hospitais_internacao!$C:$C, MATCH(1, (VALUE(LEFT(ci_hospitais_internacao!$A:$A,6))=VALUE(LEFT(B624,6)))*(ci_hospitais_internacao!$B:$B=C624), 0)), "")</f>
        <v>6</v>
      </c>
      <c r="J624" t="str" cm="1">
        <f t="array" aca="1" ref="J624" ca="1">IFERROR(INDEX(ci_pa_clinico!$C:$C, MATCH(1, (VALUE(LEFT(ci_pa_clinico!$A:$A,6))=VALUE(LEFT(B624,6)))*(ci_pa_clinico!$B:$B=C624), 0)), "")</f>
        <v/>
      </c>
      <c r="K624" cm="1">
        <f t="array" aca="1" ref="K624" ca="1">IFERROR(INDEX(aps_equipes_esf!$C:$C, MATCH(1, (VALUE(LEFT(aps_equipes_esf!$A:$A,6))=VALUE(LEFT(B624,6)))*(aps_equipes_esf!$B:$B=C624), 0)), "")</f>
        <v>1</v>
      </c>
      <c r="L624" cm="1">
        <f t="array" aca="1" ref="L624" ca="1">IFERROR(INDEX(casos!$C:$C, MATCH(1, (VALUE(LEFT(casos!$A:$A,6))=VALUE(LEFT(B624,6)))*(casos!$B:$B=C624), 0)), "")</f>
        <v>16472</v>
      </c>
      <c r="M624" cm="1">
        <f t="array" ref="M624">IFERROR(INDEX(srag!$D:$D, MATCH(1, (VALUE(LEFT(srag!$A:$A,6))=VALUE(LEFT(B624,6)))*(srag!$C:$C=C624), 0)), "")</f>
        <v>5841</v>
      </c>
      <c r="N624" cm="1">
        <f t="array" aca="1" ref="N624" ca="1">IFERROR(INDEX(fesp!$E:$E, MATCH(1, (VALUE(LEFT(fesp!$A:$A,6))=VALUE(LEFT(B624,6)))*(fesp!$C:$C=C624), 0)), "")</f>
        <v>154</v>
      </c>
      <c r="O624" cm="1">
        <f t="array" aca="1" ref="O624" ca="1">IFERROR(INDEX(fesp!$F:$F, MATCH(1, (VALUE(LEFT(fesp!$A:$A,6))=VALUE(LEFT(B624,6)))*(fesp!$C:$C=C624), 0)), "")</f>
        <v>9154</v>
      </c>
      <c r="P624" cm="1">
        <f t="array" aca="1" ref="P624" ca="1">IFERROR(INDEX(fesp!$G:$G, MATCH(1, (VALUE(LEFT(fesp!$A:$A,6))=VALUE(LEFT(B624,6)))*(fesp!$C:$C=C624), 0)), "")</f>
        <v>3971654</v>
      </c>
      <c r="Q624" cm="1">
        <f t="array" aca="1" ref="Q624" ca="1">IFERROR(INDEX(fesp!$H:$H, MATCH(1, (VALUE(LEFT(fesp!$A:$A,6))=VALUE(LEFT(B624,6)))*(fesp!$C:$C=C624), 0)), "")</f>
        <v>18</v>
      </c>
      <c r="R624" cm="1">
        <f t="array" aca="1" ref="R624" ca="1">IFERROR(INDEX(fesp!$I:$I, MATCH(1, (VALUE(LEFT(fesp!$A:$A,6))=VALUE(LEFT(B624,6)))*(fesp!$C:$C=C624), 0)), "")</f>
        <v>35634</v>
      </c>
      <c r="S624" cm="1">
        <f t="array" aca="1" ref="S624" ca="1">IFERROR(INDEX(fesp!$J:$J, MATCH(1, (VALUE(LEFT(fesp!$A:$A,6))=VALUE(LEFT(B624,6)))*(fesp!$C:$C=C624), 0)), "")</f>
        <v>594046</v>
      </c>
    </row>
    <row r="625" spans="1:19">
      <c r="A625" s="1" t="s">
        <v>65</v>
      </c>
      <c r="B625" s="3" t="s">
        <v>64</v>
      </c>
      <c r="C625" s="3">
        <v>2022</v>
      </c>
      <c r="D625" cm="1">
        <f t="array" ref="D625">IFERROR(INDEX(fesp!$D:$D, MATCH(1, (VALUE(LEFT(fesp!$A:$A,6))=VALUE(LEFT(B625,6)))*(fesp!$C:$C=C625), 0)), "")</f>
        <v>616317</v>
      </c>
      <c r="E625" cm="1">
        <f t="array" aca="1" ref="E625" ca="1">IFERROR(INDEX(ft_medicos_clinicos!$C:$C, MATCH(1, (VALUE(LEFT(ft_medicos_clinicos!$A:$A,6))=VALUE(LEFT(B625,6)))*(ft_medicos_clinicos!$B:$B=C625), 0)), "")</f>
        <v>499</v>
      </c>
      <c r="F625" cm="1">
        <f t="array" aca="1" ref="F625" ca="1">IFERROR(INDEX(ft_enfermeiros!$C:$C, MATCH(1, (VALUE(LEFT(ft_enfermeiros!$A:$A,6))=VALUE(LEFT(B625,6)))*(ft_enfermeiros!$B:$B=C625), 0)), "")</f>
        <v>936</v>
      </c>
      <c r="G625" cm="1">
        <f t="array" aca="1" ref="G625" ca="1">IFERROR(INDEX(ft_equipes_acs!$C:$C, MATCH(1, (VALUE(LEFT(ft_equipes_acs!$A:$A,6))=VALUE(LEFT(B625,6)))*(ft_equipes_acs!$B:$B=C625), 0)), "")</f>
        <v>2</v>
      </c>
      <c r="H625" cm="1">
        <f t="array" aca="1" ref="H625" ca="1">IFERROR(INDEX(ci_leitos_internacao!$C:$C, MATCH(1, (VALUE(LEFT(ci_leitos_internacao!$A:$A,6))=VALUE(LEFT(B625,6)))*(ci_leitos_internacao!$B:$B=C625), 0)), "")</f>
        <v>1122</v>
      </c>
      <c r="I625" cm="1">
        <f t="array" aca="1" ref="I625" ca="1">IFERROR(INDEX(ci_hospitais_internacao!$C:$C, MATCH(1, (VALUE(LEFT(ci_hospitais_internacao!$A:$A,6))=VALUE(LEFT(B625,6)))*(ci_hospitais_internacao!$B:$B=C625), 0)), "")</f>
        <v>6</v>
      </c>
      <c r="J625" t="str" cm="1">
        <f t="array" aca="1" ref="J625" ca="1">IFERROR(INDEX(ci_pa_clinico!$C:$C, MATCH(1, (VALUE(LEFT(ci_pa_clinico!$A:$A,6))=VALUE(LEFT(B625,6)))*(ci_pa_clinico!$B:$B=C625), 0)), "")</f>
        <v/>
      </c>
      <c r="K625" cm="1">
        <f t="array" aca="1" ref="K625" ca="1">IFERROR(INDEX(aps_equipes_esf!$C:$C, MATCH(1, (VALUE(LEFT(aps_equipes_esf!$A:$A,6))=VALUE(LEFT(B625,6)))*(aps_equipes_esf!$B:$B=C625), 0)), "")</f>
        <v>1</v>
      </c>
      <c r="L625" cm="1">
        <f t="array" aca="1" ref="L625" ca="1">IFERROR(INDEX(casos!$C:$C, MATCH(1, (VALUE(LEFT(casos!$A:$A,6))=VALUE(LEFT(B625,6)))*(casos!$B:$B=C625), 0)), "")</f>
        <v>21499</v>
      </c>
      <c r="M625" cm="1">
        <f t="array" ref="M625">IFERROR(INDEX(srag!$D:$D, MATCH(1, (VALUE(LEFT(srag!$A:$A,6))=VALUE(LEFT(B625,6)))*(srag!$C:$C=C625), 0)), "")</f>
        <v>1516</v>
      </c>
      <c r="N625" cm="1">
        <f t="array" aca="1" ref="N625" ca="1">IFERROR(INDEX(fesp!$E:$E, MATCH(1, (VALUE(LEFT(fesp!$A:$A,6))=VALUE(LEFT(B625,6)))*(fesp!$C:$C=C625), 0)), "")</f>
        <v>176</v>
      </c>
      <c r="O625" cm="1">
        <f t="array" aca="1" ref="O625" ca="1">IFERROR(INDEX(fesp!$F:$F, MATCH(1, (VALUE(LEFT(fesp!$A:$A,6))=VALUE(LEFT(B625,6)))*(fesp!$C:$C=C625), 0)), "")</f>
        <v>8124</v>
      </c>
      <c r="P625" cm="1">
        <f t="array" aca="1" ref="P625" ca="1">IFERROR(INDEX(fesp!$G:$G, MATCH(1, (VALUE(LEFT(fesp!$A:$A,6))=VALUE(LEFT(B625,6)))*(fesp!$C:$C=C625), 0)), "")</f>
        <v>4316570</v>
      </c>
      <c r="Q625" cm="1">
        <f t="array" aca="1" ref="Q625" ca="1">IFERROR(INDEX(fesp!$H:$H, MATCH(1, (VALUE(LEFT(fesp!$A:$A,6))=VALUE(LEFT(B625,6)))*(fesp!$C:$C=C625), 0)), "")</f>
        <v>28</v>
      </c>
      <c r="R625" cm="1">
        <f t="array" aca="1" ref="R625" ca="1">IFERROR(INDEX(fesp!$I:$I, MATCH(1, (VALUE(LEFT(fesp!$A:$A,6))=VALUE(LEFT(B625,6)))*(fesp!$C:$C=C625), 0)), "")</f>
        <v>40571</v>
      </c>
      <c r="S625" cm="1">
        <f t="array" aca="1" ref="S625" ca="1">IFERROR(INDEX(fesp!$J:$J, MATCH(1, (VALUE(LEFT(fesp!$A:$A,6))=VALUE(LEFT(B625,6)))*(fesp!$C:$C=C625), 0)), "")</f>
        <v>598510</v>
      </c>
    </row>
    <row r="626" spans="1:19">
      <c r="A626" s="1" t="s">
        <v>65</v>
      </c>
      <c r="B626" s="3" t="s">
        <v>64</v>
      </c>
      <c r="C626" s="3">
        <v>2023</v>
      </c>
      <c r="D626" cm="1">
        <f t="array" ref="D626">IFERROR(INDEX(fesp!$D:$D, MATCH(1, (VALUE(LEFT(fesp!$A:$A,6))=VALUE(LEFT(B626,6)))*(fesp!$C:$C=C626), 0)), "")</f>
        <v>0</v>
      </c>
      <c r="E626" cm="1">
        <f t="array" aca="1" ref="E626" ca="1">IFERROR(INDEX(ft_medicos_clinicos!$C:$C, MATCH(1, (VALUE(LEFT(ft_medicos_clinicos!$A:$A,6))=VALUE(LEFT(B626,6)))*(ft_medicos_clinicos!$B:$B=C626), 0)), "")</f>
        <v>500</v>
      </c>
      <c r="F626" cm="1">
        <f t="array" aca="1" ref="F626" ca="1">IFERROR(INDEX(ft_enfermeiros!$C:$C, MATCH(1, (VALUE(LEFT(ft_enfermeiros!$A:$A,6))=VALUE(LEFT(B626,6)))*(ft_enfermeiros!$B:$B=C626), 0)), "")</f>
        <v>1006</v>
      </c>
      <c r="G626" cm="1">
        <f t="array" aca="1" ref="G626" ca="1">IFERROR(INDEX(ft_equipes_acs!$C:$C, MATCH(1, (VALUE(LEFT(ft_equipes_acs!$A:$A,6))=VALUE(LEFT(B626,6)))*(ft_equipes_acs!$B:$B=C626), 0)), "")</f>
        <v>2</v>
      </c>
      <c r="H626" cm="1">
        <f t="array" aca="1" ref="H626" ca="1">IFERROR(INDEX(ci_leitos_internacao!$C:$C, MATCH(1, (VALUE(LEFT(ci_leitos_internacao!$A:$A,6))=VALUE(LEFT(B626,6)))*(ci_leitos_internacao!$B:$B=C626), 0)), "")</f>
        <v>1136</v>
      </c>
      <c r="I626" cm="1">
        <f t="array" aca="1" ref="I626" ca="1">IFERROR(INDEX(ci_hospitais_internacao!$C:$C, MATCH(1, (VALUE(LEFT(ci_hospitais_internacao!$A:$A,6))=VALUE(LEFT(B626,6)))*(ci_hospitais_internacao!$B:$B=C626), 0)), "")</f>
        <v>6</v>
      </c>
      <c r="J626" t="str" cm="1">
        <f t="array" aca="1" ref="J626" ca="1">IFERROR(INDEX(ci_pa_clinico!$C:$C, MATCH(1, (VALUE(LEFT(ci_pa_clinico!$A:$A,6))=VALUE(LEFT(B626,6)))*(ci_pa_clinico!$B:$B=C626), 0)), "")</f>
        <v/>
      </c>
      <c r="K626" cm="1">
        <f t="array" aca="1" ref="K626" ca="1">IFERROR(INDEX(aps_equipes_esf!$C:$C, MATCH(1, (VALUE(LEFT(aps_equipes_esf!$A:$A,6))=VALUE(LEFT(B626,6)))*(aps_equipes_esf!$B:$B=C626), 0)), "")</f>
        <v>1</v>
      </c>
      <c r="L626" cm="1">
        <f t="array" aca="1" ref="L626" ca="1">IFERROR(INDEX(casos!$C:$C, MATCH(1, (VALUE(LEFT(casos!$A:$A,6))=VALUE(LEFT(B626,6)))*(casos!$B:$B=C626), 0)), "")</f>
        <v>46152</v>
      </c>
      <c r="M626" cm="1">
        <f t="array" ref="M626">IFERROR(INDEX(srag!$D:$D, MATCH(1, (VALUE(LEFT(srag!$A:$A,6))=VALUE(LEFT(B626,6)))*(srag!$C:$C=C626), 0)), "")</f>
        <v>740</v>
      </c>
      <c r="N626" cm="1">
        <f t="array" aca="1" ref="N626" ca="1">IFERROR(INDEX(fesp!$E:$E, MATCH(1, (VALUE(LEFT(fesp!$A:$A,6))=VALUE(LEFT(B626,6)))*(fesp!$C:$C=C626), 0)), "")</f>
        <v>202</v>
      </c>
      <c r="O626" cm="1">
        <f t="array" aca="1" ref="O626" ca="1">IFERROR(INDEX(fesp!$F:$F, MATCH(1, (VALUE(LEFT(fesp!$A:$A,6))=VALUE(LEFT(B626,6)))*(fesp!$C:$C=C626), 0)), "")</f>
        <v>6966</v>
      </c>
      <c r="P626" cm="1">
        <f t="array" aca="1" ref="P626" ca="1">IFERROR(INDEX(fesp!$G:$G, MATCH(1, (VALUE(LEFT(fesp!$A:$A,6))=VALUE(LEFT(B626,6)))*(fesp!$C:$C=C626), 0)), "")</f>
        <v>4800758</v>
      </c>
      <c r="Q626" cm="1">
        <f t="array" aca="1" ref="Q626" ca="1">IFERROR(INDEX(fesp!$H:$H, MATCH(1, (VALUE(LEFT(fesp!$A:$A,6))=VALUE(LEFT(B626,6)))*(fesp!$C:$C=C626), 0)), "")</f>
        <v>27</v>
      </c>
      <c r="R626" cm="1">
        <f t="array" aca="1" ref="R626" ca="1">IFERROR(INDEX(fesp!$I:$I, MATCH(1, (VALUE(LEFT(fesp!$A:$A,6))=VALUE(LEFT(B626,6)))*(fesp!$C:$C=C626), 0)), "")</f>
        <v>38328</v>
      </c>
      <c r="S626" cm="1">
        <f t="array" aca="1" ref="S626" ca="1">IFERROR(INDEX(fesp!$J:$J, MATCH(1, (VALUE(LEFT(fesp!$A:$A,6))=VALUE(LEFT(B626,6)))*(fesp!$C:$C=C626), 0)), "")</f>
        <v>632391</v>
      </c>
    </row>
    <row r="627" spans="1:19">
      <c r="A627" s="1" t="s">
        <v>65</v>
      </c>
      <c r="B627" s="3" t="s">
        <v>64</v>
      </c>
      <c r="C627" s="3">
        <v>2024</v>
      </c>
      <c r="D627" cm="1">
        <f t="array" ref="D627">IFERROR(INDEX(fesp!$D:$D, MATCH(1, (VALUE(LEFT(fesp!$A:$A,6))=VALUE(LEFT(B627,6)))*(fesp!$C:$C=C627), 0)), "")</f>
        <v>0</v>
      </c>
      <c r="E627" cm="1">
        <f t="array" aca="1" ref="E627" ca="1">IFERROR(INDEX(ft_medicos_clinicos!$C:$C, MATCH(1, (VALUE(LEFT(ft_medicos_clinicos!$A:$A,6))=VALUE(LEFT(B627,6)))*(ft_medicos_clinicos!$B:$B=C627), 0)), "")</f>
        <v>562</v>
      </c>
      <c r="F627" cm="1">
        <f t="array" aca="1" ref="F627" ca="1">IFERROR(INDEX(ft_enfermeiros!$C:$C, MATCH(1, (VALUE(LEFT(ft_enfermeiros!$A:$A,6))=VALUE(LEFT(B627,6)))*(ft_enfermeiros!$B:$B=C627), 0)), "")</f>
        <v>1071</v>
      </c>
      <c r="G627" cm="1">
        <f t="array" aca="1" ref="G627" ca="1">IFERROR(INDEX(ft_equipes_acs!$C:$C, MATCH(1, (VALUE(LEFT(ft_equipes_acs!$A:$A,6))=VALUE(LEFT(B627,6)))*(ft_equipes_acs!$B:$B=C627), 0)), "")</f>
        <v>2</v>
      </c>
      <c r="H627" cm="1">
        <f t="array" aca="1" ref="H627" ca="1">IFERROR(INDEX(ci_leitos_internacao!$C:$C, MATCH(1, (VALUE(LEFT(ci_leitos_internacao!$A:$A,6))=VALUE(LEFT(B627,6)))*(ci_leitos_internacao!$B:$B=C627), 0)), "")</f>
        <v>1217</v>
      </c>
      <c r="I627" cm="1">
        <f t="array" aca="1" ref="I627" ca="1">IFERROR(INDEX(ci_hospitais_internacao!$C:$C, MATCH(1, (VALUE(LEFT(ci_hospitais_internacao!$A:$A,6))=VALUE(LEFT(B627,6)))*(ci_hospitais_internacao!$B:$B=C627), 0)), "")</f>
        <v>7</v>
      </c>
      <c r="J627" t="str" cm="1">
        <f t="array" aca="1" ref="J627" ca="1">IFERROR(INDEX(ci_pa_clinico!$C:$C, MATCH(1, (VALUE(LEFT(ci_pa_clinico!$A:$A,6))=VALUE(LEFT(B627,6)))*(ci_pa_clinico!$B:$B=C627), 0)), "")</f>
        <v/>
      </c>
      <c r="K627" cm="1">
        <f t="array" aca="1" ref="K627" ca="1">IFERROR(INDEX(aps_equipes_esf!$C:$C, MATCH(1, (VALUE(LEFT(aps_equipes_esf!$A:$A,6))=VALUE(LEFT(B627,6)))*(aps_equipes_esf!$B:$B=C627), 0)), "")</f>
        <v>1</v>
      </c>
      <c r="L627" cm="1">
        <f t="array" aca="1" ref="L627" ca="1">IFERROR(INDEX(casos!$C:$C, MATCH(1, (VALUE(LEFT(casos!$A:$A,6))=VALUE(LEFT(B627,6)))*(casos!$B:$B=C627), 0)), "")</f>
        <v>83097</v>
      </c>
      <c r="M627" cm="1">
        <f t="array" ref="M627">IFERROR(INDEX(srag!$D:$D, MATCH(1, (VALUE(LEFT(srag!$A:$A,6))=VALUE(LEFT(B627,6)))*(srag!$C:$C=C627), 0)), "")</f>
        <v>718</v>
      </c>
      <c r="N627" cm="1">
        <f t="array" aca="1" ref="N627" ca="1">IFERROR(INDEX(fesp!$E:$E, MATCH(1, (VALUE(LEFT(fesp!$A:$A,6))=VALUE(LEFT(B627,6)))*(fesp!$C:$C=C627), 0)), "")</f>
        <v>200</v>
      </c>
      <c r="O627" cm="1">
        <f t="array" aca="1" ref="O627" ca="1">IFERROR(INDEX(fesp!$F:$F, MATCH(1, (VALUE(LEFT(fesp!$A:$A,6))=VALUE(LEFT(B627,6)))*(fesp!$C:$C=C627), 0)), "")</f>
        <v>13218</v>
      </c>
      <c r="P627" cm="1">
        <f t="array" aca="1" ref="P627" ca="1">IFERROR(INDEX(fesp!$G:$G, MATCH(1, (VALUE(LEFT(fesp!$A:$A,6))=VALUE(LEFT(B627,6)))*(fesp!$C:$C=C627), 0)), "")</f>
        <v>4765707</v>
      </c>
      <c r="Q627" cm="1">
        <f t="array" aca="1" ref="Q627" ca="1">IFERROR(INDEX(fesp!$H:$H, MATCH(1, (VALUE(LEFT(fesp!$A:$A,6))=VALUE(LEFT(B627,6)))*(fesp!$C:$C=C627), 0)), "")</f>
        <v>67</v>
      </c>
      <c r="R627" cm="1">
        <f t="array" aca="1" ref="R627" ca="1">IFERROR(INDEX(fesp!$I:$I, MATCH(1, (VALUE(LEFT(fesp!$A:$A,6))=VALUE(LEFT(B627,6)))*(fesp!$C:$C=C627), 0)), "")</f>
        <v>6739</v>
      </c>
      <c r="S627" cm="1">
        <f t="array" aca="1" ref="S627" ca="1">IFERROR(INDEX(fesp!$J:$J, MATCH(1, (VALUE(LEFT(fesp!$A:$A,6))=VALUE(LEFT(B627,6)))*(fesp!$C:$C=C627), 0)), "")</f>
        <v>108990</v>
      </c>
    </row>
    <row r="628" spans="1:19">
      <c r="A628" s="1" t="s">
        <v>65</v>
      </c>
      <c r="B628" s="3" t="s">
        <v>64</v>
      </c>
      <c r="C628" s="3">
        <v>2025</v>
      </c>
      <c r="D628" cm="1">
        <f t="array" ref="D628">IFERROR(INDEX(fesp!$D:$D, MATCH(1, (VALUE(LEFT(fesp!$A:$A,6))=VALUE(LEFT(B628,6)))*(fesp!$C:$C=C628), 0)), "")</f>
        <v>0</v>
      </c>
      <c r="E628" cm="1">
        <f t="array" aca="1" ref="E628" ca="1">IFERROR(INDEX(ft_medicos_clinicos!$C:$C, MATCH(1, (VALUE(LEFT(ft_medicos_clinicos!$A:$A,6))=VALUE(LEFT(B628,6)))*(ft_medicos_clinicos!$B:$B=C628), 0)), "")</f>
        <v>532</v>
      </c>
      <c r="F628" cm="1">
        <f t="array" aca="1" ref="F628" ca="1">IFERROR(INDEX(ft_enfermeiros!$C:$C, MATCH(1, (VALUE(LEFT(ft_enfermeiros!$A:$A,6))=VALUE(LEFT(B628,6)))*(ft_enfermeiros!$B:$B=C628), 0)), "")</f>
        <v>1103</v>
      </c>
      <c r="G628" cm="1">
        <f t="array" aca="1" ref="G628" ca="1">IFERROR(INDEX(ft_equipes_acs!$C:$C, MATCH(1, (VALUE(LEFT(ft_equipes_acs!$A:$A,6))=VALUE(LEFT(B628,6)))*(ft_equipes_acs!$B:$B=C628), 0)), "")</f>
        <v>2</v>
      </c>
      <c r="H628" cm="1">
        <f t="array" aca="1" ref="H628" ca="1">IFERROR(INDEX(ci_leitos_internacao!$C:$C, MATCH(1, (VALUE(LEFT(ci_leitos_internacao!$A:$A,6))=VALUE(LEFT(B628,6)))*(ci_leitos_internacao!$B:$B=C628), 0)), "")</f>
        <v>1214</v>
      </c>
      <c r="I628" cm="1">
        <f t="array" aca="1" ref="I628" ca="1">IFERROR(INDEX(ci_hospitais_internacao!$C:$C, MATCH(1, (VALUE(LEFT(ci_hospitais_internacao!$A:$A,6))=VALUE(LEFT(B628,6)))*(ci_hospitais_internacao!$B:$B=C628), 0)), "")</f>
        <v>7</v>
      </c>
      <c r="J628" t="str" cm="1">
        <f t="array" aca="1" ref="J628" ca="1">IFERROR(INDEX(ci_pa_clinico!$C:$C, MATCH(1, (VALUE(LEFT(ci_pa_clinico!$A:$A,6))=VALUE(LEFT(B628,6)))*(ci_pa_clinico!$B:$B=C628), 0)), "")</f>
        <v/>
      </c>
      <c r="K628" cm="1">
        <f t="array" aca="1" ref="K628" ca="1">IFERROR(INDEX(aps_equipes_esf!$C:$C, MATCH(1, (VALUE(LEFT(aps_equipes_esf!$A:$A,6))=VALUE(LEFT(B628,6)))*(aps_equipes_esf!$B:$B=C628), 0)), "")</f>
        <v>1</v>
      </c>
      <c r="L628" cm="1">
        <f t="array" aca="1" ref="L628" ca="1">IFERROR(INDEX(casos!$C:$C, MATCH(1, (VALUE(LEFT(casos!$A:$A,6))=VALUE(LEFT(B628,6)))*(casos!$B:$B=C628), 0)), "")</f>
        <v>1523</v>
      </c>
      <c r="M628" cm="1">
        <f t="array" ref="M628">IFERROR(INDEX(srag!$D:$D, MATCH(1, (VALUE(LEFT(srag!$A:$A,6))=VALUE(LEFT(B628,6)))*(srag!$C:$C=C628), 0)), "")</f>
        <v>794</v>
      </c>
      <c r="N628" cm="1">
        <f t="array" aca="1" ref="N628" ca="1">IFERROR(INDEX(fesp!$E:$E, MATCH(1, (VALUE(LEFT(fesp!$A:$A,6))=VALUE(LEFT(B628,6)))*(fesp!$C:$C=C628), 0)), "")</f>
        <v>153</v>
      </c>
      <c r="O628" cm="1">
        <f t="array" aca="1" ref="O628" ca="1">IFERROR(INDEX(fesp!$F:$F, MATCH(1, (VALUE(LEFT(fesp!$A:$A,6))=VALUE(LEFT(B628,6)))*(fesp!$C:$C=C628), 0)), "")</f>
        <v>11620</v>
      </c>
      <c r="P628" cm="1">
        <f t="array" aca="1" ref="P628" ca="1">IFERROR(INDEX(fesp!$G:$G, MATCH(1, (VALUE(LEFT(fesp!$A:$A,6))=VALUE(LEFT(B628,6)))*(fesp!$C:$C=C628), 0)), "")</f>
        <v>4000467</v>
      </c>
      <c r="Q628" cm="1">
        <f t="array" aca="1" ref="Q628" ca="1">IFERROR(INDEX(fesp!$H:$H, MATCH(1, (VALUE(LEFT(fesp!$A:$A,6))=VALUE(LEFT(B628,6)))*(fesp!$C:$C=C628), 0)), "")</f>
        <v>31</v>
      </c>
      <c r="R628" cm="1">
        <f t="array" aca="1" ref="R628" ca="1">IFERROR(INDEX(fesp!$I:$I, MATCH(1, (VALUE(LEFT(fesp!$A:$A,6))=VALUE(LEFT(B628,6)))*(fesp!$C:$C=C628), 0)), "")</f>
        <v>0</v>
      </c>
      <c r="S628" cm="1">
        <f t="array" aca="1" ref="S628" ca="1">IFERROR(INDEX(fesp!$J:$J, MATCH(1, (VALUE(LEFT(fesp!$A:$A,6))=VALUE(LEFT(B628,6)))*(fesp!$C:$C=C628), 0)), "")</f>
        <v>20</v>
      </c>
    </row>
    <row r="629" spans="1:19">
      <c r="A629" s="1" t="s">
        <v>101</v>
      </c>
      <c r="B629" s="3">
        <v>4305108</v>
      </c>
      <c r="C629" s="3">
        <v>2015</v>
      </c>
      <c r="D629" cm="1">
        <f t="array" ref="D629">IFERROR(INDEX(fesp!$D:$D, MATCH(1, (VALUE(LEFT(fesp!$A:$A,6))=VALUE(LEFT(B629,6)))*(fesp!$C:$C=C629), 0)), "")</f>
        <v>474853</v>
      </c>
      <c r="E629" cm="1">
        <f t="array" aca="1" ref="E629" ca="1">IFERROR(INDEX(ft_medicos_clinicos!$C:$C, MATCH(1, (VALUE(LEFT(ft_medicos_clinicos!$A:$A,6))=VALUE(LEFT(B629,6)))*(ft_medicos_clinicos!$B:$B=C629), 0)), "")</f>
        <v>608</v>
      </c>
      <c r="F629" cm="1">
        <f t="array" aca="1" ref="F629" ca="1">IFERROR(INDEX(ft_enfermeiros!$C:$C, MATCH(1, (VALUE(LEFT(ft_enfermeiros!$A:$A,6))=VALUE(LEFT(B629,6)))*(ft_enfermeiros!$B:$B=C629), 0)), "")</f>
        <v>525</v>
      </c>
      <c r="G629" cm="1">
        <f t="array" aca="1" ref="G629" ca="1">IFERROR(INDEX(ft_equipes_acs!$C:$C, MATCH(1, (VALUE(LEFT(ft_equipes_acs!$A:$A,6))=VALUE(LEFT(B629,6)))*(ft_equipes_acs!$B:$B=C629), 0)), "")</f>
        <v>14</v>
      </c>
      <c r="H629" cm="1">
        <f t="array" aca="1" ref="H629" ca="1">IFERROR(INDEX(ci_leitos_internacao!$C:$C, MATCH(1, (VALUE(LEFT(ci_leitos_internacao!$A:$A,6))=VALUE(LEFT(B629,6)))*(ci_leitos_internacao!$B:$B=C629), 0)), "")</f>
        <v>1183</v>
      </c>
      <c r="I629" cm="1">
        <f t="array" aca="1" ref="I629" ca="1">IFERROR(INDEX(ci_hospitais_internacao!$C:$C, MATCH(1, (VALUE(LEFT(ci_hospitais_internacao!$A:$A,6))=VALUE(LEFT(B629,6)))*(ci_hospitais_internacao!$B:$B=C629), 0)), "")</f>
        <v>4</v>
      </c>
      <c r="J629" cm="1">
        <f t="array" aca="1" ref="J629" ca="1">IFERROR(INDEX(ci_pa_clinico!$C:$C, MATCH(1, (VALUE(LEFT(ci_pa_clinico!$A:$A,6))=VALUE(LEFT(B629,6)))*(ci_pa_clinico!$B:$B=C629), 0)), "")</f>
        <v>7</v>
      </c>
      <c r="K629" cm="1">
        <f t="array" aca="1" ref="K629" ca="1">IFERROR(INDEX(aps_equipes_esf!$C:$C, MATCH(1, (VALUE(LEFT(aps_equipes_esf!$A:$A,6))=VALUE(LEFT(B629,6)))*(aps_equipes_esf!$B:$B=C629), 0)), "")</f>
        <v>18</v>
      </c>
      <c r="L629" cm="1">
        <f t="array" aca="1" ref="L629" ca="1">IFERROR(INDEX(casos!$C:$C, MATCH(1, (VALUE(LEFT(casos!$A:$A,6))=VALUE(LEFT(B629,6)))*(casos!$B:$B=C629), 0)), "")</f>
        <v>21</v>
      </c>
      <c r="M629" cm="1">
        <f t="array" ref="M629">IFERROR(INDEX(srag!$D:$D, MATCH(1, (VALUE(LEFT(srag!$A:$A,6))=VALUE(LEFT(B629,6)))*(srag!$C:$C=C629), 0)), "")</f>
        <v>8</v>
      </c>
      <c r="N629" cm="1">
        <f t="array" aca="1" ref="N629" ca="1">IFERROR(INDEX(fesp!$E:$E, MATCH(1, (VALUE(LEFT(fesp!$A:$A,6))=VALUE(LEFT(B629,6)))*(fesp!$C:$C=C629), 0)), "")</f>
        <v>89</v>
      </c>
      <c r="O629" cm="1">
        <f t="array" aca="1" ref="O629" ca="1">IFERROR(INDEX(fesp!$F:$F, MATCH(1, (VALUE(LEFT(fesp!$A:$A,6))=VALUE(LEFT(B629,6)))*(fesp!$C:$C=C629), 0)), "")</f>
        <v>1534</v>
      </c>
      <c r="P629" cm="1">
        <f t="array" aca="1" ref="P629" ca="1">IFERROR(INDEX(fesp!$G:$G, MATCH(1, (VALUE(LEFT(fesp!$A:$A,6))=VALUE(LEFT(B629,6)))*(fesp!$C:$C=C629), 0)), "")</f>
        <v>2389486</v>
      </c>
      <c r="Q629" cm="1">
        <f t="array" aca="1" ref="Q629" ca="1">IFERROR(INDEX(fesp!$H:$H, MATCH(1, (VALUE(LEFT(fesp!$A:$A,6))=VALUE(LEFT(B629,6)))*(fesp!$C:$C=C629), 0)), "")</f>
        <v>13</v>
      </c>
      <c r="R629" cm="1">
        <f t="array" aca="1" ref="R629" ca="1">IFERROR(INDEX(fesp!$I:$I, MATCH(1, (VALUE(LEFT(fesp!$A:$A,6))=VALUE(LEFT(B629,6)))*(fesp!$C:$C=C629), 0)), "")</f>
        <v>250</v>
      </c>
      <c r="S629" cm="1">
        <f t="array" aca="1" ref="S629" ca="1">IFERROR(INDEX(fesp!$J:$J, MATCH(1, (VALUE(LEFT(fesp!$A:$A,6))=VALUE(LEFT(B629,6)))*(fesp!$C:$C=C629), 0)), "")</f>
        <v>240177</v>
      </c>
    </row>
    <row r="630" spans="1:19">
      <c r="A630" s="1" t="s">
        <v>101</v>
      </c>
      <c r="B630" s="3" t="s">
        <v>100</v>
      </c>
      <c r="C630" s="3">
        <v>2016</v>
      </c>
      <c r="D630" cm="1">
        <f t="array" ref="D630">IFERROR(INDEX(fesp!$D:$D, MATCH(1, (VALUE(LEFT(fesp!$A:$A,6))=VALUE(LEFT(B630,6)))*(fesp!$C:$C=C630), 0)), "")</f>
        <v>0</v>
      </c>
      <c r="E630" cm="1">
        <f t="array" aca="1" ref="E630" ca="1">IFERROR(INDEX(ft_medicos_clinicos!$C:$C, MATCH(1, (VALUE(LEFT(ft_medicos_clinicos!$A:$A,6))=VALUE(LEFT(B630,6)))*(ft_medicos_clinicos!$B:$B=C630), 0)), "")</f>
        <v>623</v>
      </c>
      <c r="F630" cm="1">
        <f t="array" aca="1" ref="F630" ca="1">IFERROR(INDEX(ft_enfermeiros!$C:$C, MATCH(1, (VALUE(LEFT(ft_enfermeiros!$A:$A,6))=VALUE(LEFT(B630,6)))*(ft_enfermeiros!$B:$B=C630), 0)), "")</f>
        <v>592</v>
      </c>
      <c r="G630" cm="1">
        <f t="array" aca="1" ref="G630" ca="1">IFERROR(INDEX(ft_equipes_acs!$C:$C, MATCH(1, (VALUE(LEFT(ft_equipes_acs!$A:$A,6))=VALUE(LEFT(B630,6)))*(ft_equipes_acs!$B:$B=C630), 0)), "")</f>
        <v>14</v>
      </c>
      <c r="H630" cm="1">
        <f t="array" aca="1" ref="H630" ca="1">IFERROR(INDEX(ci_leitos_internacao!$C:$C, MATCH(1, (VALUE(LEFT(ci_leitos_internacao!$A:$A,6))=VALUE(LEFT(B630,6)))*(ci_leitos_internacao!$B:$B=C630), 0)), "")</f>
        <v>1183</v>
      </c>
      <c r="I630" cm="1">
        <f t="array" aca="1" ref="I630" ca="1">IFERROR(INDEX(ci_hospitais_internacao!$C:$C, MATCH(1, (VALUE(LEFT(ci_hospitais_internacao!$A:$A,6))=VALUE(LEFT(B630,6)))*(ci_hospitais_internacao!$B:$B=C630), 0)), "")</f>
        <v>4</v>
      </c>
      <c r="J630" cm="1">
        <f t="array" aca="1" ref="J630" ca="1">IFERROR(INDEX(ci_pa_clinico!$C:$C, MATCH(1, (VALUE(LEFT(ci_pa_clinico!$A:$A,6))=VALUE(LEFT(B630,6)))*(ci_pa_clinico!$B:$B=C630), 0)), "")</f>
        <v>7</v>
      </c>
      <c r="K630" cm="1">
        <f t="array" aca="1" ref="K630" ca="1">IFERROR(INDEX(aps_equipes_esf!$C:$C, MATCH(1, (VALUE(LEFT(aps_equipes_esf!$A:$A,6))=VALUE(LEFT(B630,6)))*(aps_equipes_esf!$B:$B=C630), 0)), "")</f>
        <v>18</v>
      </c>
      <c r="L630" cm="1">
        <f t="array" aca="1" ref="L630" ca="1">IFERROR(INDEX(casos!$C:$C, MATCH(1, (VALUE(LEFT(casos!$A:$A,6))=VALUE(LEFT(B630,6)))*(casos!$B:$B=C630), 0)), "")</f>
        <v>25</v>
      </c>
      <c r="M630" cm="1">
        <f t="array" ref="M630">IFERROR(INDEX(srag!$D:$D, MATCH(1, (VALUE(LEFT(srag!$A:$A,6))=VALUE(LEFT(B630,6)))*(srag!$C:$C=C630), 0)), "")</f>
        <v>204</v>
      </c>
      <c r="N630" cm="1">
        <f t="array" aca="1" ref="N630" ca="1">IFERROR(INDEX(fesp!$E:$E, MATCH(1, (VALUE(LEFT(fesp!$A:$A,6))=VALUE(LEFT(B630,6)))*(fesp!$C:$C=C630), 0)), "")</f>
        <v>80</v>
      </c>
      <c r="O630" cm="1">
        <f t="array" aca="1" ref="O630" ca="1">IFERROR(INDEX(fesp!$F:$F, MATCH(1, (VALUE(LEFT(fesp!$A:$A,6))=VALUE(LEFT(B630,6)))*(fesp!$C:$C=C630), 0)), "")</f>
        <v>1641</v>
      </c>
      <c r="P630" cm="1">
        <f t="array" aca="1" ref="P630" ca="1">IFERROR(INDEX(fesp!$G:$G, MATCH(1, (VALUE(LEFT(fesp!$A:$A,6))=VALUE(LEFT(B630,6)))*(fesp!$C:$C=C630), 0)), "")</f>
        <v>2430269</v>
      </c>
      <c r="Q630" cm="1">
        <f t="array" aca="1" ref="Q630" ca="1">IFERROR(INDEX(fesp!$H:$H, MATCH(1, (VALUE(LEFT(fesp!$A:$A,6))=VALUE(LEFT(B630,6)))*(fesp!$C:$C=C630), 0)), "")</f>
        <v>23</v>
      </c>
      <c r="R630" cm="1">
        <f t="array" aca="1" ref="R630" ca="1">IFERROR(INDEX(fesp!$I:$I, MATCH(1, (VALUE(LEFT(fesp!$A:$A,6))=VALUE(LEFT(B630,6)))*(fesp!$C:$C=C630), 0)), "")</f>
        <v>3613</v>
      </c>
      <c r="S630" cm="1">
        <f t="array" aca="1" ref="S630" ca="1">IFERROR(INDEX(fesp!$J:$J, MATCH(1, (VALUE(LEFT(fesp!$A:$A,6))=VALUE(LEFT(B630,6)))*(fesp!$C:$C=C630), 0)), "")</f>
        <v>272338</v>
      </c>
    </row>
    <row r="631" spans="1:19">
      <c r="A631" s="1" t="s">
        <v>101</v>
      </c>
      <c r="B631" s="3">
        <v>4305108</v>
      </c>
      <c r="C631" s="3">
        <v>2017</v>
      </c>
      <c r="D631" cm="1">
        <f t="array" ref="D631">IFERROR(INDEX(fesp!$D:$D, MATCH(1, (VALUE(LEFT(fesp!$A:$A,6))=VALUE(LEFT(B631,6)))*(fesp!$C:$C=C631), 0)), "")</f>
        <v>0</v>
      </c>
      <c r="E631" cm="1">
        <f t="array" aca="1" ref="E631" ca="1">IFERROR(INDEX(ft_medicos_clinicos!$C:$C, MATCH(1, (VALUE(LEFT(ft_medicos_clinicos!$A:$A,6))=VALUE(LEFT(B631,6)))*(ft_medicos_clinicos!$B:$B=C631), 0)), "")</f>
        <v>663</v>
      </c>
      <c r="F631" cm="1">
        <f t="array" aca="1" ref="F631" ca="1">IFERROR(INDEX(ft_enfermeiros!$C:$C, MATCH(1, (VALUE(LEFT(ft_enfermeiros!$A:$A,6))=VALUE(LEFT(B631,6)))*(ft_enfermeiros!$B:$B=C631), 0)), "")</f>
        <v>630</v>
      </c>
      <c r="G631" cm="1">
        <f t="array" aca="1" ref="G631" ca="1">IFERROR(INDEX(ft_equipes_acs!$C:$C, MATCH(1, (VALUE(LEFT(ft_equipes_acs!$A:$A,6))=VALUE(LEFT(B631,6)))*(ft_equipes_acs!$B:$B=C631), 0)), "")</f>
        <v>10</v>
      </c>
      <c r="H631" cm="1">
        <f t="array" aca="1" ref="H631" ca="1">IFERROR(INDEX(ci_leitos_internacao!$C:$C, MATCH(1, (VALUE(LEFT(ci_leitos_internacao!$A:$A,6))=VALUE(LEFT(B631,6)))*(ci_leitos_internacao!$B:$B=C631), 0)), "")</f>
        <v>1230</v>
      </c>
      <c r="I631" cm="1">
        <f t="array" aca="1" ref="I631" ca="1">IFERROR(INDEX(ci_hospitais_internacao!$C:$C, MATCH(1, (VALUE(LEFT(ci_hospitais_internacao!$A:$A,6))=VALUE(LEFT(B631,6)))*(ci_hospitais_internacao!$B:$B=C631), 0)), "")</f>
        <v>4</v>
      </c>
      <c r="J631" cm="1">
        <f t="array" aca="1" ref="J631" ca="1">IFERROR(INDEX(ci_pa_clinico!$C:$C, MATCH(1, (VALUE(LEFT(ci_pa_clinico!$A:$A,6))=VALUE(LEFT(B631,6)))*(ci_pa_clinico!$B:$B=C631), 0)), "")</f>
        <v>8</v>
      </c>
      <c r="K631" cm="1">
        <f t="array" aca="1" ref="K631" ca="1">IFERROR(INDEX(aps_equipes_esf!$C:$C, MATCH(1, (VALUE(LEFT(aps_equipes_esf!$A:$A,6))=VALUE(LEFT(B631,6)))*(aps_equipes_esf!$B:$B=C631), 0)), "")</f>
        <v>18</v>
      </c>
      <c r="L631" cm="1">
        <f t="array" aca="1" ref="L631" ca="1">IFERROR(INDEX(casos!$C:$C, MATCH(1, (VALUE(LEFT(casos!$A:$A,6))=VALUE(LEFT(B631,6)))*(casos!$B:$B=C631), 0)), "")</f>
        <v>1</v>
      </c>
      <c r="M631" cm="1">
        <f t="array" ref="M631">IFERROR(INDEX(srag!$D:$D, MATCH(1, (VALUE(LEFT(srag!$A:$A,6))=VALUE(LEFT(B631,6)))*(srag!$C:$C=C631), 0)), "")</f>
        <v>63</v>
      </c>
      <c r="N631" cm="1">
        <f t="array" aca="1" ref="N631" ca="1">IFERROR(INDEX(fesp!$E:$E, MATCH(1, (VALUE(LEFT(fesp!$A:$A,6))=VALUE(LEFT(B631,6)))*(fesp!$C:$C=C631), 0)), "")</f>
        <v>97</v>
      </c>
      <c r="O631" cm="1">
        <f t="array" aca="1" ref="O631" ca="1">IFERROR(INDEX(fesp!$F:$F, MATCH(1, (VALUE(LEFT(fesp!$A:$A,6))=VALUE(LEFT(B631,6)))*(fesp!$C:$C=C631), 0)), "")</f>
        <v>1325</v>
      </c>
      <c r="P631" cm="1">
        <f t="array" aca="1" ref="P631" ca="1">IFERROR(INDEX(fesp!$G:$G, MATCH(1, (VALUE(LEFT(fesp!$A:$A,6))=VALUE(LEFT(B631,6)))*(fesp!$C:$C=C631), 0)), "")</f>
        <v>2471766</v>
      </c>
      <c r="Q631" cm="1">
        <f t="array" aca="1" ref="Q631" ca="1">IFERROR(INDEX(fesp!$H:$H, MATCH(1, (VALUE(LEFT(fesp!$A:$A,6))=VALUE(LEFT(B631,6)))*(fesp!$C:$C=C631), 0)), "")</f>
        <v>32</v>
      </c>
      <c r="R631" cm="1">
        <f t="array" aca="1" ref="R631" ca="1">IFERROR(INDEX(fesp!$I:$I, MATCH(1, (VALUE(LEFT(fesp!$A:$A,6))=VALUE(LEFT(B631,6)))*(fesp!$C:$C=C631), 0)), "")</f>
        <v>3878</v>
      </c>
      <c r="S631" cm="1">
        <f t="array" aca="1" ref="S631" ca="1">IFERROR(INDEX(fesp!$J:$J, MATCH(1, (VALUE(LEFT(fesp!$A:$A,6))=VALUE(LEFT(B631,6)))*(fesp!$C:$C=C631), 0)), "")</f>
        <v>65724</v>
      </c>
    </row>
    <row r="632" spans="1:19">
      <c r="A632" s="1" t="s">
        <v>101</v>
      </c>
      <c r="B632" s="3" t="s">
        <v>100</v>
      </c>
      <c r="C632" s="3">
        <v>2018</v>
      </c>
      <c r="D632" cm="1">
        <f t="array" ref="D632">IFERROR(INDEX(fesp!$D:$D, MATCH(1, (VALUE(LEFT(fesp!$A:$A,6))=VALUE(LEFT(B632,6)))*(fesp!$C:$C=C632), 0)), "")</f>
        <v>0</v>
      </c>
      <c r="E632" cm="1">
        <f t="array" aca="1" ref="E632" ca="1">IFERROR(INDEX(ft_medicos_clinicos!$C:$C, MATCH(1, (VALUE(LEFT(ft_medicos_clinicos!$A:$A,6))=VALUE(LEFT(B632,6)))*(ft_medicos_clinicos!$B:$B=C632), 0)), "")</f>
        <v>653</v>
      </c>
      <c r="F632" cm="1">
        <f t="array" aca="1" ref="F632" ca="1">IFERROR(INDEX(ft_enfermeiros!$C:$C, MATCH(1, (VALUE(LEFT(ft_enfermeiros!$A:$A,6))=VALUE(LEFT(B632,6)))*(ft_enfermeiros!$B:$B=C632), 0)), "")</f>
        <v>668</v>
      </c>
      <c r="G632" cm="1">
        <f t="array" aca="1" ref="G632" ca="1">IFERROR(INDEX(ft_equipes_acs!$C:$C, MATCH(1, (VALUE(LEFT(ft_equipes_acs!$A:$A,6))=VALUE(LEFT(B632,6)))*(ft_equipes_acs!$B:$B=C632), 0)), "")</f>
        <v>6</v>
      </c>
      <c r="H632" cm="1">
        <f t="array" aca="1" ref="H632" ca="1">IFERROR(INDEX(ci_leitos_internacao!$C:$C, MATCH(1, (VALUE(LEFT(ci_leitos_internacao!$A:$A,6))=VALUE(LEFT(B632,6)))*(ci_leitos_internacao!$B:$B=C632), 0)), "")</f>
        <v>1253</v>
      </c>
      <c r="I632" cm="1">
        <f t="array" aca="1" ref="I632" ca="1">IFERROR(INDEX(ci_hospitais_internacao!$C:$C, MATCH(1, (VALUE(LEFT(ci_hospitais_internacao!$A:$A,6))=VALUE(LEFT(B632,6)))*(ci_hospitais_internacao!$B:$B=C632), 0)), "")</f>
        <v>4</v>
      </c>
      <c r="J632" cm="1">
        <f t="array" aca="1" ref="J632" ca="1">IFERROR(INDEX(ci_pa_clinico!$C:$C, MATCH(1, (VALUE(LEFT(ci_pa_clinico!$A:$A,6))=VALUE(LEFT(B632,6)))*(ci_pa_clinico!$B:$B=C632), 0)), "")</f>
        <v>8</v>
      </c>
      <c r="K632" cm="1">
        <f t="array" aca="1" ref="K632" ca="1">IFERROR(INDEX(aps_equipes_esf!$C:$C, MATCH(1, (VALUE(LEFT(aps_equipes_esf!$A:$A,6))=VALUE(LEFT(B632,6)))*(aps_equipes_esf!$B:$B=C632), 0)), "")</f>
        <v>22</v>
      </c>
      <c r="L632" t="str" cm="1">
        <f t="array" aca="1" ref="L632" ca="1">IFERROR(INDEX(casos!$C:$C, MATCH(1, (VALUE(LEFT(casos!$A:$A,6))=VALUE(LEFT(B632,6)))*(casos!$B:$B=C632), 0)), "")</f>
        <v>-</v>
      </c>
      <c r="M632" cm="1">
        <f t="array" ref="M632">IFERROR(INDEX(srag!$D:$D, MATCH(1, (VALUE(LEFT(srag!$A:$A,6))=VALUE(LEFT(B632,6)))*(srag!$C:$C=C632), 0)), "")</f>
        <v>228</v>
      </c>
      <c r="N632" cm="1">
        <f t="array" aca="1" ref="N632" ca="1">IFERROR(INDEX(fesp!$E:$E, MATCH(1, (VALUE(LEFT(fesp!$A:$A,6))=VALUE(LEFT(B632,6)))*(fesp!$C:$C=C632), 0)), "")</f>
        <v>77</v>
      </c>
      <c r="O632" cm="1">
        <f t="array" aca="1" ref="O632" ca="1">IFERROR(INDEX(fesp!$F:$F, MATCH(1, (VALUE(LEFT(fesp!$A:$A,6))=VALUE(LEFT(B632,6)))*(fesp!$C:$C=C632), 0)), "")</f>
        <v>1297</v>
      </c>
      <c r="P632" cm="1">
        <f t="array" aca="1" ref="P632" ca="1">IFERROR(INDEX(fesp!$G:$G, MATCH(1, (VALUE(LEFT(fesp!$A:$A,6))=VALUE(LEFT(B632,6)))*(fesp!$C:$C=C632), 0)), "")</f>
        <v>2614355</v>
      </c>
      <c r="Q632" cm="1">
        <f t="array" aca="1" ref="Q632" ca="1">IFERROR(INDEX(fesp!$H:$H, MATCH(1, (VALUE(LEFT(fesp!$A:$A,6))=VALUE(LEFT(B632,6)))*(fesp!$C:$C=C632), 0)), "")</f>
        <v>26</v>
      </c>
      <c r="R632" cm="1">
        <f t="array" aca="1" ref="R632" ca="1">IFERROR(INDEX(fesp!$I:$I, MATCH(1, (VALUE(LEFT(fesp!$A:$A,6))=VALUE(LEFT(B632,6)))*(fesp!$C:$C=C632), 0)), "")</f>
        <v>0</v>
      </c>
      <c r="S632" cm="1">
        <f t="array" aca="1" ref="S632" ca="1">IFERROR(INDEX(fesp!$J:$J, MATCH(1, (VALUE(LEFT(fesp!$A:$A,6))=VALUE(LEFT(B632,6)))*(fesp!$C:$C=C632), 0)), "")</f>
        <v>276</v>
      </c>
    </row>
    <row r="633" spans="1:19">
      <c r="A633" s="1" t="s">
        <v>101</v>
      </c>
      <c r="B633" s="3" t="s">
        <v>100</v>
      </c>
      <c r="C633" s="3">
        <v>2019</v>
      </c>
      <c r="D633" cm="1">
        <f t="array" ref="D633">IFERROR(INDEX(fesp!$D:$D, MATCH(1, (VALUE(LEFT(fesp!$A:$A,6))=VALUE(LEFT(B633,6)))*(fesp!$C:$C=C633), 0)), "")</f>
        <v>0</v>
      </c>
      <c r="E633" cm="1">
        <f t="array" aca="1" ref="E633" ca="1">IFERROR(INDEX(ft_medicos_clinicos!$C:$C, MATCH(1, (VALUE(LEFT(ft_medicos_clinicos!$A:$A,6))=VALUE(LEFT(B633,6)))*(ft_medicos_clinicos!$B:$B=C633), 0)), "")</f>
        <v>689</v>
      </c>
      <c r="F633" cm="1">
        <f t="array" aca="1" ref="F633" ca="1">IFERROR(INDEX(ft_enfermeiros!$C:$C, MATCH(1, (VALUE(LEFT(ft_enfermeiros!$A:$A,6))=VALUE(LEFT(B633,6)))*(ft_enfermeiros!$B:$B=C633), 0)), "")</f>
        <v>719</v>
      </c>
      <c r="G633" cm="1">
        <f t="array" aca="1" ref="G633" ca="1">IFERROR(INDEX(ft_equipes_acs!$C:$C, MATCH(1, (VALUE(LEFT(ft_equipes_acs!$A:$A,6))=VALUE(LEFT(B633,6)))*(ft_equipes_acs!$B:$B=C633), 0)), "")</f>
        <v>6</v>
      </c>
      <c r="H633" cm="1">
        <f t="array" aca="1" ref="H633" ca="1">IFERROR(INDEX(ci_leitos_internacao!$C:$C, MATCH(1, (VALUE(LEFT(ci_leitos_internacao!$A:$A,6))=VALUE(LEFT(B633,6)))*(ci_leitos_internacao!$B:$B=C633), 0)), "")</f>
        <v>1263</v>
      </c>
      <c r="I633" cm="1">
        <f t="array" aca="1" ref="I633" ca="1">IFERROR(INDEX(ci_hospitais_internacao!$C:$C, MATCH(1, (VALUE(LEFT(ci_hospitais_internacao!$A:$A,6))=VALUE(LEFT(B633,6)))*(ci_hospitais_internacao!$B:$B=C633), 0)), "")</f>
        <v>4</v>
      </c>
      <c r="J633" cm="1">
        <f t="array" aca="1" ref="J633" ca="1">IFERROR(INDEX(ci_pa_clinico!$C:$C, MATCH(1, (VALUE(LEFT(ci_pa_clinico!$A:$A,6))=VALUE(LEFT(B633,6)))*(ci_pa_clinico!$B:$B=C633), 0)), "")</f>
        <v>7</v>
      </c>
      <c r="K633" cm="1">
        <f t="array" aca="1" ref="K633" ca="1">IFERROR(INDEX(aps_equipes_esf!$C:$C, MATCH(1, (VALUE(LEFT(aps_equipes_esf!$A:$A,6))=VALUE(LEFT(B633,6)))*(aps_equipes_esf!$B:$B=C633), 0)), "")</f>
        <v>17</v>
      </c>
      <c r="L633" cm="1">
        <f t="array" aca="1" ref="L633" ca="1">IFERROR(INDEX(casos!$C:$C, MATCH(1, (VALUE(LEFT(casos!$A:$A,6))=VALUE(LEFT(B633,6)))*(casos!$B:$B=C633), 0)), "")</f>
        <v>5</v>
      </c>
      <c r="M633" cm="1">
        <f t="array" ref="M633">IFERROR(INDEX(srag!$D:$D, MATCH(1, (VALUE(LEFT(srag!$A:$A,6))=VALUE(LEFT(B633,6)))*(srag!$C:$C=C633), 0)), "")</f>
        <v>175</v>
      </c>
      <c r="N633" cm="1">
        <f t="array" aca="1" ref="N633" ca="1">IFERROR(INDEX(fesp!$E:$E, MATCH(1, (VALUE(LEFT(fesp!$A:$A,6))=VALUE(LEFT(B633,6)))*(fesp!$C:$C=C633), 0)), "")</f>
        <v>51</v>
      </c>
      <c r="O633" cm="1">
        <f t="array" aca="1" ref="O633" ca="1">IFERROR(INDEX(fesp!$F:$F, MATCH(1, (VALUE(LEFT(fesp!$A:$A,6))=VALUE(LEFT(B633,6)))*(fesp!$C:$C=C633), 0)), "")</f>
        <v>1174</v>
      </c>
      <c r="P633" cm="1">
        <f t="array" aca="1" ref="P633" ca="1">IFERROR(INDEX(fesp!$G:$G, MATCH(1, (VALUE(LEFT(fesp!$A:$A,6))=VALUE(LEFT(B633,6)))*(fesp!$C:$C=C633), 0)), "")</f>
        <v>2738494</v>
      </c>
      <c r="Q633" cm="1">
        <f t="array" aca="1" ref="Q633" ca="1">IFERROR(INDEX(fesp!$H:$H, MATCH(1, (VALUE(LEFT(fesp!$A:$A,6))=VALUE(LEFT(B633,6)))*(fesp!$C:$C=C633), 0)), "")</f>
        <v>15</v>
      </c>
      <c r="R633" cm="1">
        <f t="array" aca="1" ref="R633" ca="1">IFERROR(INDEX(fesp!$I:$I, MATCH(1, (VALUE(LEFT(fesp!$A:$A,6))=VALUE(LEFT(B633,6)))*(fesp!$C:$C=C633), 0)), "")</f>
        <v>0</v>
      </c>
      <c r="S633" cm="1">
        <f t="array" aca="1" ref="S633" ca="1">IFERROR(INDEX(fesp!$J:$J, MATCH(1, (VALUE(LEFT(fesp!$A:$A,6))=VALUE(LEFT(B633,6)))*(fesp!$C:$C=C633), 0)), "")</f>
        <v>214</v>
      </c>
    </row>
    <row r="634" spans="1:19">
      <c r="A634" s="1" t="s">
        <v>101</v>
      </c>
      <c r="B634" s="3" t="s">
        <v>100</v>
      </c>
      <c r="C634" s="3">
        <v>2020</v>
      </c>
      <c r="D634" cm="1">
        <f t="array" ref="D634">IFERROR(INDEX(fesp!$D:$D, MATCH(1, (VALUE(LEFT(fesp!$A:$A,6))=VALUE(LEFT(B634,6)))*(fesp!$C:$C=C634), 0)), "")</f>
        <v>0</v>
      </c>
      <c r="E634" cm="1">
        <f t="array" aca="1" ref="E634" ca="1">IFERROR(INDEX(ft_medicos_clinicos!$C:$C, MATCH(1, (VALUE(LEFT(ft_medicos_clinicos!$A:$A,6))=VALUE(LEFT(B634,6)))*(ft_medicos_clinicos!$B:$B=C634), 0)), "")</f>
        <v>726</v>
      </c>
      <c r="F634" cm="1">
        <f t="array" aca="1" ref="F634" ca="1">IFERROR(INDEX(ft_enfermeiros!$C:$C, MATCH(1, (VALUE(LEFT(ft_enfermeiros!$A:$A,6))=VALUE(LEFT(B634,6)))*(ft_enfermeiros!$B:$B=C634), 0)), "")</f>
        <v>779</v>
      </c>
      <c r="G634" t="str" cm="1">
        <f t="array" aca="1" ref="G634" ca="1">IFERROR(INDEX(ft_equipes_acs!$C:$C, MATCH(1, (VALUE(LEFT(ft_equipes_acs!$A:$A,6))=VALUE(LEFT(B634,6)))*(ft_equipes_acs!$B:$B=C634), 0)), "")</f>
        <v>-</v>
      </c>
      <c r="H634" cm="1">
        <f t="array" aca="1" ref="H634" ca="1">IFERROR(INDEX(ci_leitos_internacao!$C:$C, MATCH(1, (VALUE(LEFT(ci_leitos_internacao!$A:$A,6))=VALUE(LEFT(B634,6)))*(ci_leitos_internacao!$B:$B=C634), 0)), "")</f>
        <v>1340</v>
      </c>
      <c r="I634" cm="1">
        <f t="array" aca="1" ref="I634" ca="1">IFERROR(INDEX(ci_hospitais_internacao!$C:$C, MATCH(1, (VALUE(LEFT(ci_hospitais_internacao!$A:$A,6))=VALUE(LEFT(B634,6)))*(ci_hospitais_internacao!$B:$B=C634), 0)), "")</f>
        <v>5</v>
      </c>
      <c r="J634" cm="1">
        <f t="array" aca="1" ref="J634" ca="1">IFERROR(INDEX(ci_pa_clinico!$C:$C, MATCH(1, (VALUE(LEFT(ci_pa_clinico!$A:$A,6))=VALUE(LEFT(B634,6)))*(ci_pa_clinico!$B:$B=C634), 0)), "")</f>
        <v>8</v>
      </c>
      <c r="K634" t="str" cm="1">
        <f t="array" aca="1" ref="K634" ca="1">IFERROR(INDEX(aps_equipes_esf!$C:$C, MATCH(1, (VALUE(LEFT(aps_equipes_esf!$A:$A,6))=VALUE(LEFT(B634,6)))*(aps_equipes_esf!$B:$B=C634), 0)), "")</f>
        <v>-</v>
      </c>
      <c r="L634" cm="1">
        <f t="array" aca="1" ref="L634" ca="1">IFERROR(INDEX(casos!$C:$C, MATCH(1, (VALUE(LEFT(casos!$A:$A,6))=VALUE(LEFT(B634,6)))*(casos!$B:$B=C634), 0)), "")</f>
        <v>11</v>
      </c>
      <c r="M634" cm="1">
        <f t="array" ref="M634">IFERROR(INDEX(srag!$D:$D, MATCH(1, (VALUE(LEFT(srag!$A:$A,6))=VALUE(LEFT(B634,6)))*(srag!$C:$C=C634), 0)), "")</f>
        <v>2619</v>
      </c>
      <c r="N634" cm="1">
        <f t="array" aca="1" ref="N634" ca="1">IFERROR(INDEX(fesp!$E:$E, MATCH(1, (VALUE(LEFT(fesp!$A:$A,6))=VALUE(LEFT(B634,6)))*(fesp!$C:$C=C634), 0)), "")</f>
        <v>96</v>
      </c>
      <c r="O634" cm="1">
        <f t="array" aca="1" ref="O634" ca="1">IFERROR(INDEX(fesp!$F:$F, MATCH(1, (VALUE(LEFT(fesp!$A:$A,6))=VALUE(LEFT(B634,6)))*(fesp!$C:$C=C634), 0)), "")</f>
        <v>860</v>
      </c>
      <c r="P634" cm="1">
        <f t="array" aca="1" ref="P634" ca="1">IFERROR(INDEX(fesp!$G:$G, MATCH(1, (VALUE(LEFT(fesp!$A:$A,6))=VALUE(LEFT(B634,6)))*(fesp!$C:$C=C634), 0)), "")</f>
        <v>2134988</v>
      </c>
      <c r="Q634" cm="1">
        <f t="array" aca="1" ref="Q634" ca="1">IFERROR(INDEX(fesp!$H:$H, MATCH(1, (VALUE(LEFT(fesp!$A:$A,6))=VALUE(LEFT(B634,6)))*(fesp!$C:$C=C634), 0)), "")</f>
        <v>32</v>
      </c>
      <c r="R634" cm="1">
        <f t="array" aca="1" ref="R634" ca="1">IFERROR(INDEX(fesp!$I:$I, MATCH(1, (VALUE(LEFT(fesp!$A:$A,6))=VALUE(LEFT(B634,6)))*(fesp!$C:$C=C634), 0)), "")</f>
        <v>0</v>
      </c>
      <c r="S634" cm="1">
        <f t="array" aca="1" ref="S634" ca="1">IFERROR(INDEX(fesp!$J:$J, MATCH(1, (VALUE(LEFT(fesp!$A:$A,6))=VALUE(LEFT(B634,6)))*(fesp!$C:$C=C634), 0)), "")</f>
        <v>28</v>
      </c>
    </row>
    <row r="635" spans="1:19">
      <c r="A635" s="1" t="s">
        <v>101</v>
      </c>
      <c r="B635" s="3" t="s">
        <v>100</v>
      </c>
      <c r="C635" s="3">
        <v>2021</v>
      </c>
      <c r="D635" cm="1">
        <f t="array" ref="D635">IFERROR(INDEX(fesp!$D:$D, MATCH(1, (VALUE(LEFT(fesp!$A:$A,6))=VALUE(LEFT(B635,6)))*(fesp!$C:$C=C635), 0)), "")</f>
        <v>0</v>
      </c>
      <c r="E635" cm="1">
        <f t="array" aca="1" ref="E635" ca="1">IFERROR(INDEX(ft_medicos_clinicos!$C:$C, MATCH(1, (VALUE(LEFT(ft_medicos_clinicos!$A:$A,6))=VALUE(LEFT(B635,6)))*(ft_medicos_clinicos!$B:$B=C635), 0)), "")</f>
        <v>745</v>
      </c>
      <c r="F635" cm="1">
        <f t="array" aca="1" ref="F635" ca="1">IFERROR(INDEX(ft_enfermeiros!$C:$C, MATCH(1, (VALUE(LEFT(ft_enfermeiros!$A:$A,6))=VALUE(LEFT(B635,6)))*(ft_enfermeiros!$B:$B=C635), 0)), "")</f>
        <v>822</v>
      </c>
      <c r="G635" t="str" cm="1">
        <f t="array" aca="1" ref="G635" ca="1">IFERROR(INDEX(ft_equipes_acs!$C:$C, MATCH(1, (VALUE(LEFT(ft_equipes_acs!$A:$A,6))=VALUE(LEFT(B635,6)))*(ft_equipes_acs!$B:$B=C635), 0)), "")</f>
        <v>-</v>
      </c>
      <c r="H635" cm="1">
        <f t="array" aca="1" ref="H635" ca="1">IFERROR(INDEX(ci_leitos_internacao!$C:$C, MATCH(1, (VALUE(LEFT(ci_leitos_internacao!$A:$A,6))=VALUE(LEFT(B635,6)))*(ci_leitos_internacao!$B:$B=C635), 0)), "")</f>
        <v>1407</v>
      </c>
      <c r="I635" cm="1">
        <f t="array" aca="1" ref="I635" ca="1">IFERROR(INDEX(ci_hospitais_internacao!$C:$C, MATCH(1, (VALUE(LEFT(ci_hospitais_internacao!$A:$A,6))=VALUE(LEFT(B635,6)))*(ci_hospitais_internacao!$B:$B=C635), 0)), "")</f>
        <v>5</v>
      </c>
      <c r="J635" cm="1">
        <f t="array" aca="1" ref="J635" ca="1">IFERROR(INDEX(ci_pa_clinico!$C:$C, MATCH(1, (VALUE(LEFT(ci_pa_clinico!$A:$A,6))=VALUE(LEFT(B635,6)))*(ci_pa_clinico!$B:$B=C635), 0)), "")</f>
        <v>8</v>
      </c>
      <c r="K635" t="str" cm="1">
        <f t="array" aca="1" ref="K635" ca="1">IFERROR(INDEX(aps_equipes_esf!$C:$C, MATCH(1, (VALUE(LEFT(aps_equipes_esf!$A:$A,6))=VALUE(LEFT(B635,6)))*(aps_equipes_esf!$B:$B=C635), 0)), "")</f>
        <v>-</v>
      </c>
      <c r="L635" cm="1">
        <f t="array" aca="1" ref="L635" ca="1">IFERROR(INDEX(casos!$C:$C, MATCH(1, (VALUE(LEFT(casos!$A:$A,6))=VALUE(LEFT(B635,6)))*(casos!$B:$B=C635), 0)), "")</f>
        <v>2</v>
      </c>
      <c r="M635" cm="1">
        <f t="array" ref="M635">IFERROR(INDEX(srag!$D:$D, MATCH(1, (VALUE(LEFT(srag!$A:$A,6))=VALUE(LEFT(B635,6)))*(srag!$C:$C=C635), 0)), "")</f>
        <v>5840</v>
      </c>
      <c r="N635" cm="1">
        <f t="array" aca="1" ref="N635" ca="1">IFERROR(INDEX(fesp!$E:$E, MATCH(1, (VALUE(LEFT(fesp!$A:$A,6))=VALUE(LEFT(B635,6)))*(fesp!$C:$C=C635), 0)), "")</f>
        <v>53</v>
      </c>
      <c r="O635" cm="1">
        <f t="array" aca="1" ref="O635" ca="1">IFERROR(INDEX(fesp!$F:$F, MATCH(1, (VALUE(LEFT(fesp!$A:$A,6))=VALUE(LEFT(B635,6)))*(fesp!$C:$C=C635), 0)), "")</f>
        <v>1187</v>
      </c>
      <c r="P635" cm="1">
        <f t="array" aca="1" ref="P635" ca="1">IFERROR(INDEX(fesp!$G:$G, MATCH(1, (VALUE(LEFT(fesp!$A:$A,6))=VALUE(LEFT(B635,6)))*(fesp!$C:$C=C635), 0)), "")</f>
        <v>2429399</v>
      </c>
      <c r="Q635" cm="1">
        <f t="array" aca="1" ref="Q635" ca="1">IFERROR(INDEX(fesp!$H:$H, MATCH(1, (VALUE(LEFT(fesp!$A:$A,6))=VALUE(LEFT(B635,6)))*(fesp!$C:$C=C635), 0)), "")</f>
        <v>13</v>
      </c>
      <c r="R635" cm="1">
        <f t="array" aca="1" ref="R635" ca="1">IFERROR(INDEX(fesp!$I:$I, MATCH(1, (VALUE(LEFT(fesp!$A:$A,6))=VALUE(LEFT(B635,6)))*(fesp!$C:$C=C635), 0)), "")</f>
        <v>0</v>
      </c>
      <c r="S635" cm="1">
        <f t="array" aca="1" ref="S635" ca="1">IFERROR(INDEX(fesp!$J:$J, MATCH(1, (VALUE(LEFT(fesp!$A:$A,6))=VALUE(LEFT(B635,6)))*(fesp!$C:$C=C635), 0)), "")</f>
        <v>62</v>
      </c>
    </row>
    <row r="636" spans="1:19">
      <c r="A636" s="1" t="s">
        <v>101</v>
      </c>
      <c r="B636" s="3" t="s">
        <v>100</v>
      </c>
      <c r="C636" s="3">
        <v>2022</v>
      </c>
      <c r="D636" cm="1">
        <f t="array" ref="D636">IFERROR(INDEX(fesp!$D:$D, MATCH(1, (VALUE(LEFT(fesp!$A:$A,6))=VALUE(LEFT(B636,6)))*(fesp!$C:$C=C636), 0)), "")</f>
        <v>463501</v>
      </c>
      <c r="E636" cm="1">
        <f t="array" aca="1" ref="E636" ca="1">IFERROR(INDEX(ft_medicos_clinicos!$C:$C, MATCH(1, (VALUE(LEFT(ft_medicos_clinicos!$A:$A,6))=VALUE(LEFT(B636,6)))*(ft_medicos_clinicos!$B:$B=C636), 0)), "")</f>
        <v>779</v>
      </c>
      <c r="F636" cm="1">
        <f t="array" aca="1" ref="F636" ca="1">IFERROR(INDEX(ft_enfermeiros!$C:$C, MATCH(1, (VALUE(LEFT(ft_enfermeiros!$A:$A,6))=VALUE(LEFT(B636,6)))*(ft_enfermeiros!$B:$B=C636), 0)), "")</f>
        <v>812</v>
      </c>
      <c r="G636" t="str" cm="1">
        <f t="array" aca="1" ref="G636" ca="1">IFERROR(INDEX(ft_equipes_acs!$C:$C, MATCH(1, (VALUE(LEFT(ft_equipes_acs!$A:$A,6))=VALUE(LEFT(B636,6)))*(ft_equipes_acs!$B:$B=C636), 0)), "")</f>
        <v>-</v>
      </c>
      <c r="H636" cm="1">
        <f t="array" aca="1" ref="H636" ca="1">IFERROR(INDEX(ci_leitos_internacao!$C:$C, MATCH(1, (VALUE(LEFT(ci_leitos_internacao!$A:$A,6))=VALUE(LEFT(B636,6)))*(ci_leitos_internacao!$B:$B=C636), 0)), "")</f>
        <v>1353</v>
      </c>
      <c r="I636" cm="1">
        <f t="array" aca="1" ref="I636" ca="1">IFERROR(INDEX(ci_hospitais_internacao!$C:$C, MATCH(1, (VALUE(LEFT(ci_hospitais_internacao!$A:$A,6))=VALUE(LEFT(B636,6)))*(ci_hospitais_internacao!$B:$B=C636), 0)), "")</f>
        <v>5</v>
      </c>
      <c r="J636" cm="1">
        <f t="array" aca="1" ref="J636" ca="1">IFERROR(INDEX(ci_pa_clinico!$C:$C, MATCH(1, (VALUE(LEFT(ci_pa_clinico!$A:$A,6))=VALUE(LEFT(B636,6)))*(ci_pa_clinico!$B:$B=C636), 0)), "")</f>
        <v>8</v>
      </c>
      <c r="K636" t="str" cm="1">
        <f t="array" aca="1" ref="K636" ca="1">IFERROR(INDEX(aps_equipes_esf!$C:$C, MATCH(1, (VALUE(LEFT(aps_equipes_esf!$A:$A,6))=VALUE(LEFT(B636,6)))*(aps_equipes_esf!$B:$B=C636), 0)), "")</f>
        <v>-</v>
      </c>
      <c r="L636" cm="1">
        <f t="array" aca="1" ref="L636" ca="1">IFERROR(INDEX(casos!$C:$C, MATCH(1, (VALUE(LEFT(casos!$A:$A,6))=VALUE(LEFT(B636,6)))*(casos!$B:$B=C636), 0)), "")</f>
        <v>46</v>
      </c>
      <c r="M636" cm="1">
        <f t="array" ref="M636">IFERROR(INDEX(srag!$D:$D, MATCH(1, (VALUE(LEFT(srag!$A:$A,6))=VALUE(LEFT(B636,6)))*(srag!$C:$C=C636), 0)), "")</f>
        <v>2966</v>
      </c>
      <c r="N636" cm="1">
        <f t="array" aca="1" ref="N636" ca="1">IFERROR(INDEX(fesp!$E:$E, MATCH(1, (VALUE(LEFT(fesp!$A:$A,6))=VALUE(LEFT(B636,6)))*(fesp!$C:$C=C636), 0)), "")</f>
        <v>66</v>
      </c>
      <c r="O636" cm="1">
        <f t="array" aca="1" ref="O636" ca="1">IFERROR(INDEX(fesp!$F:$F, MATCH(1, (VALUE(LEFT(fesp!$A:$A,6))=VALUE(LEFT(B636,6)))*(fesp!$C:$C=C636), 0)), "")</f>
        <v>1479</v>
      </c>
      <c r="P636" cm="1">
        <f t="array" aca="1" ref="P636" ca="1">IFERROR(INDEX(fesp!$G:$G, MATCH(1, (VALUE(LEFT(fesp!$A:$A,6))=VALUE(LEFT(B636,6)))*(fesp!$C:$C=C636), 0)), "")</f>
        <v>2524577</v>
      </c>
      <c r="Q636" cm="1">
        <f t="array" aca="1" ref="Q636" ca="1">IFERROR(INDEX(fesp!$H:$H, MATCH(1, (VALUE(LEFT(fesp!$A:$A,6))=VALUE(LEFT(B636,6)))*(fesp!$C:$C=C636), 0)), "")</f>
        <v>10</v>
      </c>
      <c r="R636" cm="1">
        <f t="array" aca="1" ref="R636" ca="1">IFERROR(INDEX(fesp!$I:$I, MATCH(1, (VALUE(LEFT(fesp!$A:$A,6))=VALUE(LEFT(B636,6)))*(fesp!$C:$C=C636), 0)), "")</f>
        <v>2</v>
      </c>
      <c r="S636" cm="1">
        <f t="array" aca="1" ref="S636" ca="1">IFERROR(INDEX(fesp!$J:$J, MATCH(1, (VALUE(LEFT(fesp!$A:$A,6))=VALUE(LEFT(B636,6)))*(fesp!$C:$C=C636), 0)), "")</f>
        <v>25</v>
      </c>
    </row>
    <row r="637" spans="1:19">
      <c r="A637" s="1" t="s">
        <v>101</v>
      </c>
      <c r="B637" s="3" t="s">
        <v>100</v>
      </c>
      <c r="C637" s="3">
        <v>2023</v>
      </c>
      <c r="D637" cm="1">
        <f t="array" ref="D637">IFERROR(INDEX(fesp!$D:$D, MATCH(1, (VALUE(LEFT(fesp!$A:$A,6))=VALUE(LEFT(B637,6)))*(fesp!$C:$C=C637), 0)), "")</f>
        <v>0</v>
      </c>
      <c r="E637" cm="1">
        <f t="array" aca="1" ref="E637" ca="1">IFERROR(INDEX(ft_medicos_clinicos!$C:$C, MATCH(1, (VALUE(LEFT(ft_medicos_clinicos!$A:$A,6))=VALUE(LEFT(B637,6)))*(ft_medicos_clinicos!$B:$B=C637), 0)), "")</f>
        <v>773</v>
      </c>
      <c r="F637" cm="1">
        <f t="array" aca="1" ref="F637" ca="1">IFERROR(INDEX(ft_enfermeiros!$C:$C, MATCH(1, (VALUE(LEFT(ft_enfermeiros!$A:$A,6))=VALUE(LEFT(B637,6)))*(ft_enfermeiros!$B:$B=C637), 0)), "")</f>
        <v>854</v>
      </c>
      <c r="G637" t="str" cm="1">
        <f t="array" aca="1" ref="G637" ca="1">IFERROR(INDEX(ft_equipes_acs!$C:$C, MATCH(1, (VALUE(LEFT(ft_equipes_acs!$A:$A,6))=VALUE(LEFT(B637,6)))*(ft_equipes_acs!$B:$B=C637), 0)), "")</f>
        <v>-</v>
      </c>
      <c r="H637" cm="1">
        <f t="array" aca="1" ref="H637" ca="1">IFERROR(INDEX(ci_leitos_internacao!$C:$C, MATCH(1, (VALUE(LEFT(ci_leitos_internacao!$A:$A,6))=VALUE(LEFT(B637,6)))*(ci_leitos_internacao!$B:$B=C637), 0)), "")</f>
        <v>1353</v>
      </c>
      <c r="I637" cm="1">
        <f t="array" aca="1" ref="I637" ca="1">IFERROR(INDEX(ci_hospitais_internacao!$C:$C, MATCH(1, (VALUE(LEFT(ci_hospitais_internacao!$A:$A,6))=VALUE(LEFT(B637,6)))*(ci_hospitais_internacao!$B:$B=C637), 0)), "")</f>
        <v>5</v>
      </c>
      <c r="J637" cm="1">
        <f t="array" aca="1" ref="J637" ca="1">IFERROR(INDEX(ci_pa_clinico!$C:$C, MATCH(1, (VALUE(LEFT(ci_pa_clinico!$A:$A,6))=VALUE(LEFT(B637,6)))*(ci_pa_clinico!$B:$B=C637), 0)), "")</f>
        <v>9</v>
      </c>
      <c r="K637" t="str" cm="1">
        <f t="array" aca="1" ref="K637" ca="1">IFERROR(INDEX(aps_equipes_esf!$C:$C, MATCH(1, (VALUE(LEFT(aps_equipes_esf!$A:$A,6))=VALUE(LEFT(B637,6)))*(aps_equipes_esf!$B:$B=C637), 0)), "")</f>
        <v>-</v>
      </c>
      <c r="L637" cm="1">
        <f t="array" aca="1" ref="L637" ca="1">IFERROR(INDEX(casos!$C:$C, MATCH(1, (VALUE(LEFT(casos!$A:$A,6))=VALUE(LEFT(B637,6)))*(casos!$B:$B=C637), 0)), "")</f>
        <v>45</v>
      </c>
      <c r="M637" cm="1">
        <f t="array" ref="M637">IFERROR(INDEX(srag!$D:$D, MATCH(1, (VALUE(LEFT(srag!$A:$A,6))=VALUE(LEFT(B637,6)))*(srag!$C:$C=C637), 0)), "")</f>
        <v>1422</v>
      </c>
      <c r="N637" cm="1">
        <f t="array" aca="1" ref="N637" ca="1">IFERROR(INDEX(fesp!$E:$E, MATCH(1, (VALUE(LEFT(fesp!$A:$A,6))=VALUE(LEFT(B637,6)))*(fesp!$C:$C=C637), 0)), "")</f>
        <v>49</v>
      </c>
      <c r="O637" cm="1">
        <f t="array" aca="1" ref="O637" ca="1">IFERROR(INDEX(fesp!$F:$F, MATCH(1, (VALUE(LEFT(fesp!$A:$A,6))=VALUE(LEFT(B637,6)))*(fesp!$C:$C=C637), 0)), "")</f>
        <v>1529</v>
      </c>
      <c r="P637" cm="1">
        <f t="array" aca="1" ref="P637" ca="1">IFERROR(INDEX(fesp!$G:$G, MATCH(1, (VALUE(LEFT(fesp!$A:$A,6))=VALUE(LEFT(B637,6)))*(fesp!$C:$C=C637), 0)), "")</f>
        <v>2690617</v>
      </c>
      <c r="Q637" cm="1">
        <f t="array" aca="1" ref="Q637" ca="1">IFERROR(INDEX(fesp!$H:$H, MATCH(1, (VALUE(LEFT(fesp!$A:$A,6))=VALUE(LEFT(B637,6)))*(fesp!$C:$C=C637), 0)), "")</f>
        <v>16</v>
      </c>
      <c r="R637" cm="1">
        <f t="array" aca="1" ref="R637" ca="1">IFERROR(INDEX(fesp!$I:$I, MATCH(1, (VALUE(LEFT(fesp!$A:$A,6))=VALUE(LEFT(B637,6)))*(fesp!$C:$C=C637), 0)), "")</f>
        <v>0</v>
      </c>
      <c r="S637" cm="1">
        <f t="array" aca="1" ref="S637" ca="1">IFERROR(INDEX(fesp!$J:$J, MATCH(1, (VALUE(LEFT(fesp!$A:$A,6))=VALUE(LEFT(B637,6)))*(fesp!$C:$C=C637), 0)), "")</f>
        <v>16</v>
      </c>
    </row>
    <row r="638" spans="1:19">
      <c r="A638" s="1" t="s">
        <v>101</v>
      </c>
      <c r="B638" s="3" t="s">
        <v>100</v>
      </c>
      <c r="C638" s="3">
        <v>2024</v>
      </c>
      <c r="D638" cm="1">
        <f t="array" ref="D638">IFERROR(INDEX(fesp!$D:$D, MATCH(1, (VALUE(LEFT(fesp!$A:$A,6))=VALUE(LEFT(B638,6)))*(fesp!$C:$C=C638), 0)), "")</f>
        <v>0</v>
      </c>
      <c r="E638" cm="1">
        <f t="array" aca="1" ref="E638" ca="1">IFERROR(INDEX(ft_medicos_clinicos!$C:$C, MATCH(1, (VALUE(LEFT(ft_medicos_clinicos!$A:$A,6))=VALUE(LEFT(B638,6)))*(ft_medicos_clinicos!$B:$B=C638), 0)), "")</f>
        <v>805</v>
      </c>
      <c r="F638" cm="1">
        <f t="array" aca="1" ref="F638" ca="1">IFERROR(INDEX(ft_enfermeiros!$C:$C, MATCH(1, (VALUE(LEFT(ft_enfermeiros!$A:$A,6))=VALUE(LEFT(B638,6)))*(ft_enfermeiros!$B:$B=C638), 0)), "")</f>
        <v>931</v>
      </c>
      <c r="G638" t="str" cm="1">
        <f t="array" aca="1" ref="G638" ca="1">IFERROR(INDEX(ft_equipes_acs!$C:$C, MATCH(1, (VALUE(LEFT(ft_equipes_acs!$A:$A,6))=VALUE(LEFT(B638,6)))*(ft_equipes_acs!$B:$B=C638), 0)), "")</f>
        <v>-</v>
      </c>
      <c r="H638" cm="1">
        <f t="array" aca="1" ref="H638" ca="1">IFERROR(INDEX(ci_leitos_internacao!$C:$C, MATCH(1, (VALUE(LEFT(ci_leitos_internacao!$A:$A,6))=VALUE(LEFT(B638,6)))*(ci_leitos_internacao!$B:$B=C638), 0)), "")</f>
        <v>1327</v>
      </c>
      <c r="I638" cm="1">
        <f t="array" aca="1" ref="I638" ca="1">IFERROR(INDEX(ci_hospitais_internacao!$C:$C, MATCH(1, (VALUE(LEFT(ci_hospitais_internacao!$A:$A,6))=VALUE(LEFT(B638,6)))*(ci_hospitais_internacao!$B:$B=C638), 0)), "")</f>
        <v>4</v>
      </c>
      <c r="J638" cm="1">
        <f t="array" aca="1" ref="J638" ca="1">IFERROR(INDEX(ci_pa_clinico!$C:$C, MATCH(1, (VALUE(LEFT(ci_pa_clinico!$A:$A,6))=VALUE(LEFT(B638,6)))*(ci_pa_clinico!$B:$B=C638), 0)), "")</f>
        <v>9</v>
      </c>
      <c r="K638" t="str" cm="1">
        <f t="array" aca="1" ref="K638" ca="1">IFERROR(INDEX(aps_equipes_esf!$C:$C, MATCH(1, (VALUE(LEFT(aps_equipes_esf!$A:$A,6))=VALUE(LEFT(B638,6)))*(aps_equipes_esf!$B:$B=C638), 0)), "")</f>
        <v>-</v>
      </c>
      <c r="L638" cm="1">
        <f t="array" aca="1" ref="L638" ca="1">IFERROR(INDEX(casos!$C:$C, MATCH(1, (VALUE(LEFT(casos!$A:$A,6))=VALUE(LEFT(B638,6)))*(casos!$B:$B=C638), 0)), "")</f>
        <v>267</v>
      </c>
      <c r="M638" cm="1">
        <f t="array" ref="M638">IFERROR(INDEX(srag!$D:$D, MATCH(1, (VALUE(LEFT(srag!$A:$A,6))=VALUE(LEFT(B638,6)))*(srag!$C:$C=C638), 0)), "")</f>
        <v>1447</v>
      </c>
      <c r="N638" cm="1">
        <f t="array" aca="1" ref="N638" ca="1">IFERROR(INDEX(fesp!$E:$E, MATCH(1, (VALUE(LEFT(fesp!$A:$A,6))=VALUE(LEFT(B638,6)))*(fesp!$C:$C=C638), 0)), "")</f>
        <v>65</v>
      </c>
      <c r="O638" cm="1">
        <f t="array" aca="1" ref="O638" ca="1">IFERROR(INDEX(fesp!$F:$F, MATCH(1, (VALUE(LEFT(fesp!$A:$A,6))=VALUE(LEFT(B638,6)))*(fesp!$C:$C=C638), 0)), "")</f>
        <v>1124</v>
      </c>
      <c r="P638" cm="1">
        <f t="array" aca="1" ref="P638" ca="1">IFERROR(INDEX(fesp!$G:$G, MATCH(1, (VALUE(LEFT(fesp!$A:$A,6))=VALUE(LEFT(B638,6)))*(fesp!$C:$C=C638), 0)), "")</f>
        <v>3014106</v>
      </c>
      <c r="Q638" cm="1">
        <f t="array" aca="1" ref="Q638" ca="1">IFERROR(INDEX(fesp!$H:$H, MATCH(1, (VALUE(LEFT(fesp!$A:$A,6))=VALUE(LEFT(B638,6)))*(fesp!$C:$C=C638), 0)), "")</f>
        <v>5</v>
      </c>
      <c r="R638" cm="1">
        <f t="array" aca="1" ref="R638" ca="1">IFERROR(INDEX(fesp!$I:$I, MATCH(1, (VALUE(LEFT(fesp!$A:$A,6))=VALUE(LEFT(B638,6)))*(fesp!$C:$C=C638), 0)), "")</f>
        <v>0</v>
      </c>
      <c r="S638" cm="1">
        <f t="array" aca="1" ref="S638" ca="1">IFERROR(INDEX(fesp!$J:$J, MATCH(1, (VALUE(LEFT(fesp!$A:$A,6))=VALUE(LEFT(B638,6)))*(fesp!$C:$C=C638), 0)), "")</f>
        <v>21</v>
      </c>
    </row>
    <row r="639" spans="1:19">
      <c r="A639" s="1" t="s">
        <v>101</v>
      </c>
      <c r="B639" s="3" t="s">
        <v>100</v>
      </c>
      <c r="C639" s="3">
        <v>2025</v>
      </c>
      <c r="D639" cm="1">
        <f t="array" ref="D639">IFERROR(INDEX(fesp!$D:$D, MATCH(1, (VALUE(LEFT(fesp!$A:$A,6))=VALUE(LEFT(B639,6)))*(fesp!$C:$C=C639), 0)), "")</f>
        <v>0</v>
      </c>
      <c r="E639" cm="1">
        <f t="array" aca="1" ref="E639" ca="1">IFERROR(INDEX(ft_medicos_clinicos!$C:$C, MATCH(1, (VALUE(LEFT(ft_medicos_clinicos!$A:$A,6))=VALUE(LEFT(B639,6)))*(ft_medicos_clinicos!$B:$B=C639), 0)), "")</f>
        <v>923</v>
      </c>
      <c r="F639" cm="1">
        <f t="array" aca="1" ref="F639" ca="1">IFERROR(INDEX(ft_enfermeiros!$C:$C, MATCH(1, (VALUE(LEFT(ft_enfermeiros!$A:$A,6))=VALUE(LEFT(B639,6)))*(ft_enfermeiros!$B:$B=C639), 0)), "")</f>
        <v>978</v>
      </c>
      <c r="G639" t="str" cm="1">
        <f t="array" aca="1" ref="G639" ca="1">IFERROR(INDEX(ft_equipes_acs!$C:$C, MATCH(1, (VALUE(LEFT(ft_equipes_acs!$A:$A,6))=VALUE(LEFT(B639,6)))*(ft_equipes_acs!$B:$B=C639), 0)), "")</f>
        <v>-</v>
      </c>
      <c r="H639" cm="1">
        <f t="array" aca="1" ref="H639" ca="1">IFERROR(INDEX(ci_leitos_internacao!$C:$C, MATCH(1, (VALUE(LEFT(ci_leitos_internacao!$A:$A,6))=VALUE(LEFT(B639,6)))*(ci_leitos_internacao!$B:$B=C639), 0)), "")</f>
        <v>1351</v>
      </c>
      <c r="I639" cm="1">
        <f t="array" aca="1" ref="I639" ca="1">IFERROR(INDEX(ci_hospitais_internacao!$C:$C, MATCH(1, (VALUE(LEFT(ci_hospitais_internacao!$A:$A,6))=VALUE(LEFT(B639,6)))*(ci_hospitais_internacao!$B:$B=C639), 0)), "")</f>
        <v>4</v>
      </c>
      <c r="J639" cm="1">
        <f t="array" aca="1" ref="J639" ca="1">IFERROR(INDEX(ci_pa_clinico!$C:$C, MATCH(1, (VALUE(LEFT(ci_pa_clinico!$A:$A,6))=VALUE(LEFT(B639,6)))*(ci_pa_clinico!$B:$B=C639), 0)), "")</f>
        <v>9</v>
      </c>
      <c r="K639" t="str" cm="1">
        <f t="array" aca="1" ref="K639" ca="1">IFERROR(INDEX(aps_equipes_esf!$C:$C, MATCH(1, (VALUE(LEFT(aps_equipes_esf!$A:$A,6))=VALUE(LEFT(B639,6)))*(aps_equipes_esf!$B:$B=C639), 0)), "")</f>
        <v>-</v>
      </c>
      <c r="L639" cm="1">
        <f t="array" aca="1" ref="L639" ca="1">IFERROR(INDEX(casos!$C:$C, MATCH(1, (VALUE(LEFT(casos!$A:$A,6))=VALUE(LEFT(B639,6)))*(casos!$B:$B=C639), 0)), "")</f>
        <v>94</v>
      </c>
      <c r="M639" cm="1">
        <f t="array" ref="M639">IFERROR(INDEX(srag!$D:$D, MATCH(1, (VALUE(LEFT(srag!$A:$A,6))=VALUE(LEFT(B639,6)))*(srag!$C:$C=C639), 0)), "")</f>
        <v>1168</v>
      </c>
      <c r="N639" cm="1">
        <f t="array" aca="1" ref="N639" ca="1">IFERROR(INDEX(fesp!$E:$E, MATCH(1, (VALUE(LEFT(fesp!$A:$A,6))=VALUE(LEFT(B639,6)))*(fesp!$C:$C=C639), 0)), "")</f>
        <v>54</v>
      </c>
      <c r="O639" cm="1">
        <f t="array" aca="1" ref="O639" ca="1">IFERROR(INDEX(fesp!$F:$F, MATCH(1, (VALUE(LEFT(fesp!$A:$A,6))=VALUE(LEFT(B639,6)))*(fesp!$C:$C=C639), 0)), "")</f>
        <v>1267</v>
      </c>
      <c r="P639" cm="1">
        <f t="array" aca="1" ref="P639" ca="1">IFERROR(INDEX(fesp!$G:$G, MATCH(1, (VALUE(LEFT(fesp!$A:$A,6))=VALUE(LEFT(B639,6)))*(fesp!$C:$C=C639), 0)), "")</f>
        <v>2775427</v>
      </c>
      <c r="Q639" cm="1">
        <f t="array" aca="1" ref="Q639" ca="1">IFERROR(INDEX(fesp!$H:$H, MATCH(1, (VALUE(LEFT(fesp!$A:$A,6))=VALUE(LEFT(B639,6)))*(fesp!$C:$C=C639), 0)), "")</f>
        <v>5</v>
      </c>
      <c r="R639" cm="1">
        <f t="array" aca="1" ref="R639" ca="1">IFERROR(INDEX(fesp!$I:$I, MATCH(1, (VALUE(LEFT(fesp!$A:$A,6))=VALUE(LEFT(B639,6)))*(fesp!$C:$C=C639), 0)), "")</f>
        <v>0</v>
      </c>
      <c r="S639" cm="1">
        <f t="array" aca="1" ref="S639" ca="1">IFERROR(INDEX(fesp!$J:$J, MATCH(1, (VALUE(LEFT(fesp!$A:$A,6))=VALUE(LEFT(B639,6)))*(fesp!$C:$C=C639), 0)), "")</f>
        <v>18</v>
      </c>
    </row>
    <row r="640" spans="1:19">
      <c r="A640" s="1" t="s">
        <v>23</v>
      </c>
      <c r="B640" s="3">
        <v>4314902</v>
      </c>
      <c r="C640" s="3">
        <v>2015</v>
      </c>
      <c r="D640" cm="1">
        <f t="array" ref="D640">IFERROR(INDEX(fesp!$D:$D, MATCH(1, (VALUE(LEFT(fesp!$A:$A,6))=VALUE(LEFT(B640,6)))*(fesp!$C:$C=C640), 0)), "")</f>
        <v>1476867</v>
      </c>
      <c r="E640" cm="1">
        <f t="array" aca="1" ref="E640" ca="1">IFERROR(INDEX(ft_medicos_clinicos!$C:$C, MATCH(1, (VALUE(LEFT(ft_medicos_clinicos!$A:$A,6))=VALUE(LEFT(B640,6)))*(ft_medicos_clinicos!$B:$B=C640), 0)), "")</f>
        <v>1406</v>
      </c>
      <c r="F640" cm="1">
        <f t="array" aca="1" ref="F640" ca="1">IFERROR(INDEX(ft_enfermeiros!$C:$C, MATCH(1, (VALUE(LEFT(ft_enfermeiros!$A:$A,6))=VALUE(LEFT(B640,6)))*(ft_enfermeiros!$B:$B=C640), 0)), "")</f>
        <v>3068</v>
      </c>
      <c r="G640" cm="1">
        <f t="array" aca="1" ref="G640" ca="1">IFERROR(INDEX(ft_equipes_acs!$C:$C, MATCH(1, (VALUE(LEFT(ft_equipes_acs!$A:$A,6))=VALUE(LEFT(B640,6)))*(ft_equipes_acs!$B:$B=C640), 0)), "")</f>
        <v>11</v>
      </c>
      <c r="H640" cm="1">
        <f t="array" aca="1" ref="H640" ca="1">IFERROR(INDEX(ci_leitos_internacao!$C:$C, MATCH(1, (VALUE(LEFT(ci_leitos_internacao!$A:$A,6))=VALUE(LEFT(B640,6)))*(ci_leitos_internacao!$B:$B=C640), 0)), "")</f>
        <v>7329</v>
      </c>
      <c r="I640" cm="1">
        <f t="array" aca="1" ref="I640" ca="1">IFERROR(INDEX(ci_hospitais_internacao!$C:$C, MATCH(1, (VALUE(LEFT(ci_hospitais_internacao!$A:$A,6))=VALUE(LEFT(B640,6)))*(ci_hospitais_internacao!$B:$B=C640), 0)), "")</f>
        <v>17</v>
      </c>
      <c r="J640" t="str" cm="1">
        <f t="array" aca="1" ref="J640" ca="1">IFERROR(INDEX(ci_pa_clinico!$C:$C, MATCH(1, (VALUE(LEFT(ci_pa_clinico!$A:$A,6))=VALUE(LEFT(B640,6)))*(ci_pa_clinico!$B:$B=C640), 0)), "")</f>
        <v/>
      </c>
      <c r="K640" cm="1">
        <f t="array" aca="1" ref="K640" ca="1">IFERROR(INDEX(aps_equipes_esf!$C:$C, MATCH(1, (VALUE(LEFT(aps_equipes_esf!$A:$A,6))=VALUE(LEFT(B640,6)))*(aps_equipes_esf!$B:$B=C640), 0)), "")</f>
        <v>107</v>
      </c>
      <c r="L640" cm="1">
        <f t="array" aca="1" ref="L640" ca="1">IFERROR(INDEX(casos!$C:$C, MATCH(1, (VALUE(LEFT(casos!$A:$A,6))=VALUE(LEFT(B640,6)))*(casos!$B:$B=C640), 0)), "")</f>
        <v>132</v>
      </c>
      <c r="M640" cm="1">
        <f t="array" ref="M640">IFERROR(INDEX(srag!$D:$D, MATCH(1, (VALUE(LEFT(srag!$A:$A,6))=VALUE(LEFT(B640,6)))*(srag!$C:$C=C640), 0)), "")</f>
        <v>995</v>
      </c>
      <c r="N640" cm="1">
        <f t="array" aca="1" ref="N640" ca="1">IFERROR(INDEX(fesp!$E:$E, MATCH(1, (VALUE(LEFT(fesp!$A:$A,6))=VALUE(LEFT(B640,6)))*(fesp!$C:$C=C640), 0)), "")</f>
        <v>1126</v>
      </c>
      <c r="O640" cm="1">
        <f t="array" aca="1" ref="O640" ca="1">IFERROR(INDEX(fesp!$F:$F, MATCH(1, (VALUE(LEFT(fesp!$A:$A,6))=VALUE(LEFT(B640,6)))*(fesp!$C:$C=C640), 0)), "")</f>
        <v>18461</v>
      </c>
      <c r="P640" cm="1">
        <f t="array" aca="1" ref="P640" ca="1">IFERROR(INDEX(fesp!$G:$G, MATCH(1, (VALUE(LEFT(fesp!$A:$A,6))=VALUE(LEFT(B640,6)))*(fesp!$C:$C=C640), 0)), "")</f>
        <v>12724325</v>
      </c>
      <c r="Q640" cm="1">
        <f t="array" aca="1" ref="Q640" ca="1">IFERROR(INDEX(fesp!$H:$H, MATCH(1, (VALUE(LEFT(fesp!$A:$A,6))=VALUE(LEFT(B640,6)))*(fesp!$C:$C=C640), 0)), "")</f>
        <v>891</v>
      </c>
      <c r="R640" cm="1">
        <f t="array" aca="1" ref="R640" ca="1">IFERROR(INDEX(fesp!$I:$I, MATCH(1, (VALUE(LEFT(fesp!$A:$A,6))=VALUE(LEFT(B640,6)))*(fesp!$C:$C=C640), 0)), "")</f>
        <v>37949</v>
      </c>
      <c r="S640" cm="1">
        <f t="array" aca="1" ref="S640" ca="1">IFERROR(INDEX(fesp!$J:$J, MATCH(1, (VALUE(LEFT(fesp!$A:$A,6))=VALUE(LEFT(B640,6)))*(fesp!$C:$C=C640), 0)), "")</f>
        <v>945489</v>
      </c>
    </row>
    <row r="641" spans="1:19">
      <c r="A641" s="1" t="s">
        <v>23</v>
      </c>
      <c r="B641" s="3" t="s">
        <v>22</v>
      </c>
      <c r="C641" s="3">
        <v>2016</v>
      </c>
      <c r="D641" cm="1">
        <f t="array" ref="D641">IFERROR(INDEX(fesp!$D:$D, MATCH(1, (VALUE(LEFT(fesp!$A:$A,6))=VALUE(LEFT(B641,6)))*(fesp!$C:$C=C641), 0)), "")</f>
        <v>0</v>
      </c>
      <c r="E641" cm="1">
        <f t="array" aca="1" ref="E641" ca="1">IFERROR(INDEX(ft_medicos_clinicos!$C:$C, MATCH(1, (VALUE(LEFT(ft_medicos_clinicos!$A:$A,6))=VALUE(LEFT(B641,6)))*(ft_medicos_clinicos!$B:$B=C641), 0)), "")</f>
        <v>1450</v>
      </c>
      <c r="F641" cm="1">
        <f t="array" aca="1" ref="F641" ca="1">IFERROR(INDEX(ft_enfermeiros!$C:$C, MATCH(1, (VALUE(LEFT(ft_enfermeiros!$A:$A,6))=VALUE(LEFT(B641,6)))*(ft_enfermeiros!$B:$B=C641), 0)), "")</f>
        <v>3216</v>
      </c>
      <c r="G641" cm="1">
        <f t="array" aca="1" ref="G641" ca="1">IFERROR(INDEX(ft_equipes_acs!$C:$C, MATCH(1, (VALUE(LEFT(ft_equipes_acs!$A:$A,6))=VALUE(LEFT(B641,6)))*(ft_equipes_acs!$B:$B=C641), 0)), "")</f>
        <v>7</v>
      </c>
      <c r="H641" cm="1">
        <f t="array" aca="1" ref="H641" ca="1">IFERROR(INDEX(ci_leitos_internacao!$C:$C, MATCH(1, (VALUE(LEFT(ci_leitos_internacao!$A:$A,6))=VALUE(LEFT(B641,6)))*(ci_leitos_internacao!$B:$B=C641), 0)), "")</f>
        <v>7136</v>
      </c>
      <c r="I641" cm="1">
        <f t="array" aca="1" ref="I641" ca="1">IFERROR(INDEX(ci_hospitais_internacao!$C:$C, MATCH(1, (VALUE(LEFT(ci_hospitais_internacao!$A:$A,6))=VALUE(LEFT(B641,6)))*(ci_hospitais_internacao!$B:$B=C641), 0)), "")</f>
        <v>17</v>
      </c>
      <c r="J641" t="str" cm="1">
        <f t="array" aca="1" ref="J641" ca="1">IFERROR(INDEX(ci_pa_clinico!$C:$C, MATCH(1, (VALUE(LEFT(ci_pa_clinico!$A:$A,6))=VALUE(LEFT(B641,6)))*(ci_pa_clinico!$B:$B=C641), 0)), "")</f>
        <v/>
      </c>
      <c r="K641" cm="1">
        <f t="array" aca="1" ref="K641" ca="1">IFERROR(INDEX(aps_equipes_esf!$C:$C, MATCH(1, (VALUE(LEFT(aps_equipes_esf!$A:$A,6))=VALUE(LEFT(B641,6)))*(aps_equipes_esf!$B:$B=C641), 0)), "")</f>
        <v>108</v>
      </c>
      <c r="L641" cm="1">
        <f t="array" aca="1" ref="L641" ca="1">IFERROR(INDEX(casos!$C:$C, MATCH(1, (VALUE(LEFT(casos!$A:$A,6))=VALUE(LEFT(B641,6)))*(casos!$B:$B=C641), 0)), "")</f>
        <v>608</v>
      </c>
      <c r="M641" cm="1">
        <f t="array" ref="M641">IFERROR(INDEX(srag!$D:$D, MATCH(1, (VALUE(LEFT(srag!$A:$A,6))=VALUE(LEFT(B641,6)))*(srag!$C:$C=C641), 0)), "")</f>
        <v>1792</v>
      </c>
      <c r="N641" cm="1">
        <f t="array" aca="1" ref="N641" ca="1">IFERROR(INDEX(fesp!$E:$E, MATCH(1, (VALUE(LEFT(fesp!$A:$A,6))=VALUE(LEFT(B641,6)))*(fesp!$C:$C=C641), 0)), "")</f>
        <v>1143</v>
      </c>
      <c r="O641" cm="1">
        <f t="array" aca="1" ref="O641" ca="1">IFERROR(INDEX(fesp!$F:$F, MATCH(1, (VALUE(LEFT(fesp!$A:$A,6))=VALUE(LEFT(B641,6)))*(fesp!$C:$C=C641), 0)), "")</f>
        <v>18284</v>
      </c>
      <c r="P641" cm="1">
        <f t="array" aca="1" ref="P641" ca="1">IFERROR(INDEX(fesp!$G:$G, MATCH(1, (VALUE(LEFT(fesp!$A:$A,6))=VALUE(LEFT(B641,6)))*(fesp!$C:$C=C641), 0)), "")</f>
        <v>12384270</v>
      </c>
      <c r="Q641" cm="1">
        <f t="array" aca="1" ref="Q641" ca="1">IFERROR(INDEX(fesp!$H:$H, MATCH(1, (VALUE(LEFT(fesp!$A:$A,6))=VALUE(LEFT(B641,6)))*(fesp!$C:$C=C641), 0)), "")</f>
        <v>742</v>
      </c>
      <c r="R641" cm="1">
        <f t="array" aca="1" ref="R641" ca="1">IFERROR(INDEX(fesp!$I:$I, MATCH(1, (VALUE(LEFT(fesp!$A:$A,6))=VALUE(LEFT(B641,6)))*(fesp!$C:$C=C641), 0)), "")</f>
        <v>45086</v>
      </c>
      <c r="S641" cm="1">
        <f t="array" aca="1" ref="S641" ca="1">IFERROR(INDEX(fesp!$J:$J, MATCH(1, (VALUE(LEFT(fesp!$A:$A,6))=VALUE(LEFT(B641,6)))*(fesp!$C:$C=C641), 0)), "")</f>
        <v>795995</v>
      </c>
    </row>
    <row r="642" spans="1:19">
      <c r="A642" s="1" t="s">
        <v>23</v>
      </c>
      <c r="B642" s="3" t="s">
        <v>22</v>
      </c>
      <c r="C642" s="3">
        <v>2017</v>
      </c>
      <c r="D642" cm="1">
        <f t="array" ref="D642">IFERROR(INDEX(fesp!$D:$D, MATCH(1, (VALUE(LEFT(fesp!$A:$A,6))=VALUE(LEFT(B642,6)))*(fesp!$C:$C=C642), 0)), "")</f>
        <v>0</v>
      </c>
      <c r="E642" cm="1">
        <f t="array" aca="1" ref="E642" ca="1">IFERROR(INDEX(ft_medicos_clinicos!$C:$C, MATCH(1, (VALUE(LEFT(ft_medicos_clinicos!$A:$A,6))=VALUE(LEFT(B642,6)))*(ft_medicos_clinicos!$B:$B=C642), 0)), "")</f>
        <v>1520</v>
      </c>
      <c r="F642" cm="1">
        <f t="array" aca="1" ref="F642" ca="1">IFERROR(INDEX(ft_enfermeiros!$C:$C, MATCH(1, (VALUE(LEFT(ft_enfermeiros!$A:$A,6))=VALUE(LEFT(B642,6)))*(ft_enfermeiros!$B:$B=C642), 0)), "")</f>
        <v>3324</v>
      </c>
      <c r="G642" cm="1">
        <f t="array" aca="1" ref="G642" ca="1">IFERROR(INDEX(ft_equipes_acs!$C:$C, MATCH(1, (VALUE(LEFT(ft_equipes_acs!$A:$A,6))=VALUE(LEFT(B642,6)))*(ft_equipes_acs!$B:$B=C642), 0)), "")</f>
        <v>18</v>
      </c>
      <c r="H642" cm="1">
        <f t="array" aca="1" ref="H642" ca="1">IFERROR(INDEX(ci_leitos_internacao!$C:$C, MATCH(1, (VALUE(LEFT(ci_leitos_internacao!$A:$A,6))=VALUE(LEFT(B642,6)))*(ci_leitos_internacao!$B:$B=C642), 0)), "")</f>
        <v>7038</v>
      </c>
      <c r="I642" cm="1">
        <f t="array" aca="1" ref="I642" ca="1">IFERROR(INDEX(ci_hospitais_internacao!$C:$C, MATCH(1, (VALUE(LEFT(ci_hospitais_internacao!$A:$A,6))=VALUE(LEFT(B642,6)))*(ci_hospitais_internacao!$B:$B=C642), 0)), "")</f>
        <v>16</v>
      </c>
      <c r="J642" t="str" cm="1">
        <f t="array" aca="1" ref="J642" ca="1">IFERROR(INDEX(ci_pa_clinico!$C:$C, MATCH(1, (VALUE(LEFT(ci_pa_clinico!$A:$A,6))=VALUE(LEFT(B642,6)))*(ci_pa_clinico!$B:$B=C642), 0)), "")</f>
        <v/>
      </c>
      <c r="K642" cm="1">
        <f t="array" aca="1" ref="K642" ca="1">IFERROR(INDEX(aps_equipes_esf!$C:$C, MATCH(1, (VALUE(LEFT(aps_equipes_esf!$A:$A,6))=VALUE(LEFT(B642,6)))*(aps_equipes_esf!$B:$B=C642), 0)), "")</f>
        <v>96</v>
      </c>
      <c r="L642" cm="1">
        <f t="array" aca="1" ref="L642" ca="1">IFERROR(INDEX(casos!$C:$C, MATCH(1, (VALUE(LEFT(casos!$A:$A,6))=VALUE(LEFT(B642,6)))*(casos!$B:$B=C642), 0)), "")</f>
        <v>40</v>
      </c>
      <c r="M642" cm="1">
        <f t="array" ref="M642">IFERROR(INDEX(srag!$D:$D, MATCH(1, (VALUE(LEFT(srag!$A:$A,6))=VALUE(LEFT(B642,6)))*(srag!$C:$C=C642), 0)), "")</f>
        <v>1161</v>
      </c>
      <c r="N642" cm="1">
        <f t="array" aca="1" ref="N642" ca="1">IFERROR(INDEX(fesp!$E:$E, MATCH(1, (VALUE(LEFT(fesp!$A:$A,6))=VALUE(LEFT(B642,6)))*(fesp!$C:$C=C642), 0)), "")</f>
        <v>1021</v>
      </c>
      <c r="O642" cm="1">
        <f t="array" aca="1" ref="O642" ca="1">IFERROR(INDEX(fesp!$F:$F, MATCH(1, (VALUE(LEFT(fesp!$A:$A,6))=VALUE(LEFT(B642,6)))*(fesp!$C:$C=C642), 0)), "")</f>
        <v>24338</v>
      </c>
      <c r="P642" cm="1">
        <f t="array" aca="1" ref="P642" ca="1">IFERROR(INDEX(fesp!$G:$G, MATCH(1, (VALUE(LEFT(fesp!$A:$A,6))=VALUE(LEFT(B642,6)))*(fesp!$C:$C=C642), 0)), "")</f>
        <v>12232294</v>
      </c>
      <c r="Q642" cm="1">
        <f t="array" aca="1" ref="Q642" ca="1">IFERROR(INDEX(fesp!$H:$H, MATCH(1, (VALUE(LEFT(fesp!$A:$A,6))=VALUE(LEFT(B642,6)))*(fesp!$C:$C=C642), 0)), "")</f>
        <v>565</v>
      </c>
      <c r="R642" cm="1">
        <f t="array" aca="1" ref="R642" ca="1">IFERROR(INDEX(fesp!$I:$I, MATCH(1, (VALUE(LEFT(fesp!$A:$A,6))=VALUE(LEFT(B642,6)))*(fesp!$C:$C=C642), 0)), "")</f>
        <v>43628</v>
      </c>
      <c r="S642" cm="1">
        <f t="array" aca="1" ref="S642" ca="1">IFERROR(INDEX(fesp!$J:$J, MATCH(1, (VALUE(LEFT(fesp!$A:$A,6))=VALUE(LEFT(B642,6)))*(fesp!$C:$C=C642), 0)), "")</f>
        <v>563313</v>
      </c>
    </row>
    <row r="643" spans="1:19">
      <c r="A643" s="1" t="s">
        <v>23</v>
      </c>
      <c r="B643" s="3" t="s">
        <v>22</v>
      </c>
      <c r="C643" s="3">
        <v>2018</v>
      </c>
      <c r="D643" cm="1">
        <f t="array" ref="D643">IFERROR(INDEX(fesp!$D:$D, MATCH(1, (VALUE(LEFT(fesp!$A:$A,6))=VALUE(LEFT(B643,6)))*(fesp!$C:$C=C643), 0)), "")</f>
        <v>0</v>
      </c>
      <c r="E643" cm="1">
        <f t="array" aca="1" ref="E643" ca="1">IFERROR(INDEX(ft_medicos_clinicos!$C:$C, MATCH(1, (VALUE(LEFT(ft_medicos_clinicos!$A:$A,6))=VALUE(LEFT(B643,6)))*(ft_medicos_clinicos!$B:$B=C643), 0)), "")</f>
        <v>1562</v>
      </c>
      <c r="F643" cm="1">
        <f t="array" aca="1" ref="F643" ca="1">IFERROR(INDEX(ft_enfermeiros!$C:$C, MATCH(1, (VALUE(LEFT(ft_enfermeiros!$A:$A,6))=VALUE(LEFT(B643,6)))*(ft_enfermeiros!$B:$B=C643), 0)), "")</f>
        <v>3618</v>
      </c>
      <c r="G643" cm="1">
        <f t="array" aca="1" ref="G643" ca="1">IFERROR(INDEX(ft_equipes_acs!$C:$C, MATCH(1, (VALUE(LEFT(ft_equipes_acs!$A:$A,6))=VALUE(LEFT(B643,6)))*(ft_equipes_acs!$B:$B=C643), 0)), "")</f>
        <v>15</v>
      </c>
      <c r="H643" cm="1">
        <f t="array" aca="1" ref="H643" ca="1">IFERROR(INDEX(ci_leitos_internacao!$C:$C, MATCH(1, (VALUE(LEFT(ci_leitos_internacao!$A:$A,6))=VALUE(LEFT(B643,6)))*(ci_leitos_internacao!$B:$B=C643), 0)), "")</f>
        <v>6837</v>
      </c>
      <c r="I643" cm="1">
        <f t="array" aca="1" ref="I643" ca="1">IFERROR(INDEX(ci_hospitais_internacao!$C:$C, MATCH(1, (VALUE(LEFT(ci_hospitais_internacao!$A:$A,6))=VALUE(LEFT(B643,6)))*(ci_hospitais_internacao!$B:$B=C643), 0)), "")</f>
        <v>15</v>
      </c>
      <c r="J643" t="str" cm="1">
        <f t="array" aca="1" ref="J643" ca="1">IFERROR(INDEX(ci_pa_clinico!$C:$C, MATCH(1, (VALUE(LEFT(ci_pa_clinico!$A:$A,6))=VALUE(LEFT(B643,6)))*(ci_pa_clinico!$B:$B=C643), 0)), "")</f>
        <v/>
      </c>
      <c r="K643" cm="1">
        <f t="array" aca="1" ref="K643" ca="1">IFERROR(INDEX(aps_equipes_esf!$C:$C, MATCH(1, (VALUE(LEFT(aps_equipes_esf!$A:$A,6))=VALUE(LEFT(B643,6)))*(aps_equipes_esf!$B:$B=C643), 0)), "")</f>
        <v>116</v>
      </c>
      <c r="L643" cm="1">
        <f t="array" aca="1" ref="L643" ca="1">IFERROR(INDEX(casos!$C:$C, MATCH(1, (VALUE(LEFT(casos!$A:$A,6))=VALUE(LEFT(B643,6)))*(casos!$B:$B=C643), 0)), "")</f>
        <v>20</v>
      </c>
      <c r="M643" cm="1">
        <f t="array" ref="M643">IFERROR(INDEX(srag!$D:$D, MATCH(1, (VALUE(LEFT(srag!$A:$A,6))=VALUE(LEFT(B643,6)))*(srag!$C:$C=C643), 0)), "")</f>
        <v>1112</v>
      </c>
      <c r="N643" cm="1">
        <f t="array" aca="1" ref="N643" ca="1">IFERROR(INDEX(fesp!$E:$E, MATCH(1, (VALUE(LEFT(fesp!$A:$A,6))=VALUE(LEFT(B643,6)))*(fesp!$C:$C=C643), 0)), "")</f>
        <v>975</v>
      </c>
      <c r="O643" cm="1">
        <f t="array" aca="1" ref="O643" ca="1">IFERROR(INDEX(fesp!$F:$F, MATCH(1, (VALUE(LEFT(fesp!$A:$A,6))=VALUE(LEFT(B643,6)))*(fesp!$C:$C=C643), 0)), "")</f>
        <v>27963</v>
      </c>
      <c r="P643" cm="1">
        <f t="array" aca="1" ref="P643" ca="1">IFERROR(INDEX(fesp!$G:$G, MATCH(1, (VALUE(LEFT(fesp!$A:$A,6))=VALUE(LEFT(B643,6)))*(fesp!$C:$C=C643), 0)), "")</f>
        <v>12192279</v>
      </c>
      <c r="Q643" cm="1">
        <f t="array" aca="1" ref="Q643" ca="1">IFERROR(INDEX(fesp!$H:$H, MATCH(1, (VALUE(LEFT(fesp!$A:$A,6))=VALUE(LEFT(B643,6)))*(fesp!$C:$C=C643), 0)), "")</f>
        <v>539</v>
      </c>
      <c r="R643" cm="1">
        <f t="array" aca="1" ref="R643" ca="1">IFERROR(INDEX(fesp!$I:$I, MATCH(1, (VALUE(LEFT(fesp!$A:$A,6))=VALUE(LEFT(B643,6)))*(fesp!$C:$C=C643), 0)), "")</f>
        <v>8833</v>
      </c>
      <c r="S643" cm="1">
        <f t="array" aca="1" ref="S643" ca="1">IFERROR(INDEX(fesp!$J:$J, MATCH(1, (VALUE(LEFT(fesp!$A:$A,6))=VALUE(LEFT(B643,6)))*(fesp!$C:$C=C643), 0)), "")</f>
        <v>135375</v>
      </c>
    </row>
    <row r="644" spans="1:19">
      <c r="A644" s="1" t="s">
        <v>23</v>
      </c>
      <c r="B644" s="3" t="s">
        <v>22</v>
      </c>
      <c r="C644" s="3">
        <v>2019</v>
      </c>
      <c r="D644" cm="1">
        <f t="array" ref="D644">IFERROR(INDEX(fesp!$D:$D, MATCH(1, (VALUE(LEFT(fesp!$A:$A,6))=VALUE(LEFT(B644,6)))*(fesp!$C:$C=C644), 0)), "")</f>
        <v>0</v>
      </c>
      <c r="E644" cm="1">
        <f t="array" aca="1" ref="E644" ca="1">IFERROR(INDEX(ft_medicos_clinicos!$C:$C, MATCH(1, (VALUE(LEFT(ft_medicos_clinicos!$A:$A,6))=VALUE(LEFT(B644,6)))*(ft_medicos_clinicos!$B:$B=C644), 0)), "")</f>
        <v>1637</v>
      </c>
      <c r="F644" cm="1">
        <f t="array" aca="1" ref="F644" ca="1">IFERROR(INDEX(ft_enfermeiros!$C:$C, MATCH(1, (VALUE(LEFT(ft_enfermeiros!$A:$A,6))=VALUE(LEFT(B644,6)))*(ft_enfermeiros!$B:$B=C644), 0)), "")</f>
        <v>3671</v>
      </c>
      <c r="G644" cm="1">
        <f t="array" aca="1" ref="G644" ca="1">IFERROR(INDEX(ft_equipes_acs!$C:$C, MATCH(1, (VALUE(LEFT(ft_equipes_acs!$A:$A,6))=VALUE(LEFT(B644,6)))*(ft_equipes_acs!$B:$B=C644), 0)), "")</f>
        <v>14</v>
      </c>
      <c r="H644" cm="1">
        <f t="array" aca="1" ref="H644" ca="1">IFERROR(INDEX(ci_leitos_internacao!$C:$C, MATCH(1, (VALUE(LEFT(ci_leitos_internacao!$A:$A,6))=VALUE(LEFT(B644,6)))*(ci_leitos_internacao!$B:$B=C644), 0)), "")</f>
        <v>7013</v>
      </c>
      <c r="I644" cm="1">
        <f t="array" aca="1" ref="I644" ca="1">IFERROR(INDEX(ci_hospitais_internacao!$C:$C, MATCH(1, (VALUE(LEFT(ci_hospitais_internacao!$A:$A,6))=VALUE(LEFT(B644,6)))*(ci_hospitais_internacao!$B:$B=C644), 0)), "")</f>
        <v>14</v>
      </c>
      <c r="J644" t="str" cm="1">
        <f t="array" aca="1" ref="J644" ca="1">IFERROR(INDEX(ci_pa_clinico!$C:$C, MATCH(1, (VALUE(LEFT(ci_pa_clinico!$A:$A,6))=VALUE(LEFT(B644,6)))*(ci_pa_clinico!$B:$B=C644), 0)), "")</f>
        <v/>
      </c>
      <c r="K644" cm="1">
        <f t="array" aca="1" ref="K644" ca="1">IFERROR(INDEX(aps_equipes_esf!$C:$C, MATCH(1, (VALUE(LEFT(aps_equipes_esf!$A:$A,6))=VALUE(LEFT(B644,6)))*(aps_equipes_esf!$B:$B=C644), 0)), "")</f>
        <v>105</v>
      </c>
      <c r="L644" cm="1">
        <f t="array" aca="1" ref="L644" ca="1">IFERROR(INDEX(casos!$C:$C, MATCH(1, (VALUE(LEFT(casos!$A:$A,6))=VALUE(LEFT(B644,6)))*(casos!$B:$B=C644), 0)), "")</f>
        <v>560</v>
      </c>
      <c r="M644" cm="1">
        <f t="array" ref="M644">IFERROR(INDEX(srag!$D:$D, MATCH(1, (VALUE(LEFT(srag!$A:$A,6))=VALUE(LEFT(B644,6)))*(srag!$C:$C=C644), 0)), "")</f>
        <v>1079</v>
      </c>
      <c r="N644" cm="1">
        <f t="array" aca="1" ref="N644" ca="1">IFERROR(INDEX(fesp!$E:$E, MATCH(1, (VALUE(LEFT(fesp!$A:$A,6))=VALUE(LEFT(B644,6)))*(fesp!$C:$C=C644), 0)), "")</f>
        <v>979</v>
      </c>
      <c r="O644" cm="1">
        <f t="array" aca="1" ref="O644" ca="1">IFERROR(INDEX(fesp!$F:$F, MATCH(1, (VALUE(LEFT(fesp!$A:$A,6))=VALUE(LEFT(B644,6)))*(fesp!$C:$C=C644), 0)), "")</f>
        <v>27941</v>
      </c>
      <c r="P644" cm="1">
        <f t="array" aca="1" ref="P644" ca="1">IFERROR(INDEX(fesp!$G:$G, MATCH(1, (VALUE(LEFT(fesp!$A:$A,6))=VALUE(LEFT(B644,6)))*(fesp!$C:$C=C644), 0)), "")</f>
        <v>12627691</v>
      </c>
      <c r="Q644" cm="1">
        <f t="array" aca="1" ref="Q644" ca="1">IFERROR(INDEX(fesp!$H:$H, MATCH(1, (VALUE(LEFT(fesp!$A:$A,6))=VALUE(LEFT(B644,6)))*(fesp!$C:$C=C644), 0)), "")</f>
        <v>478</v>
      </c>
      <c r="R644" cm="1">
        <f t="array" aca="1" ref="R644" ca="1">IFERROR(INDEX(fesp!$I:$I, MATCH(1, (VALUE(LEFT(fesp!$A:$A,6))=VALUE(LEFT(B644,6)))*(fesp!$C:$C=C644), 0)), "")</f>
        <v>7949</v>
      </c>
      <c r="S644" cm="1">
        <f t="array" aca="1" ref="S644" ca="1">IFERROR(INDEX(fesp!$J:$J, MATCH(1, (VALUE(LEFT(fesp!$A:$A,6))=VALUE(LEFT(B644,6)))*(fesp!$C:$C=C644), 0)), "")</f>
        <v>142567</v>
      </c>
    </row>
    <row r="645" spans="1:19">
      <c r="A645" s="1" t="s">
        <v>23</v>
      </c>
      <c r="B645" s="3" t="s">
        <v>22</v>
      </c>
      <c r="C645" s="3">
        <v>2020</v>
      </c>
      <c r="D645" cm="1">
        <f t="array" ref="D645">IFERROR(INDEX(fesp!$D:$D, MATCH(1, (VALUE(LEFT(fesp!$A:$A,6))=VALUE(LEFT(B645,6)))*(fesp!$C:$C=C645), 0)), "")</f>
        <v>0</v>
      </c>
      <c r="E645" cm="1">
        <f t="array" aca="1" ref="E645" ca="1">IFERROR(INDEX(ft_medicos_clinicos!$C:$C, MATCH(1, (VALUE(LEFT(ft_medicos_clinicos!$A:$A,6))=VALUE(LEFT(B645,6)))*(ft_medicos_clinicos!$B:$B=C645), 0)), "")</f>
        <v>1691</v>
      </c>
      <c r="F645" cm="1">
        <f t="array" aca="1" ref="F645" ca="1">IFERROR(INDEX(ft_enfermeiros!$C:$C, MATCH(1, (VALUE(LEFT(ft_enfermeiros!$A:$A,6))=VALUE(LEFT(B645,6)))*(ft_enfermeiros!$B:$B=C645), 0)), "")</f>
        <v>4007</v>
      </c>
      <c r="G645" cm="1">
        <f t="array" aca="1" ref="G645" ca="1">IFERROR(INDEX(ft_equipes_acs!$C:$C, MATCH(1, (VALUE(LEFT(ft_equipes_acs!$A:$A,6))=VALUE(LEFT(B645,6)))*(ft_equipes_acs!$B:$B=C645), 0)), "")</f>
        <v>2</v>
      </c>
      <c r="H645" cm="1">
        <f t="array" aca="1" ref="H645" ca="1">IFERROR(INDEX(ci_leitos_internacao!$C:$C, MATCH(1, (VALUE(LEFT(ci_leitos_internacao!$A:$A,6))=VALUE(LEFT(B645,6)))*(ci_leitos_internacao!$B:$B=C645), 0)), "")</f>
        <v>6847</v>
      </c>
      <c r="I645" cm="1">
        <f t="array" aca="1" ref="I645" ca="1">IFERROR(INDEX(ci_hospitais_internacao!$C:$C, MATCH(1, (VALUE(LEFT(ci_hospitais_internacao!$A:$A,6))=VALUE(LEFT(B645,6)))*(ci_hospitais_internacao!$B:$B=C645), 0)), "")</f>
        <v>14</v>
      </c>
      <c r="J645" t="str" cm="1">
        <f t="array" aca="1" ref="J645" ca="1">IFERROR(INDEX(ci_pa_clinico!$C:$C, MATCH(1, (VALUE(LEFT(ci_pa_clinico!$A:$A,6))=VALUE(LEFT(B645,6)))*(ci_pa_clinico!$B:$B=C645), 0)), "")</f>
        <v/>
      </c>
      <c r="K645" cm="1">
        <f t="array" aca="1" ref="K645" ca="1">IFERROR(INDEX(aps_equipes_esf!$C:$C, MATCH(1, (VALUE(LEFT(aps_equipes_esf!$A:$A,6))=VALUE(LEFT(B645,6)))*(aps_equipes_esf!$B:$B=C645), 0)), "")</f>
        <v>5</v>
      </c>
      <c r="L645" cm="1">
        <f t="array" aca="1" ref="L645" ca="1">IFERROR(INDEX(casos!$C:$C, MATCH(1, (VALUE(LEFT(casos!$A:$A,6))=VALUE(LEFT(B645,6)))*(casos!$B:$B=C645), 0)), "")</f>
        <v>56</v>
      </c>
      <c r="M645" cm="1">
        <f t="array" ref="M645">IFERROR(INDEX(srag!$D:$D, MATCH(1, (VALUE(LEFT(srag!$A:$A,6))=VALUE(LEFT(B645,6)))*(srag!$C:$C=C645), 0)), "")</f>
        <v>9518</v>
      </c>
      <c r="N645" cm="1">
        <f t="array" aca="1" ref="N645" ca="1">IFERROR(INDEX(fesp!$E:$E, MATCH(1, (VALUE(LEFT(fesp!$A:$A,6))=VALUE(LEFT(B645,6)))*(fesp!$C:$C=C645), 0)), "")</f>
        <v>886</v>
      </c>
      <c r="O645" cm="1">
        <f t="array" aca="1" ref="O645" ca="1">IFERROR(INDEX(fesp!$F:$F, MATCH(1, (VALUE(LEFT(fesp!$A:$A,6))=VALUE(LEFT(B645,6)))*(fesp!$C:$C=C645), 0)), "")</f>
        <v>19493</v>
      </c>
      <c r="P645" cm="1">
        <f t="array" aca="1" ref="P645" ca="1">IFERROR(INDEX(fesp!$G:$G, MATCH(1, (VALUE(LEFT(fesp!$A:$A,6))=VALUE(LEFT(B645,6)))*(fesp!$C:$C=C645), 0)), "")</f>
        <v>10125198</v>
      </c>
      <c r="Q645" cm="1">
        <f t="array" aca="1" ref="Q645" ca="1">IFERROR(INDEX(fesp!$H:$H, MATCH(1, (VALUE(LEFT(fesp!$A:$A,6))=VALUE(LEFT(B645,6)))*(fesp!$C:$C=C645), 0)), "")</f>
        <v>315</v>
      </c>
      <c r="R645" cm="1">
        <f t="array" aca="1" ref="R645" ca="1">IFERROR(INDEX(fesp!$I:$I, MATCH(1, (VALUE(LEFT(fesp!$A:$A,6))=VALUE(LEFT(B645,6)))*(fesp!$C:$C=C645), 0)), "")</f>
        <v>7182</v>
      </c>
      <c r="S645" cm="1">
        <f t="array" aca="1" ref="S645" ca="1">IFERROR(INDEX(fesp!$J:$J, MATCH(1, (VALUE(LEFT(fesp!$A:$A,6))=VALUE(LEFT(B645,6)))*(fesp!$C:$C=C645), 0)), "")</f>
        <v>100048</v>
      </c>
    </row>
    <row r="646" spans="1:19">
      <c r="A646" s="1" t="s">
        <v>23</v>
      </c>
      <c r="B646" s="3" t="s">
        <v>22</v>
      </c>
      <c r="C646" s="3">
        <v>2021</v>
      </c>
      <c r="D646" cm="1">
        <f t="array" ref="D646">IFERROR(INDEX(fesp!$D:$D, MATCH(1, (VALUE(LEFT(fesp!$A:$A,6))=VALUE(LEFT(B646,6)))*(fesp!$C:$C=C646), 0)), "")</f>
        <v>0</v>
      </c>
      <c r="E646" cm="1">
        <f t="array" aca="1" ref="E646" ca="1">IFERROR(INDEX(ft_medicos_clinicos!$C:$C, MATCH(1, (VALUE(LEFT(ft_medicos_clinicos!$A:$A,6))=VALUE(LEFT(B646,6)))*(ft_medicos_clinicos!$B:$B=C646), 0)), "")</f>
        <v>1797</v>
      </c>
      <c r="F646" cm="1">
        <f t="array" aca="1" ref="F646" ca="1">IFERROR(INDEX(ft_enfermeiros!$C:$C, MATCH(1, (VALUE(LEFT(ft_enfermeiros!$A:$A,6))=VALUE(LEFT(B646,6)))*(ft_enfermeiros!$B:$B=C646), 0)), "")</f>
        <v>4456</v>
      </c>
      <c r="G646" cm="1">
        <f t="array" aca="1" ref="G646" ca="1">IFERROR(INDEX(ft_equipes_acs!$C:$C, MATCH(1, (VALUE(LEFT(ft_equipes_acs!$A:$A,6))=VALUE(LEFT(B646,6)))*(ft_equipes_acs!$B:$B=C646), 0)), "")</f>
        <v>2</v>
      </c>
      <c r="H646" cm="1">
        <f t="array" aca="1" ref="H646" ca="1">IFERROR(INDEX(ci_leitos_internacao!$C:$C, MATCH(1, (VALUE(LEFT(ci_leitos_internacao!$A:$A,6))=VALUE(LEFT(B646,6)))*(ci_leitos_internacao!$B:$B=C646), 0)), "")</f>
        <v>6619</v>
      </c>
      <c r="I646" cm="1">
        <f t="array" aca="1" ref="I646" ca="1">IFERROR(INDEX(ci_hospitais_internacao!$C:$C, MATCH(1, (VALUE(LEFT(ci_hospitais_internacao!$A:$A,6))=VALUE(LEFT(B646,6)))*(ci_hospitais_internacao!$B:$B=C646), 0)), "")</f>
        <v>15</v>
      </c>
      <c r="J646" t="str" cm="1">
        <f t="array" aca="1" ref="J646" ca="1">IFERROR(INDEX(ci_pa_clinico!$C:$C, MATCH(1, (VALUE(LEFT(ci_pa_clinico!$A:$A,6))=VALUE(LEFT(B646,6)))*(ci_pa_clinico!$B:$B=C646), 0)), "")</f>
        <v/>
      </c>
      <c r="K646" cm="1">
        <f t="array" aca="1" ref="K646" ca="1">IFERROR(INDEX(aps_equipes_esf!$C:$C, MATCH(1, (VALUE(LEFT(aps_equipes_esf!$A:$A,6))=VALUE(LEFT(B646,6)))*(aps_equipes_esf!$B:$B=C646), 0)), "")</f>
        <v>3</v>
      </c>
      <c r="L646" cm="1">
        <f t="array" aca="1" ref="L646" ca="1">IFERROR(INDEX(casos!$C:$C, MATCH(1, (VALUE(LEFT(casos!$A:$A,6))=VALUE(LEFT(B646,6)))*(casos!$B:$B=C646), 0)), "")</f>
        <v>83</v>
      </c>
      <c r="M646" cm="1">
        <f t="array" ref="M646">IFERROR(INDEX(srag!$D:$D, MATCH(1, (VALUE(LEFT(srag!$A:$A,6))=VALUE(LEFT(B646,6)))*(srag!$C:$C=C646), 0)), "")</f>
        <v>11854</v>
      </c>
      <c r="N646" cm="1">
        <f t="array" aca="1" ref="N646" ca="1">IFERROR(INDEX(fesp!$E:$E, MATCH(1, (VALUE(LEFT(fesp!$A:$A,6))=VALUE(LEFT(B646,6)))*(fesp!$C:$C=C646), 0)), "")</f>
        <v>885</v>
      </c>
      <c r="O646" cm="1">
        <f t="array" aca="1" ref="O646" ca="1">IFERROR(INDEX(fesp!$F:$F, MATCH(1, (VALUE(LEFT(fesp!$A:$A,6))=VALUE(LEFT(B646,6)))*(fesp!$C:$C=C646), 0)), "")</f>
        <v>24232</v>
      </c>
      <c r="P646" cm="1">
        <f t="array" aca="1" ref="P646" ca="1">IFERROR(INDEX(fesp!$G:$G, MATCH(1, (VALUE(LEFT(fesp!$A:$A,6))=VALUE(LEFT(B646,6)))*(fesp!$C:$C=C646), 0)), "")</f>
        <v>12161813</v>
      </c>
      <c r="Q646" cm="1">
        <f t="array" aca="1" ref="Q646" ca="1">IFERROR(INDEX(fesp!$H:$H, MATCH(1, (VALUE(LEFT(fesp!$A:$A,6))=VALUE(LEFT(B646,6)))*(fesp!$C:$C=C646), 0)), "")</f>
        <v>341</v>
      </c>
      <c r="R646" cm="1">
        <f t="array" aca="1" ref="R646" ca="1">IFERROR(INDEX(fesp!$I:$I, MATCH(1, (VALUE(LEFT(fesp!$A:$A,6))=VALUE(LEFT(B646,6)))*(fesp!$C:$C=C646), 0)), "")</f>
        <v>4294</v>
      </c>
      <c r="S646" cm="1">
        <f t="array" aca="1" ref="S646" ca="1">IFERROR(INDEX(fesp!$J:$J, MATCH(1, (VALUE(LEFT(fesp!$A:$A,6))=VALUE(LEFT(B646,6)))*(fesp!$C:$C=C646), 0)), "")</f>
        <v>125775</v>
      </c>
    </row>
    <row r="647" spans="1:19">
      <c r="A647" s="1" t="s">
        <v>23</v>
      </c>
      <c r="B647" s="3" t="s">
        <v>22</v>
      </c>
      <c r="C647" s="3">
        <v>2022</v>
      </c>
      <c r="D647" cm="1">
        <f t="array" ref="D647">IFERROR(INDEX(fesp!$D:$D, MATCH(1, (VALUE(LEFT(fesp!$A:$A,6))=VALUE(LEFT(B647,6)))*(fesp!$C:$C=C647), 0)), "")</f>
        <v>1332845</v>
      </c>
      <c r="E647" cm="1">
        <f t="array" aca="1" ref="E647" ca="1">IFERROR(INDEX(ft_medicos_clinicos!$C:$C, MATCH(1, (VALUE(LEFT(ft_medicos_clinicos!$A:$A,6))=VALUE(LEFT(B647,6)))*(ft_medicos_clinicos!$B:$B=C647), 0)), "")</f>
        <v>1768</v>
      </c>
      <c r="F647" cm="1">
        <f t="array" aca="1" ref="F647" ca="1">IFERROR(INDEX(ft_enfermeiros!$C:$C, MATCH(1, (VALUE(LEFT(ft_enfermeiros!$A:$A,6))=VALUE(LEFT(B647,6)))*(ft_enfermeiros!$B:$B=C647), 0)), "")</f>
        <v>4452</v>
      </c>
      <c r="G647" t="str" cm="1">
        <f t="array" aca="1" ref="G647" ca="1">IFERROR(INDEX(ft_equipes_acs!$C:$C, MATCH(1, (VALUE(LEFT(ft_equipes_acs!$A:$A,6))=VALUE(LEFT(B647,6)))*(ft_equipes_acs!$B:$B=C647), 0)), "")</f>
        <v>-</v>
      </c>
      <c r="H647" cm="1">
        <f t="array" aca="1" ref="H647" ca="1">IFERROR(INDEX(ci_leitos_internacao!$C:$C, MATCH(1, (VALUE(LEFT(ci_leitos_internacao!$A:$A,6))=VALUE(LEFT(B647,6)))*(ci_leitos_internacao!$B:$B=C647), 0)), "")</f>
        <v>6813</v>
      </c>
      <c r="I647" cm="1">
        <f t="array" aca="1" ref="I647" ca="1">IFERROR(INDEX(ci_hospitais_internacao!$C:$C, MATCH(1, (VALUE(LEFT(ci_hospitais_internacao!$A:$A,6))=VALUE(LEFT(B647,6)))*(ci_hospitais_internacao!$B:$B=C647), 0)), "")</f>
        <v>14</v>
      </c>
      <c r="J647" t="str" cm="1">
        <f t="array" aca="1" ref="J647" ca="1">IFERROR(INDEX(ci_pa_clinico!$C:$C, MATCH(1, (VALUE(LEFT(ci_pa_clinico!$A:$A,6))=VALUE(LEFT(B647,6)))*(ci_pa_clinico!$B:$B=C647), 0)), "")</f>
        <v/>
      </c>
      <c r="K647" t="str" cm="1">
        <f t="array" aca="1" ref="K647" ca="1">IFERROR(INDEX(aps_equipes_esf!$C:$C, MATCH(1, (VALUE(LEFT(aps_equipes_esf!$A:$A,6))=VALUE(LEFT(B647,6)))*(aps_equipes_esf!$B:$B=C647), 0)), "")</f>
        <v>-</v>
      </c>
      <c r="L647" cm="1">
        <f t="array" aca="1" ref="L647" ca="1">IFERROR(INDEX(casos!$C:$C, MATCH(1, (VALUE(LEFT(casos!$A:$A,6))=VALUE(LEFT(B647,6)))*(casos!$B:$B=C647), 0)), "")</f>
        <v>5594</v>
      </c>
      <c r="M647" cm="1">
        <f t="array" ref="M647">IFERROR(INDEX(srag!$D:$D, MATCH(1, (VALUE(LEFT(srag!$A:$A,6))=VALUE(LEFT(B647,6)))*(srag!$C:$C=C647), 0)), "")</f>
        <v>3637</v>
      </c>
      <c r="N647" cm="1">
        <f t="array" aca="1" ref="N647" ca="1">IFERROR(INDEX(fesp!$E:$E, MATCH(1, (VALUE(LEFT(fesp!$A:$A,6))=VALUE(LEFT(B647,6)))*(fesp!$C:$C=C647), 0)), "")</f>
        <v>917</v>
      </c>
      <c r="O647" cm="1">
        <f t="array" aca="1" ref="O647" ca="1">IFERROR(INDEX(fesp!$F:$F, MATCH(1, (VALUE(LEFT(fesp!$A:$A,6))=VALUE(LEFT(B647,6)))*(fesp!$C:$C=C647), 0)), "")</f>
        <v>30895</v>
      </c>
      <c r="P647" cm="1">
        <f t="array" aca="1" ref="P647" ca="1">IFERROR(INDEX(fesp!$G:$G, MATCH(1, (VALUE(LEFT(fesp!$A:$A,6))=VALUE(LEFT(B647,6)))*(fesp!$C:$C=C647), 0)), "")</f>
        <v>13643864</v>
      </c>
      <c r="Q647" cm="1">
        <f t="array" aca="1" ref="Q647" ca="1">IFERROR(INDEX(fesp!$H:$H, MATCH(1, (VALUE(LEFT(fesp!$A:$A,6))=VALUE(LEFT(B647,6)))*(fesp!$C:$C=C647), 0)), "")</f>
        <v>356</v>
      </c>
      <c r="R647" cm="1">
        <f t="array" aca="1" ref="R647" ca="1">IFERROR(INDEX(fesp!$I:$I, MATCH(1, (VALUE(LEFT(fesp!$A:$A,6))=VALUE(LEFT(B647,6)))*(fesp!$C:$C=C647), 0)), "")</f>
        <v>3452</v>
      </c>
      <c r="S647" cm="1">
        <f t="array" aca="1" ref="S647" ca="1">IFERROR(INDEX(fesp!$J:$J, MATCH(1, (VALUE(LEFT(fesp!$A:$A,6))=VALUE(LEFT(B647,6)))*(fesp!$C:$C=C647), 0)), "")</f>
        <v>159341</v>
      </c>
    </row>
    <row r="648" spans="1:19">
      <c r="A648" s="1" t="s">
        <v>23</v>
      </c>
      <c r="B648" s="3" t="s">
        <v>22</v>
      </c>
      <c r="C648" s="3">
        <v>2023</v>
      </c>
      <c r="D648" cm="1">
        <f t="array" ref="D648">IFERROR(INDEX(fesp!$D:$D, MATCH(1, (VALUE(LEFT(fesp!$A:$A,6))=VALUE(LEFT(B648,6)))*(fesp!$C:$C=C648), 0)), "")</f>
        <v>0</v>
      </c>
      <c r="E648" cm="1">
        <f t="array" aca="1" ref="E648" ca="1">IFERROR(INDEX(ft_medicos_clinicos!$C:$C, MATCH(1, (VALUE(LEFT(ft_medicos_clinicos!$A:$A,6))=VALUE(LEFT(B648,6)))*(ft_medicos_clinicos!$B:$B=C648), 0)), "")</f>
        <v>2025</v>
      </c>
      <c r="F648" cm="1">
        <f t="array" aca="1" ref="F648" ca="1">IFERROR(INDEX(ft_enfermeiros!$C:$C, MATCH(1, (VALUE(LEFT(ft_enfermeiros!$A:$A,6))=VALUE(LEFT(B648,6)))*(ft_enfermeiros!$B:$B=C648), 0)), "")</f>
        <v>4532</v>
      </c>
      <c r="G648" t="str" cm="1">
        <f t="array" aca="1" ref="G648" ca="1">IFERROR(INDEX(ft_equipes_acs!$C:$C, MATCH(1, (VALUE(LEFT(ft_equipes_acs!$A:$A,6))=VALUE(LEFT(B648,6)))*(ft_equipes_acs!$B:$B=C648), 0)), "")</f>
        <v>-</v>
      </c>
      <c r="H648" cm="1">
        <f t="array" aca="1" ref="H648" ca="1">IFERROR(INDEX(ci_leitos_internacao!$C:$C, MATCH(1, (VALUE(LEFT(ci_leitos_internacao!$A:$A,6))=VALUE(LEFT(B648,6)))*(ci_leitos_internacao!$B:$B=C648), 0)), "")</f>
        <v>6725</v>
      </c>
      <c r="I648" cm="1">
        <f t="array" aca="1" ref="I648" ca="1">IFERROR(INDEX(ci_hospitais_internacao!$C:$C, MATCH(1, (VALUE(LEFT(ci_hospitais_internacao!$A:$A,6))=VALUE(LEFT(B648,6)))*(ci_hospitais_internacao!$B:$B=C648), 0)), "")</f>
        <v>13</v>
      </c>
      <c r="J648" t="str" cm="1">
        <f t="array" aca="1" ref="J648" ca="1">IFERROR(INDEX(ci_pa_clinico!$C:$C, MATCH(1, (VALUE(LEFT(ci_pa_clinico!$A:$A,6))=VALUE(LEFT(B648,6)))*(ci_pa_clinico!$B:$B=C648), 0)), "")</f>
        <v/>
      </c>
      <c r="K648" t="str" cm="1">
        <f t="array" aca="1" ref="K648" ca="1">IFERROR(INDEX(aps_equipes_esf!$C:$C, MATCH(1, (VALUE(LEFT(aps_equipes_esf!$A:$A,6))=VALUE(LEFT(B648,6)))*(aps_equipes_esf!$B:$B=C648), 0)), "")</f>
        <v>-</v>
      </c>
      <c r="L648" cm="1">
        <f t="array" aca="1" ref="L648" ca="1">IFERROR(INDEX(casos!$C:$C, MATCH(1, (VALUE(LEFT(casos!$A:$A,6))=VALUE(LEFT(B648,6)))*(casos!$B:$B=C648), 0)), "")</f>
        <v>6622</v>
      </c>
      <c r="M648" cm="1">
        <f t="array" ref="M648">IFERROR(INDEX(srag!$D:$D, MATCH(1, (VALUE(LEFT(srag!$A:$A,6))=VALUE(LEFT(B648,6)))*(srag!$C:$C=C648), 0)), "")</f>
        <v>2570</v>
      </c>
      <c r="N648" cm="1">
        <f t="array" aca="1" ref="N648" ca="1">IFERROR(INDEX(fesp!$E:$E, MATCH(1, (VALUE(LEFT(fesp!$A:$A,6))=VALUE(LEFT(B648,6)))*(fesp!$C:$C=C648), 0)), "")</f>
        <v>894</v>
      </c>
      <c r="O648" cm="1">
        <f t="array" aca="1" ref="O648" ca="1">IFERROR(INDEX(fesp!$F:$F, MATCH(1, (VALUE(LEFT(fesp!$A:$A,6))=VALUE(LEFT(B648,6)))*(fesp!$C:$C=C648), 0)), "")</f>
        <v>35283</v>
      </c>
      <c r="P648" cm="1">
        <f t="array" aca="1" ref="P648" ca="1">IFERROR(INDEX(fesp!$G:$G, MATCH(1, (VALUE(LEFT(fesp!$A:$A,6))=VALUE(LEFT(B648,6)))*(fesp!$C:$C=C648), 0)), "")</f>
        <v>15829553</v>
      </c>
      <c r="Q648" cm="1">
        <f t="array" aca="1" ref="Q648" ca="1">IFERROR(INDEX(fesp!$H:$H, MATCH(1, (VALUE(LEFT(fesp!$A:$A,6))=VALUE(LEFT(B648,6)))*(fesp!$C:$C=C648), 0)), "")</f>
        <v>284</v>
      </c>
      <c r="R648" cm="1">
        <f t="array" aca="1" ref="R648" ca="1">IFERROR(INDEX(fesp!$I:$I, MATCH(1, (VALUE(LEFT(fesp!$A:$A,6))=VALUE(LEFT(B648,6)))*(fesp!$C:$C=C648), 0)), "")</f>
        <v>3671</v>
      </c>
      <c r="S648" cm="1">
        <f t="array" aca="1" ref="S648" ca="1">IFERROR(INDEX(fesp!$J:$J, MATCH(1, (VALUE(LEFT(fesp!$A:$A,6))=VALUE(LEFT(B648,6)))*(fesp!$C:$C=C648), 0)), "")</f>
        <v>134045</v>
      </c>
    </row>
    <row r="649" spans="1:19">
      <c r="A649" s="1" t="s">
        <v>23</v>
      </c>
      <c r="B649" s="3" t="s">
        <v>22</v>
      </c>
      <c r="C649" s="3">
        <v>2024</v>
      </c>
      <c r="D649" cm="1">
        <f t="array" ref="D649">IFERROR(INDEX(fesp!$D:$D, MATCH(1, (VALUE(LEFT(fesp!$A:$A,6))=VALUE(LEFT(B649,6)))*(fesp!$C:$C=C649), 0)), "")</f>
        <v>0</v>
      </c>
      <c r="E649" cm="1">
        <f t="array" aca="1" ref="E649" ca="1">IFERROR(INDEX(ft_medicos_clinicos!$C:$C, MATCH(1, (VALUE(LEFT(ft_medicos_clinicos!$A:$A,6))=VALUE(LEFT(B649,6)))*(ft_medicos_clinicos!$B:$B=C649), 0)), "")</f>
        <v>2053</v>
      </c>
      <c r="F649" cm="1">
        <f t="array" aca="1" ref="F649" ca="1">IFERROR(INDEX(ft_enfermeiros!$C:$C, MATCH(1, (VALUE(LEFT(ft_enfermeiros!$A:$A,6))=VALUE(LEFT(B649,6)))*(ft_enfermeiros!$B:$B=C649), 0)), "")</f>
        <v>4769</v>
      </c>
      <c r="G649" t="str" cm="1">
        <f t="array" aca="1" ref="G649" ca="1">IFERROR(INDEX(ft_equipes_acs!$C:$C, MATCH(1, (VALUE(LEFT(ft_equipes_acs!$A:$A,6))=VALUE(LEFT(B649,6)))*(ft_equipes_acs!$B:$B=C649), 0)), "")</f>
        <v>-</v>
      </c>
      <c r="H649" cm="1">
        <f t="array" aca="1" ref="H649" ca="1">IFERROR(INDEX(ci_leitos_internacao!$C:$C, MATCH(1, (VALUE(LEFT(ci_leitos_internacao!$A:$A,6))=VALUE(LEFT(B649,6)))*(ci_leitos_internacao!$B:$B=C649), 0)), "")</f>
        <v>7020</v>
      </c>
      <c r="I649" cm="1">
        <f t="array" aca="1" ref="I649" ca="1">IFERROR(INDEX(ci_hospitais_internacao!$C:$C, MATCH(1, (VALUE(LEFT(ci_hospitais_internacao!$A:$A,6))=VALUE(LEFT(B649,6)))*(ci_hospitais_internacao!$B:$B=C649), 0)), "")</f>
        <v>13</v>
      </c>
      <c r="J649" t="str" cm="1">
        <f t="array" aca="1" ref="J649" ca="1">IFERROR(INDEX(ci_pa_clinico!$C:$C, MATCH(1, (VALUE(LEFT(ci_pa_clinico!$A:$A,6))=VALUE(LEFT(B649,6)))*(ci_pa_clinico!$B:$B=C649), 0)), "")</f>
        <v/>
      </c>
      <c r="K649" t="str" cm="1">
        <f t="array" aca="1" ref="K649" ca="1">IFERROR(INDEX(aps_equipes_esf!$C:$C, MATCH(1, (VALUE(LEFT(aps_equipes_esf!$A:$A,6))=VALUE(LEFT(B649,6)))*(aps_equipes_esf!$B:$B=C649), 0)), "")</f>
        <v>-</v>
      </c>
      <c r="L649" cm="1">
        <f t="array" aca="1" ref="L649" ca="1">IFERROR(INDEX(casos!$C:$C, MATCH(1, (VALUE(LEFT(casos!$A:$A,6))=VALUE(LEFT(B649,6)))*(casos!$B:$B=C649), 0)), "")</f>
        <v>31497</v>
      </c>
      <c r="M649" cm="1">
        <f t="array" ref="M649">IFERROR(INDEX(srag!$D:$D, MATCH(1, (VALUE(LEFT(srag!$A:$A,6))=VALUE(LEFT(B649,6)))*(srag!$C:$C=C649), 0)), "")</f>
        <v>2942</v>
      </c>
      <c r="N649" cm="1">
        <f t="array" aca="1" ref="N649" ca="1">IFERROR(INDEX(fesp!$E:$E, MATCH(1, (VALUE(LEFT(fesp!$A:$A,6))=VALUE(LEFT(B649,6)))*(fesp!$C:$C=C649), 0)), "")</f>
        <v>849</v>
      </c>
      <c r="O649" cm="1">
        <f t="array" aca="1" ref="O649" ca="1">IFERROR(INDEX(fesp!$F:$F, MATCH(1, (VALUE(LEFT(fesp!$A:$A,6))=VALUE(LEFT(B649,6)))*(fesp!$C:$C=C649), 0)), "")</f>
        <v>31876</v>
      </c>
      <c r="P649" cm="1">
        <f t="array" aca="1" ref="P649" ca="1">IFERROR(INDEX(fesp!$G:$G, MATCH(1, (VALUE(LEFT(fesp!$A:$A,6))=VALUE(LEFT(B649,6)))*(fesp!$C:$C=C649), 0)), "")</f>
        <v>16372059</v>
      </c>
      <c r="Q649" cm="1">
        <f t="array" aca="1" ref="Q649" ca="1">IFERROR(INDEX(fesp!$H:$H, MATCH(1, (VALUE(LEFT(fesp!$A:$A,6))=VALUE(LEFT(B649,6)))*(fesp!$C:$C=C649), 0)), "")</f>
        <v>210</v>
      </c>
      <c r="R649" cm="1">
        <f t="array" aca="1" ref="R649" ca="1">IFERROR(INDEX(fesp!$I:$I, MATCH(1, (VALUE(LEFT(fesp!$A:$A,6))=VALUE(LEFT(B649,6)))*(fesp!$C:$C=C649), 0)), "")</f>
        <v>3130</v>
      </c>
      <c r="S649" cm="1">
        <f t="array" aca="1" ref="S649" ca="1">IFERROR(INDEX(fesp!$J:$J, MATCH(1, (VALUE(LEFT(fesp!$A:$A,6))=VALUE(LEFT(B649,6)))*(fesp!$C:$C=C649), 0)), "")</f>
        <v>1900</v>
      </c>
    </row>
    <row r="650" spans="1:19">
      <c r="A650" s="1" t="s">
        <v>23</v>
      </c>
      <c r="B650" s="3">
        <v>4314902</v>
      </c>
      <c r="C650" s="3">
        <v>2025</v>
      </c>
      <c r="D650" cm="1">
        <f t="array" ref="D650">IFERROR(INDEX(fesp!$D:$D, MATCH(1, (VALUE(LEFT(fesp!$A:$A,6))=VALUE(LEFT(B650,6)))*(fesp!$C:$C=C650), 0)), "")</f>
        <v>0</v>
      </c>
      <c r="E650" cm="1">
        <f t="array" aca="1" ref="E650" ca="1">IFERROR(INDEX(ft_medicos_clinicos!$C:$C, MATCH(1, (VALUE(LEFT(ft_medicos_clinicos!$A:$A,6))=VALUE(LEFT(B650,6)))*(ft_medicos_clinicos!$B:$B=C650), 0)), "")</f>
        <v>2402</v>
      </c>
      <c r="F650" cm="1">
        <f t="array" aca="1" ref="F650" ca="1">IFERROR(INDEX(ft_enfermeiros!$C:$C, MATCH(1, (VALUE(LEFT(ft_enfermeiros!$A:$A,6))=VALUE(LEFT(B650,6)))*(ft_enfermeiros!$B:$B=C650), 0)), "")</f>
        <v>5102</v>
      </c>
      <c r="G650" t="str" cm="1">
        <f t="array" aca="1" ref="G650" ca="1">IFERROR(INDEX(ft_equipes_acs!$C:$C, MATCH(1, (VALUE(LEFT(ft_equipes_acs!$A:$A,6))=VALUE(LEFT(B650,6)))*(ft_equipes_acs!$B:$B=C650), 0)), "")</f>
        <v>-</v>
      </c>
      <c r="H650" cm="1">
        <f t="array" aca="1" ref="H650" ca="1">IFERROR(INDEX(ci_leitos_internacao!$C:$C, MATCH(1, (VALUE(LEFT(ci_leitos_internacao!$A:$A,6))=VALUE(LEFT(B650,6)))*(ci_leitos_internacao!$B:$B=C650), 0)), "")</f>
        <v>6972</v>
      </c>
      <c r="I650" cm="1">
        <f t="array" aca="1" ref="I650" ca="1">IFERROR(INDEX(ci_hospitais_internacao!$C:$C, MATCH(1, (VALUE(LEFT(ci_hospitais_internacao!$A:$A,6))=VALUE(LEFT(B650,6)))*(ci_hospitais_internacao!$B:$B=C650), 0)), "")</f>
        <v>13</v>
      </c>
      <c r="J650" t="str" cm="1">
        <f t="array" aca="1" ref="J650" ca="1">IFERROR(INDEX(ci_pa_clinico!$C:$C, MATCH(1, (VALUE(LEFT(ci_pa_clinico!$A:$A,6))=VALUE(LEFT(B650,6)))*(ci_pa_clinico!$B:$B=C650), 0)), "")</f>
        <v/>
      </c>
      <c r="K650" t="str" cm="1">
        <f t="array" aca="1" ref="K650" ca="1">IFERROR(INDEX(aps_equipes_esf!$C:$C, MATCH(1, (VALUE(LEFT(aps_equipes_esf!$A:$A,6))=VALUE(LEFT(B650,6)))*(aps_equipes_esf!$B:$B=C650), 0)), "")</f>
        <v>-</v>
      </c>
      <c r="L650" cm="1">
        <f t="array" aca="1" ref="L650" ca="1">IFERROR(INDEX(casos!$C:$C, MATCH(1, (VALUE(LEFT(casos!$A:$A,6))=VALUE(LEFT(B650,6)))*(casos!$B:$B=C650), 0)), "")</f>
        <v>54771</v>
      </c>
      <c r="M650" cm="1">
        <f t="array" ref="M650">IFERROR(INDEX(srag!$D:$D, MATCH(1, (VALUE(LEFT(srag!$A:$A,6))=VALUE(LEFT(B650,6)))*(srag!$C:$C=C650), 0)), "")</f>
        <v>2411</v>
      </c>
      <c r="N650" cm="1">
        <f t="array" aca="1" ref="N650" ca="1">IFERROR(INDEX(fesp!$E:$E, MATCH(1, (VALUE(LEFT(fesp!$A:$A,6))=VALUE(LEFT(B650,6)))*(fesp!$C:$C=C650), 0)), "")</f>
        <v>682</v>
      </c>
      <c r="O650" cm="1">
        <f t="array" aca="1" ref="O650" ca="1">IFERROR(INDEX(fesp!$F:$F, MATCH(1, (VALUE(LEFT(fesp!$A:$A,6))=VALUE(LEFT(B650,6)))*(fesp!$C:$C=C650), 0)), "")</f>
        <v>29972</v>
      </c>
      <c r="P650" cm="1">
        <f t="array" aca="1" ref="P650" ca="1">IFERROR(INDEX(fesp!$G:$G, MATCH(1, (VALUE(LEFT(fesp!$A:$A,6))=VALUE(LEFT(B650,6)))*(fesp!$C:$C=C650), 0)), "")</f>
        <v>15305784</v>
      </c>
      <c r="Q650" cm="1">
        <f t="array" aca="1" ref="Q650" ca="1">IFERROR(INDEX(fesp!$H:$H, MATCH(1, (VALUE(LEFT(fesp!$A:$A,6))=VALUE(LEFT(B650,6)))*(fesp!$C:$C=C650), 0)), "")</f>
        <v>225</v>
      </c>
      <c r="R650" cm="1">
        <f t="array" aca="1" ref="R650" ca="1">IFERROR(INDEX(fesp!$I:$I, MATCH(1, (VALUE(LEFT(fesp!$A:$A,6))=VALUE(LEFT(B650,6)))*(fesp!$C:$C=C650), 0)), "")</f>
        <v>2975</v>
      </c>
      <c r="S650" cm="1">
        <f t="array" aca="1" ref="S650" ca="1">IFERROR(INDEX(fesp!$J:$J, MATCH(1, (VALUE(LEFT(fesp!$A:$A,6))=VALUE(LEFT(B650,6)))*(fesp!$C:$C=C650), 0)), "")</f>
        <v>1582</v>
      </c>
    </row>
    <row r="651" spans="1:19">
      <c r="A651" s="1" t="s">
        <v>33</v>
      </c>
      <c r="B651" s="3">
        <v>5002704</v>
      </c>
      <c r="C651" s="3">
        <v>2015</v>
      </c>
      <c r="D651" cm="1">
        <f t="array" ref="D651">IFERROR(INDEX(fesp!$D:$D, MATCH(1, (VALUE(LEFT(fesp!$A:$A,6))=VALUE(LEFT(B651,6)))*(fesp!$C:$C=C651), 0)), "")</f>
        <v>853622</v>
      </c>
      <c r="E651" cm="1">
        <f t="array" aca="1" ref="E651" ca="1">IFERROR(INDEX(ft_medicos_clinicos!$C:$C, MATCH(1, (VALUE(LEFT(ft_medicos_clinicos!$A:$A,6))=VALUE(LEFT(B651,6)))*(ft_medicos_clinicos!$B:$B=C651), 0)), "")</f>
        <v>682</v>
      </c>
      <c r="F651" cm="1">
        <f t="array" aca="1" ref="F651" ca="1">IFERROR(INDEX(ft_enfermeiros!$C:$C, MATCH(1, (VALUE(LEFT(ft_enfermeiros!$A:$A,6))=VALUE(LEFT(B651,6)))*(ft_enfermeiros!$B:$B=C651), 0)), "")</f>
        <v>792</v>
      </c>
      <c r="G651" t="str" cm="1">
        <f t="array" aca="1" ref="G651" ca="1">IFERROR(INDEX(ft_equipes_acs!$C:$C, MATCH(1, (VALUE(LEFT(ft_equipes_acs!$A:$A,6))=VALUE(LEFT(B651,6)))*(ft_equipes_acs!$B:$B=C651), 0)), "")</f>
        <v/>
      </c>
      <c r="H651" cm="1">
        <f t="array" aca="1" ref="H651" ca="1">IFERROR(INDEX(ci_leitos_internacao!$C:$C, MATCH(1, (VALUE(LEFT(ci_leitos_internacao!$A:$A,6))=VALUE(LEFT(B651,6)))*(ci_leitos_internacao!$B:$B=C651), 0)), "")</f>
        <v>2340</v>
      </c>
      <c r="I651" cm="1">
        <f t="array" aca="1" ref="I651" ca="1">IFERROR(INDEX(ci_hospitais_internacao!$C:$C, MATCH(1, (VALUE(LEFT(ci_hospitais_internacao!$A:$A,6))=VALUE(LEFT(B651,6)))*(ci_hospitais_internacao!$B:$B=C651), 0)), "")</f>
        <v>5</v>
      </c>
      <c r="J651" t="str" cm="1">
        <f t="array" aca="1" ref="J651" ca="1">IFERROR(INDEX(ci_pa_clinico!$C:$C, MATCH(1, (VALUE(LEFT(ci_pa_clinico!$A:$A,6))=VALUE(LEFT(B651,6)))*(ci_pa_clinico!$B:$B=C651), 0)), "")</f>
        <v/>
      </c>
      <c r="K651" cm="1">
        <f t="array" aca="1" ref="K651" ca="1">IFERROR(INDEX(aps_equipes_esf!$C:$C, MATCH(1, (VALUE(LEFT(aps_equipes_esf!$A:$A,6))=VALUE(LEFT(B651,6)))*(aps_equipes_esf!$B:$B=C651), 0)), "")</f>
        <v>1</v>
      </c>
      <c r="L651" cm="1">
        <f t="array" aca="1" ref="L651" ca="1">IFERROR(INDEX(casos!$C:$C, MATCH(1, (VALUE(LEFT(casos!$A:$A,6))=VALUE(LEFT(B651,6)))*(casos!$B:$B=C651), 0)), "")</f>
        <v>9340</v>
      </c>
      <c r="M651" cm="1">
        <f t="array" ref="M651">IFERROR(INDEX(srag!$D:$D, MATCH(1, (VALUE(LEFT(srag!$A:$A,6))=VALUE(LEFT(B651,6)))*(srag!$C:$C=C651), 0)), "")</f>
        <v>207</v>
      </c>
      <c r="N651" cm="1">
        <f t="array" aca="1" ref="N651" ca="1">IFERROR(INDEX(fesp!$E:$E, MATCH(1, (VALUE(LEFT(fesp!$A:$A,6))=VALUE(LEFT(B651,6)))*(fesp!$C:$C=C651), 0)), "")</f>
        <v>138</v>
      </c>
      <c r="O651" cm="1">
        <f t="array" aca="1" ref="O651" ca="1">IFERROR(INDEX(fesp!$F:$F, MATCH(1, (VALUE(LEFT(fesp!$A:$A,6))=VALUE(LEFT(B651,6)))*(fesp!$C:$C=C651), 0)), "")</f>
        <v>17808</v>
      </c>
      <c r="P651" cm="1">
        <f t="array" aca="1" ref="P651" ca="1">IFERROR(INDEX(fesp!$G:$G, MATCH(1, (VALUE(LEFT(fesp!$A:$A,6))=VALUE(LEFT(B651,6)))*(fesp!$C:$C=C651), 0)), "")</f>
        <v>5773424</v>
      </c>
      <c r="Q651" cm="1">
        <f t="array" aca="1" ref="Q651" ca="1">IFERROR(INDEX(fesp!$H:$H, MATCH(1, (VALUE(LEFT(fesp!$A:$A,6))=VALUE(LEFT(B651,6)))*(fesp!$C:$C=C651), 0)), "")</f>
        <v>33</v>
      </c>
      <c r="R651" cm="1">
        <f t="array" aca="1" ref="R651" ca="1">IFERROR(INDEX(fesp!$I:$I, MATCH(1, (VALUE(LEFT(fesp!$A:$A,6))=VALUE(LEFT(B651,6)))*(fesp!$C:$C=C651), 0)), "")</f>
        <v>56085</v>
      </c>
      <c r="S651" cm="1">
        <f t="array" aca="1" ref="S651" ca="1">IFERROR(INDEX(fesp!$J:$J, MATCH(1, (VALUE(LEFT(fesp!$A:$A,6))=VALUE(LEFT(B651,6)))*(fesp!$C:$C=C651), 0)), "")</f>
        <v>653027</v>
      </c>
    </row>
    <row r="652" spans="1:19">
      <c r="A652" s="1" t="s">
        <v>33</v>
      </c>
      <c r="B652" s="3">
        <v>5002704</v>
      </c>
      <c r="C652" s="3">
        <v>2016</v>
      </c>
      <c r="D652" cm="1">
        <f t="array" ref="D652">IFERROR(INDEX(fesp!$D:$D, MATCH(1, (VALUE(LEFT(fesp!$A:$A,6))=VALUE(LEFT(B652,6)))*(fesp!$C:$C=C652), 0)), "")</f>
        <v>0</v>
      </c>
      <c r="E652" cm="1">
        <f t="array" aca="1" ref="E652" ca="1">IFERROR(INDEX(ft_medicos_clinicos!$C:$C, MATCH(1, (VALUE(LEFT(ft_medicos_clinicos!$A:$A,6))=VALUE(LEFT(B652,6)))*(ft_medicos_clinicos!$B:$B=C652), 0)), "")</f>
        <v>734</v>
      </c>
      <c r="F652" cm="1">
        <f t="array" aca="1" ref="F652" ca="1">IFERROR(INDEX(ft_enfermeiros!$C:$C, MATCH(1, (VALUE(LEFT(ft_enfermeiros!$A:$A,6))=VALUE(LEFT(B652,6)))*(ft_enfermeiros!$B:$B=C652), 0)), "")</f>
        <v>966</v>
      </c>
      <c r="G652" t="str" cm="1">
        <f t="array" aca="1" ref="G652" ca="1">IFERROR(INDEX(ft_equipes_acs!$C:$C, MATCH(1, (VALUE(LEFT(ft_equipes_acs!$A:$A,6))=VALUE(LEFT(B652,6)))*(ft_equipes_acs!$B:$B=C652), 0)), "")</f>
        <v/>
      </c>
      <c r="H652" cm="1">
        <f t="array" aca="1" ref="H652" ca="1">IFERROR(INDEX(ci_leitos_internacao!$C:$C, MATCH(1, (VALUE(LEFT(ci_leitos_internacao!$A:$A,6))=VALUE(LEFT(B652,6)))*(ci_leitos_internacao!$B:$B=C652), 0)), "")</f>
        <v>2265</v>
      </c>
      <c r="I652" cm="1">
        <f t="array" aca="1" ref="I652" ca="1">IFERROR(INDEX(ci_hospitais_internacao!$C:$C, MATCH(1, (VALUE(LEFT(ci_hospitais_internacao!$A:$A,6))=VALUE(LEFT(B652,6)))*(ci_hospitais_internacao!$B:$B=C652), 0)), "")</f>
        <v>5</v>
      </c>
      <c r="J652" t="str" cm="1">
        <f t="array" aca="1" ref="J652" ca="1">IFERROR(INDEX(ci_pa_clinico!$C:$C, MATCH(1, (VALUE(LEFT(ci_pa_clinico!$A:$A,6))=VALUE(LEFT(B652,6)))*(ci_pa_clinico!$B:$B=C652), 0)), "")</f>
        <v/>
      </c>
      <c r="K652" cm="1">
        <f t="array" aca="1" ref="K652" ca="1">IFERROR(INDEX(aps_equipes_esf!$C:$C, MATCH(1, (VALUE(LEFT(aps_equipes_esf!$A:$A,6))=VALUE(LEFT(B652,6)))*(aps_equipes_esf!$B:$B=C652), 0)), "")</f>
        <v>1</v>
      </c>
      <c r="L652" cm="1">
        <f t="array" aca="1" ref="L652" ca="1">IFERROR(INDEX(casos!$C:$C, MATCH(1, (VALUE(LEFT(casos!$A:$A,6))=VALUE(LEFT(B652,6)))*(casos!$B:$B=C652), 0)), "")</f>
        <v>23997</v>
      </c>
      <c r="M652" cm="1">
        <f t="array" ref="M652">IFERROR(INDEX(srag!$D:$D, MATCH(1, (VALUE(LEFT(srag!$A:$A,6))=VALUE(LEFT(B652,6)))*(srag!$C:$C=C652), 0)), "")</f>
        <v>598</v>
      </c>
      <c r="N652" cm="1">
        <f t="array" aca="1" ref="N652" ca="1">IFERROR(INDEX(fesp!$E:$E, MATCH(1, (VALUE(LEFT(fesp!$A:$A,6))=VALUE(LEFT(B652,6)))*(fesp!$C:$C=C652), 0)), "")</f>
        <v>123</v>
      </c>
      <c r="O652" cm="1">
        <f t="array" aca="1" ref="O652" ca="1">IFERROR(INDEX(fesp!$F:$F, MATCH(1, (VALUE(LEFT(fesp!$A:$A,6))=VALUE(LEFT(B652,6)))*(fesp!$C:$C=C652), 0)), "")</f>
        <v>28522</v>
      </c>
      <c r="P652" cm="1">
        <f t="array" aca="1" ref="P652" ca="1">IFERROR(INDEX(fesp!$G:$G, MATCH(1, (VALUE(LEFT(fesp!$A:$A,6))=VALUE(LEFT(B652,6)))*(fesp!$C:$C=C652), 0)), "")</f>
        <v>6097187</v>
      </c>
      <c r="Q652" cm="1">
        <f t="array" aca="1" ref="Q652" ca="1">IFERROR(INDEX(fesp!$H:$H, MATCH(1, (VALUE(LEFT(fesp!$A:$A,6))=VALUE(LEFT(B652,6)))*(fesp!$C:$C=C652), 0)), "")</f>
        <v>21</v>
      </c>
      <c r="R652" cm="1">
        <f t="array" aca="1" ref="R652" ca="1">IFERROR(INDEX(fesp!$I:$I, MATCH(1, (VALUE(LEFT(fesp!$A:$A,6))=VALUE(LEFT(B652,6)))*(fesp!$C:$C=C652), 0)), "")</f>
        <v>55347</v>
      </c>
      <c r="S652" cm="1">
        <f t="array" aca="1" ref="S652" ca="1">IFERROR(INDEX(fesp!$J:$J, MATCH(1, (VALUE(LEFT(fesp!$A:$A,6))=VALUE(LEFT(B652,6)))*(fesp!$C:$C=C652), 0)), "")</f>
        <v>755425</v>
      </c>
    </row>
    <row r="653" spans="1:19">
      <c r="A653" s="1" t="s">
        <v>33</v>
      </c>
      <c r="B653" s="3" t="s">
        <v>32</v>
      </c>
      <c r="C653" s="3">
        <v>2017</v>
      </c>
      <c r="D653" cm="1">
        <f t="array" ref="D653">IFERROR(INDEX(fesp!$D:$D, MATCH(1, (VALUE(LEFT(fesp!$A:$A,6))=VALUE(LEFT(B653,6)))*(fesp!$C:$C=C653), 0)), "")</f>
        <v>0</v>
      </c>
      <c r="E653" cm="1">
        <f t="array" aca="1" ref="E653" ca="1">IFERROR(INDEX(ft_medicos_clinicos!$C:$C, MATCH(1, (VALUE(LEFT(ft_medicos_clinicos!$A:$A,6))=VALUE(LEFT(B653,6)))*(ft_medicos_clinicos!$B:$B=C653), 0)), "")</f>
        <v>785</v>
      </c>
      <c r="F653" cm="1">
        <f t="array" aca="1" ref="F653" ca="1">IFERROR(INDEX(ft_enfermeiros!$C:$C, MATCH(1, (VALUE(LEFT(ft_enfermeiros!$A:$A,6))=VALUE(LEFT(B653,6)))*(ft_enfermeiros!$B:$B=C653), 0)), "")</f>
        <v>1059</v>
      </c>
      <c r="G653" t="str" cm="1">
        <f t="array" aca="1" ref="G653" ca="1">IFERROR(INDEX(ft_equipes_acs!$C:$C, MATCH(1, (VALUE(LEFT(ft_equipes_acs!$A:$A,6))=VALUE(LEFT(B653,6)))*(ft_equipes_acs!$B:$B=C653), 0)), "")</f>
        <v/>
      </c>
      <c r="H653" cm="1">
        <f t="array" aca="1" ref="H653" ca="1">IFERROR(INDEX(ci_leitos_internacao!$C:$C, MATCH(1, (VALUE(LEFT(ci_leitos_internacao!$A:$A,6))=VALUE(LEFT(B653,6)))*(ci_leitos_internacao!$B:$B=C653), 0)), "")</f>
        <v>2211</v>
      </c>
      <c r="I653" cm="1">
        <f t="array" aca="1" ref="I653" ca="1">IFERROR(INDEX(ci_hospitais_internacao!$C:$C, MATCH(1, (VALUE(LEFT(ci_hospitais_internacao!$A:$A,6))=VALUE(LEFT(B653,6)))*(ci_hospitais_internacao!$B:$B=C653), 0)), "")</f>
        <v>4</v>
      </c>
      <c r="J653" t="str" cm="1">
        <f t="array" aca="1" ref="J653" ca="1">IFERROR(INDEX(ci_pa_clinico!$C:$C, MATCH(1, (VALUE(LEFT(ci_pa_clinico!$A:$A,6))=VALUE(LEFT(B653,6)))*(ci_pa_clinico!$B:$B=C653), 0)), "")</f>
        <v/>
      </c>
      <c r="K653" cm="1">
        <f t="array" aca="1" ref="K653" ca="1">IFERROR(INDEX(aps_equipes_esf!$C:$C, MATCH(1, (VALUE(LEFT(aps_equipes_esf!$A:$A,6))=VALUE(LEFT(B653,6)))*(aps_equipes_esf!$B:$B=C653), 0)), "")</f>
        <v>5</v>
      </c>
      <c r="L653" cm="1">
        <f t="array" aca="1" ref="L653" ca="1">IFERROR(INDEX(casos!$C:$C, MATCH(1, (VALUE(LEFT(casos!$A:$A,6))=VALUE(LEFT(B653,6)))*(casos!$B:$B=C653), 0)), "")</f>
        <v>1019</v>
      </c>
      <c r="M653" cm="1">
        <f t="array" ref="M653">IFERROR(INDEX(srag!$D:$D, MATCH(1, (VALUE(LEFT(srag!$A:$A,6))=VALUE(LEFT(B653,6)))*(srag!$C:$C=C653), 0)), "")</f>
        <v>401</v>
      </c>
      <c r="N653" cm="1">
        <f t="array" aca="1" ref="N653" ca="1">IFERROR(INDEX(fesp!$E:$E, MATCH(1, (VALUE(LEFT(fesp!$A:$A,6))=VALUE(LEFT(B653,6)))*(fesp!$C:$C=C653), 0)), "")</f>
        <v>132</v>
      </c>
      <c r="O653" cm="1">
        <f t="array" aca="1" ref="O653" ca="1">IFERROR(INDEX(fesp!$F:$F, MATCH(1, (VALUE(LEFT(fesp!$A:$A,6))=VALUE(LEFT(B653,6)))*(fesp!$C:$C=C653), 0)), "")</f>
        <v>7647</v>
      </c>
      <c r="P653" cm="1">
        <f t="array" aca="1" ref="P653" ca="1">IFERROR(INDEX(fesp!$G:$G, MATCH(1, (VALUE(LEFT(fesp!$A:$A,6))=VALUE(LEFT(B653,6)))*(fesp!$C:$C=C653), 0)), "")</f>
        <v>5185783</v>
      </c>
      <c r="Q653" cm="1">
        <f t="array" aca="1" ref="Q653" ca="1">IFERROR(INDEX(fesp!$H:$H, MATCH(1, (VALUE(LEFT(fesp!$A:$A,6))=VALUE(LEFT(B653,6)))*(fesp!$C:$C=C653), 0)), "")</f>
        <v>41</v>
      </c>
      <c r="R653" cm="1">
        <f t="array" aca="1" ref="R653" ca="1">IFERROR(INDEX(fesp!$I:$I, MATCH(1, (VALUE(LEFT(fesp!$A:$A,6))=VALUE(LEFT(B653,6)))*(fesp!$C:$C=C653), 0)), "")</f>
        <v>50312</v>
      </c>
      <c r="S653" cm="1">
        <f t="array" aca="1" ref="S653" ca="1">IFERROR(INDEX(fesp!$J:$J, MATCH(1, (VALUE(LEFT(fesp!$A:$A,6))=VALUE(LEFT(B653,6)))*(fesp!$C:$C=C653), 0)), "")</f>
        <v>572886</v>
      </c>
    </row>
    <row r="654" spans="1:19">
      <c r="A654" s="1" t="s">
        <v>33</v>
      </c>
      <c r="B654" s="3" t="s">
        <v>32</v>
      </c>
      <c r="C654" s="3">
        <v>2018</v>
      </c>
      <c r="D654" cm="1">
        <f t="array" ref="D654">IFERROR(INDEX(fesp!$D:$D, MATCH(1, (VALUE(LEFT(fesp!$A:$A,6))=VALUE(LEFT(B654,6)))*(fesp!$C:$C=C654), 0)), "")</f>
        <v>0</v>
      </c>
      <c r="E654" cm="1">
        <f t="array" aca="1" ref="E654" ca="1">IFERROR(INDEX(ft_medicos_clinicos!$C:$C, MATCH(1, (VALUE(LEFT(ft_medicos_clinicos!$A:$A,6))=VALUE(LEFT(B654,6)))*(ft_medicos_clinicos!$B:$B=C654), 0)), "")</f>
        <v>871</v>
      </c>
      <c r="F654" cm="1">
        <f t="array" aca="1" ref="F654" ca="1">IFERROR(INDEX(ft_enfermeiros!$C:$C, MATCH(1, (VALUE(LEFT(ft_enfermeiros!$A:$A,6))=VALUE(LEFT(B654,6)))*(ft_enfermeiros!$B:$B=C654), 0)), "")</f>
        <v>1231</v>
      </c>
      <c r="G654" t="str" cm="1">
        <f t="array" aca="1" ref="G654" ca="1">IFERROR(INDEX(ft_equipes_acs!$C:$C, MATCH(1, (VALUE(LEFT(ft_equipes_acs!$A:$A,6))=VALUE(LEFT(B654,6)))*(ft_equipes_acs!$B:$B=C654), 0)), "")</f>
        <v/>
      </c>
      <c r="H654" cm="1">
        <f t="array" aca="1" ref="H654" ca="1">IFERROR(INDEX(ci_leitos_internacao!$C:$C, MATCH(1, (VALUE(LEFT(ci_leitos_internacao!$A:$A,6))=VALUE(LEFT(B654,6)))*(ci_leitos_internacao!$B:$B=C654), 0)), "")</f>
        <v>2149</v>
      </c>
      <c r="I654" cm="1">
        <f t="array" aca="1" ref="I654" ca="1">IFERROR(INDEX(ci_hospitais_internacao!$C:$C, MATCH(1, (VALUE(LEFT(ci_hospitais_internacao!$A:$A,6))=VALUE(LEFT(B654,6)))*(ci_hospitais_internacao!$B:$B=C654), 0)), "")</f>
        <v>5</v>
      </c>
      <c r="J654" t="str" cm="1">
        <f t="array" aca="1" ref="J654" ca="1">IFERROR(INDEX(ci_pa_clinico!$C:$C, MATCH(1, (VALUE(LEFT(ci_pa_clinico!$A:$A,6))=VALUE(LEFT(B654,6)))*(ci_pa_clinico!$B:$B=C654), 0)), "")</f>
        <v/>
      </c>
      <c r="K654" cm="1">
        <f t="array" aca="1" ref="K654" ca="1">IFERROR(INDEX(aps_equipes_esf!$C:$C, MATCH(1, (VALUE(LEFT(aps_equipes_esf!$A:$A,6))=VALUE(LEFT(B654,6)))*(aps_equipes_esf!$B:$B=C654), 0)), "")</f>
        <v>13</v>
      </c>
      <c r="L654" cm="1">
        <f t="array" aca="1" ref="L654" ca="1">IFERROR(INDEX(casos!$C:$C, MATCH(1, (VALUE(LEFT(casos!$A:$A,6))=VALUE(LEFT(B654,6)))*(casos!$B:$B=C654), 0)), "")</f>
        <v>1567</v>
      </c>
      <c r="M654" cm="1">
        <f t="array" ref="M654">IFERROR(INDEX(srag!$D:$D, MATCH(1, (VALUE(LEFT(srag!$A:$A,6))=VALUE(LEFT(B654,6)))*(srag!$C:$C=C654), 0)), "")</f>
        <v>651</v>
      </c>
      <c r="N654" cm="1">
        <f t="array" aca="1" ref="N654" ca="1">IFERROR(INDEX(fesp!$E:$E, MATCH(1, (VALUE(LEFT(fesp!$A:$A,6))=VALUE(LEFT(B654,6)))*(fesp!$C:$C=C654), 0)), "")</f>
        <v>154</v>
      </c>
      <c r="O654" cm="1">
        <f t="array" aca="1" ref="O654" ca="1">IFERROR(INDEX(fesp!$F:$F, MATCH(1, (VALUE(LEFT(fesp!$A:$A,6))=VALUE(LEFT(B654,6)))*(fesp!$C:$C=C654), 0)), "")</f>
        <v>17310</v>
      </c>
      <c r="P654" cm="1">
        <f t="array" aca="1" ref="P654" ca="1">IFERROR(INDEX(fesp!$G:$G, MATCH(1, (VALUE(LEFT(fesp!$A:$A,6))=VALUE(LEFT(B654,6)))*(fesp!$C:$C=C654), 0)), "")</f>
        <v>5307881</v>
      </c>
      <c r="Q654" cm="1">
        <f t="array" aca="1" ref="Q654" ca="1">IFERROR(INDEX(fesp!$H:$H, MATCH(1, (VALUE(LEFT(fesp!$A:$A,6))=VALUE(LEFT(B654,6)))*(fesp!$C:$C=C654), 0)), "")</f>
        <v>44</v>
      </c>
      <c r="R654" cm="1">
        <f t="array" aca="1" ref="R654" ca="1">IFERROR(INDEX(fesp!$I:$I, MATCH(1, (VALUE(LEFT(fesp!$A:$A,6))=VALUE(LEFT(B654,6)))*(fesp!$C:$C=C654), 0)), "")</f>
        <v>46179</v>
      </c>
      <c r="S654" cm="1">
        <f t="array" aca="1" ref="S654" ca="1">IFERROR(INDEX(fesp!$J:$J, MATCH(1, (VALUE(LEFT(fesp!$A:$A,6))=VALUE(LEFT(B654,6)))*(fesp!$C:$C=C654), 0)), "")</f>
        <v>511337</v>
      </c>
    </row>
    <row r="655" spans="1:19">
      <c r="A655" s="1" t="s">
        <v>33</v>
      </c>
      <c r="B655" s="3" t="s">
        <v>32</v>
      </c>
      <c r="C655" s="3">
        <v>2019</v>
      </c>
      <c r="D655" cm="1">
        <f t="array" ref="D655">IFERROR(INDEX(fesp!$D:$D, MATCH(1, (VALUE(LEFT(fesp!$A:$A,6))=VALUE(LEFT(B655,6)))*(fesp!$C:$C=C655), 0)), "")</f>
        <v>0</v>
      </c>
      <c r="E655" cm="1">
        <f t="array" aca="1" ref="E655" ca="1">IFERROR(INDEX(ft_medicos_clinicos!$C:$C, MATCH(1, (VALUE(LEFT(ft_medicos_clinicos!$A:$A,6))=VALUE(LEFT(B655,6)))*(ft_medicos_clinicos!$B:$B=C655), 0)), "")</f>
        <v>933</v>
      </c>
      <c r="F655" cm="1">
        <f t="array" aca="1" ref="F655" ca="1">IFERROR(INDEX(ft_enfermeiros!$C:$C, MATCH(1, (VALUE(LEFT(ft_enfermeiros!$A:$A,6))=VALUE(LEFT(B655,6)))*(ft_enfermeiros!$B:$B=C655), 0)), "")</f>
        <v>1361</v>
      </c>
      <c r="G655" t="str" cm="1">
        <f t="array" aca="1" ref="G655" ca="1">IFERROR(INDEX(ft_equipes_acs!$C:$C, MATCH(1, (VALUE(LEFT(ft_equipes_acs!$A:$A,6))=VALUE(LEFT(B655,6)))*(ft_equipes_acs!$B:$B=C655), 0)), "")</f>
        <v/>
      </c>
      <c r="H655" cm="1">
        <f t="array" aca="1" ref="H655" ca="1">IFERROR(INDEX(ci_leitos_internacao!$C:$C, MATCH(1, (VALUE(LEFT(ci_leitos_internacao!$A:$A,6))=VALUE(LEFT(B655,6)))*(ci_leitos_internacao!$B:$B=C655), 0)), "")</f>
        <v>2210</v>
      </c>
      <c r="I655" cm="1">
        <f t="array" aca="1" ref="I655" ca="1">IFERROR(INDEX(ci_hospitais_internacao!$C:$C, MATCH(1, (VALUE(LEFT(ci_hospitais_internacao!$A:$A,6))=VALUE(LEFT(B655,6)))*(ci_hospitais_internacao!$B:$B=C655), 0)), "")</f>
        <v>6</v>
      </c>
      <c r="J655" t="str" cm="1">
        <f t="array" aca="1" ref="J655" ca="1">IFERROR(INDEX(ci_pa_clinico!$C:$C, MATCH(1, (VALUE(LEFT(ci_pa_clinico!$A:$A,6))=VALUE(LEFT(B655,6)))*(ci_pa_clinico!$B:$B=C655), 0)), "")</f>
        <v/>
      </c>
      <c r="K655" cm="1">
        <f t="array" aca="1" ref="K655" ca="1">IFERROR(INDEX(aps_equipes_esf!$C:$C, MATCH(1, (VALUE(LEFT(aps_equipes_esf!$A:$A,6))=VALUE(LEFT(B655,6)))*(aps_equipes_esf!$B:$B=C655), 0)), "")</f>
        <v>15</v>
      </c>
      <c r="L655" cm="1">
        <f t="array" aca="1" ref="L655" ca="1">IFERROR(INDEX(casos!$C:$C, MATCH(1, (VALUE(LEFT(casos!$A:$A,6))=VALUE(LEFT(B655,6)))*(casos!$B:$B=C655), 0)), "")</f>
        <v>36816</v>
      </c>
      <c r="M655" cm="1">
        <f t="array" ref="M655">IFERROR(INDEX(srag!$D:$D, MATCH(1, (VALUE(LEFT(srag!$A:$A,6))=VALUE(LEFT(B655,6)))*(srag!$C:$C=C655), 0)), "")</f>
        <v>887</v>
      </c>
      <c r="N655" cm="1">
        <f t="array" aca="1" ref="N655" ca="1">IFERROR(INDEX(fesp!$E:$E, MATCH(1, (VALUE(LEFT(fesp!$A:$A,6))=VALUE(LEFT(B655,6)))*(fesp!$C:$C=C655), 0)), "")</f>
        <v>183</v>
      </c>
      <c r="O655" cm="1">
        <f t="array" aca="1" ref="O655" ca="1">IFERROR(INDEX(fesp!$F:$F, MATCH(1, (VALUE(LEFT(fesp!$A:$A,6))=VALUE(LEFT(B655,6)))*(fesp!$C:$C=C655), 0)), "")</f>
        <v>12081</v>
      </c>
      <c r="P655" cm="1">
        <f t="array" aca="1" ref="P655" ca="1">IFERROR(INDEX(fesp!$G:$G, MATCH(1, (VALUE(LEFT(fesp!$A:$A,6))=VALUE(LEFT(B655,6)))*(fesp!$C:$C=C655), 0)), "")</f>
        <v>6601243</v>
      </c>
      <c r="Q655" cm="1">
        <f t="array" aca="1" ref="Q655" ca="1">IFERROR(INDEX(fesp!$H:$H, MATCH(1, (VALUE(LEFT(fesp!$A:$A,6))=VALUE(LEFT(B655,6)))*(fesp!$C:$C=C655), 0)), "")</f>
        <v>38</v>
      </c>
      <c r="R655" cm="1">
        <f t="array" aca="1" ref="R655" ca="1">IFERROR(INDEX(fesp!$I:$I, MATCH(1, (VALUE(LEFT(fesp!$A:$A,6))=VALUE(LEFT(B655,6)))*(fesp!$C:$C=C655), 0)), "")</f>
        <v>26005</v>
      </c>
      <c r="S655" cm="1">
        <f t="array" aca="1" ref="S655" ca="1">IFERROR(INDEX(fesp!$J:$J, MATCH(1, (VALUE(LEFT(fesp!$A:$A,6))=VALUE(LEFT(B655,6)))*(fesp!$C:$C=C655), 0)), "")</f>
        <v>449462</v>
      </c>
    </row>
    <row r="656" spans="1:19">
      <c r="A656" s="1" t="s">
        <v>33</v>
      </c>
      <c r="B656" s="3" t="s">
        <v>32</v>
      </c>
      <c r="C656" s="3">
        <v>2020</v>
      </c>
      <c r="D656" cm="1">
        <f t="array" ref="D656">IFERROR(INDEX(fesp!$D:$D, MATCH(1, (VALUE(LEFT(fesp!$A:$A,6))=VALUE(LEFT(B656,6)))*(fesp!$C:$C=C656), 0)), "")</f>
        <v>0</v>
      </c>
      <c r="E656" cm="1">
        <f t="array" aca="1" ref="E656" ca="1">IFERROR(INDEX(ft_medicos_clinicos!$C:$C, MATCH(1, (VALUE(LEFT(ft_medicos_clinicos!$A:$A,6))=VALUE(LEFT(B656,6)))*(ft_medicos_clinicos!$B:$B=C656), 0)), "")</f>
        <v>1040</v>
      </c>
      <c r="F656" cm="1">
        <f t="array" aca="1" ref="F656" ca="1">IFERROR(INDEX(ft_enfermeiros!$C:$C, MATCH(1, (VALUE(LEFT(ft_enfermeiros!$A:$A,6))=VALUE(LEFT(B656,6)))*(ft_enfermeiros!$B:$B=C656), 0)), "")</f>
        <v>1501</v>
      </c>
      <c r="G656" t="str" cm="1">
        <f t="array" aca="1" ref="G656" ca="1">IFERROR(INDEX(ft_equipes_acs!$C:$C, MATCH(1, (VALUE(LEFT(ft_equipes_acs!$A:$A,6))=VALUE(LEFT(B656,6)))*(ft_equipes_acs!$B:$B=C656), 0)), "")</f>
        <v/>
      </c>
      <c r="H656" cm="1">
        <f t="array" aca="1" ref="H656" ca="1">IFERROR(INDEX(ci_leitos_internacao!$C:$C, MATCH(1, (VALUE(LEFT(ci_leitos_internacao!$A:$A,6))=VALUE(LEFT(B656,6)))*(ci_leitos_internacao!$B:$B=C656), 0)), "")</f>
        <v>2342</v>
      </c>
      <c r="I656" cm="1">
        <f t="array" aca="1" ref="I656" ca="1">IFERROR(INDEX(ci_hospitais_internacao!$C:$C, MATCH(1, (VALUE(LEFT(ci_hospitais_internacao!$A:$A,6))=VALUE(LEFT(B656,6)))*(ci_hospitais_internacao!$B:$B=C656), 0)), "")</f>
        <v>10</v>
      </c>
      <c r="J656" t="str" cm="1">
        <f t="array" aca="1" ref="J656" ca="1">IFERROR(INDEX(ci_pa_clinico!$C:$C, MATCH(1, (VALUE(LEFT(ci_pa_clinico!$A:$A,6))=VALUE(LEFT(B656,6)))*(ci_pa_clinico!$B:$B=C656), 0)), "")</f>
        <v/>
      </c>
      <c r="K656" t="str" cm="1">
        <f t="array" aca="1" ref="K656" ca="1">IFERROR(INDEX(aps_equipes_esf!$C:$C, MATCH(1, (VALUE(LEFT(aps_equipes_esf!$A:$A,6))=VALUE(LEFT(B656,6)))*(aps_equipes_esf!$B:$B=C656), 0)), "")</f>
        <v>-</v>
      </c>
      <c r="L656" cm="1">
        <f t="array" aca="1" ref="L656" ca="1">IFERROR(INDEX(casos!$C:$C, MATCH(1, (VALUE(LEFT(casos!$A:$A,6))=VALUE(LEFT(B656,6)))*(casos!$B:$B=C656), 0)), "")</f>
        <v>13978</v>
      </c>
      <c r="M656" cm="1">
        <f t="array" ref="M656">IFERROR(INDEX(srag!$D:$D, MATCH(1, (VALUE(LEFT(srag!$A:$A,6))=VALUE(LEFT(B656,6)))*(srag!$C:$C=C656), 0)), "")</f>
        <v>8179</v>
      </c>
      <c r="N656" cm="1">
        <f t="array" aca="1" ref="N656" ca="1">IFERROR(INDEX(fesp!$E:$E, MATCH(1, (VALUE(LEFT(fesp!$A:$A,6))=VALUE(LEFT(B656,6)))*(fesp!$C:$C=C656), 0)), "")</f>
        <v>196</v>
      </c>
      <c r="O656" cm="1">
        <f t="array" aca="1" ref="O656" ca="1">IFERROR(INDEX(fesp!$F:$F, MATCH(1, (VALUE(LEFT(fesp!$A:$A,6))=VALUE(LEFT(B656,6)))*(fesp!$C:$C=C656), 0)), "")</f>
        <v>4848</v>
      </c>
      <c r="P656" cm="1">
        <f t="array" aca="1" ref="P656" ca="1">IFERROR(INDEX(fesp!$G:$G, MATCH(1, (VALUE(LEFT(fesp!$A:$A,6))=VALUE(LEFT(B656,6)))*(fesp!$C:$C=C656), 0)), "")</f>
        <v>5049670</v>
      </c>
      <c r="Q656" cm="1">
        <f t="array" aca="1" ref="Q656" ca="1">IFERROR(INDEX(fesp!$H:$H, MATCH(1, (VALUE(LEFT(fesp!$A:$A,6))=VALUE(LEFT(B656,6)))*(fesp!$C:$C=C656), 0)), "")</f>
        <v>89</v>
      </c>
      <c r="R656" cm="1">
        <f t="array" aca="1" ref="R656" ca="1">IFERROR(INDEX(fesp!$I:$I, MATCH(1, (VALUE(LEFT(fesp!$A:$A,6))=VALUE(LEFT(B656,6)))*(fesp!$C:$C=C656), 0)), "")</f>
        <v>2653</v>
      </c>
      <c r="S656" cm="1">
        <f t="array" aca="1" ref="S656" ca="1">IFERROR(INDEX(fesp!$J:$J, MATCH(1, (VALUE(LEFT(fesp!$A:$A,6))=VALUE(LEFT(B656,6)))*(fesp!$C:$C=C656), 0)), "")</f>
        <v>53587</v>
      </c>
    </row>
    <row r="657" spans="1:19">
      <c r="A657" s="1" t="s">
        <v>33</v>
      </c>
      <c r="B657" s="3" t="s">
        <v>32</v>
      </c>
      <c r="C657" s="3">
        <v>2021</v>
      </c>
      <c r="D657" cm="1">
        <f t="array" ref="D657">IFERROR(INDEX(fesp!$D:$D, MATCH(1, (VALUE(LEFT(fesp!$A:$A,6))=VALUE(LEFT(B657,6)))*(fesp!$C:$C=C657), 0)), "")</f>
        <v>0</v>
      </c>
      <c r="E657" cm="1">
        <f t="array" aca="1" ref="E657" ca="1">IFERROR(INDEX(ft_medicos_clinicos!$C:$C, MATCH(1, (VALUE(LEFT(ft_medicos_clinicos!$A:$A,6))=VALUE(LEFT(B657,6)))*(ft_medicos_clinicos!$B:$B=C657), 0)), "")</f>
        <v>997</v>
      </c>
      <c r="F657" cm="1">
        <f t="array" aca="1" ref="F657" ca="1">IFERROR(INDEX(ft_enfermeiros!$C:$C, MATCH(1, (VALUE(LEFT(ft_enfermeiros!$A:$A,6))=VALUE(LEFT(B657,6)))*(ft_enfermeiros!$B:$B=C657), 0)), "")</f>
        <v>1769</v>
      </c>
      <c r="G657" t="str" cm="1">
        <f t="array" aca="1" ref="G657" ca="1">IFERROR(INDEX(ft_equipes_acs!$C:$C, MATCH(1, (VALUE(LEFT(ft_equipes_acs!$A:$A,6))=VALUE(LEFT(B657,6)))*(ft_equipes_acs!$B:$B=C657), 0)), "")</f>
        <v/>
      </c>
      <c r="H657" cm="1">
        <f t="array" aca="1" ref="H657" ca="1">IFERROR(INDEX(ci_leitos_internacao!$C:$C, MATCH(1, (VALUE(LEFT(ci_leitos_internacao!$A:$A,6))=VALUE(LEFT(B657,6)))*(ci_leitos_internacao!$B:$B=C657), 0)), "")</f>
        <v>2326</v>
      </c>
      <c r="I657" cm="1">
        <f t="array" aca="1" ref="I657" ca="1">IFERROR(INDEX(ci_hospitais_internacao!$C:$C, MATCH(1, (VALUE(LEFT(ci_hospitais_internacao!$A:$A,6))=VALUE(LEFT(B657,6)))*(ci_hospitais_internacao!$B:$B=C657), 0)), "")</f>
        <v>9</v>
      </c>
      <c r="J657" t="str" cm="1">
        <f t="array" aca="1" ref="J657" ca="1">IFERROR(INDEX(ci_pa_clinico!$C:$C, MATCH(1, (VALUE(LEFT(ci_pa_clinico!$A:$A,6))=VALUE(LEFT(B657,6)))*(ci_pa_clinico!$B:$B=C657), 0)), "")</f>
        <v/>
      </c>
      <c r="K657" t="str" cm="1">
        <f t="array" aca="1" ref="K657" ca="1">IFERROR(INDEX(aps_equipes_esf!$C:$C, MATCH(1, (VALUE(LEFT(aps_equipes_esf!$A:$A,6))=VALUE(LEFT(B657,6)))*(aps_equipes_esf!$B:$B=C657), 0)), "")</f>
        <v>-</v>
      </c>
      <c r="L657" cm="1">
        <f t="array" aca="1" ref="L657" ca="1">IFERROR(INDEX(casos!$C:$C, MATCH(1, (VALUE(LEFT(casos!$A:$A,6))=VALUE(LEFT(B657,6)))*(casos!$B:$B=C657), 0)), "")</f>
        <v>575</v>
      </c>
      <c r="M657" cm="1">
        <f t="array" ref="M657">IFERROR(INDEX(srag!$D:$D, MATCH(1, (VALUE(LEFT(srag!$A:$A,6))=VALUE(LEFT(B657,6)))*(srag!$C:$C=C657), 0)), "")</f>
        <v>12925</v>
      </c>
      <c r="N657" cm="1">
        <f t="array" aca="1" ref="N657" ca="1">IFERROR(INDEX(fesp!$E:$E, MATCH(1, (VALUE(LEFT(fesp!$A:$A,6))=VALUE(LEFT(B657,6)))*(fesp!$C:$C=C657), 0)), "")</f>
        <v>179</v>
      </c>
      <c r="O657" cm="1">
        <f t="array" aca="1" ref="O657" ca="1">IFERROR(INDEX(fesp!$F:$F, MATCH(1, (VALUE(LEFT(fesp!$A:$A,6))=VALUE(LEFT(B657,6)))*(fesp!$C:$C=C657), 0)), "")</f>
        <v>5279</v>
      </c>
      <c r="P657" cm="1">
        <f t="array" aca="1" ref="P657" ca="1">IFERROR(INDEX(fesp!$G:$G, MATCH(1, (VALUE(LEFT(fesp!$A:$A,6))=VALUE(LEFT(B657,6)))*(fesp!$C:$C=C657), 0)), "")</f>
        <v>6327708</v>
      </c>
      <c r="Q657" cm="1">
        <f t="array" aca="1" ref="Q657" ca="1">IFERROR(INDEX(fesp!$H:$H, MATCH(1, (VALUE(LEFT(fesp!$A:$A,6))=VALUE(LEFT(B657,6)))*(fesp!$C:$C=C657), 0)), "")</f>
        <v>76</v>
      </c>
      <c r="R657" cm="1">
        <f t="array" aca="1" ref="R657" ca="1">IFERROR(INDEX(fesp!$I:$I, MATCH(1, (VALUE(LEFT(fesp!$A:$A,6))=VALUE(LEFT(B657,6)))*(fesp!$C:$C=C657), 0)), "")</f>
        <v>0</v>
      </c>
      <c r="S657" cm="1">
        <f t="array" aca="1" ref="S657" ca="1">IFERROR(INDEX(fesp!$J:$J, MATCH(1, (VALUE(LEFT(fesp!$A:$A,6))=VALUE(LEFT(B657,6)))*(fesp!$C:$C=C657), 0)), "")</f>
        <v>2118</v>
      </c>
    </row>
    <row r="658" spans="1:19">
      <c r="A658" s="1" t="s">
        <v>33</v>
      </c>
      <c r="B658" s="3" t="s">
        <v>32</v>
      </c>
      <c r="C658" s="3">
        <v>2022</v>
      </c>
      <c r="D658" cm="1">
        <f t="array" ref="D658">IFERROR(INDEX(fesp!$D:$D, MATCH(1, (VALUE(LEFT(fesp!$A:$A,6))=VALUE(LEFT(B658,6)))*(fesp!$C:$C=C658), 0)), "")</f>
        <v>898100</v>
      </c>
      <c r="E658" cm="1">
        <f t="array" aca="1" ref="E658" ca="1">IFERROR(INDEX(ft_medicos_clinicos!$C:$C, MATCH(1, (VALUE(LEFT(ft_medicos_clinicos!$A:$A,6))=VALUE(LEFT(B658,6)))*(ft_medicos_clinicos!$B:$B=C658), 0)), "")</f>
        <v>1081</v>
      </c>
      <c r="F658" cm="1">
        <f t="array" aca="1" ref="F658" ca="1">IFERROR(INDEX(ft_enfermeiros!$C:$C, MATCH(1, (VALUE(LEFT(ft_enfermeiros!$A:$A,6))=VALUE(LEFT(B658,6)))*(ft_enfermeiros!$B:$B=C658), 0)), "")</f>
        <v>1890</v>
      </c>
      <c r="G658" t="str" cm="1">
        <f t="array" aca="1" ref="G658" ca="1">IFERROR(INDEX(ft_equipes_acs!$C:$C, MATCH(1, (VALUE(LEFT(ft_equipes_acs!$A:$A,6))=VALUE(LEFT(B658,6)))*(ft_equipes_acs!$B:$B=C658), 0)), "")</f>
        <v/>
      </c>
      <c r="H658" cm="1">
        <f t="array" aca="1" ref="H658" ca="1">IFERROR(INDEX(ci_leitos_internacao!$C:$C, MATCH(1, (VALUE(LEFT(ci_leitos_internacao!$A:$A,6))=VALUE(LEFT(B658,6)))*(ci_leitos_internacao!$B:$B=C658), 0)), "")</f>
        <v>2575</v>
      </c>
      <c r="I658" cm="1">
        <f t="array" aca="1" ref="I658" ca="1">IFERROR(INDEX(ci_hospitais_internacao!$C:$C, MATCH(1, (VALUE(LEFT(ci_hospitais_internacao!$A:$A,6))=VALUE(LEFT(B658,6)))*(ci_hospitais_internacao!$B:$B=C658), 0)), "")</f>
        <v>7</v>
      </c>
      <c r="J658" t="str" cm="1">
        <f t="array" aca="1" ref="J658" ca="1">IFERROR(INDEX(ci_pa_clinico!$C:$C, MATCH(1, (VALUE(LEFT(ci_pa_clinico!$A:$A,6))=VALUE(LEFT(B658,6)))*(ci_pa_clinico!$B:$B=C658), 0)), "")</f>
        <v/>
      </c>
      <c r="K658" t="str" cm="1">
        <f t="array" aca="1" ref="K658" ca="1">IFERROR(INDEX(aps_equipes_esf!$C:$C, MATCH(1, (VALUE(LEFT(aps_equipes_esf!$A:$A,6))=VALUE(LEFT(B658,6)))*(aps_equipes_esf!$B:$B=C658), 0)), "")</f>
        <v>-</v>
      </c>
      <c r="L658" cm="1">
        <f t="array" aca="1" ref="L658" ca="1">IFERROR(INDEX(casos!$C:$C, MATCH(1, (VALUE(LEFT(casos!$A:$A,6))=VALUE(LEFT(B658,6)))*(casos!$B:$B=C658), 0)), "")</f>
        <v>8708</v>
      </c>
      <c r="M658" cm="1">
        <f t="array" ref="M658">IFERROR(INDEX(srag!$D:$D, MATCH(1, (VALUE(LEFT(srag!$A:$A,6))=VALUE(LEFT(B658,6)))*(srag!$C:$C=C658), 0)), "")</f>
        <v>5456</v>
      </c>
      <c r="N658" cm="1">
        <f t="array" aca="1" ref="N658" ca="1">IFERROR(INDEX(fesp!$E:$E, MATCH(1, (VALUE(LEFT(fesp!$A:$A,6))=VALUE(LEFT(B658,6)))*(fesp!$C:$C=C658), 0)), "")</f>
        <v>240</v>
      </c>
      <c r="O658" cm="1">
        <f t="array" aca="1" ref="O658" ca="1">IFERROR(INDEX(fesp!$F:$F, MATCH(1, (VALUE(LEFT(fesp!$A:$A,6))=VALUE(LEFT(B658,6)))*(fesp!$C:$C=C658), 0)), "")</f>
        <v>8865</v>
      </c>
      <c r="P658" cm="1">
        <f t="array" aca="1" ref="P658" ca="1">IFERROR(INDEX(fesp!$G:$G, MATCH(1, (VALUE(LEFT(fesp!$A:$A,6))=VALUE(LEFT(B658,6)))*(fesp!$C:$C=C658), 0)), "")</f>
        <v>7513945</v>
      </c>
      <c r="Q658" cm="1">
        <f t="array" aca="1" ref="Q658" ca="1">IFERROR(INDEX(fesp!$H:$H, MATCH(1, (VALUE(LEFT(fesp!$A:$A,6))=VALUE(LEFT(B658,6)))*(fesp!$C:$C=C658), 0)), "")</f>
        <v>125</v>
      </c>
      <c r="R658" cm="1">
        <f t="array" aca="1" ref="R658" ca="1">IFERROR(INDEX(fesp!$I:$I, MATCH(1, (VALUE(LEFT(fesp!$A:$A,6))=VALUE(LEFT(B658,6)))*(fesp!$C:$C=C658), 0)), "")</f>
        <v>0</v>
      </c>
      <c r="S658" cm="1">
        <f t="array" aca="1" ref="S658" ca="1">IFERROR(INDEX(fesp!$J:$J, MATCH(1, (VALUE(LEFT(fesp!$A:$A,6))=VALUE(LEFT(B658,6)))*(fesp!$C:$C=C658), 0)), "")</f>
        <v>4001</v>
      </c>
    </row>
    <row r="659" spans="1:19">
      <c r="A659" s="1" t="s">
        <v>33</v>
      </c>
      <c r="B659" s="3" t="s">
        <v>32</v>
      </c>
      <c r="C659" s="3">
        <v>2023</v>
      </c>
      <c r="D659" cm="1">
        <f t="array" ref="D659">IFERROR(INDEX(fesp!$D:$D, MATCH(1, (VALUE(LEFT(fesp!$A:$A,6))=VALUE(LEFT(B659,6)))*(fesp!$C:$C=C659), 0)), "")</f>
        <v>0</v>
      </c>
      <c r="E659" cm="1">
        <f t="array" aca="1" ref="E659" ca="1">IFERROR(INDEX(ft_medicos_clinicos!$C:$C, MATCH(1, (VALUE(LEFT(ft_medicos_clinicos!$A:$A,6))=VALUE(LEFT(B659,6)))*(ft_medicos_clinicos!$B:$B=C659), 0)), "")</f>
        <v>1161</v>
      </c>
      <c r="F659" cm="1">
        <f t="array" aca="1" ref="F659" ca="1">IFERROR(INDEX(ft_enfermeiros!$C:$C, MATCH(1, (VALUE(LEFT(ft_enfermeiros!$A:$A,6))=VALUE(LEFT(B659,6)))*(ft_enfermeiros!$B:$B=C659), 0)), "")</f>
        <v>1895</v>
      </c>
      <c r="G659" t="str" cm="1">
        <f t="array" aca="1" ref="G659" ca="1">IFERROR(INDEX(ft_equipes_acs!$C:$C, MATCH(1, (VALUE(LEFT(ft_equipes_acs!$A:$A,6))=VALUE(LEFT(B659,6)))*(ft_equipes_acs!$B:$B=C659), 0)), "")</f>
        <v/>
      </c>
      <c r="H659" cm="1">
        <f t="array" aca="1" ref="H659" ca="1">IFERROR(INDEX(ci_leitos_internacao!$C:$C, MATCH(1, (VALUE(LEFT(ci_leitos_internacao!$A:$A,6))=VALUE(LEFT(B659,6)))*(ci_leitos_internacao!$B:$B=C659), 0)), "")</f>
        <v>2541</v>
      </c>
      <c r="I659" cm="1">
        <f t="array" aca="1" ref="I659" ca="1">IFERROR(INDEX(ci_hospitais_internacao!$C:$C, MATCH(1, (VALUE(LEFT(ci_hospitais_internacao!$A:$A,6))=VALUE(LEFT(B659,6)))*(ci_hospitais_internacao!$B:$B=C659), 0)), "")</f>
        <v>7</v>
      </c>
      <c r="J659" t="str" cm="1">
        <f t="array" aca="1" ref="J659" ca="1">IFERROR(INDEX(ci_pa_clinico!$C:$C, MATCH(1, (VALUE(LEFT(ci_pa_clinico!$A:$A,6))=VALUE(LEFT(B659,6)))*(ci_pa_clinico!$B:$B=C659), 0)), "")</f>
        <v/>
      </c>
      <c r="K659" t="str" cm="1">
        <f t="array" aca="1" ref="K659" ca="1">IFERROR(INDEX(aps_equipes_esf!$C:$C, MATCH(1, (VALUE(LEFT(aps_equipes_esf!$A:$A,6))=VALUE(LEFT(B659,6)))*(aps_equipes_esf!$B:$B=C659), 0)), "")</f>
        <v>-</v>
      </c>
      <c r="L659" cm="1">
        <f t="array" aca="1" ref="L659" ca="1">IFERROR(INDEX(casos!$C:$C, MATCH(1, (VALUE(LEFT(casos!$A:$A,6))=VALUE(LEFT(B659,6)))*(casos!$B:$B=C659), 0)), "")</f>
        <v>12256</v>
      </c>
      <c r="M659" cm="1">
        <f t="array" ref="M659">IFERROR(INDEX(srag!$D:$D, MATCH(1, (VALUE(LEFT(srag!$A:$A,6))=VALUE(LEFT(B659,6)))*(srag!$C:$C=C659), 0)), "")</f>
        <v>3143</v>
      </c>
      <c r="N659" cm="1">
        <f t="array" aca="1" ref="N659" ca="1">IFERROR(INDEX(fesp!$E:$E, MATCH(1, (VALUE(LEFT(fesp!$A:$A,6))=VALUE(LEFT(B659,6)))*(fesp!$C:$C=C659), 0)), "")</f>
        <v>293</v>
      </c>
      <c r="O659" cm="1">
        <f t="array" aca="1" ref="O659" ca="1">IFERROR(INDEX(fesp!$F:$F, MATCH(1, (VALUE(LEFT(fesp!$A:$A,6))=VALUE(LEFT(B659,6)))*(fesp!$C:$C=C659), 0)), "")</f>
        <v>13573</v>
      </c>
      <c r="P659" cm="1">
        <f t="array" aca="1" ref="P659" ca="1">IFERROR(INDEX(fesp!$G:$G, MATCH(1, (VALUE(LEFT(fesp!$A:$A,6))=VALUE(LEFT(B659,6)))*(fesp!$C:$C=C659), 0)), "")</f>
        <v>8576963</v>
      </c>
      <c r="Q659" cm="1">
        <f t="array" aca="1" ref="Q659" ca="1">IFERROR(INDEX(fesp!$H:$H, MATCH(1, (VALUE(LEFT(fesp!$A:$A,6))=VALUE(LEFT(B659,6)))*(fesp!$C:$C=C659), 0)), "")</f>
        <v>114</v>
      </c>
      <c r="R659" cm="1">
        <f t="array" aca="1" ref="R659" ca="1">IFERROR(INDEX(fesp!$I:$I, MATCH(1, (VALUE(LEFT(fesp!$A:$A,6))=VALUE(LEFT(B659,6)))*(fesp!$C:$C=C659), 0)), "")</f>
        <v>0</v>
      </c>
      <c r="S659" cm="1">
        <f t="array" aca="1" ref="S659" ca="1">IFERROR(INDEX(fesp!$J:$J, MATCH(1, (VALUE(LEFT(fesp!$A:$A,6))=VALUE(LEFT(B659,6)))*(fesp!$C:$C=C659), 0)), "")</f>
        <v>3895</v>
      </c>
    </row>
    <row r="660" spans="1:19">
      <c r="A660" s="1" t="s">
        <v>33</v>
      </c>
      <c r="B660" s="3" t="s">
        <v>32</v>
      </c>
      <c r="C660" s="3">
        <v>2024</v>
      </c>
      <c r="D660" cm="1">
        <f t="array" ref="D660">IFERROR(INDEX(fesp!$D:$D, MATCH(1, (VALUE(LEFT(fesp!$A:$A,6))=VALUE(LEFT(B660,6)))*(fesp!$C:$C=C660), 0)), "")</f>
        <v>0</v>
      </c>
      <c r="E660" cm="1">
        <f t="array" aca="1" ref="E660" ca="1">IFERROR(INDEX(ft_medicos_clinicos!$C:$C, MATCH(1, (VALUE(LEFT(ft_medicos_clinicos!$A:$A,6))=VALUE(LEFT(B660,6)))*(ft_medicos_clinicos!$B:$B=C660), 0)), "")</f>
        <v>1218</v>
      </c>
      <c r="F660" cm="1">
        <f t="array" aca="1" ref="F660" ca="1">IFERROR(INDEX(ft_enfermeiros!$C:$C, MATCH(1, (VALUE(LEFT(ft_enfermeiros!$A:$A,6))=VALUE(LEFT(B660,6)))*(ft_enfermeiros!$B:$B=C660), 0)), "")</f>
        <v>1961</v>
      </c>
      <c r="G660" t="str" cm="1">
        <f t="array" aca="1" ref="G660" ca="1">IFERROR(INDEX(ft_equipes_acs!$C:$C, MATCH(1, (VALUE(LEFT(ft_equipes_acs!$A:$A,6))=VALUE(LEFT(B660,6)))*(ft_equipes_acs!$B:$B=C660), 0)), "")</f>
        <v/>
      </c>
      <c r="H660" cm="1">
        <f t="array" aca="1" ref="H660" ca="1">IFERROR(INDEX(ci_leitos_internacao!$C:$C, MATCH(1, (VALUE(LEFT(ci_leitos_internacao!$A:$A,6))=VALUE(LEFT(B660,6)))*(ci_leitos_internacao!$B:$B=C660), 0)), "")</f>
        <v>2534</v>
      </c>
      <c r="I660" cm="1">
        <f t="array" aca="1" ref="I660" ca="1">IFERROR(INDEX(ci_hospitais_internacao!$C:$C, MATCH(1, (VALUE(LEFT(ci_hospitais_internacao!$A:$A,6))=VALUE(LEFT(B660,6)))*(ci_hospitais_internacao!$B:$B=C660), 0)), "")</f>
        <v>6</v>
      </c>
      <c r="J660" t="str" cm="1">
        <f t="array" aca="1" ref="J660" ca="1">IFERROR(INDEX(ci_pa_clinico!$C:$C, MATCH(1, (VALUE(LEFT(ci_pa_clinico!$A:$A,6))=VALUE(LEFT(B660,6)))*(ci_pa_clinico!$B:$B=C660), 0)), "")</f>
        <v/>
      </c>
      <c r="K660" t="str" cm="1">
        <f t="array" aca="1" ref="K660" ca="1">IFERROR(INDEX(aps_equipes_esf!$C:$C, MATCH(1, (VALUE(LEFT(aps_equipes_esf!$A:$A,6))=VALUE(LEFT(B660,6)))*(aps_equipes_esf!$B:$B=C660), 0)), "")</f>
        <v>-</v>
      </c>
      <c r="L660" cm="1">
        <f t="array" aca="1" ref="L660" ca="1">IFERROR(INDEX(casos!$C:$C, MATCH(1, (VALUE(LEFT(casos!$A:$A,6))=VALUE(LEFT(B660,6)))*(casos!$B:$B=C660), 0)), "")</f>
        <v>830</v>
      </c>
      <c r="M660" cm="1">
        <f t="array" ref="M660">IFERROR(INDEX(srag!$D:$D, MATCH(1, (VALUE(LEFT(srag!$A:$A,6))=VALUE(LEFT(B660,6)))*(srag!$C:$C=C660), 0)), "")</f>
        <v>3325</v>
      </c>
      <c r="N660" cm="1">
        <f t="array" aca="1" ref="N660" ca="1">IFERROR(INDEX(fesp!$E:$E, MATCH(1, (VALUE(LEFT(fesp!$A:$A,6))=VALUE(LEFT(B660,6)))*(fesp!$C:$C=C660), 0)), "")</f>
        <v>295</v>
      </c>
      <c r="O660" cm="1">
        <f t="array" aca="1" ref="O660" ca="1">IFERROR(INDEX(fesp!$F:$F, MATCH(1, (VALUE(LEFT(fesp!$A:$A,6))=VALUE(LEFT(B660,6)))*(fesp!$C:$C=C660), 0)), "")</f>
        <v>15132</v>
      </c>
      <c r="P660" cm="1">
        <f t="array" aca="1" ref="P660" ca="1">IFERROR(INDEX(fesp!$G:$G, MATCH(1, (VALUE(LEFT(fesp!$A:$A,6))=VALUE(LEFT(B660,6)))*(fesp!$C:$C=C660), 0)), "")</f>
        <v>8536528</v>
      </c>
      <c r="Q660" cm="1">
        <f t="array" aca="1" ref="Q660" ca="1">IFERROR(INDEX(fesp!$H:$H, MATCH(1, (VALUE(LEFT(fesp!$A:$A,6))=VALUE(LEFT(B660,6)))*(fesp!$C:$C=C660), 0)), "")</f>
        <v>134</v>
      </c>
      <c r="R660" cm="1">
        <f t="array" aca="1" ref="R660" ca="1">IFERROR(INDEX(fesp!$I:$I, MATCH(1, (VALUE(LEFT(fesp!$A:$A,6))=VALUE(LEFT(B660,6)))*(fesp!$C:$C=C660), 0)), "")</f>
        <v>169</v>
      </c>
      <c r="S660" cm="1">
        <f t="array" aca="1" ref="S660" ca="1">IFERROR(INDEX(fesp!$J:$J, MATCH(1, (VALUE(LEFT(fesp!$A:$A,6))=VALUE(LEFT(B660,6)))*(fesp!$C:$C=C660), 0)), "")</f>
        <v>4035</v>
      </c>
    </row>
    <row r="661" spans="1:19">
      <c r="A661" s="1" t="s">
        <v>33</v>
      </c>
      <c r="B661" s="3">
        <v>5002704</v>
      </c>
      <c r="C661" s="3">
        <v>2025</v>
      </c>
      <c r="D661" cm="1">
        <f t="array" ref="D661">IFERROR(INDEX(fesp!$D:$D, MATCH(1, (VALUE(LEFT(fesp!$A:$A,6))=VALUE(LEFT(B661,6)))*(fesp!$C:$C=C661), 0)), "")</f>
        <v>0</v>
      </c>
      <c r="E661" cm="1">
        <f t="array" aca="1" ref="E661" ca="1">IFERROR(INDEX(ft_medicos_clinicos!$C:$C, MATCH(1, (VALUE(LEFT(ft_medicos_clinicos!$A:$A,6))=VALUE(LEFT(B661,6)))*(ft_medicos_clinicos!$B:$B=C661), 0)), "")</f>
        <v>1246</v>
      </c>
      <c r="F661" cm="1">
        <f t="array" aca="1" ref="F661" ca="1">IFERROR(INDEX(ft_enfermeiros!$C:$C, MATCH(1, (VALUE(LEFT(ft_enfermeiros!$A:$A,6))=VALUE(LEFT(B661,6)))*(ft_enfermeiros!$B:$B=C661), 0)), "")</f>
        <v>2025</v>
      </c>
      <c r="G661" t="str" cm="1">
        <f t="array" aca="1" ref="G661" ca="1">IFERROR(INDEX(ft_equipes_acs!$C:$C, MATCH(1, (VALUE(LEFT(ft_equipes_acs!$A:$A,6))=VALUE(LEFT(B661,6)))*(ft_equipes_acs!$B:$B=C661), 0)), "")</f>
        <v/>
      </c>
      <c r="H661" cm="1">
        <f t="array" aca="1" ref="H661" ca="1">IFERROR(INDEX(ci_leitos_internacao!$C:$C, MATCH(1, (VALUE(LEFT(ci_leitos_internacao!$A:$A,6))=VALUE(LEFT(B661,6)))*(ci_leitos_internacao!$B:$B=C661), 0)), "")</f>
        <v>2506</v>
      </c>
      <c r="I661" cm="1">
        <f t="array" aca="1" ref="I661" ca="1">IFERROR(INDEX(ci_hospitais_internacao!$C:$C, MATCH(1, (VALUE(LEFT(ci_hospitais_internacao!$A:$A,6))=VALUE(LEFT(B661,6)))*(ci_hospitais_internacao!$B:$B=C661), 0)), "")</f>
        <v>7</v>
      </c>
      <c r="J661" t="str" cm="1">
        <f t="array" aca="1" ref="J661" ca="1">IFERROR(INDEX(ci_pa_clinico!$C:$C, MATCH(1, (VALUE(LEFT(ci_pa_clinico!$A:$A,6))=VALUE(LEFT(B661,6)))*(ci_pa_clinico!$B:$B=C661), 0)), "")</f>
        <v/>
      </c>
      <c r="K661" t="str" cm="1">
        <f t="array" aca="1" ref="K661" ca="1">IFERROR(INDEX(aps_equipes_esf!$C:$C, MATCH(1, (VALUE(LEFT(aps_equipes_esf!$A:$A,6))=VALUE(LEFT(B661,6)))*(aps_equipes_esf!$B:$B=C661), 0)), "")</f>
        <v>-</v>
      </c>
      <c r="L661" cm="1">
        <f t="array" aca="1" ref="L661" ca="1">IFERROR(INDEX(casos!$C:$C, MATCH(1, (VALUE(LEFT(casos!$A:$A,6))=VALUE(LEFT(B661,6)))*(casos!$B:$B=C661), 0)), "")</f>
        <v>639</v>
      </c>
      <c r="M661" cm="1">
        <f t="array" ref="M661">IFERROR(INDEX(srag!$D:$D, MATCH(1, (VALUE(LEFT(srag!$A:$A,6))=VALUE(LEFT(B661,6)))*(srag!$C:$C=C661), 0)), "")</f>
        <v>3278</v>
      </c>
      <c r="N661" cm="1">
        <f t="array" aca="1" ref="N661" ca="1">IFERROR(INDEX(fesp!$E:$E, MATCH(1, (VALUE(LEFT(fesp!$A:$A,6))=VALUE(LEFT(B661,6)))*(fesp!$C:$C=C661), 0)), "")</f>
        <v>164</v>
      </c>
      <c r="O661" cm="1">
        <f t="array" aca="1" ref="O661" ca="1">IFERROR(INDEX(fesp!$F:$F, MATCH(1, (VALUE(LEFT(fesp!$A:$A,6))=VALUE(LEFT(B661,6)))*(fesp!$C:$C=C661), 0)), "")</f>
        <v>11546</v>
      </c>
      <c r="P661" cm="1">
        <f t="array" aca="1" ref="P661" ca="1">IFERROR(INDEX(fesp!$G:$G, MATCH(1, (VALUE(LEFT(fesp!$A:$A,6))=VALUE(LEFT(B661,6)))*(fesp!$C:$C=C661), 0)), "")</f>
        <v>6538285</v>
      </c>
      <c r="Q661" cm="1">
        <f t="array" aca="1" ref="Q661" ca="1">IFERROR(INDEX(fesp!$H:$H, MATCH(1, (VALUE(LEFT(fesp!$A:$A,6))=VALUE(LEFT(B661,6)))*(fesp!$C:$C=C661), 0)), "")</f>
        <v>72</v>
      </c>
      <c r="R661" cm="1">
        <f t="array" aca="1" ref="R661" ca="1">IFERROR(INDEX(fesp!$I:$I, MATCH(1, (VALUE(LEFT(fesp!$A:$A,6))=VALUE(LEFT(B661,6)))*(fesp!$C:$C=C661), 0)), "")</f>
        <v>2906</v>
      </c>
      <c r="S661" cm="1">
        <f t="array" aca="1" ref="S661" ca="1">IFERROR(INDEX(fesp!$J:$J, MATCH(1, (VALUE(LEFT(fesp!$A:$A,6))=VALUE(LEFT(B661,6)))*(fesp!$C:$C=C661), 0)), "")</f>
        <v>7839</v>
      </c>
    </row>
    <row r="662" spans="1:19">
      <c r="A662" s="1" t="s">
        <v>61</v>
      </c>
      <c r="B662" s="3">
        <v>5103403</v>
      </c>
      <c r="C662" s="3">
        <v>2015</v>
      </c>
      <c r="D662" cm="1">
        <f t="array" ref="D662">IFERROR(INDEX(fesp!$D:$D, MATCH(1, (VALUE(LEFT(fesp!$A:$A,6))=VALUE(LEFT(B662,6)))*(fesp!$C:$C=C662), 0)), "")</f>
        <v>580489</v>
      </c>
      <c r="E662" cm="1">
        <f t="array" aca="1" ref="E662" ca="1">IFERROR(INDEX(ft_medicos_clinicos!$C:$C, MATCH(1, (VALUE(LEFT(ft_medicos_clinicos!$A:$A,6))=VALUE(LEFT(B662,6)))*(ft_medicos_clinicos!$B:$B=C662), 0)), "")</f>
        <v>417</v>
      </c>
      <c r="F662" cm="1">
        <f t="array" aca="1" ref="F662" ca="1">IFERROR(INDEX(ft_enfermeiros!$C:$C, MATCH(1, (VALUE(LEFT(ft_enfermeiros!$A:$A,6))=VALUE(LEFT(B662,6)))*(ft_enfermeiros!$B:$B=C662), 0)), "")</f>
        <v>848</v>
      </c>
      <c r="G662" cm="1">
        <f t="array" aca="1" ref="G662" ca="1">IFERROR(INDEX(ft_equipes_acs!$C:$C, MATCH(1, (VALUE(LEFT(ft_equipes_acs!$A:$A,6))=VALUE(LEFT(B662,6)))*(ft_equipes_acs!$B:$B=C662), 0)), "")</f>
        <v>19</v>
      </c>
      <c r="H662" cm="1">
        <f t="array" aca="1" ref="H662" ca="1">IFERROR(INDEX(ci_leitos_internacao!$C:$C, MATCH(1, (VALUE(LEFT(ci_leitos_internacao!$A:$A,6))=VALUE(LEFT(B662,6)))*(ci_leitos_internacao!$B:$B=C662), 0)), "")</f>
        <v>1933</v>
      </c>
      <c r="I662" cm="1">
        <f t="array" aca="1" ref="I662" ca="1">IFERROR(INDEX(ci_hospitais_internacao!$C:$C, MATCH(1, (VALUE(LEFT(ci_hospitais_internacao!$A:$A,6))=VALUE(LEFT(B662,6)))*(ci_hospitais_internacao!$B:$B=C662), 0)), "")</f>
        <v>8</v>
      </c>
      <c r="J662" t="str" cm="1">
        <f t="array" aca="1" ref="J662" ca="1">IFERROR(INDEX(ci_pa_clinico!$C:$C, MATCH(1, (VALUE(LEFT(ci_pa_clinico!$A:$A,6))=VALUE(LEFT(B662,6)))*(ci_pa_clinico!$B:$B=C662), 0)), "")</f>
        <v/>
      </c>
      <c r="K662" cm="1">
        <f t="array" aca="1" ref="K662" ca="1">IFERROR(INDEX(aps_equipes_esf!$C:$C, MATCH(1, (VALUE(LEFT(aps_equipes_esf!$A:$A,6))=VALUE(LEFT(B662,6)))*(aps_equipes_esf!$B:$B=C662), 0)), "")</f>
        <v>55</v>
      </c>
      <c r="L662" cm="1">
        <f t="array" aca="1" ref="L662" ca="1">IFERROR(INDEX(casos!$C:$C, MATCH(1, (VALUE(LEFT(casos!$A:$A,6))=VALUE(LEFT(B662,6)))*(casos!$B:$B=C662), 0)), "")</f>
        <v>4220</v>
      </c>
      <c r="M662" cm="1">
        <f t="array" ref="M662">IFERROR(INDEX(srag!$D:$D, MATCH(1, (VALUE(LEFT(srag!$A:$A,6))=VALUE(LEFT(B662,6)))*(srag!$C:$C=C662), 0)), "")</f>
        <v>37</v>
      </c>
      <c r="N662" cm="1">
        <f t="array" aca="1" ref="N662" ca="1">IFERROR(INDEX(fesp!$E:$E, MATCH(1, (VALUE(LEFT(fesp!$A:$A,6))=VALUE(LEFT(B662,6)))*(fesp!$C:$C=C662), 0)), "")</f>
        <v>363</v>
      </c>
      <c r="O662" cm="1">
        <f t="array" aca="1" ref="O662" ca="1">IFERROR(INDEX(fesp!$F:$F, MATCH(1, (VALUE(LEFT(fesp!$A:$A,6))=VALUE(LEFT(B662,6)))*(fesp!$C:$C=C662), 0)), "")</f>
        <v>3091</v>
      </c>
      <c r="P662" cm="1">
        <f t="array" aca="1" ref="P662" ca="1">IFERROR(INDEX(fesp!$G:$G, MATCH(1, (VALUE(LEFT(fesp!$A:$A,6))=VALUE(LEFT(B662,6)))*(fesp!$C:$C=C662), 0)), "")</f>
        <v>4483893</v>
      </c>
      <c r="Q662" cm="1">
        <f t="array" aca="1" ref="Q662" ca="1">IFERROR(INDEX(fesp!$H:$H, MATCH(1, (VALUE(LEFT(fesp!$A:$A,6))=VALUE(LEFT(B662,6)))*(fesp!$C:$C=C662), 0)), "")</f>
        <v>138</v>
      </c>
      <c r="R662" cm="1">
        <f t="array" aca="1" ref="R662" ca="1">IFERROR(INDEX(fesp!$I:$I, MATCH(1, (VALUE(LEFT(fesp!$A:$A,6))=VALUE(LEFT(B662,6)))*(fesp!$C:$C=C662), 0)), "")</f>
        <v>42716</v>
      </c>
      <c r="S662" cm="1">
        <f t="array" aca="1" ref="S662" ca="1">IFERROR(INDEX(fesp!$J:$J, MATCH(1, (VALUE(LEFT(fesp!$A:$A,6))=VALUE(LEFT(B662,6)))*(fesp!$C:$C=C662), 0)), "")</f>
        <v>510498</v>
      </c>
    </row>
    <row r="663" spans="1:19">
      <c r="A663" s="1" t="s">
        <v>61</v>
      </c>
      <c r="B663" s="3">
        <v>5103403</v>
      </c>
      <c r="C663" s="3">
        <v>2016</v>
      </c>
      <c r="D663" cm="1">
        <f t="array" ref="D663">IFERROR(INDEX(fesp!$D:$D, MATCH(1, (VALUE(LEFT(fesp!$A:$A,6))=VALUE(LEFT(B663,6)))*(fesp!$C:$C=C663), 0)), "")</f>
        <v>0</v>
      </c>
      <c r="E663" cm="1">
        <f t="array" aca="1" ref="E663" ca="1">IFERROR(INDEX(ft_medicos_clinicos!$C:$C, MATCH(1, (VALUE(LEFT(ft_medicos_clinicos!$A:$A,6))=VALUE(LEFT(B663,6)))*(ft_medicos_clinicos!$B:$B=C663), 0)), "")</f>
        <v>402</v>
      </c>
      <c r="F663" cm="1">
        <f t="array" aca="1" ref="F663" ca="1">IFERROR(INDEX(ft_enfermeiros!$C:$C, MATCH(1, (VALUE(LEFT(ft_enfermeiros!$A:$A,6))=VALUE(LEFT(B663,6)))*(ft_enfermeiros!$B:$B=C663), 0)), "")</f>
        <v>870</v>
      </c>
      <c r="G663" cm="1">
        <f t="array" aca="1" ref="G663" ca="1">IFERROR(INDEX(ft_equipes_acs!$C:$C, MATCH(1, (VALUE(LEFT(ft_equipes_acs!$A:$A,6))=VALUE(LEFT(B663,6)))*(ft_equipes_acs!$B:$B=C663), 0)), "")</f>
        <v>19</v>
      </c>
      <c r="H663" cm="1">
        <f t="array" aca="1" ref="H663" ca="1">IFERROR(INDEX(ci_leitos_internacao!$C:$C, MATCH(1, (VALUE(LEFT(ci_leitos_internacao!$A:$A,6))=VALUE(LEFT(B663,6)))*(ci_leitos_internacao!$B:$B=C663), 0)), "")</f>
        <v>1910</v>
      </c>
      <c r="I663" cm="1">
        <f t="array" aca="1" ref="I663" ca="1">IFERROR(INDEX(ci_hospitais_internacao!$C:$C, MATCH(1, (VALUE(LEFT(ci_hospitais_internacao!$A:$A,6))=VALUE(LEFT(B663,6)))*(ci_hospitais_internacao!$B:$B=C663), 0)), "")</f>
        <v>8</v>
      </c>
      <c r="J663" t="str" cm="1">
        <f t="array" aca="1" ref="J663" ca="1">IFERROR(INDEX(ci_pa_clinico!$C:$C, MATCH(1, (VALUE(LEFT(ci_pa_clinico!$A:$A,6))=VALUE(LEFT(B663,6)))*(ci_pa_clinico!$B:$B=C663), 0)), "")</f>
        <v/>
      </c>
      <c r="K663" cm="1">
        <f t="array" aca="1" ref="K663" ca="1">IFERROR(INDEX(aps_equipes_esf!$C:$C, MATCH(1, (VALUE(LEFT(aps_equipes_esf!$A:$A,6))=VALUE(LEFT(B663,6)))*(aps_equipes_esf!$B:$B=C663), 0)), "")</f>
        <v>57</v>
      </c>
      <c r="L663" cm="1">
        <f t="array" aca="1" ref="L663" ca="1">IFERROR(INDEX(casos!$C:$C, MATCH(1, (VALUE(LEFT(casos!$A:$A,6))=VALUE(LEFT(B663,6)))*(casos!$B:$B=C663), 0)), "")</f>
        <v>2140</v>
      </c>
      <c r="M663" cm="1">
        <f t="array" ref="M663">IFERROR(INDEX(srag!$D:$D, MATCH(1, (VALUE(LEFT(srag!$A:$A,6))=VALUE(LEFT(B663,6)))*(srag!$C:$C=C663), 0)), "")</f>
        <v>116</v>
      </c>
      <c r="N663" cm="1">
        <f t="array" aca="1" ref="N663" ca="1">IFERROR(INDEX(fesp!$E:$E, MATCH(1, (VALUE(LEFT(fesp!$A:$A,6))=VALUE(LEFT(B663,6)))*(fesp!$C:$C=C663), 0)), "")</f>
        <v>181</v>
      </c>
      <c r="O663" cm="1">
        <f t="array" aca="1" ref="O663" ca="1">IFERROR(INDEX(fesp!$F:$F, MATCH(1, (VALUE(LEFT(fesp!$A:$A,6))=VALUE(LEFT(B663,6)))*(fesp!$C:$C=C663), 0)), "")</f>
        <v>3177</v>
      </c>
      <c r="P663" cm="1">
        <f t="array" aca="1" ref="P663" ca="1">IFERROR(INDEX(fesp!$G:$G, MATCH(1, (VALUE(LEFT(fesp!$A:$A,6))=VALUE(LEFT(B663,6)))*(fesp!$C:$C=C663), 0)), "")</f>
        <v>4890152</v>
      </c>
      <c r="Q663" cm="1">
        <f t="array" aca="1" ref="Q663" ca="1">IFERROR(INDEX(fesp!$H:$H, MATCH(1, (VALUE(LEFT(fesp!$A:$A,6))=VALUE(LEFT(B663,6)))*(fesp!$C:$C=C663), 0)), "")</f>
        <v>91</v>
      </c>
      <c r="R663" cm="1">
        <f t="array" aca="1" ref="R663" ca="1">IFERROR(INDEX(fesp!$I:$I, MATCH(1, (VALUE(LEFT(fesp!$A:$A,6))=VALUE(LEFT(B663,6)))*(fesp!$C:$C=C663), 0)), "")</f>
        <v>31850</v>
      </c>
      <c r="S663" cm="1">
        <f t="array" aca="1" ref="S663" ca="1">IFERROR(INDEX(fesp!$J:$J, MATCH(1, (VALUE(LEFT(fesp!$A:$A,6))=VALUE(LEFT(B663,6)))*(fesp!$C:$C=C663), 0)), "")</f>
        <v>171673</v>
      </c>
    </row>
    <row r="664" spans="1:19">
      <c r="A664" s="1" t="s">
        <v>61</v>
      </c>
      <c r="B664" s="3">
        <v>5103403</v>
      </c>
      <c r="C664" s="3">
        <v>2017</v>
      </c>
      <c r="D664" cm="1">
        <f t="array" ref="D664">IFERROR(INDEX(fesp!$D:$D, MATCH(1, (VALUE(LEFT(fesp!$A:$A,6))=VALUE(LEFT(B664,6)))*(fesp!$C:$C=C664), 0)), "")</f>
        <v>0</v>
      </c>
      <c r="E664" cm="1">
        <f t="array" aca="1" ref="E664" ca="1">IFERROR(INDEX(ft_medicos_clinicos!$C:$C, MATCH(1, (VALUE(LEFT(ft_medicos_clinicos!$A:$A,6))=VALUE(LEFT(B664,6)))*(ft_medicos_clinicos!$B:$B=C664), 0)), "")</f>
        <v>436</v>
      </c>
      <c r="F664" cm="1">
        <f t="array" aca="1" ref="F664" ca="1">IFERROR(INDEX(ft_enfermeiros!$C:$C, MATCH(1, (VALUE(LEFT(ft_enfermeiros!$A:$A,6))=VALUE(LEFT(B664,6)))*(ft_enfermeiros!$B:$B=C664), 0)), "")</f>
        <v>939</v>
      </c>
      <c r="G664" cm="1">
        <f t="array" aca="1" ref="G664" ca="1">IFERROR(INDEX(ft_equipes_acs!$C:$C, MATCH(1, (VALUE(LEFT(ft_equipes_acs!$A:$A,6))=VALUE(LEFT(B664,6)))*(ft_equipes_acs!$B:$B=C664), 0)), "")</f>
        <v>19</v>
      </c>
      <c r="H664" cm="1">
        <f t="array" aca="1" ref="H664" ca="1">IFERROR(INDEX(ci_leitos_internacao!$C:$C, MATCH(1, (VALUE(LEFT(ci_leitos_internacao!$A:$A,6))=VALUE(LEFT(B664,6)))*(ci_leitos_internacao!$B:$B=C664), 0)), "")</f>
        <v>2065</v>
      </c>
      <c r="I664" cm="1">
        <f t="array" aca="1" ref="I664" ca="1">IFERROR(INDEX(ci_hospitais_internacao!$C:$C, MATCH(1, (VALUE(LEFT(ci_hospitais_internacao!$A:$A,6))=VALUE(LEFT(B664,6)))*(ci_hospitais_internacao!$B:$B=C664), 0)), "")</f>
        <v>9</v>
      </c>
      <c r="J664" t="str" cm="1">
        <f t="array" aca="1" ref="J664" ca="1">IFERROR(INDEX(ci_pa_clinico!$C:$C, MATCH(1, (VALUE(LEFT(ci_pa_clinico!$A:$A,6))=VALUE(LEFT(B664,6)))*(ci_pa_clinico!$B:$B=C664), 0)), "")</f>
        <v/>
      </c>
      <c r="K664" cm="1">
        <f t="array" aca="1" ref="K664" ca="1">IFERROR(INDEX(aps_equipes_esf!$C:$C, MATCH(1, (VALUE(LEFT(aps_equipes_esf!$A:$A,6))=VALUE(LEFT(B664,6)))*(aps_equipes_esf!$B:$B=C664), 0)), "")</f>
        <v>57</v>
      </c>
      <c r="L664" cm="1">
        <f t="array" aca="1" ref="L664" ca="1">IFERROR(INDEX(casos!$C:$C, MATCH(1, (VALUE(LEFT(casos!$A:$A,6))=VALUE(LEFT(B664,6)))*(casos!$B:$B=C664), 0)), "")</f>
        <v>3784</v>
      </c>
      <c r="M664" cm="1">
        <f t="array" ref="M664">IFERROR(INDEX(srag!$D:$D, MATCH(1, (VALUE(LEFT(srag!$A:$A,6))=VALUE(LEFT(B664,6)))*(srag!$C:$C=C664), 0)), "")</f>
        <v>62</v>
      </c>
      <c r="N664" cm="1">
        <f t="array" aca="1" ref="N664" ca="1">IFERROR(INDEX(fesp!$E:$E, MATCH(1, (VALUE(LEFT(fesp!$A:$A,6))=VALUE(LEFT(B664,6)))*(fesp!$C:$C=C664), 0)), "")</f>
        <v>155</v>
      </c>
      <c r="O664" cm="1">
        <f t="array" aca="1" ref="O664" ca="1">IFERROR(INDEX(fesp!$F:$F, MATCH(1, (VALUE(LEFT(fesp!$A:$A,6))=VALUE(LEFT(B664,6)))*(fesp!$C:$C=C664), 0)), "")</f>
        <v>21265</v>
      </c>
      <c r="P664" cm="1">
        <f t="array" aca="1" ref="P664" ca="1">IFERROR(INDEX(fesp!$G:$G, MATCH(1, (VALUE(LEFT(fesp!$A:$A,6))=VALUE(LEFT(B664,6)))*(fesp!$C:$C=C664), 0)), "")</f>
        <v>5456070</v>
      </c>
      <c r="Q664" cm="1">
        <f t="array" aca="1" ref="Q664" ca="1">IFERROR(INDEX(fesp!$H:$H, MATCH(1, (VALUE(LEFT(fesp!$A:$A,6))=VALUE(LEFT(B664,6)))*(fesp!$C:$C=C664), 0)), "")</f>
        <v>79</v>
      </c>
      <c r="R664" cm="1">
        <f t="array" aca="1" ref="R664" ca="1">IFERROR(INDEX(fesp!$I:$I, MATCH(1, (VALUE(LEFT(fesp!$A:$A,6))=VALUE(LEFT(B664,6)))*(fesp!$C:$C=C664), 0)), "")</f>
        <v>37790</v>
      </c>
      <c r="S664" cm="1">
        <f t="array" aca="1" ref="S664" ca="1">IFERROR(INDEX(fesp!$J:$J, MATCH(1, (VALUE(LEFT(fesp!$A:$A,6))=VALUE(LEFT(B664,6)))*(fesp!$C:$C=C664), 0)), "")</f>
        <v>213616</v>
      </c>
    </row>
    <row r="665" spans="1:19">
      <c r="A665" s="1" t="s">
        <v>61</v>
      </c>
      <c r="B665" s="3" t="s">
        <v>60</v>
      </c>
      <c r="C665" s="3">
        <v>2018</v>
      </c>
      <c r="D665" cm="1">
        <f t="array" ref="D665">IFERROR(INDEX(fesp!$D:$D, MATCH(1, (VALUE(LEFT(fesp!$A:$A,6))=VALUE(LEFT(B665,6)))*(fesp!$C:$C=C665), 0)), "")</f>
        <v>0</v>
      </c>
      <c r="E665" cm="1">
        <f t="array" aca="1" ref="E665" ca="1">IFERROR(INDEX(ft_medicos_clinicos!$C:$C, MATCH(1, (VALUE(LEFT(ft_medicos_clinicos!$A:$A,6))=VALUE(LEFT(B665,6)))*(ft_medicos_clinicos!$B:$B=C665), 0)), "")</f>
        <v>411</v>
      </c>
      <c r="F665" cm="1">
        <f t="array" aca="1" ref="F665" ca="1">IFERROR(INDEX(ft_enfermeiros!$C:$C, MATCH(1, (VALUE(LEFT(ft_enfermeiros!$A:$A,6))=VALUE(LEFT(B665,6)))*(ft_enfermeiros!$B:$B=C665), 0)), "")</f>
        <v>1071</v>
      </c>
      <c r="G665" cm="1">
        <f t="array" aca="1" ref="G665" ca="1">IFERROR(INDEX(ft_equipes_acs!$C:$C, MATCH(1, (VALUE(LEFT(ft_equipes_acs!$A:$A,6))=VALUE(LEFT(B665,6)))*(ft_equipes_acs!$B:$B=C665), 0)), "")</f>
        <v>16</v>
      </c>
      <c r="H665" cm="1">
        <f t="array" aca="1" ref="H665" ca="1">IFERROR(INDEX(ci_leitos_internacao!$C:$C, MATCH(1, (VALUE(LEFT(ci_leitos_internacao!$A:$A,6))=VALUE(LEFT(B665,6)))*(ci_leitos_internacao!$B:$B=C665), 0)), "")</f>
        <v>2103</v>
      </c>
      <c r="I665" cm="1">
        <f t="array" aca="1" ref="I665" ca="1">IFERROR(INDEX(ci_hospitais_internacao!$C:$C, MATCH(1, (VALUE(LEFT(ci_hospitais_internacao!$A:$A,6))=VALUE(LEFT(B665,6)))*(ci_hospitais_internacao!$B:$B=C665), 0)), "")</f>
        <v>10</v>
      </c>
      <c r="J665" t="str" cm="1">
        <f t="array" aca="1" ref="J665" ca="1">IFERROR(INDEX(ci_pa_clinico!$C:$C, MATCH(1, (VALUE(LEFT(ci_pa_clinico!$A:$A,6))=VALUE(LEFT(B665,6)))*(ci_pa_clinico!$B:$B=C665), 0)), "")</f>
        <v/>
      </c>
      <c r="K665" cm="1">
        <f t="array" aca="1" ref="K665" ca="1">IFERROR(INDEX(aps_equipes_esf!$C:$C, MATCH(1, (VALUE(LEFT(aps_equipes_esf!$A:$A,6))=VALUE(LEFT(B665,6)))*(aps_equipes_esf!$B:$B=C665), 0)), "")</f>
        <v>59</v>
      </c>
      <c r="L665" cm="1">
        <f t="array" aca="1" ref="L665" ca="1">IFERROR(INDEX(casos!$C:$C, MATCH(1, (VALUE(LEFT(casos!$A:$A,6))=VALUE(LEFT(B665,6)))*(casos!$B:$B=C665), 0)), "")</f>
        <v>1672</v>
      </c>
      <c r="M665" cm="1">
        <f t="array" ref="M665">IFERROR(INDEX(srag!$D:$D, MATCH(1, (VALUE(LEFT(srag!$A:$A,6))=VALUE(LEFT(B665,6)))*(srag!$C:$C=C665), 0)), "")</f>
        <v>96</v>
      </c>
      <c r="N665" cm="1">
        <f t="array" aca="1" ref="N665" ca="1">IFERROR(INDEX(fesp!$E:$E, MATCH(1, (VALUE(LEFT(fesp!$A:$A,6))=VALUE(LEFT(B665,6)))*(fesp!$C:$C=C665), 0)), "")</f>
        <v>110</v>
      </c>
      <c r="O665" cm="1">
        <f t="array" aca="1" ref="O665" ca="1">IFERROR(INDEX(fesp!$F:$F, MATCH(1, (VALUE(LEFT(fesp!$A:$A,6))=VALUE(LEFT(B665,6)))*(fesp!$C:$C=C665), 0)), "")</f>
        <v>20951</v>
      </c>
      <c r="P665" cm="1">
        <f t="array" aca="1" ref="P665" ca="1">IFERROR(INDEX(fesp!$G:$G, MATCH(1, (VALUE(LEFT(fesp!$A:$A,6))=VALUE(LEFT(B665,6)))*(fesp!$C:$C=C665), 0)), "")</f>
        <v>5456485</v>
      </c>
      <c r="Q665" cm="1">
        <f t="array" aca="1" ref="Q665" ca="1">IFERROR(INDEX(fesp!$H:$H, MATCH(1, (VALUE(LEFT(fesp!$A:$A,6))=VALUE(LEFT(B665,6)))*(fesp!$C:$C=C665), 0)), "")</f>
        <v>91</v>
      </c>
      <c r="R665" cm="1">
        <f t="array" aca="1" ref="R665" ca="1">IFERROR(INDEX(fesp!$I:$I, MATCH(1, (VALUE(LEFT(fesp!$A:$A,6))=VALUE(LEFT(B665,6)))*(fesp!$C:$C=C665), 0)), "")</f>
        <v>7925</v>
      </c>
      <c r="S665" cm="1">
        <f t="array" aca="1" ref="S665" ca="1">IFERROR(INDEX(fesp!$J:$J, MATCH(1, (VALUE(LEFT(fesp!$A:$A,6))=VALUE(LEFT(B665,6)))*(fesp!$C:$C=C665), 0)), "")</f>
        <v>14153</v>
      </c>
    </row>
    <row r="666" spans="1:19">
      <c r="A666" s="1" t="s">
        <v>61</v>
      </c>
      <c r="B666" s="3" t="s">
        <v>60</v>
      </c>
      <c r="C666" s="3">
        <v>2019</v>
      </c>
      <c r="D666" cm="1">
        <f t="array" ref="D666">IFERROR(INDEX(fesp!$D:$D, MATCH(1, (VALUE(LEFT(fesp!$A:$A,6))=VALUE(LEFT(B666,6)))*(fesp!$C:$C=C666), 0)), "")</f>
        <v>0</v>
      </c>
      <c r="E666" cm="1">
        <f t="array" aca="1" ref="E666" ca="1">IFERROR(INDEX(ft_medicos_clinicos!$C:$C, MATCH(1, (VALUE(LEFT(ft_medicos_clinicos!$A:$A,6))=VALUE(LEFT(B666,6)))*(ft_medicos_clinicos!$B:$B=C666), 0)), "")</f>
        <v>441</v>
      </c>
      <c r="F666" cm="1">
        <f t="array" aca="1" ref="F666" ca="1">IFERROR(INDEX(ft_enfermeiros!$C:$C, MATCH(1, (VALUE(LEFT(ft_enfermeiros!$A:$A,6))=VALUE(LEFT(B666,6)))*(ft_enfermeiros!$B:$B=C666), 0)), "")</f>
        <v>1164</v>
      </c>
      <c r="G666" cm="1">
        <f t="array" aca="1" ref="G666" ca="1">IFERROR(INDEX(ft_equipes_acs!$C:$C, MATCH(1, (VALUE(LEFT(ft_equipes_acs!$A:$A,6))=VALUE(LEFT(B666,6)))*(ft_equipes_acs!$B:$B=C666), 0)), "")</f>
        <v>16</v>
      </c>
      <c r="H666" cm="1">
        <f t="array" aca="1" ref="H666" ca="1">IFERROR(INDEX(ci_leitos_internacao!$C:$C, MATCH(1, (VALUE(LEFT(ci_leitos_internacao!$A:$A,6))=VALUE(LEFT(B666,6)))*(ci_leitos_internacao!$B:$B=C666), 0)), "")</f>
        <v>2107</v>
      </c>
      <c r="I666" cm="1">
        <f t="array" aca="1" ref="I666" ca="1">IFERROR(INDEX(ci_hospitais_internacao!$C:$C, MATCH(1, (VALUE(LEFT(ci_hospitais_internacao!$A:$A,6))=VALUE(LEFT(B666,6)))*(ci_hospitais_internacao!$B:$B=C666), 0)), "")</f>
        <v>11</v>
      </c>
      <c r="J666" t="str" cm="1">
        <f t="array" aca="1" ref="J666" ca="1">IFERROR(INDEX(ci_pa_clinico!$C:$C, MATCH(1, (VALUE(LEFT(ci_pa_clinico!$A:$A,6))=VALUE(LEFT(B666,6)))*(ci_pa_clinico!$B:$B=C666), 0)), "")</f>
        <v/>
      </c>
      <c r="K666" cm="1">
        <f t="array" aca="1" ref="K666" ca="1">IFERROR(INDEX(aps_equipes_esf!$C:$C, MATCH(1, (VALUE(LEFT(aps_equipes_esf!$A:$A,6))=VALUE(LEFT(B666,6)))*(aps_equipes_esf!$B:$B=C666), 0)), "")</f>
        <v>50</v>
      </c>
      <c r="L666" cm="1">
        <f t="array" aca="1" ref="L666" ca="1">IFERROR(INDEX(casos!$C:$C, MATCH(1, (VALUE(LEFT(casos!$A:$A,6))=VALUE(LEFT(B666,6)))*(casos!$B:$B=C666), 0)), "")</f>
        <v>519</v>
      </c>
      <c r="M666" cm="1">
        <f t="array" ref="M666">IFERROR(INDEX(srag!$D:$D, MATCH(1, (VALUE(LEFT(srag!$A:$A,6))=VALUE(LEFT(B666,6)))*(srag!$C:$C=C666), 0)), "")</f>
        <v>91</v>
      </c>
      <c r="N666" cm="1">
        <f t="array" aca="1" ref="N666" ca="1">IFERROR(INDEX(fesp!$E:$E, MATCH(1, (VALUE(LEFT(fesp!$A:$A,6))=VALUE(LEFT(B666,6)))*(fesp!$C:$C=C666), 0)), "")</f>
        <v>143</v>
      </c>
      <c r="O666" cm="1">
        <f t="array" aca="1" ref="O666" ca="1">IFERROR(INDEX(fesp!$F:$F, MATCH(1, (VALUE(LEFT(fesp!$A:$A,6))=VALUE(LEFT(B666,6)))*(fesp!$C:$C=C666), 0)), "")</f>
        <v>3359</v>
      </c>
      <c r="P666" cm="1">
        <f t="array" aca="1" ref="P666" ca="1">IFERROR(INDEX(fesp!$G:$G, MATCH(1, (VALUE(LEFT(fesp!$A:$A,6))=VALUE(LEFT(B666,6)))*(fesp!$C:$C=C666), 0)), "")</f>
        <v>5806492</v>
      </c>
      <c r="Q666" cm="1">
        <f t="array" aca="1" ref="Q666" ca="1">IFERROR(INDEX(fesp!$H:$H, MATCH(1, (VALUE(LEFT(fesp!$A:$A,6))=VALUE(LEFT(B666,6)))*(fesp!$C:$C=C666), 0)), "")</f>
        <v>42</v>
      </c>
      <c r="R666" cm="1">
        <f t="array" aca="1" ref="R666" ca="1">IFERROR(INDEX(fesp!$I:$I, MATCH(1, (VALUE(LEFT(fesp!$A:$A,6))=VALUE(LEFT(B666,6)))*(fesp!$C:$C=C666), 0)), "")</f>
        <v>2847</v>
      </c>
      <c r="S666" cm="1">
        <f t="array" aca="1" ref="S666" ca="1">IFERROR(INDEX(fesp!$J:$J, MATCH(1, (VALUE(LEFT(fesp!$A:$A,6))=VALUE(LEFT(B666,6)))*(fesp!$C:$C=C666), 0)), "")</f>
        <v>1177</v>
      </c>
    </row>
    <row r="667" spans="1:19">
      <c r="A667" s="1" t="s">
        <v>61</v>
      </c>
      <c r="B667" s="3" t="s">
        <v>60</v>
      </c>
      <c r="C667" s="3">
        <v>2020</v>
      </c>
      <c r="D667" cm="1">
        <f t="array" ref="D667">IFERROR(INDEX(fesp!$D:$D, MATCH(1, (VALUE(LEFT(fesp!$A:$A,6))=VALUE(LEFT(B667,6)))*(fesp!$C:$C=C667), 0)), "")</f>
        <v>0</v>
      </c>
      <c r="E667" cm="1">
        <f t="array" aca="1" ref="E667" ca="1">IFERROR(INDEX(ft_medicos_clinicos!$C:$C, MATCH(1, (VALUE(LEFT(ft_medicos_clinicos!$A:$A,6))=VALUE(LEFT(B667,6)))*(ft_medicos_clinicos!$B:$B=C667), 0)), "")</f>
        <v>660</v>
      </c>
      <c r="F667" cm="1">
        <f t="array" aca="1" ref="F667" ca="1">IFERROR(INDEX(ft_enfermeiros!$C:$C, MATCH(1, (VALUE(LEFT(ft_enfermeiros!$A:$A,6))=VALUE(LEFT(B667,6)))*(ft_enfermeiros!$B:$B=C667), 0)), "")</f>
        <v>1454</v>
      </c>
      <c r="G667" cm="1">
        <f t="array" aca="1" ref="G667" ca="1">IFERROR(INDEX(ft_equipes_acs!$C:$C, MATCH(1, (VALUE(LEFT(ft_equipes_acs!$A:$A,6))=VALUE(LEFT(B667,6)))*(ft_equipes_acs!$B:$B=C667), 0)), "")</f>
        <v>1</v>
      </c>
      <c r="H667" cm="1">
        <f t="array" aca="1" ref="H667" ca="1">IFERROR(INDEX(ci_leitos_internacao!$C:$C, MATCH(1, (VALUE(LEFT(ci_leitos_internacao!$A:$A,6))=VALUE(LEFT(B667,6)))*(ci_leitos_internacao!$B:$B=C667), 0)), "")</f>
        <v>1667</v>
      </c>
      <c r="I667" cm="1">
        <f t="array" aca="1" ref="I667" ca="1">IFERROR(INDEX(ci_hospitais_internacao!$C:$C, MATCH(1, (VALUE(LEFT(ci_hospitais_internacao!$A:$A,6))=VALUE(LEFT(B667,6)))*(ci_hospitais_internacao!$B:$B=C667), 0)), "")</f>
        <v>10</v>
      </c>
      <c r="J667" t="str" cm="1">
        <f t="array" aca="1" ref="J667" ca="1">IFERROR(INDEX(ci_pa_clinico!$C:$C, MATCH(1, (VALUE(LEFT(ci_pa_clinico!$A:$A,6))=VALUE(LEFT(B667,6)))*(ci_pa_clinico!$B:$B=C667), 0)), "")</f>
        <v/>
      </c>
      <c r="K667" t="str" cm="1">
        <f t="array" aca="1" ref="K667" ca="1">IFERROR(INDEX(aps_equipes_esf!$C:$C, MATCH(1, (VALUE(LEFT(aps_equipes_esf!$A:$A,6))=VALUE(LEFT(B667,6)))*(aps_equipes_esf!$B:$B=C667), 0)), "")</f>
        <v>-</v>
      </c>
      <c r="L667" cm="1">
        <f t="array" aca="1" ref="L667" ca="1">IFERROR(INDEX(casos!$C:$C, MATCH(1, (VALUE(LEFT(casos!$A:$A,6))=VALUE(LEFT(B667,6)))*(casos!$B:$B=C667), 0)), "")</f>
        <v>974</v>
      </c>
      <c r="M667" cm="1">
        <f t="array" ref="M667">IFERROR(INDEX(srag!$D:$D, MATCH(1, (VALUE(LEFT(srag!$A:$A,6))=VALUE(LEFT(B667,6)))*(srag!$C:$C=C667), 0)), "")</f>
        <v>6202</v>
      </c>
      <c r="N667" cm="1">
        <f t="array" aca="1" ref="N667" ca="1">IFERROR(INDEX(fesp!$E:$E, MATCH(1, (VALUE(LEFT(fesp!$A:$A,6))=VALUE(LEFT(B667,6)))*(fesp!$C:$C=C667), 0)), "")</f>
        <v>89</v>
      </c>
      <c r="O667" cm="1">
        <f t="array" aca="1" ref="O667" ca="1">IFERROR(INDEX(fesp!$F:$F, MATCH(1, (VALUE(LEFT(fesp!$A:$A,6))=VALUE(LEFT(B667,6)))*(fesp!$C:$C=C667), 0)), "")</f>
        <v>1902</v>
      </c>
      <c r="P667" cm="1">
        <f t="array" aca="1" ref="P667" ca="1">IFERROR(INDEX(fesp!$G:$G, MATCH(1, (VALUE(LEFT(fesp!$A:$A,6))=VALUE(LEFT(B667,6)))*(fesp!$C:$C=C667), 0)), "")</f>
        <v>5260198</v>
      </c>
      <c r="Q667" cm="1">
        <f t="array" aca="1" ref="Q667" ca="1">IFERROR(INDEX(fesp!$H:$H, MATCH(1, (VALUE(LEFT(fesp!$A:$A,6))=VALUE(LEFT(B667,6)))*(fesp!$C:$C=C667), 0)), "")</f>
        <v>33</v>
      </c>
      <c r="R667" cm="1">
        <f t="array" aca="1" ref="R667" ca="1">IFERROR(INDEX(fesp!$I:$I, MATCH(1, (VALUE(LEFT(fesp!$A:$A,6))=VALUE(LEFT(B667,6)))*(fesp!$C:$C=C667), 0)), "")</f>
        <v>66</v>
      </c>
      <c r="S667" cm="1">
        <f t="array" aca="1" ref="S667" ca="1">IFERROR(INDEX(fesp!$J:$J, MATCH(1, (VALUE(LEFT(fesp!$A:$A,6))=VALUE(LEFT(B667,6)))*(fesp!$C:$C=C667), 0)), "")</f>
        <v>0</v>
      </c>
    </row>
    <row r="668" spans="1:19">
      <c r="A668" s="1" t="s">
        <v>61</v>
      </c>
      <c r="B668" s="3" t="s">
        <v>60</v>
      </c>
      <c r="C668" s="3">
        <v>2021</v>
      </c>
      <c r="D668" cm="1">
        <f t="array" ref="D668">IFERROR(INDEX(fesp!$D:$D, MATCH(1, (VALUE(LEFT(fesp!$A:$A,6))=VALUE(LEFT(B668,6)))*(fesp!$C:$C=C668), 0)), "")</f>
        <v>0</v>
      </c>
      <c r="E668" cm="1">
        <f t="array" aca="1" ref="E668" ca="1">IFERROR(INDEX(ft_medicos_clinicos!$C:$C, MATCH(1, (VALUE(LEFT(ft_medicos_clinicos!$A:$A,6))=VALUE(LEFT(B668,6)))*(ft_medicos_clinicos!$B:$B=C668), 0)), "")</f>
        <v>702</v>
      </c>
      <c r="F668" cm="1">
        <f t="array" aca="1" ref="F668" ca="1">IFERROR(INDEX(ft_enfermeiros!$C:$C, MATCH(1, (VALUE(LEFT(ft_enfermeiros!$A:$A,6))=VALUE(LEFT(B668,6)))*(ft_enfermeiros!$B:$B=C668), 0)), "")</f>
        <v>1656</v>
      </c>
      <c r="G668" cm="1">
        <f t="array" aca="1" ref="G668" ca="1">IFERROR(INDEX(ft_equipes_acs!$C:$C, MATCH(1, (VALUE(LEFT(ft_equipes_acs!$A:$A,6))=VALUE(LEFT(B668,6)))*(ft_equipes_acs!$B:$B=C668), 0)), "")</f>
        <v>1</v>
      </c>
      <c r="H668" cm="1">
        <f t="array" aca="1" ref="H668" ca="1">IFERROR(INDEX(ci_leitos_internacao!$C:$C, MATCH(1, (VALUE(LEFT(ci_leitos_internacao!$A:$A,6))=VALUE(LEFT(B668,6)))*(ci_leitos_internacao!$B:$B=C668), 0)), "")</f>
        <v>1747</v>
      </c>
      <c r="I668" cm="1">
        <f t="array" aca="1" ref="I668" ca="1">IFERROR(INDEX(ci_hospitais_internacao!$C:$C, MATCH(1, (VALUE(LEFT(ci_hospitais_internacao!$A:$A,6))=VALUE(LEFT(B668,6)))*(ci_hospitais_internacao!$B:$B=C668), 0)), "")</f>
        <v>10</v>
      </c>
      <c r="J668" t="str" cm="1">
        <f t="array" aca="1" ref="J668" ca="1">IFERROR(INDEX(ci_pa_clinico!$C:$C, MATCH(1, (VALUE(LEFT(ci_pa_clinico!$A:$A,6))=VALUE(LEFT(B668,6)))*(ci_pa_clinico!$B:$B=C668), 0)), "")</f>
        <v/>
      </c>
      <c r="K668" t="str" cm="1">
        <f t="array" aca="1" ref="K668" ca="1">IFERROR(INDEX(aps_equipes_esf!$C:$C, MATCH(1, (VALUE(LEFT(aps_equipes_esf!$A:$A,6))=VALUE(LEFT(B668,6)))*(aps_equipes_esf!$B:$B=C668), 0)), "")</f>
        <v>-</v>
      </c>
      <c r="L668" cm="1">
        <f t="array" aca="1" ref="L668" ca="1">IFERROR(INDEX(casos!$C:$C, MATCH(1, (VALUE(LEFT(casos!$A:$A,6))=VALUE(LEFT(B668,6)))*(casos!$B:$B=C668), 0)), "")</f>
        <v>784</v>
      </c>
      <c r="M668" cm="1">
        <f t="array" ref="M668">IFERROR(INDEX(srag!$D:$D, MATCH(1, (VALUE(LEFT(srag!$A:$A,6))=VALUE(LEFT(B668,6)))*(srag!$C:$C=C668), 0)), "")</f>
        <v>7271</v>
      </c>
      <c r="N668" cm="1">
        <f t="array" aca="1" ref="N668" ca="1">IFERROR(INDEX(fesp!$E:$E, MATCH(1, (VALUE(LEFT(fesp!$A:$A,6))=VALUE(LEFT(B668,6)))*(fesp!$C:$C=C668), 0)), "")</f>
        <v>88</v>
      </c>
      <c r="O668" cm="1">
        <f t="array" aca="1" ref="O668" ca="1">IFERROR(INDEX(fesp!$F:$F, MATCH(1, (VALUE(LEFT(fesp!$A:$A,6))=VALUE(LEFT(B668,6)))*(fesp!$C:$C=C668), 0)), "")</f>
        <v>3443</v>
      </c>
      <c r="P668" cm="1">
        <f t="array" aca="1" ref="P668" ca="1">IFERROR(INDEX(fesp!$G:$G, MATCH(1, (VALUE(LEFT(fesp!$A:$A,6))=VALUE(LEFT(B668,6)))*(fesp!$C:$C=C668), 0)), "")</f>
        <v>6020309</v>
      </c>
      <c r="Q668" cm="1">
        <f t="array" aca="1" ref="Q668" ca="1">IFERROR(INDEX(fesp!$H:$H, MATCH(1, (VALUE(LEFT(fesp!$A:$A,6))=VALUE(LEFT(B668,6)))*(fesp!$C:$C=C668), 0)), "")</f>
        <v>48</v>
      </c>
      <c r="R668" cm="1">
        <f t="array" aca="1" ref="R668" ca="1">IFERROR(INDEX(fesp!$I:$I, MATCH(1, (VALUE(LEFT(fesp!$A:$A,6))=VALUE(LEFT(B668,6)))*(fesp!$C:$C=C668), 0)), "")</f>
        <v>0</v>
      </c>
      <c r="S668" cm="1">
        <f t="array" aca="1" ref="S668" ca="1">IFERROR(INDEX(fesp!$J:$J, MATCH(1, (VALUE(LEFT(fesp!$A:$A,6))=VALUE(LEFT(B668,6)))*(fesp!$C:$C=C668), 0)), "")</f>
        <v>0</v>
      </c>
    </row>
    <row r="669" spans="1:19">
      <c r="A669" s="1" t="s">
        <v>61</v>
      </c>
      <c r="B669" s="3" t="s">
        <v>60</v>
      </c>
      <c r="C669" s="3">
        <v>2022</v>
      </c>
      <c r="D669" cm="1">
        <f t="array" ref="D669">IFERROR(INDEX(fesp!$D:$D, MATCH(1, (VALUE(LEFT(fesp!$A:$A,6))=VALUE(LEFT(B669,6)))*(fesp!$C:$C=C669), 0)), "")</f>
        <v>650877</v>
      </c>
      <c r="E669" cm="1">
        <f t="array" aca="1" ref="E669" ca="1">IFERROR(INDEX(ft_medicos_clinicos!$C:$C, MATCH(1, (VALUE(LEFT(ft_medicos_clinicos!$A:$A,6))=VALUE(LEFT(B669,6)))*(ft_medicos_clinicos!$B:$B=C669), 0)), "")</f>
        <v>738</v>
      </c>
      <c r="F669" cm="1">
        <f t="array" aca="1" ref="F669" ca="1">IFERROR(INDEX(ft_enfermeiros!$C:$C, MATCH(1, (VALUE(LEFT(ft_enfermeiros!$A:$A,6))=VALUE(LEFT(B669,6)))*(ft_enfermeiros!$B:$B=C669), 0)), "")</f>
        <v>1654</v>
      </c>
      <c r="G669" cm="1">
        <f t="array" aca="1" ref="G669" ca="1">IFERROR(INDEX(ft_equipes_acs!$C:$C, MATCH(1, (VALUE(LEFT(ft_equipes_acs!$A:$A,6))=VALUE(LEFT(B669,6)))*(ft_equipes_acs!$B:$B=C669), 0)), "")</f>
        <v>1</v>
      </c>
      <c r="H669" cm="1">
        <f t="array" aca="1" ref="H669" ca="1">IFERROR(INDEX(ci_leitos_internacao!$C:$C, MATCH(1, (VALUE(LEFT(ci_leitos_internacao!$A:$A,6))=VALUE(LEFT(B669,6)))*(ci_leitos_internacao!$B:$B=C669), 0)), "")</f>
        <v>1766</v>
      </c>
      <c r="I669" cm="1">
        <f t="array" aca="1" ref="I669" ca="1">IFERROR(INDEX(ci_hospitais_internacao!$C:$C, MATCH(1, (VALUE(LEFT(ci_hospitais_internacao!$A:$A,6))=VALUE(LEFT(B669,6)))*(ci_hospitais_internacao!$B:$B=C669), 0)), "")</f>
        <v>10</v>
      </c>
      <c r="J669" t="str" cm="1">
        <f t="array" aca="1" ref="J669" ca="1">IFERROR(INDEX(ci_pa_clinico!$C:$C, MATCH(1, (VALUE(LEFT(ci_pa_clinico!$A:$A,6))=VALUE(LEFT(B669,6)))*(ci_pa_clinico!$B:$B=C669), 0)), "")</f>
        <v/>
      </c>
      <c r="K669" t="str" cm="1">
        <f t="array" aca="1" ref="K669" ca="1">IFERROR(INDEX(aps_equipes_esf!$C:$C, MATCH(1, (VALUE(LEFT(aps_equipes_esf!$A:$A,6))=VALUE(LEFT(B669,6)))*(aps_equipes_esf!$B:$B=C669), 0)), "")</f>
        <v>-</v>
      </c>
      <c r="L669" cm="1">
        <f t="array" aca="1" ref="L669" ca="1">IFERROR(INDEX(casos!$C:$C, MATCH(1, (VALUE(LEFT(casos!$A:$A,6))=VALUE(LEFT(B669,6)))*(casos!$B:$B=C669), 0)), "")</f>
        <v>969</v>
      </c>
      <c r="M669" cm="1">
        <f t="array" ref="M669">IFERROR(INDEX(srag!$D:$D, MATCH(1, (VALUE(LEFT(srag!$A:$A,6))=VALUE(LEFT(B669,6)))*(srag!$C:$C=C669), 0)), "")</f>
        <v>1362</v>
      </c>
      <c r="N669" cm="1">
        <f t="array" aca="1" ref="N669" ca="1">IFERROR(INDEX(fesp!$E:$E, MATCH(1, (VALUE(LEFT(fesp!$A:$A,6))=VALUE(LEFT(B669,6)))*(fesp!$C:$C=C669), 0)), "")</f>
        <v>114</v>
      </c>
      <c r="O669" cm="1">
        <f t="array" aca="1" ref="O669" ca="1">IFERROR(INDEX(fesp!$F:$F, MATCH(1, (VALUE(LEFT(fesp!$A:$A,6))=VALUE(LEFT(B669,6)))*(fesp!$C:$C=C669), 0)), "")</f>
        <v>4592</v>
      </c>
      <c r="P669" cm="1">
        <f t="array" aca="1" ref="P669" ca="1">IFERROR(INDEX(fesp!$G:$G, MATCH(1, (VALUE(LEFT(fesp!$A:$A,6))=VALUE(LEFT(B669,6)))*(fesp!$C:$C=C669), 0)), "")</f>
        <v>5948099</v>
      </c>
      <c r="Q669" cm="1">
        <f t="array" aca="1" ref="Q669" ca="1">IFERROR(INDEX(fesp!$H:$H, MATCH(1, (VALUE(LEFT(fesp!$A:$A,6))=VALUE(LEFT(B669,6)))*(fesp!$C:$C=C669), 0)), "")</f>
        <v>51</v>
      </c>
      <c r="R669" cm="1">
        <f t="array" aca="1" ref="R669" ca="1">IFERROR(INDEX(fesp!$I:$I, MATCH(1, (VALUE(LEFT(fesp!$A:$A,6))=VALUE(LEFT(B669,6)))*(fesp!$C:$C=C669), 0)), "")</f>
        <v>0</v>
      </c>
      <c r="S669" cm="1">
        <f t="array" aca="1" ref="S669" ca="1">IFERROR(INDEX(fesp!$J:$J, MATCH(1, (VALUE(LEFT(fesp!$A:$A,6))=VALUE(LEFT(B669,6)))*(fesp!$C:$C=C669), 0)), "")</f>
        <v>0</v>
      </c>
    </row>
    <row r="670" spans="1:19">
      <c r="A670" s="1" t="s">
        <v>61</v>
      </c>
      <c r="B670" s="3" t="s">
        <v>60</v>
      </c>
      <c r="C670" s="3">
        <v>2023</v>
      </c>
      <c r="D670" cm="1">
        <f t="array" ref="D670">IFERROR(INDEX(fesp!$D:$D, MATCH(1, (VALUE(LEFT(fesp!$A:$A,6))=VALUE(LEFT(B670,6)))*(fesp!$C:$C=C670), 0)), "")</f>
        <v>0</v>
      </c>
      <c r="E670" cm="1">
        <f t="array" aca="1" ref="E670" ca="1">IFERROR(INDEX(ft_medicos_clinicos!$C:$C, MATCH(1, (VALUE(LEFT(ft_medicos_clinicos!$A:$A,6))=VALUE(LEFT(B670,6)))*(ft_medicos_clinicos!$B:$B=C670), 0)), "")</f>
        <v>788</v>
      </c>
      <c r="F670" cm="1">
        <f t="array" aca="1" ref="F670" ca="1">IFERROR(INDEX(ft_enfermeiros!$C:$C, MATCH(1, (VALUE(LEFT(ft_enfermeiros!$A:$A,6))=VALUE(LEFT(B670,6)))*(ft_enfermeiros!$B:$B=C670), 0)), "")</f>
        <v>1703</v>
      </c>
      <c r="G670" cm="1">
        <f t="array" aca="1" ref="G670" ca="1">IFERROR(INDEX(ft_equipes_acs!$C:$C, MATCH(1, (VALUE(LEFT(ft_equipes_acs!$A:$A,6))=VALUE(LEFT(B670,6)))*(ft_equipes_acs!$B:$B=C670), 0)), "")</f>
        <v>1</v>
      </c>
      <c r="H670" cm="1">
        <f t="array" aca="1" ref="H670" ca="1">IFERROR(INDEX(ci_leitos_internacao!$C:$C, MATCH(1, (VALUE(LEFT(ci_leitos_internacao!$A:$A,6))=VALUE(LEFT(B670,6)))*(ci_leitos_internacao!$B:$B=C670), 0)), "")</f>
        <v>1876</v>
      </c>
      <c r="I670" cm="1">
        <f t="array" aca="1" ref="I670" ca="1">IFERROR(INDEX(ci_hospitais_internacao!$C:$C, MATCH(1, (VALUE(LEFT(ci_hospitais_internacao!$A:$A,6))=VALUE(LEFT(B670,6)))*(ci_hospitais_internacao!$B:$B=C670), 0)), "")</f>
        <v>11</v>
      </c>
      <c r="J670" t="str" cm="1">
        <f t="array" aca="1" ref="J670" ca="1">IFERROR(INDEX(ci_pa_clinico!$C:$C, MATCH(1, (VALUE(LEFT(ci_pa_clinico!$A:$A,6))=VALUE(LEFT(B670,6)))*(ci_pa_clinico!$B:$B=C670), 0)), "")</f>
        <v/>
      </c>
      <c r="K670" t="str" cm="1">
        <f t="array" aca="1" ref="K670" ca="1">IFERROR(INDEX(aps_equipes_esf!$C:$C, MATCH(1, (VALUE(LEFT(aps_equipes_esf!$A:$A,6))=VALUE(LEFT(B670,6)))*(aps_equipes_esf!$B:$B=C670), 0)), "")</f>
        <v>-</v>
      </c>
      <c r="L670" cm="1">
        <f t="array" aca="1" ref="L670" ca="1">IFERROR(INDEX(casos!$C:$C, MATCH(1, (VALUE(LEFT(casos!$A:$A,6))=VALUE(LEFT(B670,6)))*(casos!$B:$B=C670), 0)), "")</f>
        <v>1577</v>
      </c>
      <c r="M670" cm="1">
        <f t="array" ref="M670">IFERROR(INDEX(srag!$D:$D, MATCH(1, (VALUE(LEFT(srag!$A:$A,6))=VALUE(LEFT(B670,6)))*(srag!$C:$C=C670), 0)), "")</f>
        <v>349</v>
      </c>
      <c r="N670" cm="1">
        <f t="array" aca="1" ref="N670" ca="1">IFERROR(INDEX(fesp!$E:$E, MATCH(1, (VALUE(LEFT(fesp!$A:$A,6))=VALUE(LEFT(B670,6)))*(fesp!$C:$C=C670), 0)), "")</f>
        <v>123</v>
      </c>
      <c r="O670" cm="1">
        <f t="array" aca="1" ref="O670" ca="1">IFERROR(INDEX(fesp!$F:$F, MATCH(1, (VALUE(LEFT(fesp!$A:$A,6))=VALUE(LEFT(B670,6)))*(fesp!$C:$C=C670), 0)), "")</f>
        <v>7465</v>
      </c>
      <c r="P670" cm="1">
        <f t="array" aca="1" ref="P670" ca="1">IFERROR(INDEX(fesp!$G:$G, MATCH(1, (VALUE(LEFT(fesp!$A:$A,6))=VALUE(LEFT(B670,6)))*(fesp!$C:$C=C670), 0)), "")</f>
        <v>5475841</v>
      </c>
      <c r="Q670" cm="1">
        <f t="array" aca="1" ref="Q670" ca="1">IFERROR(INDEX(fesp!$H:$H, MATCH(1, (VALUE(LEFT(fesp!$A:$A,6))=VALUE(LEFT(B670,6)))*(fesp!$C:$C=C670), 0)), "")</f>
        <v>98</v>
      </c>
      <c r="R670" cm="1">
        <f t="array" aca="1" ref="R670" ca="1">IFERROR(INDEX(fesp!$I:$I, MATCH(1, (VALUE(LEFT(fesp!$A:$A,6))=VALUE(LEFT(B670,6)))*(fesp!$C:$C=C670), 0)), "")</f>
        <v>0</v>
      </c>
      <c r="S670" cm="1">
        <f t="array" aca="1" ref="S670" ca="1">IFERROR(INDEX(fesp!$J:$J, MATCH(1, (VALUE(LEFT(fesp!$A:$A,6))=VALUE(LEFT(B670,6)))*(fesp!$C:$C=C670), 0)), "")</f>
        <v>3</v>
      </c>
    </row>
    <row r="671" spans="1:19">
      <c r="A671" s="1" t="s">
        <v>61</v>
      </c>
      <c r="B671" s="3" t="s">
        <v>60</v>
      </c>
      <c r="C671" s="3">
        <v>2024</v>
      </c>
      <c r="D671" cm="1">
        <f t="array" ref="D671">IFERROR(INDEX(fesp!$D:$D, MATCH(1, (VALUE(LEFT(fesp!$A:$A,6))=VALUE(LEFT(B671,6)))*(fesp!$C:$C=C671), 0)), "")</f>
        <v>0</v>
      </c>
      <c r="E671" cm="1">
        <f t="array" aca="1" ref="E671" ca="1">IFERROR(INDEX(ft_medicos_clinicos!$C:$C, MATCH(1, (VALUE(LEFT(ft_medicos_clinicos!$A:$A,6))=VALUE(LEFT(B671,6)))*(ft_medicos_clinicos!$B:$B=C671), 0)), "")</f>
        <v>854</v>
      </c>
      <c r="F671" cm="1">
        <f t="array" aca="1" ref="F671" ca="1">IFERROR(INDEX(ft_enfermeiros!$C:$C, MATCH(1, (VALUE(LEFT(ft_enfermeiros!$A:$A,6))=VALUE(LEFT(B671,6)))*(ft_enfermeiros!$B:$B=C671), 0)), "")</f>
        <v>1722</v>
      </c>
      <c r="G671" cm="1">
        <f t="array" aca="1" ref="G671" ca="1">IFERROR(INDEX(ft_equipes_acs!$C:$C, MATCH(1, (VALUE(LEFT(ft_equipes_acs!$A:$A,6))=VALUE(LEFT(B671,6)))*(ft_equipes_acs!$B:$B=C671), 0)), "")</f>
        <v>1</v>
      </c>
      <c r="H671" cm="1">
        <f t="array" aca="1" ref="H671" ca="1">IFERROR(INDEX(ci_leitos_internacao!$C:$C, MATCH(1, (VALUE(LEFT(ci_leitos_internacao!$A:$A,6))=VALUE(LEFT(B671,6)))*(ci_leitos_internacao!$B:$B=C671), 0)), "")</f>
        <v>1846</v>
      </c>
      <c r="I671" cm="1">
        <f t="array" aca="1" ref="I671" ca="1">IFERROR(INDEX(ci_hospitais_internacao!$C:$C, MATCH(1, (VALUE(LEFT(ci_hospitais_internacao!$A:$A,6))=VALUE(LEFT(B671,6)))*(ci_hospitais_internacao!$B:$B=C671), 0)), "")</f>
        <v>12</v>
      </c>
      <c r="J671" t="str" cm="1">
        <f t="array" aca="1" ref="J671" ca="1">IFERROR(INDEX(ci_pa_clinico!$C:$C, MATCH(1, (VALUE(LEFT(ci_pa_clinico!$A:$A,6))=VALUE(LEFT(B671,6)))*(ci_pa_clinico!$B:$B=C671), 0)), "")</f>
        <v/>
      </c>
      <c r="K671" t="str" cm="1">
        <f t="array" aca="1" ref="K671" ca="1">IFERROR(INDEX(aps_equipes_esf!$C:$C, MATCH(1, (VALUE(LEFT(aps_equipes_esf!$A:$A,6))=VALUE(LEFT(B671,6)))*(aps_equipes_esf!$B:$B=C671), 0)), "")</f>
        <v>-</v>
      </c>
      <c r="L671" cm="1">
        <f t="array" aca="1" ref="L671" ca="1">IFERROR(INDEX(casos!$C:$C, MATCH(1, (VALUE(LEFT(casos!$A:$A,6))=VALUE(LEFT(B671,6)))*(casos!$B:$B=C671), 0)), "")</f>
        <v>2773</v>
      </c>
      <c r="M671" cm="1">
        <f t="array" ref="M671">IFERROR(INDEX(srag!$D:$D, MATCH(1, (VALUE(LEFT(srag!$A:$A,6))=VALUE(LEFT(B671,6)))*(srag!$C:$C=C671), 0)), "")</f>
        <v>728</v>
      </c>
      <c r="N671" cm="1">
        <f t="array" aca="1" ref="N671" ca="1">IFERROR(INDEX(fesp!$E:$E, MATCH(1, (VALUE(LEFT(fesp!$A:$A,6))=VALUE(LEFT(B671,6)))*(fesp!$C:$C=C671), 0)), "")</f>
        <v>149</v>
      </c>
      <c r="O671" cm="1">
        <f t="array" aca="1" ref="O671" ca="1">IFERROR(INDEX(fesp!$F:$F, MATCH(1, (VALUE(LEFT(fesp!$A:$A,6))=VALUE(LEFT(B671,6)))*(fesp!$C:$C=C671), 0)), "")</f>
        <v>14590</v>
      </c>
      <c r="P671" cm="1">
        <f t="array" aca="1" ref="P671" ca="1">IFERROR(INDEX(fesp!$G:$G, MATCH(1, (VALUE(LEFT(fesp!$A:$A,6))=VALUE(LEFT(B671,6)))*(fesp!$C:$C=C671), 0)), "")</f>
        <v>6667809</v>
      </c>
      <c r="Q671" cm="1">
        <f t="array" aca="1" ref="Q671" ca="1">IFERROR(INDEX(fesp!$H:$H, MATCH(1, (VALUE(LEFT(fesp!$A:$A,6))=VALUE(LEFT(B671,6)))*(fesp!$C:$C=C671), 0)), "")</f>
        <v>76</v>
      </c>
      <c r="R671" cm="1">
        <f t="array" aca="1" ref="R671" ca="1">IFERROR(INDEX(fesp!$I:$I, MATCH(1, (VALUE(LEFT(fesp!$A:$A,6))=VALUE(LEFT(B671,6)))*(fesp!$C:$C=C671), 0)), "")</f>
        <v>0</v>
      </c>
      <c r="S671" cm="1">
        <f t="array" aca="1" ref="S671" ca="1">IFERROR(INDEX(fesp!$J:$J, MATCH(1, (VALUE(LEFT(fesp!$A:$A,6))=VALUE(LEFT(B671,6)))*(fesp!$C:$C=C671), 0)), "")</f>
        <v>40</v>
      </c>
    </row>
    <row r="672" spans="1:19">
      <c r="A672" s="1" t="s">
        <v>61</v>
      </c>
      <c r="B672" s="3">
        <v>5103403</v>
      </c>
      <c r="C672" s="3">
        <v>2025</v>
      </c>
      <c r="D672" cm="1">
        <f t="array" ref="D672">IFERROR(INDEX(fesp!$D:$D, MATCH(1, (VALUE(LEFT(fesp!$A:$A,6))=VALUE(LEFT(B672,6)))*(fesp!$C:$C=C672), 0)), "")</f>
        <v>0</v>
      </c>
      <c r="E672" cm="1">
        <f t="array" aca="1" ref="E672" ca="1">IFERROR(INDEX(ft_medicos_clinicos!$C:$C, MATCH(1, (VALUE(LEFT(ft_medicos_clinicos!$A:$A,6))=VALUE(LEFT(B672,6)))*(ft_medicos_clinicos!$B:$B=C672), 0)), "")</f>
        <v>975</v>
      </c>
      <c r="F672" cm="1">
        <f t="array" aca="1" ref="F672" ca="1">IFERROR(INDEX(ft_enfermeiros!$C:$C, MATCH(1, (VALUE(LEFT(ft_enfermeiros!$A:$A,6))=VALUE(LEFT(B672,6)))*(ft_enfermeiros!$B:$B=C672), 0)), "")</f>
        <v>1801</v>
      </c>
      <c r="G672" cm="1">
        <f t="array" aca="1" ref="G672" ca="1">IFERROR(INDEX(ft_equipes_acs!$C:$C, MATCH(1, (VALUE(LEFT(ft_equipes_acs!$A:$A,6))=VALUE(LEFT(B672,6)))*(ft_equipes_acs!$B:$B=C672), 0)), "")</f>
        <v>1</v>
      </c>
      <c r="H672" cm="1">
        <f t="array" aca="1" ref="H672" ca="1">IFERROR(INDEX(ci_leitos_internacao!$C:$C, MATCH(1, (VALUE(LEFT(ci_leitos_internacao!$A:$A,6))=VALUE(LEFT(B672,6)))*(ci_leitos_internacao!$B:$B=C672), 0)), "")</f>
        <v>2065</v>
      </c>
      <c r="I672" cm="1">
        <f t="array" aca="1" ref="I672" ca="1">IFERROR(INDEX(ci_hospitais_internacao!$C:$C, MATCH(1, (VALUE(LEFT(ci_hospitais_internacao!$A:$A,6))=VALUE(LEFT(B672,6)))*(ci_hospitais_internacao!$B:$B=C672), 0)), "")</f>
        <v>14</v>
      </c>
      <c r="J672" t="str" cm="1">
        <f t="array" aca="1" ref="J672" ca="1">IFERROR(INDEX(ci_pa_clinico!$C:$C, MATCH(1, (VALUE(LEFT(ci_pa_clinico!$A:$A,6))=VALUE(LEFT(B672,6)))*(ci_pa_clinico!$B:$B=C672), 0)), "")</f>
        <v/>
      </c>
      <c r="K672" t="str" cm="1">
        <f t="array" aca="1" ref="K672" ca="1">IFERROR(INDEX(aps_equipes_esf!$C:$C, MATCH(1, (VALUE(LEFT(aps_equipes_esf!$A:$A,6))=VALUE(LEFT(B672,6)))*(aps_equipes_esf!$B:$B=C672), 0)), "")</f>
        <v>-</v>
      </c>
      <c r="L672" cm="1">
        <f t="array" aca="1" ref="L672" ca="1">IFERROR(INDEX(casos!$C:$C, MATCH(1, (VALUE(LEFT(casos!$A:$A,6))=VALUE(LEFT(B672,6)))*(casos!$B:$B=C672), 0)), "")</f>
        <v>1595</v>
      </c>
      <c r="M672" cm="1">
        <f t="array" ref="M672">IFERROR(INDEX(srag!$D:$D, MATCH(1, (VALUE(LEFT(srag!$A:$A,6))=VALUE(LEFT(B672,6)))*(srag!$C:$C=C672), 0)), "")</f>
        <v>1352</v>
      </c>
      <c r="N672" cm="1">
        <f t="array" aca="1" ref="N672" ca="1">IFERROR(INDEX(fesp!$E:$E, MATCH(1, (VALUE(LEFT(fesp!$A:$A,6))=VALUE(LEFT(B672,6)))*(fesp!$C:$C=C672), 0)), "")</f>
        <v>114</v>
      </c>
      <c r="O672" cm="1">
        <f t="array" aca="1" ref="O672" ca="1">IFERROR(INDEX(fesp!$F:$F, MATCH(1, (VALUE(LEFT(fesp!$A:$A,6))=VALUE(LEFT(B672,6)))*(fesp!$C:$C=C672), 0)), "")</f>
        <v>5299</v>
      </c>
      <c r="P672" cm="1">
        <f t="array" aca="1" ref="P672" ca="1">IFERROR(INDEX(fesp!$G:$G, MATCH(1, (VALUE(LEFT(fesp!$A:$A,6))=VALUE(LEFT(B672,6)))*(fesp!$C:$C=C672), 0)), "")</f>
        <v>6355386</v>
      </c>
      <c r="Q672" cm="1">
        <f t="array" aca="1" ref="Q672" ca="1">IFERROR(INDEX(fesp!$H:$H, MATCH(1, (VALUE(LEFT(fesp!$A:$A,6))=VALUE(LEFT(B672,6)))*(fesp!$C:$C=C672), 0)), "")</f>
        <v>61</v>
      </c>
      <c r="R672" cm="1">
        <f t="array" aca="1" ref="R672" ca="1">IFERROR(INDEX(fesp!$I:$I, MATCH(1, (VALUE(LEFT(fesp!$A:$A,6))=VALUE(LEFT(B672,6)))*(fesp!$C:$C=C672), 0)), "")</f>
        <v>0</v>
      </c>
      <c r="S672" cm="1">
        <f t="array" aca="1" ref="S672" ca="1">IFERROR(INDEX(fesp!$J:$J, MATCH(1, (VALUE(LEFT(fesp!$A:$A,6))=VALUE(LEFT(B672,6)))*(fesp!$C:$C=C672), 0)), "")</f>
        <v>1</v>
      </c>
    </row>
    <row r="673" spans="1:19">
      <c r="A673" s="1" t="s">
        <v>123</v>
      </c>
      <c r="B673" s="3">
        <v>5201108</v>
      </c>
      <c r="C673" s="3">
        <v>2015</v>
      </c>
      <c r="D673" cm="1">
        <f t="array" ref="D673">IFERROR(INDEX(fesp!$D:$D, MATCH(1, (VALUE(LEFT(fesp!$A:$A,6))=VALUE(LEFT(B673,6)))*(fesp!$C:$C=C673), 0)), "")</f>
        <v>366491</v>
      </c>
      <c r="E673" cm="1">
        <f t="array" aca="1" ref="E673" ca="1">IFERROR(INDEX(ft_medicos_clinicos!$C:$C, MATCH(1, (VALUE(LEFT(ft_medicos_clinicos!$A:$A,6))=VALUE(LEFT(B673,6)))*(ft_medicos_clinicos!$B:$B=C673), 0)), "")</f>
        <v>247</v>
      </c>
      <c r="F673" cm="1">
        <f t="array" aca="1" ref="F673" ca="1">IFERROR(INDEX(ft_enfermeiros!$C:$C, MATCH(1, (VALUE(LEFT(ft_enfermeiros!$A:$A,6))=VALUE(LEFT(B673,6)))*(ft_enfermeiros!$B:$B=C673), 0)), "")</f>
        <v>185</v>
      </c>
      <c r="G673" cm="1">
        <f t="array" aca="1" ref="G673" ca="1">IFERROR(INDEX(ft_equipes_acs!$C:$C, MATCH(1, (VALUE(LEFT(ft_equipes_acs!$A:$A,6))=VALUE(LEFT(B673,6)))*(ft_equipes_acs!$B:$B=C673), 0)), "")</f>
        <v>3</v>
      </c>
      <c r="H673" cm="1">
        <f t="array" aca="1" ref="H673" ca="1">IFERROR(INDEX(ci_leitos_internacao!$C:$C, MATCH(1, (VALUE(LEFT(ci_leitos_internacao!$A:$A,6))=VALUE(LEFT(B673,6)))*(ci_leitos_internacao!$B:$B=C673), 0)), "")</f>
        <v>1075</v>
      </c>
      <c r="I673" cm="1">
        <f t="array" aca="1" ref="I673" ca="1">IFERROR(INDEX(ci_hospitais_internacao!$C:$C, MATCH(1, (VALUE(LEFT(ci_hospitais_internacao!$A:$A,6))=VALUE(LEFT(B673,6)))*(ci_hospitais_internacao!$B:$B=C673), 0)), "")</f>
        <v>6</v>
      </c>
      <c r="J673" cm="1">
        <f t="array" aca="1" ref="J673" ca="1">IFERROR(INDEX(ci_pa_clinico!$C:$C, MATCH(1, (VALUE(LEFT(ci_pa_clinico!$A:$A,6))=VALUE(LEFT(B673,6)))*(ci_pa_clinico!$B:$B=C673), 0)), "")</f>
        <v>1</v>
      </c>
      <c r="K673" cm="1">
        <f t="array" aca="1" ref="K673" ca="1">IFERROR(INDEX(aps_equipes_esf!$C:$C, MATCH(1, (VALUE(LEFT(aps_equipes_esf!$A:$A,6))=VALUE(LEFT(B673,6)))*(aps_equipes_esf!$B:$B=C673), 0)), "")</f>
        <v>2</v>
      </c>
      <c r="L673" cm="1">
        <f t="array" aca="1" ref="L673" ca="1">IFERROR(INDEX(casos!$C:$C, MATCH(1, (VALUE(LEFT(casos!$A:$A,6))=VALUE(LEFT(B673,6)))*(casos!$B:$B=C673), 0)), "")</f>
        <v>5926</v>
      </c>
      <c r="M673" cm="1">
        <f t="array" ref="M673">IFERROR(INDEX(srag!$D:$D, MATCH(1, (VALUE(LEFT(srag!$A:$A,6))=VALUE(LEFT(B673,6)))*(srag!$C:$C=C673), 0)), "")</f>
        <v>15</v>
      </c>
      <c r="N673" cm="1">
        <f t="array" aca="1" ref="N673" ca="1">IFERROR(INDEX(fesp!$E:$E, MATCH(1, (VALUE(LEFT(fesp!$A:$A,6))=VALUE(LEFT(B673,6)))*(fesp!$C:$C=C673), 0)), "")</f>
        <v>153</v>
      </c>
      <c r="O673" cm="1">
        <f t="array" aca="1" ref="O673" ca="1">IFERROR(INDEX(fesp!$F:$F, MATCH(1, (VALUE(LEFT(fesp!$A:$A,6))=VALUE(LEFT(B673,6)))*(fesp!$C:$C=C673), 0)), "")</f>
        <v>2254</v>
      </c>
      <c r="P673" cm="1">
        <f t="array" aca="1" ref="P673" ca="1">IFERROR(INDEX(fesp!$G:$G, MATCH(1, (VALUE(LEFT(fesp!$A:$A,6))=VALUE(LEFT(B673,6)))*(fesp!$C:$C=C673), 0)), "")</f>
        <v>2064850</v>
      </c>
      <c r="Q673" cm="1">
        <f t="array" aca="1" ref="Q673" ca="1">IFERROR(INDEX(fesp!$H:$H, MATCH(1, (VALUE(LEFT(fesp!$A:$A,6))=VALUE(LEFT(B673,6)))*(fesp!$C:$C=C673), 0)), "")</f>
        <v>92</v>
      </c>
      <c r="R673" cm="1">
        <f t="array" aca="1" ref="R673" ca="1">IFERROR(INDEX(fesp!$I:$I, MATCH(1, (VALUE(LEFT(fesp!$A:$A,6))=VALUE(LEFT(B673,6)))*(fesp!$C:$C=C673), 0)), "")</f>
        <v>7584</v>
      </c>
      <c r="S673" cm="1">
        <f t="array" aca="1" ref="S673" ca="1">IFERROR(INDEX(fesp!$J:$J, MATCH(1, (VALUE(LEFT(fesp!$A:$A,6))=VALUE(LEFT(B673,6)))*(fesp!$C:$C=C673), 0)), "")</f>
        <v>116886</v>
      </c>
    </row>
    <row r="674" spans="1:19">
      <c r="A674" s="1" t="s">
        <v>123</v>
      </c>
      <c r="B674" s="3">
        <v>5201108</v>
      </c>
      <c r="C674" s="3">
        <v>2016</v>
      </c>
      <c r="D674" cm="1">
        <f t="array" ref="D674">IFERROR(INDEX(fesp!$D:$D, MATCH(1, (VALUE(LEFT(fesp!$A:$A,6))=VALUE(LEFT(B674,6)))*(fesp!$C:$C=C674), 0)), "")</f>
        <v>0</v>
      </c>
      <c r="E674" cm="1">
        <f t="array" aca="1" ref="E674" ca="1">IFERROR(INDEX(ft_medicos_clinicos!$C:$C, MATCH(1, (VALUE(LEFT(ft_medicos_clinicos!$A:$A,6))=VALUE(LEFT(B674,6)))*(ft_medicos_clinicos!$B:$B=C674), 0)), "")</f>
        <v>280</v>
      </c>
      <c r="F674" cm="1">
        <f t="array" aca="1" ref="F674" ca="1">IFERROR(INDEX(ft_enfermeiros!$C:$C, MATCH(1, (VALUE(LEFT(ft_enfermeiros!$A:$A,6))=VALUE(LEFT(B674,6)))*(ft_enfermeiros!$B:$B=C674), 0)), "")</f>
        <v>206</v>
      </c>
      <c r="G674" cm="1">
        <f t="array" aca="1" ref="G674" ca="1">IFERROR(INDEX(ft_equipes_acs!$C:$C, MATCH(1, (VALUE(LEFT(ft_equipes_acs!$A:$A,6))=VALUE(LEFT(B674,6)))*(ft_equipes_acs!$B:$B=C674), 0)), "")</f>
        <v>4</v>
      </c>
      <c r="H674" cm="1">
        <f t="array" aca="1" ref="H674" ca="1">IFERROR(INDEX(ci_leitos_internacao!$C:$C, MATCH(1, (VALUE(LEFT(ci_leitos_internacao!$A:$A,6))=VALUE(LEFT(B674,6)))*(ci_leitos_internacao!$B:$B=C674), 0)), "")</f>
        <v>1076</v>
      </c>
      <c r="I674" cm="1">
        <f t="array" aca="1" ref="I674" ca="1">IFERROR(INDEX(ci_hospitais_internacao!$C:$C, MATCH(1, (VALUE(LEFT(ci_hospitais_internacao!$A:$A,6))=VALUE(LEFT(B674,6)))*(ci_hospitais_internacao!$B:$B=C674), 0)), "")</f>
        <v>7</v>
      </c>
      <c r="J674" cm="1">
        <f t="array" aca="1" ref="J674" ca="1">IFERROR(INDEX(ci_pa_clinico!$C:$C, MATCH(1, (VALUE(LEFT(ci_pa_clinico!$A:$A,6))=VALUE(LEFT(B674,6)))*(ci_pa_clinico!$B:$B=C674), 0)), "")</f>
        <v>1</v>
      </c>
      <c r="K674" cm="1">
        <f t="array" aca="1" ref="K674" ca="1">IFERROR(INDEX(aps_equipes_esf!$C:$C, MATCH(1, (VALUE(LEFT(aps_equipes_esf!$A:$A,6))=VALUE(LEFT(B674,6)))*(aps_equipes_esf!$B:$B=C674), 0)), "")</f>
        <v>1</v>
      </c>
      <c r="L674" cm="1">
        <f t="array" aca="1" ref="L674" ca="1">IFERROR(INDEX(casos!$C:$C, MATCH(1, (VALUE(LEFT(casos!$A:$A,6))=VALUE(LEFT(B674,6)))*(casos!$B:$B=C674), 0)), "")</f>
        <v>11039</v>
      </c>
      <c r="M674" cm="1">
        <f t="array" ref="M674">IFERROR(INDEX(srag!$D:$D, MATCH(1, (VALUE(LEFT(srag!$A:$A,6))=VALUE(LEFT(B674,6)))*(srag!$C:$C=C674), 0)), "")</f>
        <v>42</v>
      </c>
      <c r="N674" cm="1">
        <f t="array" aca="1" ref="N674" ca="1">IFERROR(INDEX(fesp!$E:$E, MATCH(1, (VALUE(LEFT(fesp!$A:$A,6))=VALUE(LEFT(B674,6)))*(fesp!$C:$C=C674), 0)), "")</f>
        <v>106</v>
      </c>
      <c r="O674" cm="1">
        <f t="array" aca="1" ref="O674" ca="1">IFERROR(INDEX(fesp!$F:$F, MATCH(1, (VALUE(LEFT(fesp!$A:$A,6))=VALUE(LEFT(B674,6)))*(fesp!$C:$C=C674), 0)), "")</f>
        <v>1535</v>
      </c>
      <c r="P674" cm="1">
        <f t="array" aca="1" ref="P674" ca="1">IFERROR(INDEX(fesp!$G:$G, MATCH(1, (VALUE(LEFT(fesp!$A:$A,6))=VALUE(LEFT(B674,6)))*(fesp!$C:$C=C674), 0)), "")</f>
        <v>1903626</v>
      </c>
      <c r="Q674" cm="1">
        <f t="array" aca="1" ref="Q674" ca="1">IFERROR(INDEX(fesp!$H:$H, MATCH(1, (VALUE(LEFT(fesp!$A:$A,6))=VALUE(LEFT(B674,6)))*(fesp!$C:$C=C674), 0)), "")</f>
        <v>83</v>
      </c>
      <c r="R674" cm="1">
        <f t="array" aca="1" ref="R674" ca="1">IFERROR(INDEX(fesp!$I:$I, MATCH(1, (VALUE(LEFT(fesp!$A:$A,6))=VALUE(LEFT(B674,6)))*(fesp!$C:$C=C674), 0)), "")</f>
        <v>9764</v>
      </c>
      <c r="S674" cm="1">
        <f t="array" aca="1" ref="S674" ca="1">IFERROR(INDEX(fesp!$J:$J, MATCH(1, (VALUE(LEFT(fesp!$A:$A,6))=VALUE(LEFT(B674,6)))*(fesp!$C:$C=C674), 0)), "")</f>
        <v>107321</v>
      </c>
    </row>
    <row r="675" spans="1:19">
      <c r="A675" s="1" t="s">
        <v>123</v>
      </c>
      <c r="B675" s="3" t="s">
        <v>122</v>
      </c>
      <c r="C675" s="3">
        <v>2017</v>
      </c>
      <c r="D675" cm="1">
        <f t="array" ref="D675">IFERROR(INDEX(fesp!$D:$D, MATCH(1, (VALUE(LEFT(fesp!$A:$A,6))=VALUE(LEFT(B675,6)))*(fesp!$C:$C=C675), 0)), "")</f>
        <v>0</v>
      </c>
      <c r="E675" cm="1">
        <f t="array" aca="1" ref="E675" ca="1">IFERROR(INDEX(ft_medicos_clinicos!$C:$C, MATCH(1, (VALUE(LEFT(ft_medicos_clinicos!$A:$A,6))=VALUE(LEFT(B675,6)))*(ft_medicos_clinicos!$B:$B=C675), 0)), "")</f>
        <v>253</v>
      </c>
      <c r="F675" cm="1">
        <f t="array" aca="1" ref="F675" ca="1">IFERROR(INDEX(ft_enfermeiros!$C:$C, MATCH(1, (VALUE(LEFT(ft_enfermeiros!$A:$A,6))=VALUE(LEFT(B675,6)))*(ft_enfermeiros!$B:$B=C675), 0)), "")</f>
        <v>261</v>
      </c>
      <c r="G675" t="str" cm="1">
        <f t="array" aca="1" ref="G675" ca="1">IFERROR(INDEX(ft_equipes_acs!$C:$C, MATCH(1, (VALUE(LEFT(ft_equipes_acs!$A:$A,6))=VALUE(LEFT(B675,6)))*(ft_equipes_acs!$B:$B=C675), 0)), "")</f>
        <v>-</v>
      </c>
      <c r="H675" cm="1">
        <f t="array" aca="1" ref="H675" ca="1">IFERROR(INDEX(ci_leitos_internacao!$C:$C, MATCH(1, (VALUE(LEFT(ci_leitos_internacao!$A:$A,6))=VALUE(LEFT(B675,6)))*(ci_leitos_internacao!$B:$B=C675), 0)), "")</f>
        <v>1027</v>
      </c>
      <c r="I675" cm="1">
        <f t="array" aca="1" ref="I675" ca="1">IFERROR(INDEX(ci_hospitais_internacao!$C:$C, MATCH(1, (VALUE(LEFT(ci_hospitais_internacao!$A:$A,6))=VALUE(LEFT(B675,6)))*(ci_hospitais_internacao!$B:$B=C675), 0)), "")</f>
        <v>6</v>
      </c>
      <c r="J675" cm="1">
        <f t="array" aca="1" ref="J675" ca="1">IFERROR(INDEX(ci_pa_clinico!$C:$C, MATCH(1, (VALUE(LEFT(ci_pa_clinico!$A:$A,6))=VALUE(LEFT(B675,6)))*(ci_pa_clinico!$B:$B=C675), 0)), "")</f>
        <v>1</v>
      </c>
      <c r="K675" cm="1">
        <f t="array" aca="1" ref="K675" ca="1">IFERROR(INDEX(aps_equipes_esf!$C:$C, MATCH(1, (VALUE(LEFT(aps_equipes_esf!$A:$A,6))=VALUE(LEFT(B675,6)))*(aps_equipes_esf!$B:$B=C675), 0)), "")</f>
        <v>1</v>
      </c>
      <c r="L675" cm="1">
        <f t="array" aca="1" ref="L675" ca="1">IFERROR(INDEX(casos!$C:$C, MATCH(1, (VALUE(LEFT(casos!$A:$A,6))=VALUE(LEFT(B675,6)))*(casos!$B:$B=C675), 0)), "")</f>
        <v>1175</v>
      </c>
      <c r="M675" cm="1">
        <f t="array" ref="M675">IFERROR(INDEX(srag!$D:$D, MATCH(1, (VALUE(LEFT(srag!$A:$A,6))=VALUE(LEFT(B675,6)))*(srag!$C:$C=C675), 0)), "")</f>
        <v>38</v>
      </c>
      <c r="N675" cm="1">
        <f t="array" aca="1" ref="N675" ca="1">IFERROR(INDEX(fesp!$E:$E, MATCH(1, (VALUE(LEFT(fesp!$A:$A,6))=VALUE(LEFT(B675,6)))*(fesp!$C:$C=C675), 0)), "")</f>
        <v>115</v>
      </c>
      <c r="O675" cm="1">
        <f t="array" aca="1" ref="O675" ca="1">IFERROR(INDEX(fesp!$F:$F, MATCH(1, (VALUE(LEFT(fesp!$A:$A,6))=VALUE(LEFT(B675,6)))*(fesp!$C:$C=C675), 0)), "")</f>
        <v>1584</v>
      </c>
      <c r="P675" cm="1">
        <f t="array" aca="1" ref="P675" ca="1">IFERROR(INDEX(fesp!$G:$G, MATCH(1, (VALUE(LEFT(fesp!$A:$A,6))=VALUE(LEFT(B675,6)))*(fesp!$C:$C=C675), 0)), "")</f>
        <v>1777441</v>
      </c>
      <c r="Q675" cm="1">
        <f t="array" aca="1" ref="Q675" ca="1">IFERROR(INDEX(fesp!$H:$H, MATCH(1, (VALUE(LEFT(fesp!$A:$A,6))=VALUE(LEFT(B675,6)))*(fesp!$C:$C=C675), 0)), "")</f>
        <v>75</v>
      </c>
      <c r="R675" cm="1">
        <f t="array" aca="1" ref="R675" ca="1">IFERROR(INDEX(fesp!$I:$I, MATCH(1, (VALUE(LEFT(fesp!$A:$A,6))=VALUE(LEFT(B675,6)))*(fesp!$C:$C=C675), 0)), "")</f>
        <v>14595</v>
      </c>
      <c r="S675" cm="1">
        <f t="array" aca="1" ref="S675" ca="1">IFERROR(INDEX(fesp!$J:$J, MATCH(1, (VALUE(LEFT(fesp!$A:$A,6))=VALUE(LEFT(B675,6)))*(fesp!$C:$C=C675), 0)), "")</f>
        <v>104841</v>
      </c>
    </row>
    <row r="676" spans="1:19">
      <c r="A676" s="1" t="s">
        <v>123</v>
      </c>
      <c r="B676" s="3" t="s">
        <v>122</v>
      </c>
      <c r="C676" s="3">
        <v>2018</v>
      </c>
      <c r="D676" cm="1">
        <f t="array" ref="D676">IFERROR(INDEX(fesp!$D:$D, MATCH(1, (VALUE(LEFT(fesp!$A:$A,6))=VALUE(LEFT(B676,6)))*(fesp!$C:$C=C676), 0)), "")</f>
        <v>0</v>
      </c>
      <c r="E676" cm="1">
        <f t="array" aca="1" ref="E676" ca="1">IFERROR(INDEX(ft_medicos_clinicos!$C:$C, MATCH(1, (VALUE(LEFT(ft_medicos_clinicos!$A:$A,6))=VALUE(LEFT(B676,6)))*(ft_medicos_clinicos!$B:$B=C676), 0)), "")</f>
        <v>219</v>
      </c>
      <c r="F676" cm="1">
        <f t="array" aca="1" ref="F676" ca="1">IFERROR(INDEX(ft_enfermeiros!$C:$C, MATCH(1, (VALUE(LEFT(ft_enfermeiros!$A:$A,6))=VALUE(LEFT(B676,6)))*(ft_enfermeiros!$B:$B=C676), 0)), "")</f>
        <v>291</v>
      </c>
      <c r="G676" cm="1">
        <f t="array" aca="1" ref="G676" ca="1">IFERROR(INDEX(ft_equipes_acs!$C:$C, MATCH(1, (VALUE(LEFT(ft_equipes_acs!$A:$A,6))=VALUE(LEFT(B676,6)))*(ft_equipes_acs!$B:$B=C676), 0)), "")</f>
        <v>3</v>
      </c>
      <c r="H676" cm="1">
        <f t="array" aca="1" ref="H676" ca="1">IFERROR(INDEX(ci_leitos_internacao!$C:$C, MATCH(1, (VALUE(LEFT(ci_leitos_internacao!$A:$A,6))=VALUE(LEFT(B676,6)))*(ci_leitos_internacao!$B:$B=C676), 0)), "")</f>
        <v>1083</v>
      </c>
      <c r="I676" cm="1">
        <f t="array" aca="1" ref="I676" ca="1">IFERROR(INDEX(ci_hospitais_internacao!$C:$C, MATCH(1, (VALUE(LEFT(ci_hospitais_internacao!$A:$A,6))=VALUE(LEFT(B676,6)))*(ci_hospitais_internacao!$B:$B=C676), 0)), "")</f>
        <v>6</v>
      </c>
      <c r="J676" t="str" cm="1">
        <f t="array" aca="1" ref="J676" ca="1">IFERROR(INDEX(ci_pa_clinico!$C:$C, MATCH(1, (VALUE(LEFT(ci_pa_clinico!$A:$A,6))=VALUE(LEFT(B676,6)))*(ci_pa_clinico!$B:$B=C676), 0)), "")</f>
        <v>-</v>
      </c>
      <c r="K676" cm="1">
        <f t="array" aca="1" ref="K676" ca="1">IFERROR(INDEX(aps_equipes_esf!$C:$C, MATCH(1, (VALUE(LEFT(aps_equipes_esf!$A:$A,6))=VALUE(LEFT(B676,6)))*(aps_equipes_esf!$B:$B=C676), 0)), "")</f>
        <v>1</v>
      </c>
      <c r="L676" cm="1">
        <f t="array" aca="1" ref="L676" ca="1">IFERROR(INDEX(casos!$C:$C, MATCH(1, (VALUE(LEFT(casos!$A:$A,6))=VALUE(LEFT(B676,6)))*(casos!$B:$B=C676), 0)), "")</f>
        <v>2278</v>
      </c>
      <c r="M676" cm="1">
        <f t="array" ref="M676">IFERROR(INDEX(srag!$D:$D, MATCH(1, (VALUE(LEFT(srag!$A:$A,6))=VALUE(LEFT(B676,6)))*(srag!$C:$C=C676), 0)), "")</f>
        <v>101</v>
      </c>
      <c r="N676" cm="1">
        <f t="array" aca="1" ref="N676" ca="1">IFERROR(INDEX(fesp!$E:$E, MATCH(1, (VALUE(LEFT(fesp!$A:$A,6))=VALUE(LEFT(B676,6)))*(fesp!$C:$C=C676), 0)), "")</f>
        <v>129</v>
      </c>
      <c r="O676" cm="1">
        <f t="array" aca="1" ref="O676" ca="1">IFERROR(INDEX(fesp!$F:$F, MATCH(1, (VALUE(LEFT(fesp!$A:$A,6))=VALUE(LEFT(B676,6)))*(fesp!$C:$C=C676), 0)), "")</f>
        <v>1256</v>
      </c>
      <c r="P676" cm="1">
        <f t="array" aca="1" ref="P676" ca="1">IFERROR(INDEX(fesp!$G:$G, MATCH(1, (VALUE(LEFT(fesp!$A:$A,6))=VALUE(LEFT(B676,6)))*(fesp!$C:$C=C676), 0)), "")</f>
        <v>1534896</v>
      </c>
      <c r="Q676" cm="1">
        <f t="array" aca="1" ref="Q676" ca="1">IFERROR(INDEX(fesp!$H:$H, MATCH(1, (VALUE(LEFT(fesp!$A:$A,6))=VALUE(LEFT(B676,6)))*(fesp!$C:$C=C676), 0)), "")</f>
        <v>52</v>
      </c>
      <c r="R676" cm="1">
        <f t="array" aca="1" ref="R676" ca="1">IFERROR(INDEX(fesp!$I:$I, MATCH(1, (VALUE(LEFT(fesp!$A:$A,6))=VALUE(LEFT(B676,6)))*(fesp!$C:$C=C676), 0)), "")</f>
        <v>7491</v>
      </c>
      <c r="S676" cm="1">
        <f t="array" aca="1" ref="S676" ca="1">IFERROR(INDEX(fesp!$J:$J, MATCH(1, (VALUE(LEFT(fesp!$A:$A,6))=VALUE(LEFT(B676,6)))*(fesp!$C:$C=C676), 0)), "")</f>
        <v>43890</v>
      </c>
    </row>
    <row r="677" spans="1:19">
      <c r="A677" s="1" t="s">
        <v>123</v>
      </c>
      <c r="B677" s="3" t="s">
        <v>122</v>
      </c>
      <c r="C677" s="3">
        <v>2019</v>
      </c>
      <c r="D677" cm="1">
        <f t="array" ref="D677">IFERROR(INDEX(fesp!$D:$D, MATCH(1, (VALUE(LEFT(fesp!$A:$A,6))=VALUE(LEFT(B677,6)))*(fesp!$C:$C=C677), 0)), "")</f>
        <v>0</v>
      </c>
      <c r="E677" cm="1">
        <f t="array" aca="1" ref="E677" ca="1">IFERROR(INDEX(ft_medicos_clinicos!$C:$C, MATCH(1, (VALUE(LEFT(ft_medicos_clinicos!$A:$A,6))=VALUE(LEFT(B677,6)))*(ft_medicos_clinicos!$B:$B=C677), 0)), "")</f>
        <v>204</v>
      </c>
      <c r="F677" cm="1">
        <f t="array" aca="1" ref="F677" ca="1">IFERROR(INDEX(ft_enfermeiros!$C:$C, MATCH(1, (VALUE(LEFT(ft_enfermeiros!$A:$A,6))=VALUE(LEFT(B677,6)))*(ft_enfermeiros!$B:$B=C677), 0)), "")</f>
        <v>337</v>
      </c>
      <c r="G677" t="str" cm="1">
        <f t="array" aca="1" ref="G677" ca="1">IFERROR(INDEX(ft_equipes_acs!$C:$C, MATCH(1, (VALUE(LEFT(ft_equipes_acs!$A:$A,6))=VALUE(LEFT(B677,6)))*(ft_equipes_acs!$B:$B=C677), 0)), "")</f>
        <v>-</v>
      </c>
      <c r="H677" cm="1">
        <f t="array" aca="1" ref="H677" ca="1">IFERROR(INDEX(ci_leitos_internacao!$C:$C, MATCH(1, (VALUE(LEFT(ci_leitos_internacao!$A:$A,6))=VALUE(LEFT(B677,6)))*(ci_leitos_internacao!$B:$B=C677), 0)), "")</f>
        <v>1056</v>
      </c>
      <c r="I677" cm="1">
        <f t="array" aca="1" ref="I677" ca="1">IFERROR(INDEX(ci_hospitais_internacao!$C:$C, MATCH(1, (VALUE(LEFT(ci_hospitais_internacao!$A:$A,6))=VALUE(LEFT(B677,6)))*(ci_hospitais_internacao!$B:$B=C677), 0)), "")</f>
        <v>6</v>
      </c>
      <c r="J677" t="str" cm="1">
        <f t="array" aca="1" ref="J677" ca="1">IFERROR(INDEX(ci_pa_clinico!$C:$C, MATCH(1, (VALUE(LEFT(ci_pa_clinico!$A:$A,6))=VALUE(LEFT(B677,6)))*(ci_pa_clinico!$B:$B=C677), 0)), "")</f>
        <v>-</v>
      </c>
      <c r="K677" t="str" cm="1">
        <f t="array" aca="1" ref="K677" ca="1">IFERROR(INDEX(aps_equipes_esf!$C:$C, MATCH(1, (VALUE(LEFT(aps_equipes_esf!$A:$A,6))=VALUE(LEFT(B677,6)))*(aps_equipes_esf!$B:$B=C677), 0)), "")</f>
        <v>-</v>
      </c>
      <c r="L677" cm="1">
        <f t="array" aca="1" ref="L677" ca="1">IFERROR(INDEX(casos!$C:$C, MATCH(1, (VALUE(LEFT(casos!$A:$A,6))=VALUE(LEFT(B677,6)))*(casos!$B:$B=C677), 0)), "")</f>
        <v>11700</v>
      </c>
      <c r="M677" cm="1">
        <f t="array" ref="M677">IFERROR(INDEX(srag!$D:$D, MATCH(1, (VALUE(LEFT(srag!$A:$A,6))=VALUE(LEFT(B677,6)))*(srag!$C:$C=C677), 0)), "")</f>
        <v>104</v>
      </c>
      <c r="N677" cm="1">
        <f t="array" aca="1" ref="N677" ca="1">IFERROR(INDEX(fesp!$E:$E, MATCH(1, (VALUE(LEFT(fesp!$A:$A,6))=VALUE(LEFT(B677,6)))*(fesp!$C:$C=C677), 0)), "")</f>
        <v>102</v>
      </c>
      <c r="O677" cm="1">
        <f t="array" aca="1" ref="O677" ca="1">IFERROR(INDEX(fesp!$F:$F, MATCH(1, (VALUE(LEFT(fesp!$A:$A,6))=VALUE(LEFT(B677,6)))*(fesp!$C:$C=C677), 0)), "")</f>
        <v>1645</v>
      </c>
      <c r="P677" cm="1">
        <f t="array" aca="1" ref="P677" ca="1">IFERROR(INDEX(fesp!$G:$G, MATCH(1, (VALUE(LEFT(fesp!$A:$A,6))=VALUE(LEFT(B677,6)))*(fesp!$C:$C=C677), 0)), "")</f>
        <v>1632768</v>
      </c>
      <c r="Q677" cm="1">
        <f t="array" aca="1" ref="Q677" ca="1">IFERROR(INDEX(fesp!$H:$H, MATCH(1, (VALUE(LEFT(fesp!$A:$A,6))=VALUE(LEFT(B677,6)))*(fesp!$C:$C=C677), 0)), "")</f>
        <v>50</v>
      </c>
      <c r="R677" cm="1">
        <f t="array" aca="1" ref="R677" ca="1">IFERROR(INDEX(fesp!$I:$I, MATCH(1, (VALUE(LEFT(fesp!$A:$A,6))=VALUE(LEFT(B677,6)))*(fesp!$C:$C=C677), 0)), "")</f>
        <v>1327</v>
      </c>
      <c r="S677" cm="1">
        <f t="array" aca="1" ref="S677" ca="1">IFERROR(INDEX(fesp!$J:$J, MATCH(1, (VALUE(LEFT(fesp!$A:$A,6))=VALUE(LEFT(B677,6)))*(fesp!$C:$C=C677), 0)), "")</f>
        <v>109</v>
      </c>
    </row>
    <row r="678" spans="1:19">
      <c r="A678" s="1" t="s">
        <v>123</v>
      </c>
      <c r="B678" s="3" t="s">
        <v>122</v>
      </c>
      <c r="C678" s="3">
        <v>2020</v>
      </c>
      <c r="D678" cm="1">
        <f t="array" ref="D678">IFERROR(INDEX(fesp!$D:$D, MATCH(1, (VALUE(LEFT(fesp!$A:$A,6))=VALUE(LEFT(B678,6)))*(fesp!$C:$C=C678), 0)), "")</f>
        <v>0</v>
      </c>
      <c r="E678" cm="1">
        <f t="array" aca="1" ref="E678" ca="1">IFERROR(INDEX(ft_medicos_clinicos!$C:$C, MATCH(1, (VALUE(LEFT(ft_medicos_clinicos!$A:$A,6))=VALUE(LEFT(B678,6)))*(ft_medicos_clinicos!$B:$B=C678), 0)), "")</f>
        <v>268</v>
      </c>
      <c r="F678" cm="1">
        <f t="array" aca="1" ref="F678" ca="1">IFERROR(INDEX(ft_enfermeiros!$C:$C, MATCH(1, (VALUE(LEFT(ft_enfermeiros!$A:$A,6))=VALUE(LEFT(B678,6)))*(ft_enfermeiros!$B:$B=C678), 0)), "")</f>
        <v>450</v>
      </c>
      <c r="G678" t="str" cm="1">
        <f t="array" aca="1" ref="G678" ca="1">IFERROR(INDEX(ft_equipes_acs!$C:$C, MATCH(1, (VALUE(LEFT(ft_equipes_acs!$A:$A,6))=VALUE(LEFT(B678,6)))*(ft_equipes_acs!$B:$B=C678), 0)), "")</f>
        <v>-</v>
      </c>
      <c r="H678" cm="1">
        <f t="array" aca="1" ref="H678" ca="1">IFERROR(INDEX(ci_leitos_internacao!$C:$C, MATCH(1, (VALUE(LEFT(ci_leitos_internacao!$A:$A,6))=VALUE(LEFT(B678,6)))*(ci_leitos_internacao!$B:$B=C678), 0)), "")</f>
        <v>1062</v>
      </c>
      <c r="I678" cm="1">
        <f t="array" aca="1" ref="I678" ca="1">IFERROR(INDEX(ci_hospitais_internacao!$C:$C, MATCH(1, (VALUE(LEFT(ci_hospitais_internacao!$A:$A,6))=VALUE(LEFT(B678,6)))*(ci_hospitais_internacao!$B:$B=C678), 0)), "")</f>
        <v>6</v>
      </c>
      <c r="J678" t="str" cm="1">
        <f t="array" aca="1" ref="J678" ca="1">IFERROR(INDEX(ci_pa_clinico!$C:$C, MATCH(1, (VALUE(LEFT(ci_pa_clinico!$A:$A,6))=VALUE(LEFT(B678,6)))*(ci_pa_clinico!$B:$B=C678), 0)), "")</f>
        <v>-</v>
      </c>
      <c r="K678" t="str" cm="1">
        <f t="array" aca="1" ref="K678" ca="1">IFERROR(INDEX(aps_equipes_esf!$C:$C, MATCH(1, (VALUE(LEFT(aps_equipes_esf!$A:$A,6))=VALUE(LEFT(B678,6)))*(aps_equipes_esf!$B:$B=C678), 0)), "")</f>
        <v>-</v>
      </c>
      <c r="L678" cm="1">
        <f t="array" aca="1" ref="L678" ca="1">IFERROR(INDEX(casos!$C:$C, MATCH(1, (VALUE(LEFT(casos!$A:$A,6))=VALUE(LEFT(B678,6)))*(casos!$B:$B=C678), 0)), "")</f>
        <v>4855</v>
      </c>
      <c r="M678" cm="1">
        <f t="array" ref="M678">IFERROR(INDEX(srag!$D:$D, MATCH(1, (VALUE(LEFT(srag!$A:$A,6))=VALUE(LEFT(B678,6)))*(srag!$C:$C=C678), 0)), "")</f>
        <v>1752</v>
      </c>
      <c r="N678" cm="1">
        <f t="array" aca="1" ref="N678" ca="1">IFERROR(INDEX(fesp!$E:$E, MATCH(1, (VALUE(LEFT(fesp!$A:$A,6))=VALUE(LEFT(B678,6)))*(fesp!$C:$C=C678), 0)), "")</f>
        <v>134</v>
      </c>
      <c r="O678" cm="1">
        <f t="array" aca="1" ref="O678" ca="1">IFERROR(INDEX(fesp!$F:$F, MATCH(1, (VALUE(LEFT(fesp!$A:$A,6))=VALUE(LEFT(B678,6)))*(fesp!$C:$C=C678), 0)), "")</f>
        <v>2383</v>
      </c>
      <c r="P678" cm="1">
        <f t="array" aca="1" ref="P678" ca="1">IFERROR(INDEX(fesp!$G:$G, MATCH(1, (VALUE(LEFT(fesp!$A:$A,6))=VALUE(LEFT(B678,6)))*(fesp!$C:$C=C678), 0)), "")</f>
        <v>1675869</v>
      </c>
      <c r="Q678" cm="1">
        <f t="array" aca="1" ref="Q678" ca="1">IFERROR(INDEX(fesp!$H:$H, MATCH(1, (VALUE(LEFT(fesp!$A:$A,6))=VALUE(LEFT(B678,6)))*(fesp!$C:$C=C678), 0)), "")</f>
        <v>20</v>
      </c>
      <c r="R678" cm="1">
        <f t="array" aca="1" ref="R678" ca="1">IFERROR(INDEX(fesp!$I:$I, MATCH(1, (VALUE(LEFT(fesp!$A:$A,6))=VALUE(LEFT(B678,6)))*(fesp!$C:$C=C678), 0)), "")</f>
        <v>429</v>
      </c>
      <c r="S678" cm="1">
        <f t="array" aca="1" ref="S678" ca="1">IFERROR(INDEX(fesp!$J:$J, MATCH(1, (VALUE(LEFT(fesp!$A:$A,6))=VALUE(LEFT(B678,6)))*(fesp!$C:$C=C678), 0)), "")</f>
        <v>657</v>
      </c>
    </row>
    <row r="679" spans="1:19">
      <c r="A679" s="1" t="s">
        <v>123</v>
      </c>
      <c r="B679" s="3" t="s">
        <v>122</v>
      </c>
      <c r="C679" s="3">
        <v>2021</v>
      </c>
      <c r="D679" cm="1">
        <f t="array" ref="D679">IFERROR(INDEX(fesp!$D:$D, MATCH(1, (VALUE(LEFT(fesp!$A:$A,6))=VALUE(LEFT(B679,6)))*(fesp!$C:$C=C679), 0)), "")</f>
        <v>0</v>
      </c>
      <c r="E679" cm="1">
        <f t="array" aca="1" ref="E679" ca="1">IFERROR(INDEX(ft_medicos_clinicos!$C:$C, MATCH(1, (VALUE(LEFT(ft_medicos_clinicos!$A:$A,6))=VALUE(LEFT(B679,6)))*(ft_medicos_clinicos!$B:$B=C679), 0)), "")</f>
        <v>312</v>
      </c>
      <c r="F679" cm="1">
        <f t="array" aca="1" ref="F679" ca="1">IFERROR(INDEX(ft_enfermeiros!$C:$C, MATCH(1, (VALUE(LEFT(ft_enfermeiros!$A:$A,6))=VALUE(LEFT(B679,6)))*(ft_enfermeiros!$B:$B=C679), 0)), "")</f>
        <v>415</v>
      </c>
      <c r="G679" t="str" cm="1">
        <f t="array" aca="1" ref="G679" ca="1">IFERROR(INDEX(ft_equipes_acs!$C:$C, MATCH(1, (VALUE(LEFT(ft_equipes_acs!$A:$A,6))=VALUE(LEFT(B679,6)))*(ft_equipes_acs!$B:$B=C679), 0)), "")</f>
        <v>-</v>
      </c>
      <c r="H679" cm="1">
        <f t="array" aca="1" ref="H679" ca="1">IFERROR(INDEX(ci_leitos_internacao!$C:$C, MATCH(1, (VALUE(LEFT(ci_leitos_internacao!$A:$A,6))=VALUE(LEFT(B679,6)))*(ci_leitos_internacao!$B:$B=C679), 0)), "")</f>
        <v>1130</v>
      </c>
      <c r="I679" cm="1">
        <f t="array" aca="1" ref="I679" ca="1">IFERROR(INDEX(ci_hospitais_internacao!$C:$C, MATCH(1, (VALUE(LEFT(ci_hospitais_internacao!$A:$A,6))=VALUE(LEFT(B679,6)))*(ci_hospitais_internacao!$B:$B=C679), 0)), "")</f>
        <v>8</v>
      </c>
      <c r="J679" cm="1">
        <f t="array" aca="1" ref="J679" ca="1">IFERROR(INDEX(ci_pa_clinico!$C:$C, MATCH(1, (VALUE(LEFT(ci_pa_clinico!$A:$A,6))=VALUE(LEFT(B679,6)))*(ci_pa_clinico!$B:$B=C679), 0)), "")</f>
        <v>1</v>
      </c>
      <c r="K679" t="str" cm="1">
        <f t="array" aca="1" ref="K679" ca="1">IFERROR(INDEX(aps_equipes_esf!$C:$C, MATCH(1, (VALUE(LEFT(aps_equipes_esf!$A:$A,6))=VALUE(LEFT(B679,6)))*(aps_equipes_esf!$B:$B=C679), 0)), "")</f>
        <v>-</v>
      </c>
      <c r="L679" cm="1">
        <f t="array" aca="1" ref="L679" ca="1">IFERROR(INDEX(casos!$C:$C, MATCH(1, (VALUE(LEFT(casos!$A:$A,6))=VALUE(LEFT(B679,6)))*(casos!$B:$B=C679), 0)), "")</f>
        <v>1670</v>
      </c>
      <c r="M679" cm="1">
        <f t="array" ref="M679">IFERROR(INDEX(srag!$D:$D, MATCH(1, (VALUE(LEFT(srag!$A:$A,6))=VALUE(LEFT(B679,6)))*(srag!$C:$C=C679), 0)), "")</f>
        <v>4071</v>
      </c>
      <c r="N679" cm="1">
        <f t="array" aca="1" ref="N679" ca="1">IFERROR(INDEX(fesp!$E:$E, MATCH(1, (VALUE(LEFT(fesp!$A:$A,6))=VALUE(LEFT(B679,6)))*(fesp!$C:$C=C679), 0)), "")</f>
        <v>106</v>
      </c>
      <c r="O679" cm="1">
        <f t="array" aca="1" ref="O679" ca="1">IFERROR(INDEX(fesp!$F:$F, MATCH(1, (VALUE(LEFT(fesp!$A:$A,6))=VALUE(LEFT(B679,6)))*(fesp!$C:$C=C679), 0)), "")</f>
        <v>2244</v>
      </c>
      <c r="P679" cm="1">
        <f t="array" aca="1" ref="P679" ca="1">IFERROR(INDEX(fesp!$G:$G, MATCH(1, (VALUE(LEFT(fesp!$A:$A,6))=VALUE(LEFT(B679,6)))*(fesp!$C:$C=C679), 0)), "")</f>
        <v>1973843</v>
      </c>
      <c r="Q679" cm="1">
        <f t="array" aca="1" ref="Q679" ca="1">IFERROR(INDEX(fesp!$H:$H, MATCH(1, (VALUE(LEFT(fesp!$A:$A,6))=VALUE(LEFT(B679,6)))*(fesp!$C:$C=C679), 0)), "")</f>
        <v>9</v>
      </c>
      <c r="R679" cm="1">
        <f t="array" aca="1" ref="R679" ca="1">IFERROR(INDEX(fesp!$I:$I, MATCH(1, (VALUE(LEFT(fesp!$A:$A,6))=VALUE(LEFT(B679,6)))*(fesp!$C:$C=C679), 0)), "")</f>
        <v>0</v>
      </c>
      <c r="S679" cm="1">
        <f t="array" aca="1" ref="S679" ca="1">IFERROR(INDEX(fesp!$J:$J, MATCH(1, (VALUE(LEFT(fesp!$A:$A,6))=VALUE(LEFT(B679,6)))*(fesp!$C:$C=C679), 0)), "")</f>
        <v>1886</v>
      </c>
    </row>
    <row r="680" spans="1:19">
      <c r="A680" s="1" t="s">
        <v>123</v>
      </c>
      <c r="B680" s="3" t="s">
        <v>122</v>
      </c>
      <c r="C680" s="3">
        <v>2022</v>
      </c>
      <c r="D680" cm="1">
        <f t="array" ref="D680">IFERROR(INDEX(fesp!$D:$D, MATCH(1, (VALUE(LEFT(fesp!$A:$A,6))=VALUE(LEFT(B680,6)))*(fesp!$C:$C=C680), 0)), "")</f>
        <v>398869</v>
      </c>
      <c r="E680" cm="1">
        <f t="array" aca="1" ref="E680" ca="1">IFERROR(INDEX(ft_medicos_clinicos!$C:$C, MATCH(1, (VALUE(LEFT(ft_medicos_clinicos!$A:$A,6))=VALUE(LEFT(B680,6)))*(ft_medicos_clinicos!$B:$B=C680), 0)), "")</f>
        <v>387</v>
      </c>
      <c r="F680" cm="1">
        <f t="array" aca="1" ref="F680" ca="1">IFERROR(INDEX(ft_enfermeiros!$C:$C, MATCH(1, (VALUE(LEFT(ft_enfermeiros!$A:$A,6))=VALUE(LEFT(B680,6)))*(ft_enfermeiros!$B:$B=C680), 0)), "")</f>
        <v>435</v>
      </c>
      <c r="G680" t="str" cm="1">
        <f t="array" aca="1" ref="G680" ca="1">IFERROR(INDEX(ft_equipes_acs!$C:$C, MATCH(1, (VALUE(LEFT(ft_equipes_acs!$A:$A,6))=VALUE(LEFT(B680,6)))*(ft_equipes_acs!$B:$B=C680), 0)), "")</f>
        <v>-</v>
      </c>
      <c r="H680" cm="1">
        <f t="array" aca="1" ref="H680" ca="1">IFERROR(INDEX(ci_leitos_internacao!$C:$C, MATCH(1, (VALUE(LEFT(ci_leitos_internacao!$A:$A,6))=VALUE(LEFT(B680,6)))*(ci_leitos_internacao!$B:$B=C680), 0)), "")</f>
        <v>1074</v>
      </c>
      <c r="I680" cm="1">
        <f t="array" aca="1" ref="I680" ca="1">IFERROR(INDEX(ci_hospitais_internacao!$C:$C, MATCH(1, (VALUE(LEFT(ci_hospitais_internacao!$A:$A,6))=VALUE(LEFT(B680,6)))*(ci_hospitais_internacao!$B:$B=C680), 0)), "")</f>
        <v>6</v>
      </c>
      <c r="J680" cm="1">
        <f t="array" aca="1" ref="J680" ca="1">IFERROR(INDEX(ci_pa_clinico!$C:$C, MATCH(1, (VALUE(LEFT(ci_pa_clinico!$A:$A,6))=VALUE(LEFT(B680,6)))*(ci_pa_clinico!$B:$B=C680), 0)), "")</f>
        <v>1</v>
      </c>
      <c r="K680" t="str" cm="1">
        <f t="array" aca="1" ref="K680" ca="1">IFERROR(INDEX(aps_equipes_esf!$C:$C, MATCH(1, (VALUE(LEFT(aps_equipes_esf!$A:$A,6))=VALUE(LEFT(B680,6)))*(aps_equipes_esf!$B:$B=C680), 0)), "")</f>
        <v>-</v>
      </c>
      <c r="L680" cm="1">
        <f t="array" aca="1" ref="L680" ca="1">IFERROR(INDEX(casos!$C:$C, MATCH(1, (VALUE(LEFT(casos!$A:$A,6))=VALUE(LEFT(B680,6)))*(casos!$B:$B=C680), 0)), "")</f>
        <v>17313</v>
      </c>
      <c r="M680" cm="1">
        <f t="array" ref="M680">IFERROR(INDEX(srag!$D:$D, MATCH(1, (VALUE(LEFT(srag!$A:$A,6))=VALUE(LEFT(B680,6)))*(srag!$C:$C=C680), 0)), "")</f>
        <v>1001</v>
      </c>
      <c r="N680" cm="1">
        <f t="array" aca="1" ref="N680" ca="1">IFERROR(INDEX(fesp!$E:$E, MATCH(1, (VALUE(LEFT(fesp!$A:$A,6))=VALUE(LEFT(B680,6)))*(fesp!$C:$C=C680), 0)), "")</f>
        <v>169</v>
      </c>
      <c r="O680" cm="1">
        <f t="array" aca="1" ref="O680" ca="1">IFERROR(INDEX(fesp!$F:$F, MATCH(1, (VALUE(LEFT(fesp!$A:$A,6))=VALUE(LEFT(B680,6)))*(fesp!$C:$C=C680), 0)), "")</f>
        <v>2305</v>
      </c>
      <c r="P680" cm="1">
        <f t="array" aca="1" ref="P680" ca="1">IFERROR(INDEX(fesp!$G:$G, MATCH(1, (VALUE(LEFT(fesp!$A:$A,6))=VALUE(LEFT(B680,6)))*(fesp!$C:$C=C680), 0)), "")</f>
        <v>2020032</v>
      </c>
      <c r="Q680" cm="1">
        <f t="array" aca="1" ref="Q680" ca="1">IFERROR(INDEX(fesp!$H:$H, MATCH(1, (VALUE(LEFT(fesp!$A:$A,6))=VALUE(LEFT(B680,6)))*(fesp!$C:$C=C680), 0)), "")</f>
        <v>33</v>
      </c>
      <c r="R680" cm="1">
        <f t="array" aca="1" ref="R680" ca="1">IFERROR(INDEX(fesp!$I:$I, MATCH(1, (VALUE(LEFT(fesp!$A:$A,6))=VALUE(LEFT(B680,6)))*(fesp!$C:$C=C680), 0)), "")</f>
        <v>0</v>
      </c>
      <c r="S680" cm="1">
        <f t="array" aca="1" ref="S680" ca="1">IFERROR(INDEX(fesp!$J:$J, MATCH(1, (VALUE(LEFT(fesp!$A:$A,6))=VALUE(LEFT(B680,6)))*(fesp!$C:$C=C680), 0)), "")</f>
        <v>3657</v>
      </c>
    </row>
    <row r="681" spans="1:19">
      <c r="A681" s="1" t="s">
        <v>123</v>
      </c>
      <c r="B681" s="3" t="s">
        <v>122</v>
      </c>
      <c r="C681" s="3">
        <v>2023</v>
      </c>
      <c r="D681" cm="1">
        <f t="array" ref="D681">IFERROR(INDEX(fesp!$D:$D, MATCH(1, (VALUE(LEFT(fesp!$A:$A,6))=VALUE(LEFT(B681,6)))*(fesp!$C:$C=C681), 0)), "")</f>
        <v>0</v>
      </c>
      <c r="E681" cm="1">
        <f t="array" aca="1" ref="E681" ca="1">IFERROR(INDEX(ft_medicos_clinicos!$C:$C, MATCH(1, (VALUE(LEFT(ft_medicos_clinicos!$A:$A,6))=VALUE(LEFT(B681,6)))*(ft_medicos_clinicos!$B:$B=C681), 0)), "")</f>
        <v>393</v>
      </c>
      <c r="F681" cm="1">
        <f t="array" aca="1" ref="F681" ca="1">IFERROR(INDEX(ft_enfermeiros!$C:$C, MATCH(1, (VALUE(LEFT(ft_enfermeiros!$A:$A,6))=VALUE(LEFT(B681,6)))*(ft_enfermeiros!$B:$B=C681), 0)), "")</f>
        <v>451</v>
      </c>
      <c r="G681" t="str" cm="1">
        <f t="array" aca="1" ref="G681" ca="1">IFERROR(INDEX(ft_equipes_acs!$C:$C, MATCH(1, (VALUE(LEFT(ft_equipes_acs!$A:$A,6))=VALUE(LEFT(B681,6)))*(ft_equipes_acs!$B:$B=C681), 0)), "")</f>
        <v>-</v>
      </c>
      <c r="H681" cm="1">
        <f t="array" aca="1" ref="H681" ca="1">IFERROR(INDEX(ci_leitos_internacao!$C:$C, MATCH(1, (VALUE(LEFT(ci_leitos_internacao!$A:$A,6))=VALUE(LEFT(B681,6)))*(ci_leitos_internacao!$B:$B=C681), 0)), "")</f>
        <v>1064</v>
      </c>
      <c r="I681" cm="1">
        <f t="array" aca="1" ref="I681" ca="1">IFERROR(INDEX(ci_hospitais_internacao!$C:$C, MATCH(1, (VALUE(LEFT(ci_hospitais_internacao!$A:$A,6))=VALUE(LEFT(B681,6)))*(ci_hospitais_internacao!$B:$B=C681), 0)), "")</f>
        <v>6</v>
      </c>
      <c r="J681" cm="1">
        <f t="array" aca="1" ref="J681" ca="1">IFERROR(INDEX(ci_pa_clinico!$C:$C, MATCH(1, (VALUE(LEFT(ci_pa_clinico!$A:$A,6))=VALUE(LEFT(B681,6)))*(ci_pa_clinico!$B:$B=C681), 0)), "")</f>
        <v>1</v>
      </c>
      <c r="K681" t="str" cm="1">
        <f t="array" aca="1" ref="K681" ca="1">IFERROR(INDEX(aps_equipes_esf!$C:$C, MATCH(1, (VALUE(LEFT(aps_equipes_esf!$A:$A,6))=VALUE(LEFT(B681,6)))*(aps_equipes_esf!$B:$B=C681), 0)), "")</f>
        <v>-</v>
      </c>
      <c r="L681" cm="1">
        <f t="array" aca="1" ref="L681" ca="1">IFERROR(INDEX(casos!$C:$C, MATCH(1, (VALUE(LEFT(casos!$A:$A,6))=VALUE(LEFT(B681,6)))*(casos!$B:$B=C681), 0)), "")</f>
        <v>1275</v>
      </c>
      <c r="M681" cm="1">
        <f t="array" ref="M681">IFERROR(INDEX(srag!$D:$D, MATCH(1, (VALUE(LEFT(srag!$A:$A,6))=VALUE(LEFT(B681,6)))*(srag!$C:$C=C681), 0)), "")</f>
        <v>813</v>
      </c>
      <c r="N681" cm="1">
        <f t="array" aca="1" ref="N681" ca="1">IFERROR(INDEX(fesp!$E:$E, MATCH(1, (VALUE(LEFT(fesp!$A:$A,6))=VALUE(LEFT(B681,6)))*(fesp!$C:$C=C681), 0)), "")</f>
        <v>150</v>
      </c>
      <c r="O681" cm="1">
        <f t="array" aca="1" ref="O681" ca="1">IFERROR(INDEX(fesp!$F:$F, MATCH(1, (VALUE(LEFT(fesp!$A:$A,6))=VALUE(LEFT(B681,6)))*(fesp!$C:$C=C681), 0)), "")</f>
        <v>966</v>
      </c>
      <c r="P681" cm="1">
        <f t="array" aca="1" ref="P681" ca="1">IFERROR(INDEX(fesp!$G:$G, MATCH(1, (VALUE(LEFT(fesp!$A:$A,6))=VALUE(LEFT(B681,6)))*(fesp!$C:$C=C681), 0)), "")</f>
        <v>2151616</v>
      </c>
      <c r="Q681" cm="1">
        <f t="array" aca="1" ref="Q681" ca="1">IFERROR(INDEX(fesp!$H:$H, MATCH(1, (VALUE(LEFT(fesp!$A:$A,6))=VALUE(LEFT(B681,6)))*(fesp!$C:$C=C681), 0)), "")</f>
        <v>17</v>
      </c>
      <c r="R681" cm="1">
        <f t="array" aca="1" ref="R681" ca="1">IFERROR(INDEX(fesp!$I:$I, MATCH(1, (VALUE(LEFT(fesp!$A:$A,6))=VALUE(LEFT(B681,6)))*(fesp!$C:$C=C681), 0)), "")</f>
        <v>355</v>
      </c>
      <c r="S681" cm="1">
        <f t="array" aca="1" ref="S681" ca="1">IFERROR(INDEX(fesp!$J:$J, MATCH(1, (VALUE(LEFT(fesp!$A:$A,6))=VALUE(LEFT(B681,6)))*(fesp!$C:$C=C681), 0)), "")</f>
        <v>4</v>
      </c>
    </row>
    <row r="682" spans="1:19">
      <c r="A682" s="1" t="s">
        <v>123</v>
      </c>
      <c r="B682" s="3" t="s">
        <v>122</v>
      </c>
      <c r="C682" s="3">
        <v>2024</v>
      </c>
      <c r="D682" cm="1">
        <f t="array" ref="D682">IFERROR(INDEX(fesp!$D:$D, MATCH(1, (VALUE(LEFT(fesp!$A:$A,6))=VALUE(LEFT(B682,6)))*(fesp!$C:$C=C682), 0)), "")</f>
        <v>0</v>
      </c>
      <c r="E682" cm="1">
        <f t="array" aca="1" ref="E682" ca="1">IFERROR(INDEX(ft_medicos_clinicos!$C:$C, MATCH(1, (VALUE(LEFT(ft_medicos_clinicos!$A:$A,6))=VALUE(LEFT(B682,6)))*(ft_medicos_clinicos!$B:$B=C682), 0)), "")</f>
        <v>441</v>
      </c>
      <c r="F682" cm="1">
        <f t="array" aca="1" ref="F682" ca="1">IFERROR(INDEX(ft_enfermeiros!$C:$C, MATCH(1, (VALUE(LEFT(ft_enfermeiros!$A:$A,6))=VALUE(LEFT(B682,6)))*(ft_enfermeiros!$B:$B=C682), 0)), "")</f>
        <v>483</v>
      </c>
      <c r="G682" t="str" cm="1">
        <f t="array" aca="1" ref="G682" ca="1">IFERROR(INDEX(ft_equipes_acs!$C:$C, MATCH(1, (VALUE(LEFT(ft_equipes_acs!$A:$A,6))=VALUE(LEFT(B682,6)))*(ft_equipes_acs!$B:$B=C682), 0)), "")</f>
        <v>-</v>
      </c>
      <c r="H682" cm="1">
        <f t="array" aca="1" ref="H682" ca="1">IFERROR(INDEX(ci_leitos_internacao!$C:$C, MATCH(1, (VALUE(LEFT(ci_leitos_internacao!$A:$A,6))=VALUE(LEFT(B682,6)))*(ci_leitos_internacao!$B:$B=C682), 0)), "")</f>
        <v>961</v>
      </c>
      <c r="I682" cm="1">
        <f t="array" aca="1" ref="I682" ca="1">IFERROR(INDEX(ci_hospitais_internacao!$C:$C, MATCH(1, (VALUE(LEFT(ci_hospitais_internacao!$A:$A,6))=VALUE(LEFT(B682,6)))*(ci_hospitais_internacao!$B:$B=C682), 0)), "")</f>
        <v>4</v>
      </c>
      <c r="J682" cm="1">
        <f t="array" aca="1" ref="J682" ca="1">IFERROR(INDEX(ci_pa_clinico!$C:$C, MATCH(1, (VALUE(LEFT(ci_pa_clinico!$A:$A,6))=VALUE(LEFT(B682,6)))*(ci_pa_clinico!$B:$B=C682), 0)), "")</f>
        <v>2</v>
      </c>
      <c r="K682" t="str" cm="1">
        <f t="array" aca="1" ref="K682" ca="1">IFERROR(INDEX(aps_equipes_esf!$C:$C, MATCH(1, (VALUE(LEFT(aps_equipes_esf!$A:$A,6))=VALUE(LEFT(B682,6)))*(aps_equipes_esf!$B:$B=C682), 0)), "")</f>
        <v>-</v>
      </c>
      <c r="L682" cm="1">
        <f t="array" aca="1" ref="L682" ca="1">IFERROR(INDEX(casos!$C:$C, MATCH(1, (VALUE(LEFT(casos!$A:$A,6))=VALUE(LEFT(B682,6)))*(casos!$B:$B=C682), 0)), "")</f>
        <v>39155</v>
      </c>
      <c r="M682" cm="1">
        <f t="array" ref="M682">IFERROR(INDEX(srag!$D:$D, MATCH(1, (VALUE(LEFT(srag!$A:$A,6))=VALUE(LEFT(B682,6)))*(srag!$C:$C=C682), 0)), "")</f>
        <v>1191</v>
      </c>
      <c r="N682" cm="1">
        <f t="array" aca="1" ref="N682" ca="1">IFERROR(INDEX(fesp!$E:$E, MATCH(1, (VALUE(LEFT(fesp!$A:$A,6))=VALUE(LEFT(B682,6)))*(fesp!$C:$C=C682), 0)), "")</f>
        <v>187</v>
      </c>
      <c r="O682" cm="1">
        <f t="array" aca="1" ref="O682" ca="1">IFERROR(INDEX(fesp!$F:$F, MATCH(1, (VALUE(LEFT(fesp!$A:$A,6))=VALUE(LEFT(B682,6)))*(fesp!$C:$C=C682), 0)), "")</f>
        <v>1044</v>
      </c>
      <c r="P682" cm="1">
        <f t="array" aca="1" ref="P682" ca="1">IFERROR(INDEX(fesp!$G:$G, MATCH(1, (VALUE(LEFT(fesp!$A:$A,6))=VALUE(LEFT(B682,6)))*(fesp!$C:$C=C682), 0)), "")</f>
        <v>2406979</v>
      </c>
      <c r="Q682" cm="1">
        <f t="array" aca="1" ref="Q682" ca="1">IFERROR(INDEX(fesp!$H:$H, MATCH(1, (VALUE(LEFT(fesp!$A:$A,6))=VALUE(LEFT(B682,6)))*(fesp!$C:$C=C682), 0)), "")</f>
        <v>6</v>
      </c>
      <c r="R682" cm="1">
        <f t="array" aca="1" ref="R682" ca="1">IFERROR(INDEX(fesp!$I:$I, MATCH(1, (VALUE(LEFT(fesp!$A:$A,6))=VALUE(LEFT(B682,6)))*(fesp!$C:$C=C682), 0)), "")</f>
        <v>31</v>
      </c>
      <c r="S682" cm="1">
        <f t="array" aca="1" ref="S682" ca="1">IFERROR(INDEX(fesp!$J:$J, MATCH(1, (VALUE(LEFT(fesp!$A:$A,6))=VALUE(LEFT(B682,6)))*(fesp!$C:$C=C682), 0)), "")</f>
        <v>462</v>
      </c>
    </row>
    <row r="683" spans="1:19">
      <c r="A683" s="1" t="s">
        <v>123</v>
      </c>
      <c r="B683" s="3">
        <v>5201108</v>
      </c>
      <c r="C683" s="3">
        <v>2025</v>
      </c>
      <c r="D683" cm="1">
        <f t="array" ref="D683">IFERROR(INDEX(fesp!$D:$D, MATCH(1, (VALUE(LEFT(fesp!$A:$A,6))=VALUE(LEFT(B683,6)))*(fesp!$C:$C=C683), 0)), "")</f>
        <v>0</v>
      </c>
      <c r="E683" cm="1">
        <f t="array" aca="1" ref="E683" ca="1">IFERROR(INDEX(ft_medicos_clinicos!$C:$C, MATCH(1, (VALUE(LEFT(ft_medicos_clinicos!$A:$A,6))=VALUE(LEFT(B683,6)))*(ft_medicos_clinicos!$B:$B=C683), 0)), "")</f>
        <v>457</v>
      </c>
      <c r="F683" cm="1">
        <f t="array" aca="1" ref="F683" ca="1">IFERROR(INDEX(ft_enfermeiros!$C:$C, MATCH(1, (VALUE(LEFT(ft_enfermeiros!$A:$A,6))=VALUE(LEFT(B683,6)))*(ft_enfermeiros!$B:$B=C683), 0)), "")</f>
        <v>551</v>
      </c>
      <c r="G683" t="str" cm="1">
        <f t="array" aca="1" ref="G683" ca="1">IFERROR(INDEX(ft_equipes_acs!$C:$C, MATCH(1, (VALUE(LEFT(ft_equipes_acs!$A:$A,6))=VALUE(LEFT(B683,6)))*(ft_equipes_acs!$B:$B=C683), 0)), "")</f>
        <v>-</v>
      </c>
      <c r="H683" cm="1">
        <f t="array" aca="1" ref="H683" ca="1">IFERROR(INDEX(ci_leitos_internacao!$C:$C, MATCH(1, (VALUE(LEFT(ci_leitos_internacao!$A:$A,6))=VALUE(LEFT(B683,6)))*(ci_leitos_internacao!$B:$B=C683), 0)), "")</f>
        <v>897</v>
      </c>
      <c r="I683" cm="1">
        <f t="array" aca="1" ref="I683" ca="1">IFERROR(INDEX(ci_hospitais_internacao!$C:$C, MATCH(1, (VALUE(LEFT(ci_hospitais_internacao!$A:$A,6))=VALUE(LEFT(B683,6)))*(ci_hospitais_internacao!$B:$B=C683), 0)), "")</f>
        <v>4</v>
      </c>
      <c r="J683" cm="1">
        <f t="array" aca="1" ref="J683" ca="1">IFERROR(INDEX(ci_pa_clinico!$C:$C, MATCH(1, (VALUE(LEFT(ci_pa_clinico!$A:$A,6))=VALUE(LEFT(B683,6)))*(ci_pa_clinico!$B:$B=C683), 0)), "")</f>
        <v>2</v>
      </c>
      <c r="K683" t="str" cm="1">
        <f t="array" aca="1" ref="K683" ca="1">IFERROR(INDEX(aps_equipes_esf!$C:$C, MATCH(1, (VALUE(LEFT(aps_equipes_esf!$A:$A,6))=VALUE(LEFT(B683,6)))*(aps_equipes_esf!$B:$B=C683), 0)), "")</f>
        <v>-</v>
      </c>
      <c r="L683" cm="1">
        <f t="array" aca="1" ref="L683" ca="1">IFERROR(INDEX(casos!$C:$C, MATCH(1, (VALUE(LEFT(casos!$A:$A,6))=VALUE(LEFT(B683,6)))*(casos!$B:$B=C683), 0)), "")</f>
        <v>2211</v>
      </c>
      <c r="M683" cm="1">
        <f t="array" ref="M683">IFERROR(INDEX(srag!$D:$D, MATCH(1, (VALUE(LEFT(srag!$A:$A,6))=VALUE(LEFT(B683,6)))*(srag!$C:$C=C683), 0)), "")</f>
        <v>2023</v>
      </c>
      <c r="N683" cm="1">
        <f t="array" aca="1" ref="N683" ca="1">IFERROR(INDEX(fesp!$E:$E, MATCH(1, (VALUE(LEFT(fesp!$A:$A,6))=VALUE(LEFT(B683,6)))*(fesp!$C:$C=C683), 0)), "")</f>
        <v>194</v>
      </c>
      <c r="O683" cm="1">
        <f t="array" aca="1" ref="O683" ca="1">IFERROR(INDEX(fesp!$F:$F, MATCH(1, (VALUE(LEFT(fesp!$A:$A,6))=VALUE(LEFT(B683,6)))*(fesp!$C:$C=C683), 0)), "")</f>
        <v>2141</v>
      </c>
      <c r="P683" cm="1">
        <f t="array" aca="1" ref="P683" ca="1">IFERROR(INDEX(fesp!$G:$G, MATCH(1, (VALUE(LEFT(fesp!$A:$A,6))=VALUE(LEFT(B683,6)))*(fesp!$C:$C=C683), 0)), "")</f>
        <v>2323574</v>
      </c>
      <c r="Q683" cm="1">
        <f t="array" aca="1" ref="Q683" ca="1">IFERROR(INDEX(fesp!$H:$H, MATCH(1, (VALUE(LEFT(fesp!$A:$A,6))=VALUE(LEFT(B683,6)))*(fesp!$C:$C=C683), 0)), "")</f>
        <v>14</v>
      </c>
      <c r="R683" cm="1">
        <f t="array" aca="1" ref="R683" ca="1">IFERROR(INDEX(fesp!$I:$I, MATCH(1, (VALUE(LEFT(fesp!$A:$A,6))=VALUE(LEFT(B683,6)))*(fesp!$C:$C=C683), 0)), "")</f>
        <v>190</v>
      </c>
      <c r="S683" cm="1">
        <f t="array" aca="1" ref="S683" ca="1">IFERROR(INDEX(fesp!$J:$J, MATCH(1, (VALUE(LEFT(fesp!$A:$A,6))=VALUE(LEFT(B683,6)))*(fesp!$C:$C=C683), 0)), "")</f>
        <v>5317</v>
      </c>
    </row>
    <row r="684" spans="1:19">
      <c r="A684" s="1" t="s">
        <v>81</v>
      </c>
      <c r="B684" s="3">
        <v>5201405</v>
      </c>
      <c r="C684" s="3">
        <v>2015</v>
      </c>
      <c r="D684" cm="1">
        <f t="array" ref="D684">IFERROR(INDEX(fesp!$D:$D, MATCH(1, (VALUE(LEFT(fesp!$A:$A,6))=VALUE(LEFT(B684,6)))*(fesp!$C:$C=C684), 0)), "")</f>
        <v>521910</v>
      </c>
      <c r="E684" cm="1">
        <f t="array" aca="1" ref="E684" ca="1">IFERROR(INDEX(ft_medicos_clinicos!$C:$C, MATCH(1, (VALUE(LEFT(ft_medicos_clinicos!$A:$A,6))=VALUE(LEFT(B684,6)))*(ft_medicos_clinicos!$B:$B=C684), 0)), "")</f>
        <v>194</v>
      </c>
      <c r="F684" cm="1">
        <f t="array" aca="1" ref="F684" ca="1">IFERROR(INDEX(ft_enfermeiros!$C:$C, MATCH(1, (VALUE(LEFT(ft_enfermeiros!$A:$A,6))=VALUE(LEFT(B684,6)))*(ft_enfermeiros!$B:$B=C684), 0)), "")</f>
        <v>293</v>
      </c>
      <c r="G684" cm="1">
        <f t="array" aca="1" ref="G684" ca="1">IFERROR(INDEX(ft_equipes_acs!$C:$C, MATCH(1, (VALUE(LEFT(ft_equipes_acs!$A:$A,6))=VALUE(LEFT(B684,6)))*(ft_equipes_acs!$B:$B=C684), 0)), "")</f>
        <v>2</v>
      </c>
      <c r="H684" cm="1">
        <f t="array" aca="1" ref="H684" ca="1">IFERROR(INDEX(ci_leitos_internacao!$C:$C, MATCH(1, (VALUE(LEFT(ci_leitos_internacao!$A:$A,6))=VALUE(LEFT(B684,6)))*(ci_leitos_internacao!$B:$B=C684), 0)), "")</f>
        <v>763</v>
      </c>
      <c r="I684" cm="1">
        <f t="array" aca="1" ref="I684" ca="1">IFERROR(INDEX(ci_hospitais_internacao!$C:$C, MATCH(1, (VALUE(LEFT(ci_hospitais_internacao!$A:$A,6))=VALUE(LEFT(B684,6)))*(ci_hospitais_internacao!$B:$B=C684), 0)), "")</f>
        <v>5</v>
      </c>
      <c r="J684" t="str" cm="1">
        <f t="array" aca="1" ref="J684" ca="1">IFERROR(INDEX(ci_pa_clinico!$C:$C, MATCH(1, (VALUE(LEFT(ci_pa_clinico!$A:$A,6))=VALUE(LEFT(B684,6)))*(ci_pa_clinico!$B:$B=C684), 0)), "")</f>
        <v>-</v>
      </c>
      <c r="K684" cm="1">
        <f t="array" aca="1" ref="K684" ca="1">IFERROR(INDEX(aps_equipes_esf!$C:$C, MATCH(1, (VALUE(LEFT(aps_equipes_esf!$A:$A,6))=VALUE(LEFT(B684,6)))*(aps_equipes_esf!$B:$B=C684), 0)), "")</f>
        <v>58</v>
      </c>
      <c r="L684" cm="1">
        <f t="array" aca="1" ref="L684" ca="1">IFERROR(INDEX(casos!$C:$C, MATCH(1, (VALUE(LEFT(casos!$A:$A,6))=VALUE(LEFT(B684,6)))*(casos!$B:$B=C684), 0)), "")</f>
        <v>14000</v>
      </c>
      <c r="M684" cm="1">
        <f t="array" ref="M684">IFERROR(INDEX(srag!$D:$D, MATCH(1, (VALUE(LEFT(srag!$A:$A,6))=VALUE(LEFT(B684,6)))*(srag!$C:$C=C684), 0)), "")</f>
        <v>14</v>
      </c>
      <c r="N684" cm="1">
        <f t="array" aca="1" ref="N684" ca="1">IFERROR(INDEX(fesp!$E:$E, MATCH(1, (VALUE(LEFT(fesp!$A:$A,6))=VALUE(LEFT(B684,6)))*(fesp!$C:$C=C684), 0)), "")</f>
        <v>84</v>
      </c>
      <c r="O684" cm="1">
        <f t="array" aca="1" ref="O684" ca="1">IFERROR(INDEX(fesp!$F:$F, MATCH(1, (VALUE(LEFT(fesp!$A:$A,6))=VALUE(LEFT(B684,6)))*(fesp!$C:$C=C684), 0)), "")</f>
        <v>2314</v>
      </c>
      <c r="P684" cm="1">
        <f t="array" aca="1" ref="P684" ca="1">IFERROR(INDEX(fesp!$G:$G, MATCH(1, (VALUE(LEFT(fesp!$A:$A,6))=VALUE(LEFT(B684,6)))*(fesp!$C:$C=C684), 0)), "")</f>
        <v>2804829</v>
      </c>
      <c r="Q684" cm="1">
        <f t="array" aca="1" ref="Q684" ca="1">IFERROR(INDEX(fesp!$H:$H, MATCH(1, (VALUE(LEFT(fesp!$A:$A,6))=VALUE(LEFT(B684,6)))*(fesp!$C:$C=C684), 0)), "")</f>
        <v>51</v>
      </c>
      <c r="R684" cm="1">
        <f t="array" aca="1" ref="R684" ca="1">IFERROR(INDEX(fesp!$I:$I, MATCH(1, (VALUE(LEFT(fesp!$A:$A,6))=VALUE(LEFT(B684,6)))*(fesp!$C:$C=C684), 0)), "")</f>
        <v>170705</v>
      </c>
      <c r="S684" cm="1">
        <f t="array" aca="1" ref="S684" ca="1">IFERROR(INDEX(fesp!$J:$J, MATCH(1, (VALUE(LEFT(fesp!$A:$A,6))=VALUE(LEFT(B684,6)))*(fesp!$C:$C=C684), 0)), "")</f>
        <v>289093</v>
      </c>
    </row>
    <row r="685" spans="1:19">
      <c r="A685" s="1" t="s">
        <v>81</v>
      </c>
      <c r="B685" s="3">
        <v>5201405</v>
      </c>
      <c r="C685" s="3">
        <v>2016</v>
      </c>
      <c r="D685" cm="1">
        <f t="array" ref="D685">IFERROR(INDEX(fesp!$D:$D, MATCH(1, (VALUE(LEFT(fesp!$A:$A,6))=VALUE(LEFT(B685,6)))*(fesp!$C:$C=C685), 0)), "")</f>
        <v>0</v>
      </c>
      <c r="E685" cm="1">
        <f t="array" aca="1" ref="E685" ca="1">IFERROR(INDEX(ft_medicos_clinicos!$C:$C, MATCH(1, (VALUE(LEFT(ft_medicos_clinicos!$A:$A,6))=VALUE(LEFT(B685,6)))*(ft_medicos_clinicos!$B:$B=C685), 0)), "")</f>
        <v>237</v>
      </c>
      <c r="F685" cm="1">
        <f t="array" aca="1" ref="F685" ca="1">IFERROR(INDEX(ft_enfermeiros!$C:$C, MATCH(1, (VALUE(LEFT(ft_enfermeiros!$A:$A,6))=VALUE(LEFT(B685,6)))*(ft_enfermeiros!$B:$B=C685), 0)), "")</f>
        <v>318</v>
      </c>
      <c r="G685" cm="1">
        <f t="array" aca="1" ref="G685" ca="1">IFERROR(INDEX(ft_equipes_acs!$C:$C, MATCH(1, (VALUE(LEFT(ft_equipes_acs!$A:$A,6))=VALUE(LEFT(B685,6)))*(ft_equipes_acs!$B:$B=C685), 0)), "")</f>
        <v>2</v>
      </c>
      <c r="H685" cm="1">
        <f t="array" aca="1" ref="H685" ca="1">IFERROR(INDEX(ci_leitos_internacao!$C:$C, MATCH(1, (VALUE(LEFT(ci_leitos_internacao!$A:$A,6))=VALUE(LEFT(B685,6)))*(ci_leitos_internacao!$B:$B=C685), 0)), "")</f>
        <v>770</v>
      </c>
      <c r="I685" cm="1">
        <f t="array" aca="1" ref="I685" ca="1">IFERROR(INDEX(ci_hospitais_internacao!$C:$C, MATCH(1, (VALUE(LEFT(ci_hospitais_internacao!$A:$A,6))=VALUE(LEFT(B685,6)))*(ci_hospitais_internacao!$B:$B=C685), 0)), "")</f>
        <v>5</v>
      </c>
      <c r="J685" t="str" cm="1">
        <f t="array" aca="1" ref="J685" ca="1">IFERROR(INDEX(ci_pa_clinico!$C:$C, MATCH(1, (VALUE(LEFT(ci_pa_clinico!$A:$A,6))=VALUE(LEFT(B685,6)))*(ci_pa_clinico!$B:$B=C685), 0)), "")</f>
        <v>-</v>
      </c>
      <c r="K685" cm="1">
        <f t="array" aca="1" ref="K685" ca="1">IFERROR(INDEX(aps_equipes_esf!$C:$C, MATCH(1, (VALUE(LEFT(aps_equipes_esf!$A:$A,6))=VALUE(LEFT(B685,6)))*(aps_equipes_esf!$B:$B=C685), 0)), "")</f>
        <v>57</v>
      </c>
      <c r="L685" cm="1">
        <f t="array" aca="1" ref="L685" ca="1">IFERROR(INDEX(casos!$C:$C, MATCH(1, (VALUE(LEFT(casos!$A:$A,6))=VALUE(LEFT(B685,6)))*(casos!$B:$B=C685), 0)), "")</f>
        <v>11905</v>
      </c>
      <c r="M685" cm="1">
        <f t="array" ref="M685">IFERROR(INDEX(srag!$D:$D, MATCH(1, (VALUE(LEFT(srag!$A:$A,6))=VALUE(LEFT(B685,6)))*(srag!$C:$C=C685), 0)), "")</f>
        <v>105</v>
      </c>
      <c r="N685" cm="1">
        <f t="array" aca="1" ref="N685" ca="1">IFERROR(INDEX(fesp!$E:$E, MATCH(1, (VALUE(LEFT(fesp!$A:$A,6))=VALUE(LEFT(B685,6)))*(fesp!$C:$C=C685), 0)), "")</f>
        <v>56</v>
      </c>
      <c r="O685" cm="1">
        <f t="array" aca="1" ref="O685" ca="1">IFERROR(INDEX(fesp!$F:$F, MATCH(1, (VALUE(LEFT(fesp!$A:$A,6))=VALUE(LEFT(B685,6)))*(fesp!$C:$C=C685), 0)), "")</f>
        <v>1265</v>
      </c>
      <c r="P685" cm="1">
        <f t="array" aca="1" ref="P685" ca="1">IFERROR(INDEX(fesp!$G:$G, MATCH(1, (VALUE(LEFT(fesp!$A:$A,6))=VALUE(LEFT(B685,6)))*(fesp!$C:$C=C685), 0)), "")</f>
        <v>2526520</v>
      </c>
      <c r="Q685" cm="1">
        <f t="array" aca="1" ref="Q685" ca="1">IFERROR(INDEX(fesp!$H:$H, MATCH(1, (VALUE(LEFT(fesp!$A:$A,6))=VALUE(LEFT(B685,6)))*(fesp!$C:$C=C685), 0)), "")</f>
        <v>37</v>
      </c>
      <c r="R685" cm="1">
        <f t="array" aca="1" ref="R685" ca="1">IFERROR(INDEX(fesp!$I:$I, MATCH(1, (VALUE(LEFT(fesp!$A:$A,6))=VALUE(LEFT(B685,6)))*(fesp!$C:$C=C685), 0)), "")</f>
        <v>20315</v>
      </c>
      <c r="S685" cm="1">
        <f t="array" aca="1" ref="S685" ca="1">IFERROR(INDEX(fesp!$J:$J, MATCH(1, (VALUE(LEFT(fesp!$A:$A,6))=VALUE(LEFT(B685,6)))*(fesp!$C:$C=C685), 0)), "")</f>
        <v>179832</v>
      </c>
    </row>
    <row r="686" spans="1:19">
      <c r="A686" s="1" t="s">
        <v>81</v>
      </c>
      <c r="B686" s="3" t="s">
        <v>80</v>
      </c>
      <c r="C686" s="3">
        <v>2017</v>
      </c>
      <c r="D686" cm="1">
        <f t="array" ref="D686">IFERROR(INDEX(fesp!$D:$D, MATCH(1, (VALUE(LEFT(fesp!$A:$A,6))=VALUE(LEFT(B686,6)))*(fesp!$C:$C=C686), 0)), "")</f>
        <v>0</v>
      </c>
      <c r="E686" cm="1">
        <f t="array" aca="1" ref="E686" ca="1">IFERROR(INDEX(ft_medicos_clinicos!$C:$C, MATCH(1, (VALUE(LEFT(ft_medicos_clinicos!$A:$A,6))=VALUE(LEFT(B686,6)))*(ft_medicos_clinicos!$B:$B=C686), 0)), "")</f>
        <v>261</v>
      </c>
      <c r="F686" cm="1">
        <f t="array" aca="1" ref="F686" ca="1">IFERROR(INDEX(ft_enfermeiros!$C:$C, MATCH(1, (VALUE(LEFT(ft_enfermeiros!$A:$A,6))=VALUE(LEFT(B686,6)))*(ft_enfermeiros!$B:$B=C686), 0)), "")</f>
        <v>358</v>
      </c>
      <c r="G686" cm="1">
        <f t="array" aca="1" ref="G686" ca="1">IFERROR(INDEX(ft_equipes_acs!$C:$C, MATCH(1, (VALUE(LEFT(ft_equipes_acs!$A:$A,6))=VALUE(LEFT(B686,6)))*(ft_equipes_acs!$B:$B=C686), 0)), "")</f>
        <v>2</v>
      </c>
      <c r="H686" cm="1">
        <f t="array" aca="1" ref="H686" ca="1">IFERROR(INDEX(ci_leitos_internacao!$C:$C, MATCH(1, (VALUE(LEFT(ci_leitos_internacao!$A:$A,6))=VALUE(LEFT(B686,6)))*(ci_leitos_internacao!$B:$B=C686), 0)), "")</f>
        <v>779</v>
      </c>
      <c r="I686" cm="1">
        <f t="array" aca="1" ref="I686" ca="1">IFERROR(INDEX(ci_hospitais_internacao!$C:$C, MATCH(1, (VALUE(LEFT(ci_hospitais_internacao!$A:$A,6))=VALUE(LEFT(B686,6)))*(ci_hospitais_internacao!$B:$B=C686), 0)), "")</f>
        <v>5</v>
      </c>
      <c r="J686" t="str" cm="1">
        <f t="array" aca="1" ref="J686" ca="1">IFERROR(INDEX(ci_pa_clinico!$C:$C, MATCH(1, (VALUE(LEFT(ci_pa_clinico!$A:$A,6))=VALUE(LEFT(B686,6)))*(ci_pa_clinico!$B:$B=C686), 0)), "")</f>
        <v>-</v>
      </c>
      <c r="K686" cm="1">
        <f t="array" aca="1" ref="K686" ca="1">IFERROR(INDEX(aps_equipes_esf!$C:$C, MATCH(1, (VALUE(LEFT(aps_equipes_esf!$A:$A,6))=VALUE(LEFT(B686,6)))*(aps_equipes_esf!$B:$B=C686), 0)), "")</f>
        <v>63</v>
      </c>
      <c r="L686" cm="1">
        <f t="array" aca="1" ref="L686" ca="1">IFERROR(INDEX(casos!$C:$C, MATCH(1, (VALUE(LEFT(casos!$A:$A,6))=VALUE(LEFT(B686,6)))*(casos!$B:$B=C686), 0)), "")</f>
        <v>11147</v>
      </c>
      <c r="M686" cm="1">
        <f t="array" ref="M686">IFERROR(INDEX(srag!$D:$D, MATCH(1, (VALUE(LEFT(srag!$A:$A,6))=VALUE(LEFT(B686,6)))*(srag!$C:$C=C686), 0)), "")</f>
        <v>73</v>
      </c>
      <c r="N686" cm="1">
        <f t="array" aca="1" ref="N686" ca="1">IFERROR(INDEX(fesp!$E:$E, MATCH(1, (VALUE(LEFT(fesp!$A:$A,6))=VALUE(LEFT(B686,6)))*(fesp!$C:$C=C686), 0)), "")</f>
        <v>56</v>
      </c>
      <c r="O686" cm="1">
        <f t="array" aca="1" ref="O686" ca="1">IFERROR(INDEX(fesp!$F:$F, MATCH(1, (VALUE(LEFT(fesp!$A:$A,6))=VALUE(LEFT(B686,6)))*(fesp!$C:$C=C686), 0)), "")</f>
        <v>3228</v>
      </c>
      <c r="P686" cm="1">
        <f t="array" aca="1" ref="P686" ca="1">IFERROR(INDEX(fesp!$G:$G, MATCH(1, (VALUE(LEFT(fesp!$A:$A,6))=VALUE(LEFT(B686,6)))*(fesp!$C:$C=C686), 0)), "")</f>
        <v>3104968</v>
      </c>
      <c r="Q686" cm="1">
        <f t="array" aca="1" ref="Q686" ca="1">IFERROR(INDEX(fesp!$H:$H, MATCH(1, (VALUE(LEFT(fesp!$A:$A,6))=VALUE(LEFT(B686,6)))*(fesp!$C:$C=C686), 0)), "")</f>
        <v>29</v>
      </c>
      <c r="R686" cm="1">
        <f t="array" aca="1" ref="R686" ca="1">IFERROR(INDEX(fesp!$I:$I, MATCH(1, (VALUE(LEFT(fesp!$A:$A,6))=VALUE(LEFT(B686,6)))*(fesp!$C:$C=C686), 0)), "")</f>
        <v>18739</v>
      </c>
      <c r="S686" cm="1">
        <f t="array" aca="1" ref="S686" ca="1">IFERROR(INDEX(fesp!$J:$J, MATCH(1, (VALUE(LEFT(fesp!$A:$A,6))=VALUE(LEFT(B686,6)))*(fesp!$C:$C=C686), 0)), "")</f>
        <v>816228</v>
      </c>
    </row>
    <row r="687" spans="1:19">
      <c r="A687" s="1" t="s">
        <v>81</v>
      </c>
      <c r="B687" s="3" t="s">
        <v>80</v>
      </c>
      <c r="C687" s="3">
        <v>2018</v>
      </c>
      <c r="D687" cm="1">
        <f t="array" ref="D687">IFERROR(INDEX(fesp!$D:$D, MATCH(1, (VALUE(LEFT(fesp!$A:$A,6))=VALUE(LEFT(B687,6)))*(fesp!$C:$C=C687), 0)), "")</f>
        <v>0</v>
      </c>
      <c r="E687" cm="1">
        <f t="array" aca="1" ref="E687" ca="1">IFERROR(INDEX(ft_medicos_clinicos!$C:$C, MATCH(1, (VALUE(LEFT(ft_medicos_clinicos!$A:$A,6))=VALUE(LEFT(B687,6)))*(ft_medicos_clinicos!$B:$B=C687), 0)), "")</f>
        <v>288</v>
      </c>
      <c r="F687" cm="1">
        <f t="array" aca="1" ref="F687" ca="1">IFERROR(INDEX(ft_enfermeiros!$C:$C, MATCH(1, (VALUE(LEFT(ft_enfermeiros!$A:$A,6))=VALUE(LEFT(B687,6)))*(ft_enfermeiros!$B:$B=C687), 0)), "")</f>
        <v>365</v>
      </c>
      <c r="G687" cm="1">
        <f t="array" aca="1" ref="G687" ca="1">IFERROR(INDEX(ft_equipes_acs!$C:$C, MATCH(1, (VALUE(LEFT(ft_equipes_acs!$A:$A,6))=VALUE(LEFT(B687,6)))*(ft_equipes_acs!$B:$B=C687), 0)), "")</f>
        <v>1</v>
      </c>
      <c r="H687" cm="1">
        <f t="array" aca="1" ref="H687" ca="1">IFERROR(INDEX(ci_leitos_internacao!$C:$C, MATCH(1, (VALUE(LEFT(ci_leitos_internacao!$A:$A,6))=VALUE(LEFT(B687,6)))*(ci_leitos_internacao!$B:$B=C687), 0)), "")</f>
        <v>954</v>
      </c>
      <c r="I687" cm="1">
        <f t="array" aca="1" ref="I687" ca="1">IFERROR(INDEX(ci_hospitais_internacao!$C:$C, MATCH(1, (VALUE(LEFT(ci_hospitais_internacao!$A:$A,6))=VALUE(LEFT(B687,6)))*(ci_hospitais_internacao!$B:$B=C687), 0)), "")</f>
        <v>6</v>
      </c>
      <c r="J687" t="str" cm="1">
        <f t="array" aca="1" ref="J687" ca="1">IFERROR(INDEX(ci_pa_clinico!$C:$C, MATCH(1, (VALUE(LEFT(ci_pa_clinico!$A:$A,6))=VALUE(LEFT(B687,6)))*(ci_pa_clinico!$B:$B=C687), 0)), "")</f>
        <v>-</v>
      </c>
      <c r="K687" cm="1">
        <f t="array" aca="1" ref="K687" ca="1">IFERROR(INDEX(aps_equipes_esf!$C:$C, MATCH(1, (VALUE(LEFT(aps_equipes_esf!$A:$A,6))=VALUE(LEFT(B687,6)))*(aps_equipes_esf!$B:$B=C687), 0)), "")</f>
        <v>56</v>
      </c>
      <c r="L687" cm="1">
        <f t="array" aca="1" ref="L687" ca="1">IFERROR(INDEX(casos!$C:$C, MATCH(1, (VALUE(LEFT(casos!$A:$A,6))=VALUE(LEFT(B687,6)))*(casos!$B:$B=C687), 0)), "")</f>
        <v>17302</v>
      </c>
      <c r="M687" cm="1">
        <f t="array" ref="M687">IFERROR(INDEX(srag!$D:$D, MATCH(1, (VALUE(LEFT(srag!$A:$A,6))=VALUE(LEFT(B687,6)))*(srag!$C:$C=C687), 0)), "")</f>
        <v>153</v>
      </c>
      <c r="N687" cm="1">
        <f t="array" aca="1" ref="N687" ca="1">IFERROR(INDEX(fesp!$E:$E, MATCH(1, (VALUE(LEFT(fesp!$A:$A,6))=VALUE(LEFT(B687,6)))*(fesp!$C:$C=C687), 0)), "")</f>
        <v>24</v>
      </c>
      <c r="O687" cm="1">
        <f t="array" aca="1" ref="O687" ca="1">IFERROR(INDEX(fesp!$F:$F, MATCH(1, (VALUE(LEFT(fesp!$A:$A,6))=VALUE(LEFT(B687,6)))*(fesp!$C:$C=C687), 0)), "")</f>
        <v>4587</v>
      </c>
      <c r="P687" cm="1">
        <f t="array" aca="1" ref="P687" ca="1">IFERROR(INDEX(fesp!$G:$G, MATCH(1, (VALUE(LEFT(fesp!$A:$A,6))=VALUE(LEFT(B687,6)))*(fesp!$C:$C=C687), 0)), "")</f>
        <v>3207366</v>
      </c>
      <c r="Q687" cm="1">
        <f t="array" aca="1" ref="Q687" ca="1">IFERROR(INDEX(fesp!$H:$H, MATCH(1, (VALUE(LEFT(fesp!$A:$A,6))=VALUE(LEFT(B687,6)))*(fesp!$C:$C=C687), 0)), "")</f>
        <v>14</v>
      </c>
      <c r="R687" cm="1">
        <f t="array" aca="1" ref="R687" ca="1">IFERROR(INDEX(fesp!$I:$I, MATCH(1, (VALUE(LEFT(fesp!$A:$A,6))=VALUE(LEFT(B687,6)))*(fesp!$C:$C=C687), 0)), "")</f>
        <v>7058</v>
      </c>
      <c r="S687" cm="1">
        <f t="array" aca="1" ref="S687" ca="1">IFERROR(INDEX(fesp!$J:$J, MATCH(1, (VALUE(LEFT(fesp!$A:$A,6))=VALUE(LEFT(B687,6)))*(fesp!$C:$C=C687), 0)), "")</f>
        <v>1448</v>
      </c>
    </row>
    <row r="688" spans="1:19">
      <c r="A688" s="1" t="s">
        <v>81</v>
      </c>
      <c r="B688" s="3" t="s">
        <v>80</v>
      </c>
      <c r="C688" s="3">
        <v>2019</v>
      </c>
      <c r="D688" cm="1">
        <f t="array" ref="D688">IFERROR(INDEX(fesp!$D:$D, MATCH(1, (VALUE(LEFT(fesp!$A:$A,6))=VALUE(LEFT(B688,6)))*(fesp!$C:$C=C688), 0)), "")</f>
        <v>0</v>
      </c>
      <c r="E688" cm="1">
        <f t="array" aca="1" ref="E688" ca="1">IFERROR(INDEX(ft_medicos_clinicos!$C:$C, MATCH(1, (VALUE(LEFT(ft_medicos_clinicos!$A:$A,6))=VALUE(LEFT(B688,6)))*(ft_medicos_clinicos!$B:$B=C688), 0)), "")</f>
        <v>337</v>
      </c>
      <c r="F688" cm="1">
        <f t="array" aca="1" ref="F688" ca="1">IFERROR(INDEX(ft_enfermeiros!$C:$C, MATCH(1, (VALUE(LEFT(ft_enfermeiros!$A:$A,6))=VALUE(LEFT(B688,6)))*(ft_enfermeiros!$B:$B=C688), 0)), "")</f>
        <v>465</v>
      </c>
      <c r="G688" cm="1">
        <f t="array" aca="1" ref="G688" ca="1">IFERROR(INDEX(ft_equipes_acs!$C:$C, MATCH(1, (VALUE(LEFT(ft_equipes_acs!$A:$A,6))=VALUE(LEFT(B688,6)))*(ft_equipes_acs!$B:$B=C688), 0)), "")</f>
        <v>1</v>
      </c>
      <c r="H688" cm="1">
        <f t="array" aca="1" ref="H688" ca="1">IFERROR(INDEX(ci_leitos_internacao!$C:$C, MATCH(1, (VALUE(LEFT(ci_leitos_internacao!$A:$A,6))=VALUE(LEFT(B688,6)))*(ci_leitos_internacao!$B:$B=C688), 0)), "")</f>
        <v>1072</v>
      </c>
      <c r="I688" cm="1">
        <f t="array" aca="1" ref="I688" ca="1">IFERROR(INDEX(ci_hospitais_internacao!$C:$C, MATCH(1, (VALUE(LEFT(ci_hospitais_internacao!$A:$A,6))=VALUE(LEFT(B688,6)))*(ci_hospitais_internacao!$B:$B=C688), 0)), "")</f>
        <v>6</v>
      </c>
      <c r="J688" t="str" cm="1">
        <f t="array" aca="1" ref="J688" ca="1">IFERROR(INDEX(ci_pa_clinico!$C:$C, MATCH(1, (VALUE(LEFT(ci_pa_clinico!$A:$A,6))=VALUE(LEFT(B688,6)))*(ci_pa_clinico!$B:$B=C688), 0)), "")</f>
        <v>-</v>
      </c>
      <c r="K688" cm="1">
        <f t="array" aca="1" ref="K688" ca="1">IFERROR(INDEX(aps_equipes_esf!$C:$C, MATCH(1, (VALUE(LEFT(aps_equipes_esf!$A:$A,6))=VALUE(LEFT(B688,6)))*(aps_equipes_esf!$B:$B=C688), 0)), "")</f>
        <v>66</v>
      </c>
      <c r="L688" cm="1">
        <f t="array" aca="1" ref="L688" ca="1">IFERROR(INDEX(casos!$C:$C, MATCH(1, (VALUE(LEFT(casos!$A:$A,6))=VALUE(LEFT(B688,6)))*(casos!$B:$B=C688), 0)), "")</f>
        <v>18930</v>
      </c>
      <c r="M688" cm="1">
        <f t="array" ref="M688">IFERROR(INDEX(srag!$D:$D, MATCH(1, (VALUE(LEFT(srag!$A:$A,6))=VALUE(LEFT(B688,6)))*(srag!$C:$C=C688), 0)), "")</f>
        <v>108</v>
      </c>
      <c r="N688" cm="1">
        <f t="array" aca="1" ref="N688" ca="1">IFERROR(INDEX(fesp!$E:$E, MATCH(1, (VALUE(LEFT(fesp!$A:$A,6))=VALUE(LEFT(B688,6)))*(fesp!$C:$C=C688), 0)), "")</f>
        <v>109</v>
      </c>
      <c r="O688" cm="1">
        <f t="array" aca="1" ref="O688" ca="1">IFERROR(INDEX(fesp!$F:$F, MATCH(1, (VALUE(LEFT(fesp!$A:$A,6))=VALUE(LEFT(B688,6)))*(fesp!$C:$C=C688), 0)), "")</f>
        <v>4476</v>
      </c>
      <c r="P688" cm="1">
        <f t="array" aca="1" ref="P688" ca="1">IFERROR(INDEX(fesp!$G:$G, MATCH(1, (VALUE(LEFT(fesp!$A:$A,6))=VALUE(LEFT(B688,6)))*(fesp!$C:$C=C688), 0)), "")</f>
        <v>3751454</v>
      </c>
      <c r="Q688" cm="1">
        <f t="array" aca="1" ref="Q688" ca="1">IFERROR(INDEX(fesp!$H:$H, MATCH(1, (VALUE(LEFT(fesp!$A:$A,6))=VALUE(LEFT(B688,6)))*(fesp!$C:$C=C688), 0)), "")</f>
        <v>17</v>
      </c>
      <c r="R688" cm="1">
        <f t="array" aca="1" ref="R688" ca="1">IFERROR(INDEX(fesp!$I:$I, MATCH(1, (VALUE(LEFT(fesp!$A:$A,6))=VALUE(LEFT(B688,6)))*(fesp!$C:$C=C688), 0)), "")</f>
        <v>211415</v>
      </c>
      <c r="S688" cm="1">
        <f t="array" aca="1" ref="S688" ca="1">IFERROR(INDEX(fesp!$J:$J, MATCH(1, (VALUE(LEFT(fesp!$A:$A,6))=VALUE(LEFT(B688,6)))*(fesp!$C:$C=C688), 0)), "")</f>
        <v>349</v>
      </c>
    </row>
    <row r="689" spans="1:19">
      <c r="A689" s="1" t="s">
        <v>81</v>
      </c>
      <c r="B689" s="3" t="s">
        <v>80</v>
      </c>
      <c r="C689" s="3">
        <v>2020</v>
      </c>
      <c r="D689" cm="1">
        <f t="array" ref="D689">IFERROR(INDEX(fesp!$D:$D, MATCH(1, (VALUE(LEFT(fesp!$A:$A,6))=VALUE(LEFT(B689,6)))*(fesp!$C:$C=C689), 0)), "")</f>
        <v>0</v>
      </c>
      <c r="E689" cm="1">
        <f t="array" aca="1" ref="E689" ca="1">IFERROR(INDEX(ft_medicos_clinicos!$C:$C, MATCH(1, (VALUE(LEFT(ft_medicos_clinicos!$A:$A,6))=VALUE(LEFT(B689,6)))*(ft_medicos_clinicos!$B:$B=C689), 0)), "")</f>
        <v>398</v>
      </c>
      <c r="F689" cm="1">
        <f t="array" aca="1" ref="F689" ca="1">IFERROR(INDEX(ft_enfermeiros!$C:$C, MATCH(1, (VALUE(LEFT(ft_enfermeiros!$A:$A,6))=VALUE(LEFT(B689,6)))*(ft_enfermeiros!$B:$B=C689), 0)), "")</f>
        <v>523</v>
      </c>
      <c r="G689" cm="1">
        <f t="array" aca="1" ref="G689" ca="1">IFERROR(INDEX(ft_equipes_acs!$C:$C, MATCH(1, (VALUE(LEFT(ft_equipes_acs!$A:$A,6))=VALUE(LEFT(B689,6)))*(ft_equipes_acs!$B:$B=C689), 0)), "")</f>
        <v>1</v>
      </c>
      <c r="H689" cm="1">
        <f t="array" aca="1" ref="H689" ca="1">IFERROR(INDEX(ci_leitos_internacao!$C:$C, MATCH(1, (VALUE(LEFT(ci_leitos_internacao!$A:$A,6))=VALUE(LEFT(B689,6)))*(ci_leitos_internacao!$B:$B=C689), 0)), "")</f>
        <v>1268</v>
      </c>
      <c r="I689" cm="1">
        <f t="array" aca="1" ref="I689" ca="1">IFERROR(INDEX(ci_hospitais_internacao!$C:$C, MATCH(1, (VALUE(LEFT(ci_hospitais_internacao!$A:$A,6))=VALUE(LEFT(B689,6)))*(ci_hospitais_internacao!$B:$B=C689), 0)), "")</f>
        <v>7</v>
      </c>
      <c r="J689" t="str" cm="1">
        <f t="array" aca="1" ref="J689" ca="1">IFERROR(INDEX(ci_pa_clinico!$C:$C, MATCH(1, (VALUE(LEFT(ci_pa_clinico!$A:$A,6))=VALUE(LEFT(B689,6)))*(ci_pa_clinico!$B:$B=C689), 0)), "")</f>
        <v>-</v>
      </c>
      <c r="K689" t="str" cm="1">
        <f t="array" aca="1" ref="K689" ca="1">IFERROR(INDEX(aps_equipes_esf!$C:$C, MATCH(1, (VALUE(LEFT(aps_equipes_esf!$A:$A,6))=VALUE(LEFT(B689,6)))*(aps_equipes_esf!$B:$B=C689), 0)), "")</f>
        <v>-</v>
      </c>
      <c r="L689" cm="1">
        <f t="array" aca="1" ref="L689" ca="1">IFERROR(INDEX(casos!$C:$C, MATCH(1, (VALUE(LEFT(casos!$A:$A,6))=VALUE(LEFT(B689,6)))*(casos!$B:$B=C689), 0)), "")</f>
        <v>10623</v>
      </c>
      <c r="M689" cm="1">
        <f t="array" ref="M689">IFERROR(INDEX(srag!$D:$D, MATCH(1, (VALUE(LEFT(srag!$A:$A,6))=VALUE(LEFT(B689,6)))*(srag!$C:$C=C689), 0)), "")</f>
        <v>2760</v>
      </c>
      <c r="N689" cm="1">
        <f t="array" aca="1" ref="N689" ca="1">IFERROR(INDEX(fesp!$E:$E, MATCH(1, (VALUE(LEFT(fesp!$A:$A,6))=VALUE(LEFT(B689,6)))*(fesp!$C:$C=C689), 0)), "")</f>
        <v>112</v>
      </c>
      <c r="O689" cm="1">
        <f t="array" aca="1" ref="O689" ca="1">IFERROR(INDEX(fesp!$F:$F, MATCH(1, (VALUE(LEFT(fesp!$A:$A,6))=VALUE(LEFT(B689,6)))*(fesp!$C:$C=C689), 0)), "")</f>
        <v>3674</v>
      </c>
      <c r="P689" cm="1">
        <f t="array" aca="1" ref="P689" ca="1">IFERROR(INDEX(fesp!$G:$G, MATCH(1, (VALUE(LEFT(fesp!$A:$A,6))=VALUE(LEFT(B689,6)))*(fesp!$C:$C=C689), 0)), "")</f>
        <v>3119960</v>
      </c>
      <c r="Q689" cm="1">
        <f t="array" aca="1" ref="Q689" ca="1">IFERROR(INDEX(fesp!$H:$H, MATCH(1, (VALUE(LEFT(fesp!$A:$A,6))=VALUE(LEFT(B689,6)))*(fesp!$C:$C=C689), 0)), "")</f>
        <v>24</v>
      </c>
      <c r="R689" cm="1">
        <f t="array" aca="1" ref="R689" ca="1">IFERROR(INDEX(fesp!$I:$I, MATCH(1, (VALUE(LEFT(fesp!$A:$A,6))=VALUE(LEFT(B689,6)))*(fesp!$C:$C=C689), 0)), "")</f>
        <v>3501</v>
      </c>
      <c r="S689" cm="1">
        <f t="array" aca="1" ref="S689" ca="1">IFERROR(INDEX(fesp!$J:$J, MATCH(1, (VALUE(LEFT(fesp!$A:$A,6))=VALUE(LEFT(B689,6)))*(fesp!$C:$C=C689), 0)), "")</f>
        <v>971</v>
      </c>
    </row>
    <row r="690" spans="1:19">
      <c r="A690" s="1" t="s">
        <v>81</v>
      </c>
      <c r="B690" s="3" t="s">
        <v>80</v>
      </c>
      <c r="C690" s="3">
        <v>2021</v>
      </c>
      <c r="D690" cm="1">
        <f t="array" ref="D690">IFERROR(INDEX(fesp!$D:$D, MATCH(1, (VALUE(LEFT(fesp!$A:$A,6))=VALUE(LEFT(B690,6)))*(fesp!$C:$C=C690), 0)), "")</f>
        <v>0</v>
      </c>
      <c r="E690" cm="1">
        <f t="array" aca="1" ref="E690" ca="1">IFERROR(INDEX(ft_medicos_clinicos!$C:$C, MATCH(1, (VALUE(LEFT(ft_medicos_clinicos!$A:$A,6))=VALUE(LEFT(B690,6)))*(ft_medicos_clinicos!$B:$B=C690), 0)), "")</f>
        <v>376</v>
      </c>
      <c r="F690" cm="1">
        <f t="array" aca="1" ref="F690" ca="1">IFERROR(INDEX(ft_enfermeiros!$C:$C, MATCH(1, (VALUE(LEFT(ft_enfermeiros!$A:$A,6))=VALUE(LEFT(B690,6)))*(ft_enfermeiros!$B:$B=C690), 0)), "")</f>
        <v>565</v>
      </c>
      <c r="G690" cm="1">
        <f t="array" aca="1" ref="G690" ca="1">IFERROR(INDEX(ft_equipes_acs!$C:$C, MATCH(1, (VALUE(LEFT(ft_equipes_acs!$A:$A,6))=VALUE(LEFT(B690,6)))*(ft_equipes_acs!$B:$B=C690), 0)), "")</f>
        <v>1</v>
      </c>
      <c r="H690" cm="1">
        <f t="array" aca="1" ref="H690" ca="1">IFERROR(INDEX(ci_leitos_internacao!$C:$C, MATCH(1, (VALUE(LEFT(ci_leitos_internacao!$A:$A,6))=VALUE(LEFT(B690,6)))*(ci_leitos_internacao!$B:$B=C690), 0)), "")</f>
        <v>1336</v>
      </c>
      <c r="I690" cm="1">
        <f t="array" aca="1" ref="I690" ca="1">IFERROR(INDEX(ci_hospitais_internacao!$C:$C, MATCH(1, (VALUE(LEFT(ci_hospitais_internacao!$A:$A,6))=VALUE(LEFT(B690,6)))*(ci_hospitais_internacao!$B:$B=C690), 0)), "")</f>
        <v>7</v>
      </c>
      <c r="J690" t="str" cm="1">
        <f t="array" aca="1" ref="J690" ca="1">IFERROR(INDEX(ci_pa_clinico!$C:$C, MATCH(1, (VALUE(LEFT(ci_pa_clinico!$A:$A,6))=VALUE(LEFT(B690,6)))*(ci_pa_clinico!$B:$B=C690), 0)), "")</f>
        <v>-</v>
      </c>
      <c r="K690" t="str" cm="1">
        <f t="array" aca="1" ref="K690" ca="1">IFERROR(INDEX(aps_equipes_esf!$C:$C, MATCH(1, (VALUE(LEFT(aps_equipes_esf!$A:$A,6))=VALUE(LEFT(B690,6)))*(aps_equipes_esf!$B:$B=C690), 0)), "")</f>
        <v>-</v>
      </c>
      <c r="L690" cm="1">
        <f t="array" aca="1" ref="L690" ca="1">IFERROR(INDEX(casos!$C:$C, MATCH(1, (VALUE(LEFT(casos!$A:$A,6))=VALUE(LEFT(B690,6)))*(casos!$B:$B=C690), 0)), "")</f>
        <v>10765</v>
      </c>
      <c r="M690" cm="1">
        <f t="array" ref="M690">IFERROR(INDEX(srag!$D:$D, MATCH(1, (VALUE(LEFT(srag!$A:$A,6))=VALUE(LEFT(B690,6)))*(srag!$C:$C=C690), 0)), "")</f>
        <v>5544</v>
      </c>
      <c r="N690" cm="1">
        <f t="array" aca="1" ref="N690" ca="1">IFERROR(INDEX(fesp!$E:$E, MATCH(1, (VALUE(LEFT(fesp!$A:$A,6))=VALUE(LEFT(B690,6)))*(fesp!$C:$C=C690), 0)), "")</f>
        <v>101</v>
      </c>
      <c r="O690" cm="1">
        <f t="array" aca="1" ref="O690" ca="1">IFERROR(INDEX(fesp!$F:$F, MATCH(1, (VALUE(LEFT(fesp!$A:$A,6))=VALUE(LEFT(B690,6)))*(fesp!$C:$C=C690), 0)), "")</f>
        <v>4320</v>
      </c>
      <c r="P690" cm="1">
        <f t="array" aca="1" ref="P690" ca="1">IFERROR(INDEX(fesp!$G:$G, MATCH(1, (VALUE(LEFT(fesp!$A:$A,6))=VALUE(LEFT(B690,6)))*(fesp!$C:$C=C690), 0)), "")</f>
        <v>3966263</v>
      </c>
      <c r="Q690" cm="1">
        <f t="array" aca="1" ref="Q690" ca="1">IFERROR(INDEX(fesp!$H:$H, MATCH(1, (VALUE(LEFT(fesp!$A:$A,6))=VALUE(LEFT(B690,6)))*(fesp!$C:$C=C690), 0)), "")</f>
        <v>22</v>
      </c>
      <c r="R690" cm="1">
        <f t="array" aca="1" ref="R690" ca="1">IFERROR(INDEX(fesp!$I:$I, MATCH(1, (VALUE(LEFT(fesp!$A:$A,6))=VALUE(LEFT(B690,6)))*(fesp!$C:$C=C690), 0)), "")</f>
        <v>761</v>
      </c>
      <c r="S690" cm="1">
        <f t="array" aca="1" ref="S690" ca="1">IFERROR(INDEX(fesp!$J:$J, MATCH(1, (VALUE(LEFT(fesp!$A:$A,6))=VALUE(LEFT(B690,6)))*(fesp!$C:$C=C690), 0)), "")</f>
        <v>222</v>
      </c>
    </row>
    <row r="691" spans="1:19">
      <c r="A691" s="1" t="s">
        <v>81</v>
      </c>
      <c r="B691" s="3" t="s">
        <v>80</v>
      </c>
      <c r="C691" s="3">
        <v>2022</v>
      </c>
      <c r="D691" cm="1">
        <f t="array" ref="D691">IFERROR(INDEX(fesp!$D:$D, MATCH(1, (VALUE(LEFT(fesp!$A:$A,6))=VALUE(LEFT(B691,6)))*(fesp!$C:$C=C691), 0)), "")</f>
        <v>527796</v>
      </c>
      <c r="E691" cm="1">
        <f t="array" aca="1" ref="E691" ca="1">IFERROR(INDEX(ft_medicos_clinicos!$C:$C, MATCH(1, (VALUE(LEFT(ft_medicos_clinicos!$A:$A,6))=VALUE(LEFT(B691,6)))*(ft_medicos_clinicos!$B:$B=C691), 0)), "")</f>
        <v>395</v>
      </c>
      <c r="F691" cm="1">
        <f t="array" aca="1" ref="F691" ca="1">IFERROR(INDEX(ft_enfermeiros!$C:$C, MATCH(1, (VALUE(LEFT(ft_enfermeiros!$A:$A,6))=VALUE(LEFT(B691,6)))*(ft_enfermeiros!$B:$B=C691), 0)), "")</f>
        <v>654</v>
      </c>
      <c r="G691" cm="1">
        <f t="array" aca="1" ref="G691" ca="1">IFERROR(INDEX(ft_equipes_acs!$C:$C, MATCH(1, (VALUE(LEFT(ft_equipes_acs!$A:$A,6))=VALUE(LEFT(B691,6)))*(ft_equipes_acs!$B:$B=C691), 0)), "")</f>
        <v>1</v>
      </c>
      <c r="H691" cm="1">
        <f t="array" aca="1" ref="H691" ca="1">IFERROR(INDEX(ci_leitos_internacao!$C:$C, MATCH(1, (VALUE(LEFT(ci_leitos_internacao!$A:$A,6))=VALUE(LEFT(B691,6)))*(ci_leitos_internacao!$B:$B=C691), 0)), "")</f>
        <v>1250</v>
      </c>
      <c r="I691" cm="1">
        <f t="array" aca="1" ref="I691" ca="1">IFERROR(INDEX(ci_hospitais_internacao!$C:$C, MATCH(1, (VALUE(LEFT(ci_hospitais_internacao!$A:$A,6))=VALUE(LEFT(B691,6)))*(ci_hospitais_internacao!$B:$B=C691), 0)), "")</f>
        <v>7</v>
      </c>
      <c r="J691" t="str" cm="1">
        <f t="array" aca="1" ref="J691" ca="1">IFERROR(INDEX(ci_pa_clinico!$C:$C, MATCH(1, (VALUE(LEFT(ci_pa_clinico!$A:$A,6))=VALUE(LEFT(B691,6)))*(ci_pa_clinico!$B:$B=C691), 0)), "")</f>
        <v>-</v>
      </c>
      <c r="K691" t="str" cm="1">
        <f t="array" aca="1" ref="K691" ca="1">IFERROR(INDEX(aps_equipes_esf!$C:$C, MATCH(1, (VALUE(LEFT(aps_equipes_esf!$A:$A,6))=VALUE(LEFT(B691,6)))*(aps_equipes_esf!$B:$B=C691), 0)), "")</f>
        <v>-</v>
      </c>
      <c r="L691" cm="1">
        <f t="array" aca="1" ref="L691" ca="1">IFERROR(INDEX(casos!$C:$C, MATCH(1, (VALUE(LEFT(casos!$A:$A,6))=VALUE(LEFT(B691,6)))*(casos!$B:$B=C691), 0)), "")</f>
        <v>25416</v>
      </c>
      <c r="M691" cm="1">
        <f t="array" ref="M691">IFERROR(INDEX(srag!$D:$D, MATCH(1, (VALUE(LEFT(srag!$A:$A,6))=VALUE(LEFT(B691,6)))*(srag!$C:$C=C691), 0)), "")</f>
        <v>1663</v>
      </c>
      <c r="N691" cm="1">
        <f t="array" aca="1" ref="N691" ca="1">IFERROR(INDEX(fesp!$E:$E, MATCH(1, (VALUE(LEFT(fesp!$A:$A,6))=VALUE(LEFT(B691,6)))*(fesp!$C:$C=C691), 0)), "")</f>
        <v>126</v>
      </c>
      <c r="O691" cm="1">
        <f t="array" aca="1" ref="O691" ca="1">IFERROR(INDEX(fesp!$F:$F, MATCH(1, (VALUE(LEFT(fesp!$A:$A,6))=VALUE(LEFT(B691,6)))*(fesp!$C:$C=C691), 0)), "")</f>
        <v>5250</v>
      </c>
      <c r="P691" cm="1">
        <f t="array" aca="1" ref="P691" ca="1">IFERROR(INDEX(fesp!$G:$G, MATCH(1, (VALUE(LEFT(fesp!$A:$A,6))=VALUE(LEFT(B691,6)))*(fesp!$C:$C=C691), 0)), "")</f>
        <v>4635714</v>
      </c>
      <c r="Q691" cm="1">
        <f t="array" aca="1" ref="Q691" ca="1">IFERROR(INDEX(fesp!$H:$H, MATCH(1, (VALUE(LEFT(fesp!$A:$A,6))=VALUE(LEFT(B691,6)))*(fesp!$C:$C=C691), 0)), "")</f>
        <v>28</v>
      </c>
      <c r="R691" cm="1">
        <f t="array" aca="1" ref="R691" ca="1">IFERROR(INDEX(fesp!$I:$I, MATCH(1, (VALUE(LEFT(fesp!$A:$A,6))=VALUE(LEFT(B691,6)))*(fesp!$C:$C=C691), 0)), "")</f>
        <v>968</v>
      </c>
      <c r="S691" cm="1">
        <f t="array" aca="1" ref="S691" ca="1">IFERROR(INDEX(fesp!$J:$J, MATCH(1, (VALUE(LEFT(fesp!$A:$A,6))=VALUE(LEFT(B691,6)))*(fesp!$C:$C=C691), 0)), "")</f>
        <v>348</v>
      </c>
    </row>
    <row r="692" spans="1:19">
      <c r="A692" s="1" t="s">
        <v>81</v>
      </c>
      <c r="B692" s="3" t="s">
        <v>80</v>
      </c>
      <c r="C692" s="3">
        <v>2023</v>
      </c>
      <c r="D692" cm="1">
        <f t="array" ref="D692">IFERROR(INDEX(fesp!$D:$D, MATCH(1, (VALUE(LEFT(fesp!$A:$A,6))=VALUE(LEFT(B692,6)))*(fesp!$C:$C=C692), 0)), "")</f>
        <v>0</v>
      </c>
      <c r="E692" cm="1">
        <f t="array" aca="1" ref="E692" ca="1">IFERROR(INDEX(ft_medicos_clinicos!$C:$C, MATCH(1, (VALUE(LEFT(ft_medicos_clinicos!$A:$A,6))=VALUE(LEFT(B692,6)))*(ft_medicos_clinicos!$B:$B=C692), 0)), "")</f>
        <v>416</v>
      </c>
      <c r="F692" cm="1">
        <f t="array" aca="1" ref="F692" ca="1">IFERROR(INDEX(ft_enfermeiros!$C:$C, MATCH(1, (VALUE(LEFT(ft_enfermeiros!$A:$A,6))=VALUE(LEFT(B692,6)))*(ft_enfermeiros!$B:$B=C692), 0)), "")</f>
        <v>715</v>
      </c>
      <c r="G692" t="str" cm="1">
        <f t="array" aca="1" ref="G692" ca="1">IFERROR(INDEX(ft_equipes_acs!$C:$C, MATCH(1, (VALUE(LEFT(ft_equipes_acs!$A:$A,6))=VALUE(LEFT(B692,6)))*(ft_equipes_acs!$B:$B=C692), 0)), "")</f>
        <v>-</v>
      </c>
      <c r="H692" cm="1">
        <f t="array" aca="1" ref="H692" ca="1">IFERROR(INDEX(ci_leitos_internacao!$C:$C, MATCH(1, (VALUE(LEFT(ci_leitos_internacao!$A:$A,6))=VALUE(LEFT(B692,6)))*(ci_leitos_internacao!$B:$B=C692), 0)), "")</f>
        <v>1251</v>
      </c>
      <c r="I692" cm="1">
        <f t="array" aca="1" ref="I692" ca="1">IFERROR(INDEX(ci_hospitais_internacao!$C:$C, MATCH(1, (VALUE(LEFT(ci_hospitais_internacao!$A:$A,6))=VALUE(LEFT(B692,6)))*(ci_hospitais_internacao!$B:$B=C692), 0)), "")</f>
        <v>7</v>
      </c>
      <c r="J692" cm="1">
        <f t="array" aca="1" ref="J692" ca="1">IFERROR(INDEX(ci_pa_clinico!$C:$C, MATCH(1, (VALUE(LEFT(ci_pa_clinico!$A:$A,6))=VALUE(LEFT(B692,6)))*(ci_pa_clinico!$B:$B=C692), 0)), "")</f>
        <v>1</v>
      </c>
      <c r="K692" t="str" cm="1">
        <f t="array" aca="1" ref="K692" ca="1">IFERROR(INDEX(aps_equipes_esf!$C:$C, MATCH(1, (VALUE(LEFT(aps_equipes_esf!$A:$A,6))=VALUE(LEFT(B692,6)))*(aps_equipes_esf!$B:$B=C692), 0)), "")</f>
        <v>-</v>
      </c>
      <c r="L692" cm="1">
        <f t="array" aca="1" ref="L692" ca="1">IFERROR(INDEX(casos!$C:$C, MATCH(1, (VALUE(LEFT(casos!$A:$A,6))=VALUE(LEFT(B692,6)))*(casos!$B:$B=C692), 0)), "")</f>
        <v>15340</v>
      </c>
      <c r="M692" cm="1">
        <f t="array" ref="M692">IFERROR(INDEX(srag!$D:$D, MATCH(1, (VALUE(LEFT(srag!$A:$A,6))=VALUE(LEFT(B692,6)))*(srag!$C:$C=C692), 0)), "")</f>
        <v>1185</v>
      </c>
      <c r="N692" cm="1">
        <f t="array" aca="1" ref="N692" ca="1">IFERROR(INDEX(fesp!$E:$E, MATCH(1, (VALUE(LEFT(fesp!$A:$A,6))=VALUE(LEFT(B692,6)))*(fesp!$C:$C=C692), 0)), "")</f>
        <v>89</v>
      </c>
      <c r="O692" cm="1">
        <f t="array" aca="1" ref="O692" ca="1">IFERROR(INDEX(fesp!$F:$F, MATCH(1, (VALUE(LEFT(fesp!$A:$A,6))=VALUE(LEFT(B692,6)))*(fesp!$C:$C=C692), 0)), "")</f>
        <v>7791</v>
      </c>
      <c r="P692" cm="1">
        <f t="array" aca="1" ref="P692" ca="1">IFERROR(INDEX(fesp!$G:$G, MATCH(1, (VALUE(LEFT(fesp!$A:$A,6))=VALUE(LEFT(B692,6)))*(fesp!$C:$C=C692), 0)), "")</f>
        <v>4821530</v>
      </c>
      <c r="Q692" cm="1">
        <f t="array" aca="1" ref="Q692" ca="1">IFERROR(INDEX(fesp!$H:$H, MATCH(1, (VALUE(LEFT(fesp!$A:$A,6))=VALUE(LEFT(B692,6)))*(fesp!$C:$C=C692), 0)), "")</f>
        <v>28</v>
      </c>
      <c r="R692" cm="1">
        <f t="array" aca="1" ref="R692" ca="1">IFERROR(INDEX(fesp!$I:$I, MATCH(1, (VALUE(LEFT(fesp!$A:$A,6))=VALUE(LEFT(B692,6)))*(fesp!$C:$C=C692), 0)), "")</f>
        <v>652</v>
      </c>
      <c r="S692" cm="1">
        <f t="array" aca="1" ref="S692" ca="1">IFERROR(INDEX(fesp!$J:$J, MATCH(1, (VALUE(LEFT(fesp!$A:$A,6))=VALUE(LEFT(B692,6)))*(fesp!$C:$C=C692), 0)), "")</f>
        <v>0</v>
      </c>
    </row>
    <row r="693" spans="1:19">
      <c r="A693" s="1" t="s">
        <v>81</v>
      </c>
      <c r="B693" s="3" t="s">
        <v>80</v>
      </c>
      <c r="C693" s="3">
        <v>2024</v>
      </c>
      <c r="D693" cm="1">
        <f t="array" ref="D693">IFERROR(INDEX(fesp!$D:$D, MATCH(1, (VALUE(LEFT(fesp!$A:$A,6))=VALUE(LEFT(B693,6)))*(fesp!$C:$C=C693), 0)), "")</f>
        <v>0</v>
      </c>
      <c r="E693" cm="1">
        <f t="array" aca="1" ref="E693" ca="1">IFERROR(INDEX(ft_medicos_clinicos!$C:$C, MATCH(1, (VALUE(LEFT(ft_medicos_clinicos!$A:$A,6))=VALUE(LEFT(B693,6)))*(ft_medicos_clinicos!$B:$B=C693), 0)), "")</f>
        <v>488</v>
      </c>
      <c r="F693" cm="1">
        <f t="array" aca="1" ref="F693" ca="1">IFERROR(INDEX(ft_enfermeiros!$C:$C, MATCH(1, (VALUE(LEFT(ft_enfermeiros!$A:$A,6))=VALUE(LEFT(B693,6)))*(ft_enfermeiros!$B:$B=C693), 0)), "")</f>
        <v>747</v>
      </c>
      <c r="G693" t="str" cm="1">
        <f t="array" aca="1" ref="G693" ca="1">IFERROR(INDEX(ft_equipes_acs!$C:$C, MATCH(1, (VALUE(LEFT(ft_equipes_acs!$A:$A,6))=VALUE(LEFT(B693,6)))*(ft_equipes_acs!$B:$B=C693), 0)), "")</f>
        <v>-</v>
      </c>
      <c r="H693" cm="1">
        <f t="array" aca="1" ref="H693" ca="1">IFERROR(INDEX(ci_leitos_internacao!$C:$C, MATCH(1, (VALUE(LEFT(ci_leitos_internacao!$A:$A,6))=VALUE(LEFT(B693,6)))*(ci_leitos_internacao!$B:$B=C693), 0)), "")</f>
        <v>1270</v>
      </c>
      <c r="I693" cm="1">
        <f t="array" aca="1" ref="I693" ca="1">IFERROR(INDEX(ci_hospitais_internacao!$C:$C, MATCH(1, (VALUE(LEFT(ci_hospitais_internacao!$A:$A,6))=VALUE(LEFT(B693,6)))*(ci_hospitais_internacao!$B:$B=C693), 0)), "")</f>
        <v>6</v>
      </c>
      <c r="J693" cm="1">
        <f t="array" aca="1" ref="J693" ca="1">IFERROR(INDEX(ci_pa_clinico!$C:$C, MATCH(1, (VALUE(LEFT(ci_pa_clinico!$A:$A,6))=VALUE(LEFT(B693,6)))*(ci_pa_clinico!$B:$B=C693), 0)), "")</f>
        <v>1</v>
      </c>
      <c r="K693" t="str" cm="1">
        <f t="array" aca="1" ref="K693" ca="1">IFERROR(INDEX(aps_equipes_esf!$C:$C, MATCH(1, (VALUE(LEFT(aps_equipes_esf!$A:$A,6))=VALUE(LEFT(B693,6)))*(aps_equipes_esf!$B:$B=C693), 0)), "")</f>
        <v>-</v>
      </c>
      <c r="L693" cm="1">
        <f t="array" aca="1" ref="L693" ca="1">IFERROR(INDEX(casos!$C:$C, MATCH(1, (VALUE(LEFT(casos!$A:$A,6))=VALUE(LEFT(B693,6)))*(casos!$B:$B=C693), 0)), "")</f>
        <v>23303</v>
      </c>
      <c r="M693" cm="1">
        <f t="array" ref="M693">IFERROR(INDEX(srag!$D:$D, MATCH(1, (VALUE(LEFT(srag!$A:$A,6))=VALUE(LEFT(B693,6)))*(srag!$C:$C=C693), 0)), "")</f>
        <v>895</v>
      </c>
      <c r="N693" cm="1">
        <f t="array" aca="1" ref="N693" ca="1">IFERROR(INDEX(fesp!$E:$E, MATCH(1, (VALUE(LEFT(fesp!$A:$A,6))=VALUE(LEFT(B693,6)))*(fesp!$C:$C=C693), 0)), "")</f>
        <v>70</v>
      </c>
      <c r="O693" cm="1">
        <f t="array" aca="1" ref="O693" ca="1">IFERROR(INDEX(fesp!$F:$F, MATCH(1, (VALUE(LEFT(fesp!$A:$A,6))=VALUE(LEFT(B693,6)))*(fesp!$C:$C=C693), 0)), "")</f>
        <v>10087</v>
      </c>
      <c r="P693" cm="1">
        <f t="array" aca="1" ref="P693" ca="1">IFERROR(INDEX(fesp!$G:$G, MATCH(1, (VALUE(LEFT(fesp!$A:$A,6))=VALUE(LEFT(B693,6)))*(fesp!$C:$C=C693), 0)), "")</f>
        <v>5546612</v>
      </c>
      <c r="Q693" cm="1">
        <f t="array" aca="1" ref="Q693" ca="1">IFERROR(INDEX(fesp!$H:$H, MATCH(1, (VALUE(LEFT(fesp!$A:$A,6))=VALUE(LEFT(B693,6)))*(fesp!$C:$C=C693), 0)), "")</f>
        <v>12</v>
      </c>
      <c r="R693" cm="1">
        <f t="array" aca="1" ref="R693" ca="1">IFERROR(INDEX(fesp!$I:$I, MATCH(1, (VALUE(LEFT(fesp!$A:$A,6))=VALUE(LEFT(B693,6)))*(fesp!$C:$C=C693), 0)), "")</f>
        <v>673</v>
      </c>
      <c r="S693" cm="1">
        <f t="array" aca="1" ref="S693" ca="1">IFERROR(INDEX(fesp!$J:$J, MATCH(1, (VALUE(LEFT(fesp!$A:$A,6))=VALUE(LEFT(B693,6)))*(fesp!$C:$C=C693), 0)), "")</f>
        <v>2893</v>
      </c>
    </row>
    <row r="694" spans="1:19">
      <c r="A694" s="1" t="s">
        <v>81</v>
      </c>
      <c r="B694" s="3">
        <v>5201405</v>
      </c>
      <c r="C694" s="3">
        <v>2025</v>
      </c>
      <c r="D694" cm="1">
        <f t="array" ref="D694">IFERROR(INDEX(fesp!$D:$D, MATCH(1, (VALUE(LEFT(fesp!$A:$A,6))=VALUE(LEFT(B694,6)))*(fesp!$C:$C=C694), 0)), "")</f>
        <v>0</v>
      </c>
      <c r="E694" cm="1">
        <f t="array" aca="1" ref="E694" ca="1">IFERROR(INDEX(ft_medicos_clinicos!$C:$C, MATCH(1, (VALUE(LEFT(ft_medicos_clinicos!$A:$A,6))=VALUE(LEFT(B694,6)))*(ft_medicos_clinicos!$B:$B=C694), 0)), "")</f>
        <v>474</v>
      </c>
      <c r="F694" cm="1">
        <f t="array" aca="1" ref="F694" ca="1">IFERROR(INDEX(ft_enfermeiros!$C:$C, MATCH(1, (VALUE(LEFT(ft_enfermeiros!$A:$A,6))=VALUE(LEFT(B694,6)))*(ft_enfermeiros!$B:$B=C694), 0)), "")</f>
        <v>747</v>
      </c>
      <c r="G694" t="str" cm="1">
        <f t="array" aca="1" ref="G694" ca="1">IFERROR(INDEX(ft_equipes_acs!$C:$C, MATCH(1, (VALUE(LEFT(ft_equipes_acs!$A:$A,6))=VALUE(LEFT(B694,6)))*(ft_equipes_acs!$B:$B=C694), 0)), "")</f>
        <v>-</v>
      </c>
      <c r="H694" cm="1">
        <f t="array" aca="1" ref="H694" ca="1">IFERROR(INDEX(ci_leitos_internacao!$C:$C, MATCH(1, (VALUE(LEFT(ci_leitos_internacao!$A:$A,6))=VALUE(LEFT(B694,6)))*(ci_leitos_internacao!$B:$B=C694), 0)), "")</f>
        <v>1247</v>
      </c>
      <c r="I694" cm="1">
        <f t="array" aca="1" ref="I694" ca="1">IFERROR(INDEX(ci_hospitais_internacao!$C:$C, MATCH(1, (VALUE(LEFT(ci_hospitais_internacao!$A:$A,6))=VALUE(LEFT(B694,6)))*(ci_hospitais_internacao!$B:$B=C694), 0)), "")</f>
        <v>6</v>
      </c>
      <c r="J694" cm="1">
        <f t="array" aca="1" ref="J694" ca="1">IFERROR(INDEX(ci_pa_clinico!$C:$C, MATCH(1, (VALUE(LEFT(ci_pa_clinico!$A:$A,6))=VALUE(LEFT(B694,6)))*(ci_pa_clinico!$B:$B=C694), 0)), "")</f>
        <v>1</v>
      </c>
      <c r="K694" t="str" cm="1">
        <f t="array" aca="1" ref="K694" ca="1">IFERROR(INDEX(aps_equipes_esf!$C:$C, MATCH(1, (VALUE(LEFT(aps_equipes_esf!$A:$A,6))=VALUE(LEFT(B694,6)))*(aps_equipes_esf!$B:$B=C694), 0)), "")</f>
        <v>-</v>
      </c>
      <c r="L694" cm="1">
        <f t="array" aca="1" ref="L694" ca="1">IFERROR(INDEX(casos!$C:$C, MATCH(1, (VALUE(LEFT(casos!$A:$A,6))=VALUE(LEFT(B694,6)))*(casos!$B:$B=C694), 0)), "")</f>
        <v>15707</v>
      </c>
      <c r="M694" cm="1">
        <f t="array" ref="M694">IFERROR(INDEX(srag!$D:$D, MATCH(1, (VALUE(LEFT(srag!$A:$A,6))=VALUE(LEFT(B694,6)))*(srag!$C:$C=C694), 0)), "")</f>
        <v>1169</v>
      </c>
      <c r="N694" cm="1">
        <f t="array" aca="1" ref="N694" ca="1">IFERROR(INDEX(fesp!$E:$E, MATCH(1, (VALUE(LEFT(fesp!$A:$A,6))=VALUE(LEFT(B694,6)))*(fesp!$C:$C=C694), 0)), "")</f>
        <v>95</v>
      </c>
      <c r="O694" cm="1">
        <f t="array" aca="1" ref="O694" ca="1">IFERROR(INDEX(fesp!$F:$F, MATCH(1, (VALUE(LEFT(fesp!$A:$A,6))=VALUE(LEFT(B694,6)))*(fesp!$C:$C=C694), 0)), "")</f>
        <v>10427</v>
      </c>
      <c r="P694" cm="1">
        <f t="array" aca="1" ref="P694" ca="1">IFERROR(INDEX(fesp!$G:$G, MATCH(1, (VALUE(LEFT(fesp!$A:$A,6))=VALUE(LEFT(B694,6)))*(fesp!$C:$C=C694), 0)), "")</f>
        <v>4936507</v>
      </c>
      <c r="Q694" cm="1">
        <f t="array" aca="1" ref="Q694" ca="1">IFERROR(INDEX(fesp!$H:$H, MATCH(1, (VALUE(LEFT(fesp!$A:$A,6))=VALUE(LEFT(B694,6)))*(fesp!$C:$C=C694), 0)), "")</f>
        <v>12</v>
      </c>
      <c r="R694" cm="1">
        <f t="array" aca="1" ref="R694" ca="1">IFERROR(INDEX(fesp!$I:$I, MATCH(1, (VALUE(LEFT(fesp!$A:$A,6))=VALUE(LEFT(B694,6)))*(fesp!$C:$C=C694), 0)), "")</f>
        <v>561</v>
      </c>
      <c r="S694" cm="1">
        <f t="array" aca="1" ref="S694" ca="1">IFERROR(INDEX(fesp!$J:$J, MATCH(1, (VALUE(LEFT(fesp!$A:$A,6))=VALUE(LEFT(B694,6)))*(fesp!$C:$C=C694), 0)), "")</f>
        <v>2472</v>
      </c>
    </row>
    <row r="695" spans="1:19">
      <c r="A695" s="1" t="s">
        <v>19</v>
      </c>
      <c r="B695" s="3">
        <v>5208707</v>
      </c>
      <c r="C695" s="3">
        <v>2015</v>
      </c>
      <c r="D695" cm="1">
        <f t="array" ref="D695">IFERROR(INDEX(fesp!$D:$D, MATCH(1, (VALUE(LEFT(fesp!$A:$A,6))=VALUE(LEFT(B695,6)))*(fesp!$C:$C=C695), 0)), "")</f>
        <v>1430697</v>
      </c>
      <c r="E695" cm="1">
        <f t="array" aca="1" ref="E695" ca="1">IFERROR(INDEX(ft_medicos_clinicos!$C:$C, MATCH(1, (VALUE(LEFT(ft_medicos_clinicos!$A:$A,6))=VALUE(LEFT(B695,6)))*(ft_medicos_clinicos!$B:$B=C695), 0)), "")</f>
        <v>1094</v>
      </c>
      <c r="F695" cm="1">
        <f t="array" aca="1" ref="F695" ca="1">IFERROR(INDEX(ft_enfermeiros!$C:$C, MATCH(1, (VALUE(LEFT(ft_enfermeiros!$A:$A,6))=VALUE(LEFT(B695,6)))*(ft_enfermeiros!$B:$B=C695), 0)), "")</f>
        <v>1390</v>
      </c>
      <c r="G695" t="str" cm="1">
        <f t="array" aca="1" ref="G695" ca="1">IFERROR(INDEX(ft_equipes_acs!$C:$C, MATCH(1, (VALUE(LEFT(ft_equipes_acs!$A:$A,6))=VALUE(LEFT(B695,6)))*(ft_equipes_acs!$B:$B=C695), 0)), "")</f>
        <v/>
      </c>
      <c r="H695" cm="1">
        <f t="array" aca="1" ref="H695" ca="1">IFERROR(INDEX(ci_leitos_internacao!$C:$C, MATCH(1, (VALUE(LEFT(ci_leitos_internacao!$A:$A,6))=VALUE(LEFT(B695,6)))*(ci_leitos_internacao!$B:$B=C695), 0)), "")</f>
        <v>6547</v>
      </c>
      <c r="I695" cm="1">
        <f t="array" aca="1" ref="I695" ca="1">IFERROR(INDEX(ci_hospitais_internacao!$C:$C, MATCH(1, (VALUE(LEFT(ci_hospitais_internacao!$A:$A,6))=VALUE(LEFT(B695,6)))*(ci_hospitais_internacao!$B:$B=C695), 0)), "")</f>
        <v>31</v>
      </c>
      <c r="J695" t="str" cm="1">
        <f t="array" aca="1" ref="J695" ca="1">IFERROR(INDEX(ci_pa_clinico!$C:$C, MATCH(1, (VALUE(LEFT(ci_pa_clinico!$A:$A,6))=VALUE(LEFT(B695,6)))*(ci_pa_clinico!$B:$B=C695), 0)), "")</f>
        <v/>
      </c>
      <c r="K695" cm="1">
        <f t="array" aca="1" ref="K695" ca="1">IFERROR(INDEX(aps_equipes_esf!$C:$C, MATCH(1, (VALUE(LEFT(aps_equipes_esf!$A:$A,6))=VALUE(LEFT(B695,6)))*(aps_equipes_esf!$B:$B=C695), 0)), "")</f>
        <v>91</v>
      </c>
      <c r="L695" cm="1">
        <f t="array" aca="1" ref="L695" ca="1">IFERROR(INDEX(casos!$C:$C, MATCH(1, (VALUE(LEFT(casos!$A:$A,6))=VALUE(LEFT(B695,6)))*(casos!$B:$B=C695), 0)), "")</f>
        <v>82685</v>
      </c>
      <c r="M695" cm="1">
        <f t="array" ref="M695">IFERROR(INDEX(srag!$D:$D, MATCH(1, (VALUE(LEFT(srag!$A:$A,6))=VALUE(LEFT(B695,6)))*(srag!$C:$C=C695), 0)), "")</f>
        <v>76</v>
      </c>
      <c r="N695" cm="1">
        <f t="array" aca="1" ref="N695" ca="1">IFERROR(INDEX(fesp!$E:$E, MATCH(1, (VALUE(LEFT(fesp!$A:$A,6))=VALUE(LEFT(B695,6)))*(fesp!$C:$C=C695), 0)), "")</f>
        <v>500</v>
      </c>
      <c r="O695" cm="1">
        <f t="array" aca="1" ref="O695" ca="1">IFERROR(INDEX(fesp!$F:$F, MATCH(1, (VALUE(LEFT(fesp!$A:$A,6))=VALUE(LEFT(B695,6)))*(fesp!$C:$C=C695), 0)), "")</f>
        <v>18694</v>
      </c>
      <c r="P695" cm="1">
        <f t="array" aca="1" ref="P695" ca="1">IFERROR(INDEX(fesp!$G:$G, MATCH(1, (VALUE(LEFT(fesp!$A:$A,6))=VALUE(LEFT(B695,6)))*(fesp!$C:$C=C695), 0)), "")</f>
        <v>8567214</v>
      </c>
      <c r="Q695" cm="1">
        <f t="array" aca="1" ref="Q695" ca="1">IFERROR(INDEX(fesp!$H:$H, MATCH(1, (VALUE(LEFT(fesp!$A:$A,6))=VALUE(LEFT(B695,6)))*(fesp!$C:$C=C695), 0)), "")</f>
        <v>154</v>
      </c>
      <c r="R695" cm="1">
        <f t="array" aca="1" ref="R695" ca="1">IFERROR(INDEX(fesp!$I:$I, MATCH(1, (VALUE(LEFT(fesp!$A:$A,6))=VALUE(LEFT(B695,6)))*(fesp!$C:$C=C695), 0)), "")</f>
        <v>62757</v>
      </c>
      <c r="S695" cm="1">
        <f t="array" aca="1" ref="S695" ca="1">IFERROR(INDEX(fesp!$J:$J, MATCH(1, (VALUE(LEFT(fesp!$A:$A,6))=VALUE(LEFT(B695,6)))*(fesp!$C:$C=C695), 0)), "")</f>
        <v>898198</v>
      </c>
    </row>
    <row r="696" spans="1:19">
      <c r="A696" s="1" t="s">
        <v>19</v>
      </c>
      <c r="B696" s="3" t="s">
        <v>18</v>
      </c>
      <c r="C696" s="3">
        <v>2016</v>
      </c>
      <c r="D696" cm="1">
        <f t="array" ref="D696">IFERROR(INDEX(fesp!$D:$D, MATCH(1, (VALUE(LEFT(fesp!$A:$A,6))=VALUE(LEFT(B696,6)))*(fesp!$C:$C=C696), 0)), "")</f>
        <v>0</v>
      </c>
      <c r="E696" cm="1">
        <f t="array" aca="1" ref="E696" ca="1">IFERROR(INDEX(ft_medicos_clinicos!$C:$C, MATCH(1, (VALUE(LEFT(ft_medicos_clinicos!$A:$A,6))=VALUE(LEFT(B696,6)))*(ft_medicos_clinicos!$B:$B=C696), 0)), "")</f>
        <v>1118</v>
      </c>
      <c r="F696" cm="1">
        <f t="array" aca="1" ref="F696" ca="1">IFERROR(INDEX(ft_enfermeiros!$C:$C, MATCH(1, (VALUE(LEFT(ft_enfermeiros!$A:$A,6))=VALUE(LEFT(B696,6)))*(ft_enfermeiros!$B:$B=C696), 0)), "")</f>
        <v>1619</v>
      </c>
      <c r="G696" t="str" cm="1">
        <f t="array" aca="1" ref="G696" ca="1">IFERROR(INDEX(ft_equipes_acs!$C:$C, MATCH(1, (VALUE(LEFT(ft_equipes_acs!$A:$A,6))=VALUE(LEFT(B696,6)))*(ft_equipes_acs!$B:$B=C696), 0)), "")</f>
        <v/>
      </c>
      <c r="H696" cm="1">
        <f t="array" aca="1" ref="H696" ca="1">IFERROR(INDEX(ci_leitos_internacao!$C:$C, MATCH(1, (VALUE(LEFT(ci_leitos_internacao!$A:$A,6))=VALUE(LEFT(B696,6)))*(ci_leitos_internacao!$B:$B=C696), 0)), "")</f>
        <v>6724</v>
      </c>
      <c r="I696" cm="1">
        <f t="array" aca="1" ref="I696" ca="1">IFERROR(INDEX(ci_hospitais_internacao!$C:$C, MATCH(1, (VALUE(LEFT(ci_hospitais_internacao!$A:$A,6))=VALUE(LEFT(B696,6)))*(ci_hospitais_internacao!$B:$B=C696), 0)), "")</f>
        <v>31</v>
      </c>
      <c r="J696" t="str" cm="1">
        <f t="array" aca="1" ref="J696" ca="1">IFERROR(INDEX(ci_pa_clinico!$C:$C, MATCH(1, (VALUE(LEFT(ci_pa_clinico!$A:$A,6))=VALUE(LEFT(B696,6)))*(ci_pa_clinico!$B:$B=C696), 0)), "")</f>
        <v/>
      </c>
      <c r="K696" cm="1">
        <f t="array" aca="1" ref="K696" ca="1">IFERROR(INDEX(aps_equipes_esf!$C:$C, MATCH(1, (VALUE(LEFT(aps_equipes_esf!$A:$A,6))=VALUE(LEFT(B696,6)))*(aps_equipes_esf!$B:$B=C696), 0)), "")</f>
        <v>89</v>
      </c>
      <c r="L696" cm="1">
        <f t="array" aca="1" ref="L696" ca="1">IFERROR(INDEX(casos!$C:$C, MATCH(1, (VALUE(LEFT(casos!$A:$A,6))=VALUE(LEFT(B696,6)))*(casos!$B:$B=C696), 0)), "")</f>
        <v>62649</v>
      </c>
      <c r="M696" cm="1">
        <f t="array" ref="M696">IFERROR(INDEX(srag!$D:$D, MATCH(1, (VALUE(LEFT(srag!$A:$A,6))=VALUE(LEFT(B696,6)))*(srag!$C:$C=C696), 0)), "")</f>
        <v>309</v>
      </c>
      <c r="N696" cm="1">
        <f t="array" aca="1" ref="N696" ca="1">IFERROR(INDEX(fesp!$E:$E, MATCH(1, (VALUE(LEFT(fesp!$A:$A,6))=VALUE(LEFT(B696,6)))*(fesp!$C:$C=C696), 0)), "")</f>
        <v>394</v>
      </c>
      <c r="O696" cm="1">
        <f t="array" aca="1" ref="O696" ca="1">IFERROR(INDEX(fesp!$F:$F, MATCH(1, (VALUE(LEFT(fesp!$A:$A,6))=VALUE(LEFT(B696,6)))*(fesp!$C:$C=C696), 0)), "")</f>
        <v>15833</v>
      </c>
      <c r="P696" cm="1">
        <f t="array" aca="1" ref="P696" ca="1">IFERROR(INDEX(fesp!$G:$G, MATCH(1, (VALUE(LEFT(fesp!$A:$A,6))=VALUE(LEFT(B696,6)))*(fesp!$C:$C=C696), 0)), "")</f>
        <v>8804248</v>
      </c>
      <c r="Q696" cm="1">
        <f t="array" aca="1" ref="Q696" ca="1">IFERROR(INDEX(fesp!$H:$H, MATCH(1, (VALUE(LEFT(fesp!$A:$A,6))=VALUE(LEFT(B696,6)))*(fesp!$C:$C=C696), 0)), "")</f>
        <v>168</v>
      </c>
      <c r="R696" cm="1">
        <f t="array" aca="1" ref="R696" ca="1">IFERROR(INDEX(fesp!$I:$I, MATCH(1, (VALUE(LEFT(fesp!$A:$A,6))=VALUE(LEFT(B696,6)))*(fesp!$C:$C=C696), 0)), "")</f>
        <v>65811</v>
      </c>
      <c r="S696" cm="1">
        <f t="array" aca="1" ref="S696" ca="1">IFERROR(INDEX(fesp!$J:$J, MATCH(1, (VALUE(LEFT(fesp!$A:$A,6))=VALUE(LEFT(B696,6)))*(fesp!$C:$C=C696), 0)), "")</f>
        <v>720967</v>
      </c>
    </row>
    <row r="697" spans="1:19">
      <c r="A697" s="1" t="s">
        <v>19</v>
      </c>
      <c r="B697" s="3" t="s">
        <v>18</v>
      </c>
      <c r="C697" s="3">
        <v>2017</v>
      </c>
      <c r="D697" cm="1">
        <f t="array" ref="D697">IFERROR(INDEX(fesp!$D:$D, MATCH(1, (VALUE(LEFT(fesp!$A:$A,6))=VALUE(LEFT(B697,6)))*(fesp!$C:$C=C697), 0)), "")</f>
        <v>0</v>
      </c>
      <c r="E697" cm="1">
        <f t="array" aca="1" ref="E697" ca="1">IFERROR(INDEX(ft_medicos_clinicos!$C:$C, MATCH(1, (VALUE(LEFT(ft_medicos_clinicos!$A:$A,6))=VALUE(LEFT(B697,6)))*(ft_medicos_clinicos!$B:$B=C697), 0)), "")</f>
        <v>1190</v>
      </c>
      <c r="F697" cm="1">
        <f t="array" aca="1" ref="F697" ca="1">IFERROR(INDEX(ft_enfermeiros!$C:$C, MATCH(1, (VALUE(LEFT(ft_enfermeiros!$A:$A,6))=VALUE(LEFT(B697,6)))*(ft_enfermeiros!$B:$B=C697), 0)), "")</f>
        <v>1712</v>
      </c>
      <c r="G697" t="str" cm="1">
        <f t="array" aca="1" ref="G697" ca="1">IFERROR(INDEX(ft_equipes_acs!$C:$C, MATCH(1, (VALUE(LEFT(ft_equipes_acs!$A:$A,6))=VALUE(LEFT(B697,6)))*(ft_equipes_acs!$B:$B=C697), 0)), "")</f>
        <v/>
      </c>
      <c r="H697" cm="1">
        <f t="array" aca="1" ref="H697" ca="1">IFERROR(INDEX(ci_leitos_internacao!$C:$C, MATCH(1, (VALUE(LEFT(ci_leitos_internacao!$A:$A,6))=VALUE(LEFT(B697,6)))*(ci_leitos_internacao!$B:$B=C697), 0)), "")</f>
        <v>6756</v>
      </c>
      <c r="I697" cm="1">
        <f t="array" aca="1" ref="I697" ca="1">IFERROR(INDEX(ci_hospitais_internacao!$C:$C, MATCH(1, (VALUE(LEFT(ci_hospitais_internacao!$A:$A,6))=VALUE(LEFT(B697,6)))*(ci_hospitais_internacao!$B:$B=C697), 0)), "")</f>
        <v>30</v>
      </c>
      <c r="J697" t="str" cm="1">
        <f t="array" aca="1" ref="J697" ca="1">IFERROR(INDEX(ci_pa_clinico!$C:$C, MATCH(1, (VALUE(LEFT(ci_pa_clinico!$A:$A,6))=VALUE(LEFT(B697,6)))*(ci_pa_clinico!$B:$B=C697), 0)), "")</f>
        <v/>
      </c>
      <c r="K697" cm="1">
        <f t="array" aca="1" ref="K697" ca="1">IFERROR(INDEX(aps_equipes_esf!$C:$C, MATCH(1, (VALUE(LEFT(aps_equipes_esf!$A:$A,6))=VALUE(LEFT(B697,6)))*(aps_equipes_esf!$B:$B=C697), 0)), "")</f>
        <v>77</v>
      </c>
      <c r="L697" cm="1">
        <f t="array" aca="1" ref="L697" ca="1">IFERROR(INDEX(casos!$C:$C, MATCH(1, (VALUE(LEFT(casos!$A:$A,6))=VALUE(LEFT(B697,6)))*(casos!$B:$B=C697), 0)), "")</f>
        <v>31728</v>
      </c>
      <c r="M697" cm="1">
        <f t="array" ref="M697">IFERROR(INDEX(srag!$D:$D, MATCH(1, (VALUE(LEFT(srag!$A:$A,6))=VALUE(LEFT(B697,6)))*(srag!$C:$C=C697), 0)), "")</f>
        <v>204</v>
      </c>
      <c r="N697" cm="1">
        <f t="array" aca="1" ref="N697" ca="1">IFERROR(INDEX(fesp!$E:$E, MATCH(1, (VALUE(LEFT(fesp!$A:$A,6))=VALUE(LEFT(B697,6)))*(fesp!$C:$C=C697), 0)), "")</f>
        <v>337</v>
      </c>
      <c r="O697" cm="1">
        <f t="array" aca="1" ref="O697" ca="1">IFERROR(INDEX(fesp!$F:$F, MATCH(1, (VALUE(LEFT(fesp!$A:$A,6))=VALUE(LEFT(B697,6)))*(fesp!$C:$C=C697), 0)), "")</f>
        <v>18071</v>
      </c>
      <c r="P697" cm="1">
        <f t="array" aca="1" ref="P697" ca="1">IFERROR(INDEX(fesp!$G:$G, MATCH(1, (VALUE(LEFT(fesp!$A:$A,6))=VALUE(LEFT(B697,6)))*(fesp!$C:$C=C697), 0)), "")</f>
        <v>8949543</v>
      </c>
      <c r="Q697" cm="1">
        <f t="array" aca="1" ref="Q697" ca="1">IFERROR(INDEX(fesp!$H:$H, MATCH(1, (VALUE(LEFT(fesp!$A:$A,6))=VALUE(LEFT(B697,6)))*(fesp!$C:$C=C697), 0)), "")</f>
        <v>127</v>
      </c>
      <c r="R697" cm="1">
        <f t="array" aca="1" ref="R697" ca="1">IFERROR(INDEX(fesp!$I:$I, MATCH(1, (VALUE(LEFT(fesp!$A:$A,6))=VALUE(LEFT(B697,6)))*(fesp!$C:$C=C697), 0)), "")</f>
        <v>70866</v>
      </c>
      <c r="S697" cm="1">
        <f t="array" aca="1" ref="S697" ca="1">IFERROR(INDEX(fesp!$J:$J, MATCH(1, (VALUE(LEFT(fesp!$A:$A,6))=VALUE(LEFT(B697,6)))*(fesp!$C:$C=C697), 0)), "")</f>
        <v>725422</v>
      </c>
    </row>
    <row r="698" spans="1:19">
      <c r="A698" s="1" t="s">
        <v>19</v>
      </c>
      <c r="B698" s="3" t="s">
        <v>18</v>
      </c>
      <c r="C698" s="3">
        <v>2018</v>
      </c>
      <c r="D698" cm="1">
        <f t="array" ref="D698">IFERROR(INDEX(fesp!$D:$D, MATCH(1, (VALUE(LEFT(fesp!$A:$A,6))=VALUE(LEFT(B698,6)))*(fesp!$C:$C=C698), 0)), "")</f>
        <v>0</v>
      </c>
      <c r="E698" cm="1">
        <f t="array" aca="1" ref="E698" ca="1">IFERROR(INDEX(ft_medicos_clinicos!$C:$C, MATCH(1, (VALUE(LEFT(ft_medicos_clinicos!$A:$A,6))=VALUE(LEFT(B698,6)))*(ft_medicos_clinicos!$B:$B=C698), 0)), "")</f>
        <v>1197</v>
      </c>
      <c r="F698" cm="1">
        <f t="array" aca="1" ref="F698" ca="1">IFERROR(INDEX(ft_enfermeiros!$C:$C, MATCH(1, (VALUE(LEFT(ft_enfermeiros!$A:$A,6))=VALUE(LEFT(B698,6)))*(ft_enfermeiros!$B:$B=C698), 0)), "")</f>
        <v>1845</v>
      </c>
      <c r="G698" t="str" cm="1">
        <f t="array" aca="1" ref="G698" ca="1">IFERROR(INDEX(ft_equipes_acs!$C:$C, MATCH(1, (VALUE(LEFT(ft_equipes_acs!$A:$A,6))=VALUE(LEFT(B698,6)))*(ft_equipes_acs!$B:$B=C698), 0)), "")</f>
        <v/>
      </c>
      <c r="H698" cm="1">
        <f t="array" aca="1" ref="H698" ca="1">IFERROR(INDEX(ci_leitos_internacao!$C:$C, MATCH(1, (VALUE(LEFT(ci_leitos_internacao!$A:$A,6))=VALUE(LEFT(B698,6)))*(ci_leitos_internacao!$B:$B=C698), 0)), "")</f>
        <v>6160</v>
      </c>
      <c r="I698" cm="1">
        <f t="array" aca="1" ref="I698" ca="1">IFERROR(INDEX(ci_hospitais_internacao!$C:$C, MATCH(1, (VALUE(LEFT(ci_hospitais_internacao!$A:$A,6))=VALUE(LEFT(B698,6)))*(ci_hospitais_internacao!$B:$B=C698), 0)), "")</f>
        <v>27</v>
      </c>
      <c r="J698" t="str" cm="1">
        <f t="array" aca="1" ref="J698" ca="1">IFERROR(INDEX(ci_pa_clinico!$C:$C, MATCH(1, (VALUE(LEFT(ci_pa_clinico!$A:$A,6))=VALUE(LEFT(B698,6)))*(ci_pa_clinico!$B:$B=C698), 0)), "")</f>
        <v/>
      </c>
      <c r="K698" cm="1">
        <f t="array" aca="1" ref="K698" ca="1">IFERROR(INDEX(aps_equipes_esf!$C:$C, MATCH(1, (VALUE(LEFT(aps_equipes_esf!$A:$A,6))=VALUE(LEFT(B698,6)))*(aps_equipes_esf!$B:$B=C698), 0)), "")</f>
        <v>86</v>
      </c>
      <c r="L698" cm="1">
        <f t="array" aca="1" ref="L698" ca="1">IFERROR(INDEX(casos!$C:$C, MATCH(1, (VALUE(LEFT(casos!$A:$A,6))=VALUE(LEFT(B698,6)))*(casos!$B:$B=C698), 0)), "")</f>
        <v>31306</v>
      </c>
      <c r="M698" cm="1">
        <f t="array" ref="M698">IFERROR(INDEX(srag!$D:$D, MATCH(1, (VALUE(LEFT(srag!$A:$A,6))=VALUE(LEFT(B698,6)))*(srag!$C:$C=C698), 0)), "")</f>
        <v>512</v>
      </c>
      <c r="N698" cm="1">
        <f t="array" aca="1" ref="N698" ca="1">IFERROR(INDEX(fesp!$E:$E, MATCH(1, (VALUE(LEFT(fesp!$A:$A,6))=VALUE(LEFT(B698,6)))*(fesp!$C:$C=C698), 0)), "")</f>
        <v>356</v>
      </c>
      <c r="O698" cm="1">
        <f t="array" aca="1" ref="O698" ca="1">IFERROR(INDEX(fesp!$F:$F, MATCH(1, (VALUE(LEFT(fesp!$A:$A,6))=VALUE(LEFT(B698,6)))*(fesp!$C:$C=C698), 0)), "")</f>
        <v>15847</v>
      </c>
      <c r="P698" cm="1">
        <f t="array" aca="1" ref="P698" ca="1">IFERROR(INDEX(fesp!$G:$G, MATCH(1, (VALUE(LEFT(fesp!$A:$A,6))=VALUE(LEFT(B698,6)))*(fesp!$C:$C=C698), 0)), "")</f>
        <v>7866867</v>
      </c>
      <c r="Q698" cm="1">
        <f t="array" aca="1" ref="Q698" ca="1">IFERROR(INDEX(fesp!$H:$H, MATCH(1, (VALUE(LEFT(fesp!$A:$A,6))=VALUE(LEFT(B698,6)))*(fesp!$C:$C=C698), 0)), "")</f>
        <v>107</v>
      </c>
      <c r="R698" cm="1">
        <f t="array" aca="1" ref="R698" ca="1">IFERROR(INDEX(fesp!$I:$I, MATCH(1, (VALUE(LEFT(fesp!$A:$A,6))=VALUE(LEFT(B698,6)))*(fesp!$C:$C=C698), 0)), "")</f>
        <v>57947</v>
      </c>
      <c r="S698" cm="1">
        <f t="array" aca="1" ref="S698" ca="1">IFERROR(INDEX(fesp!$J:$J, MATCH(1, (VALUE(LEFT(fesp!$A:$A,6))=VALUE(LEFT(B698,6)))*(fesp!$C:$C=C698), 0)), "")</f>
        <v>652812</v>
      </c>
    </row>
    <row r="699" spans="1:19">
      <c r="A699" s="1" t="s">
        <v>19</v>
      </c>
      <c r="B699" s="3" t="s">
        <v>18</v>
      </c>
      <c r="C699" s="3">
        <v>2019</v>
      </c>
      <c r="D699" cm="1">
        <f t="array" ref="D699">IFERROR(INDEX(fesp!$D:$D, MATCH(1, (VALUE(LEFT(fesp!$A:$A,6))=VALUE(LEFT(B699,6)))*(fesp!$C:$C=C699), 0)), "")</f>
        <v>0</v>
      </c>
      <c r="E699" cm="1">
        <f t="array" aca="1" ref="E699" ca="1">IFERROR(INDEX(ft_medicos_clinicos!$C:$C, MATCH(1, (VALUE(LEFT(ft_medicos_clinicos!$A:$A,6))=VALUE(LEFT(B699,6)))*(ft_medicos_clinicos!$B:$B=C699), 0)), "")</f>
        <v>1208</v>
      </c>
      <c r="F699" cm="1">
        <f t="array" aca="1" ref="F699" ca="1">IFERROR(INDEX(ft_enfermeiros!$C:$C, MATCH(1, (VALUE(LEFT(ft_enfermeiros!$A:$A,6))=VALUE(LEFT(B699,6)))*(ft_enfermeiros!$B:$B=C699), 0)), "")</f>
        <v>2019</v>
      </c>
      <c r="G699" t="str" cm="1">
        <f t="array" aca="1" ref="G699" ca="1">IFERROR(INDEX(ft_equipes_acs!$C:$C, MATCH(1, (VALUE(LEFT(ft_equipes_acs!$A:$A,6))=VALUE(LEFT(B699,6)))*(ft_equipes_acs!$B:$B=C699), 0)), "")</f>
        <v/>
      </c>
      <c r="H699" cm="1">
        <f t="array" aca="1" ref="H699" ca="1">IFERROR(INDEX(ci_leitos_internacao!$C:$C, MATCH(1, (VALUE(LEFT(ci_leitos_internacao!$A:$A,6))=VALUE(LEFT(B699,6)))*(ci_leitos_internacao!$B:$B=C699), 0)), "")</f>
        <v>6337</v>
      </c>
      <c r="I699" cm="1">
        <f t="array" aca="1" ref="I699" ca="1">IFERROR(INDEX(ci_hospitais_internacao!$C:$C, MATCH(1, (VALUE(LEFT(ci_hospitais_internacao!$A:$A,6))=VALUE(LEFT(B699,6)))*(ci_hospitais_internacao!$B:$B=C699), 0)), "")</f>
        <v>23</v>
      </c>
      <c r="J699" t="str" cm="1">
        <f t="array" aca="1" ref="J699" ca="1">IFERROR(INDEX(ci_pa_clinico!$C:$C, MATCH(1, (VALUE(LEFT(ci_pa_clinico!$A:$A,6))=VALUE(LEFT(B699,6)))*(ci_pa_clinico!$B:$B=C699), 0)), "")</f>
        <v/>
      </c>
      <c r="K699" cm="1">
        <f t="array" aca="1" ref="K699" ca="1">IFERROR(INDEX(aps_equipes_esf!$C:$C, MATCH(1, (VALUE(LEFT(aps_equipes_esf!$A:$A,6))=VALUE(LEFT(B699,6)))*(aps_equipes_esf!$B:$B=C699), 0)), "")</f>
        <v>93</v>
      </c>
      <c r="L699" cm="1">
        <f t="array" aca="1" ref="L699" ca="1">IFERROR(INDEX(casos!$C:$C, MATCH(1, (VALUE(LEFT(casos!$A:$A,6))=VALUE(LEFT(B699,6)))*(casos!$B:$B=C699), 0)), "")</f>
        <v>34131</v>
      </c>
      <c r="M699" cm="1">
        <f t="array" ref="M699">IFERROR(INDEX(srag!$D:$D, MATCH(1, (VALUE(LEFT(srag!$A:$A,6))=VALUE(LEFT(B699,6)))*(srag!$C:$C=C699), 0)), "")</f>
        <v>330</v>
      </c>
      <c r="N699" cm="1">
        <f t="array" aca="1" ref="N699" ca="1">IFERROR(INDEX(fesp!$E:$E, MATCH(1, (VALUE(LEFT(fesp!$A:$A,6))=VALUE(LEFT(B699,6)))*(fesp!$C:$C=C699), 0)), "")</f>
        <v>372</v>
      </c>
      <c r="O699" cm="1">
        <f t="array" aca="1" ref="O699" ca="1">IFERROR(INDEX(fesp!$F:$F, MATCH(1, (VALUE(LEFT(fesp!$A:$A,6))=VALUE(LEFT(B699,6)))*(fesp!$C:$C=C699), 0)), "")</f>
        <v>17922</v>
      </c>
      <c r="P699" cm="1">
        <f t="array" aca="1" ref="P699" ca="1">IFERROR(INDEX(fesp!$G:$G, MATCH(1, (VALUE(LEFT(fesp!$A:$A,6))=VALUE(LEFT(B699,6)))*(fesp!$C:$C=C699), 0)), "")</f>
        <v>8011374</v>
      </c>
      <c r="Q699" cm="1">
        <f t="array" aca="1" ref="Q699" ca="1">IFERROR(INDEX(fesp!$H:$H, MATCH(1, (VALUE(LEFT(fesp!$A:$A,6))=VALUE(LEFT(B699,6)))*(fesp!$C:$C=C699), 0)), "")</f>
        <v>59</v>
      </c>
      <c r="R699" cm="1">
        <f t="array" aca="1" ref="R699" ca="1">IFERROR(INDEX(fesp!$I:$I, MATCH(1, (VALUE(LEFT(fesp!$A:$A,6))=VALUE(LEFT(B699,6)))*(fesp!$C:$C=C699), 0)), "")</f>
        <v>42992</v>
      </c>
      <c r="S699" cm="1">
        <f t="array" aca="1" ref="S699" ca="1">IFERROR(INDEX(fesp!$J:$J, MATCH(1, (VALUE(LEFT(fesp!$A:$A,6))=VALUE(LEFT(B699,6)))*(fesp!$C:$C=C699), 0)), "")</f>
        <v>687575</v>
      </c>
    </row>
    <row r="700" spans="1:19">
      <c r="A700" s="1" t="s">
        <v>19</v>
      </c>
      <c r="B700" s="3" t="s">
        <v>18</v>
      </c>
      <c r="C700" s="3">
        <v>2020</v>
      </c>
      <c r="D700" cm="1">
        <f t="array" ref="D700">IFERROR(INDEX(fesp!$D:$D, MATCH(1, (VALUE(LEFT(fesp!$A:$A,6))=VALUE(LEFT(B700,6)))*(fesp!$C:$C=C700), 0)), "")</f>
        <v>0</v>
      </c>
      <c r="E700" cm="1">
        <f t="array" aca="1" ref="E700" ca="1">IFERROR(INDEX(ft_medicos_clinicos!$C:$C, MATCH(1, (VALUE(LEFT(ft_medicos_clinicos!$A:$A,6))=VALUE(LEFT(B700,6)))*(ft_medicos_clinicos!$B:$B=C700), 0)), "")</f>
        <v>1352</v>
      </c>
      <c r="F700" cm="1">
        <f t="array" aca="1" ref="F700" ca="1">IFERROR(INDEX(ft_enfermeiros!$C:$C, MATCH(1, (VALUE(LEFT(ft_enfermeiros!$A:$A,6))=VALUE(LEFT(B700,6)))*(ft_enfermeiros!$B:$B=C700), 0)), "")</f>
        <v>2165</v>
      </c>
      <c r="G700" t="str" cm="1">
        <f t="array" aca="1" ref="G700" ca="1">IFERROR(INDEX(ft_equipes_acs!$C:$C, MATCH(1, (VALUE(LEFT(ft_equipes_acs!$A:$A,6))=VALUE(LEFT(B700,6)))*(ft_equipes_acs!$B:$B=C700), 0)), "")</f>
        <v/>
      </c>
      <c r="H700" cm="1">
        <f t="array" aca="1" ref="H700" ca="1">IFERROR(INDEX(ci_leitos_internacao!$C:$C, MATCH(1, (VALUE(LEFT(ci_leitos_internacao!$A:$A,6))=VALUE(LEFT(B700,6)))*(ci_leitos_internacao!$B:$B=C700), 0)), "")</f>
        <v>6756</v>
      </c>
      <c r="I700" cm="1">
        <f t="array" aca="1" ref="I700" ca="1">IFERROR(INDEX(ci_hospitais_internacao!$C:$C, MATCH(1, (VALUE(LEFT(ci_hospitais_internacao!$A:$A,6))=VALUE(LEFT(B700,6)))*(ci_hospitais_internacao!$B:$B=C700), 0)), "")</f>
        <v>28</v>
      </c>
      <c r="J700" t="str" cm="1">
        <f t="array" aca="1" ref="J700" ca="1">IFERROR(INDEX(ci_pa_clinico!$C:$C, MATCH(1, (VALUE(LEFT(ci_pa_clinico!$A:$A,6))=VALUE(LEFT(B700,6)))*(ci_pa_clinico!$B:$B=C700), 0)), "")</f>
        <v/>
      </c>
      <c r="K700" cm="1">
        <f t="array" aca="1" ref="K700" ca="1">IFERROR(INDEX(aps_equipes_esf!$C:$C, MATCH(1, (VALUE(LEFT(aps_equipes_esf!$A:$A,6))=VALUE(LEFT(B700,6)))*(aps_equipes_esf!$B:$B=C700), 0)), "")</f>
        <v>2</v>
      </c>
      <c r="L700" cm="1">
        <f t="array" aca="1" ref="L700" ca="1">IFERROR(INDEX(casos!$C:$C, MATCH(1, (VALUE(LEFT(casos!$A:$A,6))=VALUE(LEFT(B700,6)))*(casos!$B:$B=C700), 0)), "")</f>
        <v>13585</v>
      </c>
      <c r="M700" cm="1">
        <f t="array" ref="M700">IFERROR(INDEX(srag!$D:$D, MATCH(1, (VALUE(LEFT(srag!$A:$A,6))=VALUE(LEFT(B700,6)))*(srag!$C:$C=C700), 0)), "")</f>
        <v>11101</v>
      </c>
      <c r="N700" cm="1">
        <f t="array" aca="1" ref="N700" ca="1">IFERROR(INDEX(fesp!$E:$E, MATCH(1, (VALUE(LEFT(fesp!$A:$A,6))=VALUE(LEFT(B700,6)))*(fesp!$C:$C=C700), 0)), "")</f>
        <v>388</v>
      </c>
      <c r="O700" cm="1">
        <f t="array" aca="1" ref="O700" ca="1">IFERROR(INDEX(fesp!$F:$F, MATCH(1, (VALUE(LEFT(fesp!$A:$A,6))=VALUE(LEFT(B700,6)))*(fesp!$C:$C=C700), 0)), "")</f>
        <v>10114</v>
      </c>
      <c r="P700" cm="1">
        <f t="array" aca="1" ref="P700" ca="1">IFERROR(INDEX(fesp!$G:$G, MATCH(1, (VALUE(LEFT(fesp!$A:$A,6))=VALUE(LEFT(B700,6)))*(fesp!$C:$C=C700), 0)), "")</f>
        <v>5473668</v>
      </c>
      <c r="Q700" cm="1">
        <f t="array" aca="1" ref="Q700" ca="1">IFERROR(INDEX(fesp!$H:$H, MATCH(1, (VALUE(LEFT(fesp!$A:$A,6))=VALUE(LEFT(B700,6)))*(fesp!$C:$C=C700), 0)), "")</f>
        <v>54</v>
      </c>
      <c r="R700" cm="1">
        <f t="array" aca="1" ref="R700" ca="1">IFERROR(INDEX(fesp!$I:$I, MATCH(1, (VALUE(LEFT(fesp!$A:$A,6))=VALUE(LEFT(B700,6)))*(fesp!$C:$C=C700), 0)), "")</f>
        <v>20701</v>
      </c>
      <c r="S700" cm="1">
        <f t="array" aca="1" ref="S700" ca="1">IFERROR(INDEX(fesp!$J:$J, MATCH(1, (VALUE(LEFT(fesp!$A:$A,6))=VALUE(LEFT(B700,6)))*(fesp!$C:$C=C700), 0)), "")</f>
        <v>574690</v>
      </c>
    </row>
    <row r="701" spans="1:19">
      <c r="A701" s="1" t="s">
        <v>19</v>
      </c>
      <c r="B701" s="3" t="s">
        <v>18</v>
      </c>
      <c r="C701" s="3">
        <v>2021</v>
      </c>
      <c r="D701" cm="1">
        <f t="array" ref="D701">IFERROR(INDEX(fesp!$D:$D, MATCH(1, (VALUE(LEFT(fesp!$A:$A,6))=VALUE(LEFT(B701,6)))*(fesp!$C:$C=C701), 0)), "")</f>
        <v>0</v>
      </c>
      <c r="E701" cm="1">
        <f t="array" aca="1" ref="E701" ca="1">IFERROR(INDEX(ft_medicos_clinicos!$C:$C, MATCH(1, (VALUE(LEFT(ft_medicos_clinicos!$A:$A,6))=VALUE(LEFT(B701,6)))*(ft_medicos_clinicos!$B:$B=C701), 0)), "")</f>
        <v>1573</v>
      </c>
      <c r="F701" cm="1">
        <f t="array" aca="1" ref="F701" ca="1">IFERROR(INDEX(ft_enfermeiros!$C:$C, MATCH(1, (VALUE(LEFT(ft_enfermeiros!$A:$A,6))=VALUE(LEFT(B701,6)))*(ft_enfermeiros!$B:$B=C701), 0)), "")</f>
        <v>2686</v>
      </c>
      <c r="G701" t="str" cm="1">
        <f t="array" aca="1" ref="G701" ca="1">IFERROR(INDEX(ft_equipes_acs!$C:$C, MATCH(1, (VALUE(LEFT(ft_equipes_acs!$A:$A,6))=VALUE(LEFT(B701,6)))*(ft_equipes_acs!$B:$B=C701), 0)), "")</f>
        <v/>
      </c>
      <c r="H701" cm="1">
        <f t="array" aca="1" ref="H701" ca="1">IFERROR(INDEX(ci_leitos_internacao!$C:$C, MATCH(1, (VALUE(LEFT(ci_leitos_internacao!$A:$A,6))=VALUE(LEFT(B701,6)))*(ci_leitos_internacao!$B:$B=C701), 0)), "")</f>
        <v>7232</v>
      </c>
      <c r="I701" cm="1">
        <f t="array" aca="1" ref="I701" ca="1">IFERROR(INDEX(ci_hospitais_internacao!$C:$C, MATCH(1, (VALUE(LEFT(ci_hospitais_internacao!$A:$A,6))=VALUE(LEFT(B701,6)))*(ci_hospitais_internacao!$B:$B=C701), 0)), "")</f>
        <v>29</v>
      </c>
      <c r="J701" t="str" cm="1">
        <f t="array" aca="1" ref="J701" ca="1">IFERROR(INDEX(ci_pa_clinico!$C:$C, MATCH(1, (VALUE(LEFT(ci_pa_clinico!$A:$A,6))=VALUE(LEFT(B701,6)))*(ci_pa_clinico!$B:$B=C701), 0)), "")</f>
        <v/>
      </c>
      <c r="K701" t="str" cm="1">
        <f t="array" aca="1" ref="K701" ca="1">IFERROR(INDEX(aps_equipes_esf!$C:$C, MATCH(1, (VALUE(LEFT(aps_equipes_esf!$A:$A,6))=VALUE(LEFT(B701,6)))*(aps_equipes_esf!$B:$B=C701), 0)), "")</f>
        <v>-</v>
      </c>
      <c r="L701" cm="1">
        <f t="array" aca="1" ref="L701" ca="1">IFERROR(INDEX(casos!$C:$C, MATCH(1, (VALUE(LEFT(casos!$A:$A,6))=VALUE(LEFT(B701,6)))*(casos!$B:$B=C701), 0)), "")</f>
        <v>12637</v>
      </c>
      <c r="M701" cm="1">
        <f t="array" ref="M701">IFERROR(INDEX(srag!$D:$D, MATCH(1, (VALUE(LEFT(srag!$A:$A,6))=VALUE(LEFT(B701,6)))*(srag!$C:$C=C701), 0)), "")</f>
        <v>17939</v>
      </c>
      <c r="N701" cm="1">
        <f t="array" aca="1" ref="N701" ca="1">IFERROR(INDEX(fesp!$E:$E, MATCH(1, (VALUE(LEFT(fesp!$A:$A,6))=VALUE(LEFT(B701,6)))*(fesp!$C:$C=C701), 0)), "")</f>
        <v>388</v>
      </c>
      <c r="O701" cm="1">
        <f t="array" aca="1" ref="O701" ca="1">IFERROR(INDEX(fesp!$F:$F, MATCH(1, (VALUE(LEFT(fesp!$A:$A,6))=VALUE(LEFT(B701,6)))*(fesp!$C:$C=C701), 0)), "")</f>
        <v>16817</v>
      </c>
      <c r="P701" cm="1">
        <f t="array" aca="1" ref="P701" ca="1">IFERROR(INDEX(fesp!$G:$G, MATCH(1, (VALUE(LEFT(fesp!$A:$A,6))=VALUE(LEFT(B701,6)))*(fesp!$C:$C=C701), 0)), "")</f>
        <v>7661104</v>
      </c>
      <c r="Q701" cm="1">
        <f t="array" aca="1" ref="Q701" ca="1">IFERROR(INDEX(fesp!$H:$H, MATCH(1, (VALUE(LEFT(fesp!$A:$A,6))=VALUE(LEFT(B701,6)))*(fesp!$C:$C=C701), 0)), "")</f>
        <v>62</v>
      </c>
      <c r="R701" cm="1">
        <f t="array" aca="1" ref="R701" ca="1">IFERROR(INDEX(fesp!$I:$I, MATCH(1, (VALUE(LEFT(fesp!$A:$A,6))=VALUE(LEFT(B701,6)))*(fesp!$C:$C=C701), 0)), "")</f>
        <v>37983</v>
      </c>
      <c r="S701" cm="1">
        <f t="array" aca="1" ref="S701" ca="1">IFERROR(INDEX(fesp!$J:$J, MATCH(1, (VALUE(LEFT(fesp!$A:$A,6))=VALUE(LEFT(B701,6)))*(fesp!$C:$C=C701), 0)), "")</f>
        <v>784887</v>
      </c>
    </row>
    <row r="702" spans="1:19">
      <c r="A702" s="1" t="s">
        <v>19</v>
      </c>
      <c r="B702" s="3" t="s">
        <v>18</v>
      </c>
      <c r="C702" s="3">
        <v>2022</v>
      </c>
      <c r="D702" cm="1">
        <f t="array" ref="D702">IFERROR(INDEX(fesp!$D:$D, MATCH(1, (VALUE(LEFT(fesp!$A:$A,6))=VALUE(LEFT(B702,6)))*(fesp!$C:$C=C702), 0)), "")</f>
        <v>1437366</v>
      </c>
      <c r="E702" cm="1">
        <f t="array" aca="1" ref="E702" ca="1">IFERROR(INDEX(ft_medicos_clinicos!$C:$C, MATCH(1, (VALUE(LEFT(ft_medicos_clinicos!$A:$A,6))=VALUE(LEFT(B702,6)))*(ft_medicos_clinicos!$B:$B=C702), 0)), "")</f>
        <v>1541</v>
      </c>
      <c r="F702" cm="1">
        <f t="array" aca="1" ref="F702" ca="1">IFERROR(INDEX(ft_enfermeiros!$C:$C, MATCH(1, (VALUE(LEFT(ft_enfermeiros!$A:$A,6))=VALUE(LEFT(B702,6)))*(ft_enfermeiros!$B:$B=C702), 0)), "")</f>
        <v>2974</v>
      </c>
      <c r="G702" t="str" cm="1">
        <f t="array" aca="1" ref="G702" ca="1">IFERROR(INDEX(ft_equipes_acs!$C:$C, MATCH(1, (VALUE(LEFT(ft_equipes_acs!$A:$A,6))=VALUE(LEFT(B702,6)))*(ft_equipes_acs!$B:$B=C702), 0)), "")</f>
        <v/>
      </c>
      <c r="H702" cm="1">
        <f t="array" aca="1" ref="H702" ca="1">IFERROR(INDEX(ci_leitos_internacao!$C:$C, MATCH(1, (VALUE(LEFT(ci_leitos_internacao!$A:$A,6))=VALUE(LEFT(B702,6)))*(ci_leitos_internacao!$B:$B=C702), 0)), "")</f>
        <v>6957</v>
      </c>
      <c r="I702" cm="1">
        <f t="array" aca="1" ref="I702" ca="1">IFERROR(INDEX(ci_hospitais_internacao!$C:$C, MATCH(1, (VALUE(LEFT(ci_hospitais_internacao!$A:$A,6))=VALUE(LEFT(B702,6)))*(ci_hospitais_internacao!$B:$B=C702), 0)), "")</f>
        <v>26</v>
      </c>
      <c r="J702" t="str" cm="1">
        <f t="array" aca="1" ref="J702" ca="1">IFERROR(INDEX(ci_pa_clinico!$C:$C, MATCH(1, (VALUE(LEFT(ci_pa_clinico!$A:$A,6))=VALUE(LEFT(B702,6)))*(ci_pa_clinico!$B:$B=C702), 0)), "")</f>
        <v/>
      </c>
      <c r="K702" t="str" cm="1">
        <f t="array" aca="1" ref="K702" ca="1">IFERROR(INDEX(aps_equipes_esf!$C:$C, MATCH(1, (VALUE(LEFT(aps_equipes_esf!$A:$A,6))=VALUE(LEFT(B702,6)))*(aps_equipes_esf!$B:$B=C702), 0)), "")</f>
        <v>-</v>
      </c>
      <c r="L702" cm="1">
        <f t="array" aca="1" ref="L702" ca="1">IFERROR(INDEX(casos!$C:$C, MATCH(1, (VALUE(LEFT(casos!$A:$A,6))=VALUE(LEFT(B702,6)))*(casos!$B:$B=C702), 0)), "")</f>
        <v>58436</v>
      </c>
      <c r="M702" cm="1">
        <f t="array" ref="M702">IFERROR(INDEX(srag!$D:$D, MATCH(1, (VALUE(LEFT(srag!$A:$A,6))=VALUE(LEFT(B702,6)))*(srag!$C:$C=C702), 0)), "")</f>
        <v>4348</v>
      </c>
      <c r="N702" cm="1">
        <f t="array" aca="1" ref="N702" ca="1">IFERROR(INDEX(fesp!$E:$E, MATCH(1, (VALUE(LEFT(fesp!$A:$A,6))=VALUE(LEFT(B702,6)))*(fesp!$C:$C=C702), 0)), "")</f>
        <v>350</v>
      </c>
      <c r="O702" cm="1">
        <f t="array" aca="1" ref="O702" ca="1">IFERROR(INDEX(fesp!$F:$F, MATCH(1, (VALUE(LEFT(fesp!$A:$A,6))=VALUE(LEFT(B702,6)))*(fesp!$C:$C=C702), 0)), "")</f>
        <v>17390</v>
      </c>
      <c r="P702" cm="1">
        <f t="array" aca="1" ref="P702" ca="1">IFERROR(INDEX(fesp!$G:$G, MATCH(1, (VALUE(LEFT(fesp!$A:$A,6))=VALUE(LEFT(B702,6)))*(fesp!$C:$C=C702), 0)), "")</f>
        <v>8658646</v>
      </c>
      <c r="Q702" cm="1">
        <f t="array" aca="1" ref="Q702" ca="1">IFERROR(INDEX(fesp!$H:$H, MATCH(1, (VALUE(LEFT(fesp!$A:$A,6))=VALUE(LEFT(B702,6)))*(fesp!$C:$C=C702), 0)), "")</f>
        <v>51</v>
      </c>
      <c r="R702" cm="1">
        <f t="array" aca="1" ref="R702" ca="1">IFERROR(INDEX(fesp!$I:$I, MATCH(1, (VALUE(LEFT(fesp!$A:$A,6))=VALUE(LEFT(B702,6)))*(fesp!$C:$C=C702), 0)), "")</f>
        <v>24602</v>
      </c>
      <c r="S702" cm="1">
        <f t="array" aca="1" ref="S702" ca="1">IFERROR(INDEX(fesp!$J:$J, MATCH(1, (VALUE(LEFT(fesp!$A:$A,6))=VALUE(LEFT(B702,6)))*(fesp!$C:$C=C702), 0)), "")</f>
        <v>912496</v>
      </c>
    </row>
    <row r="703" spans="1:19">
      <c r="A703" s="1" t="s">
        <v>19</v>
      </c>
      <c r="B703" s="3" t="s">
        <v>18</v>
      </c>
      <c r="C703" s="3">
        <v>2023</v>
      </c>
      <c r="D703" cm="1">
        <f t="array" ref="D703">IFERROR(INDEX(fesp!$D:$D, MATCH(1, (VALUE(LEFT(fesp!$A:$A,6))=VALUE(LEFT(B703,6)))*(fesp!$C:$C=C703), 0)), "")</f>
        <v>0</v>
      </c>
      <c r="E703" cm="1">
        <f t="array" aca="1" ref="E703" ca="1">IFERROR(INDEX(ft_medicos_clinicos!$C:$C, MATCH(1, (VALUE(LEFT(ft_medicos_clinicos!$A:$A,6))=VALUE(LEFT(B703,6)))*(ft_medicos_clinicos!$B:$B=C703), 0)), "")</f>
        <v>1618</v>
      </c>
      <c r="F703" cm="1">
        <f t="array" aca="1" ref="F703" ca="1">IFERROR(INDEX(ft_enfermeiros!$C:$C, MATCH(1, (VALUE(LEFT(ft_enfermeiros!$A:$A,6))=VALUE(LEFT(B703,6)))*(ft_enfermeiros!$B:$B=C703), 0)), "")</f>
        <v>3160</v>
      </c>
      <c r="G703" t="str" cm="1">
        <f t="array" aca="1" ref="G703" ca="1">IFERROR(INDEX(ft_equipes_acs!$C:$C, MATCH(1, (VALUE(LEFT(ft_equipes_acs!$A:$A,6))=VALUE(LEFT(B703,6)))*(ft_equipes_acs!$B:$B=C703), 0)), "")</f>
        <v/>
      </c>
      <c r="H703" cm="1">
        <f t="array" aca="1" ref="H703" ca="1">IFERROR(INDEX(ci_leitos_internacao!$C:$C, MATCH(1, (VALUE(LEFT(ci_leitos_internacao!$A:$A,6))=VALUE(LEFT(B703,6)))*(ci_leitos_internacao!$B:$B=C703), 0)), "")</f>
        <v>6691</v>
      </c>
      <c r="I703" cm="1">
        <f t="array" aca="1" ref="I703" ca="1">IFERROR(INDEX(ci_hospitais_internacao!$C:$C, MATCH(1, (VALUE(LEFT(ci_hospitais_internacao!$A:$A,6))=VALUE(LEFT(B703,6)))*(ci_hospitais_internacao!$B:$B=C703), 0)), "")</f>
        <v>24</v>
      </c>
      <c r="J703" t="str" cm="1">
        <f t="array" aca="1" ref="J703" ca="1">IFERROR(INDEX(ci_pa_clinico!$C:$C, MATCH(1, (VALUE(LEFT(ci_pa_clinico!$A:$A,6))=VALUE(LEFT(B703,6)))*(ci_pa_clinico!$B:$B=C703), 0)), "")</f>
        <v/>
      </c>
      <c r="K703" t="str" cm="1">
        <f t="array" aca="1" ref="K703" ca="1">IFERROR(INDEX(aps_equipes_esf!$C:$C, MATCH(1, (VALUE(LEFT(aps_equipes_esf!$A:$A,6))=VALUE(LEFT(B703,6)))*(aps_equipes_esf!$B:$B=C703), 0)), "")</f>
        <v>-</v>
      </c>
      <c r="L703" cm="1">
        <f t="array" aca="1" ref="L703" ca="1">IFERROR(INDEX(casos!$C:$C, MATCH(1, (VALUE(LEFT(casos!$A:$A,6))=VALUE(LEFT(B703,6)))*(casos!$B:$B=C703), 0)), "")</f>
        <v>20799</v>
      </c>
      <c r="M703" cm="1">
        <f t="array" ref="M703">IFERROR(INDEX(srag!$D:$D, MATCH(1, (VALUE(LEFT(srag!$A:$A,6))=VALUE(LEFT(B703,6)))*(srag!$C:$C=C703), 0)), "")</f>
        <v>1490</v>
      </c>
      <c r="N703" cm="1">
        <f t="array" aca="1" ref="N703" ca="1">IFERROR(INDEX(fesp!$E:$E, MATCH(1, (VALUE(LEFT(fesp!$A:$A,6))=VALUE(LEFT(B703,6)))*(fesp!$C:$C=C703), 0)), "")</f>
        <v>359</v>
      </c>
      <c r="O703" cm="1">
        <f t="array" aca="1" ref="O703" ca="1">IFERROR(INDEX(fesp!$F:$F, MATCH(1, (VALUE(LEFT(fesp!$A:$A,6))=VALUE(LEFT(B703,6)))*(fesp!$C:$C=C703), 0)), "")</f>
        <v>18638</v>
      </c>
      <c r="P703" cm="1">
        <f t="array" aca="1" ref="P703" ca="1">IFERROR(INDEX(fesp!$G:$G, MATCH(1, (VALUE(LEFT(fesp!$A:$A,6))=VALUE(LEFT(B703,6)))*(fesp!$C:$C=C703), 0)), "")</f>
        <v>7766904</v>
      </c>
      <c r="Q703" cm="1">
        <f t="array" aca="1" ref="Q703" ca="1">IFERROR(INDEX(fesp!$H:$H, MATCH(1, (VALUE(LEFT(fesp!$A:$A,6))=VALUE(LEFT(B703,6)))*(fesp!$C:$C=C703), 0)), "")</f>
        <v>41</v>
      </c>
      <c r="R703" cm="1">
        <f t="array" aca="1" ref="R703" ca="1">IFERROR(INDEX(fesp!$I:$I, MATCH(1, (VALUE(LEFT(fesp!$A:$A,6))=VALUE(LEFT(B703,6)))*(fesp!$C:$C=C703), 0)), "")</f>
        <v>23190</v>
      </c>
      <c r="S703" cm="1">
        <f t="array" aca="1" ref="S703" ca="1">IFERROR(INDEX(fesp!$J:$J, MATCH(1, (VALUE(LEFT(fesp!$A:$A,6))=VALUE(LEFT(B703,6)))*(fesp!$C:$C=C703), 0)), "")</f>
        <v>920150</v>
      </c>
    </row>
    <row r="704" spans="1:19">
      <c r="A704" s="1" t="s">
        <v>19</v>
      </c>
      <c r="B704" s="3" t="s">
        <v>18</v>
      </c>
      <c r="C704" s="3">
        <v>2024</v>
      </c>
      <c r="D704" cm="1">
        <f t="array" ref="D704">IFERROR(INDEX(fesp!$D:$D, MATCH(1, (VALUE(LEFT(fesp!$A:$A,6))=VALUE(LEFT(B704,6)))*(fesp!$C:$C=C704), 0)), "")</f>
        <v>0</v>
      </c>
      <c r="E704" cm="1">
        <f t="array" aca="1" ref="E704" ca="1">IFERROR(INDEX(ft_medicos_clinicos!$C:$C, MATCH(1, (VALUE(LEFT(ft_medicos_clinicos!$A:$A,6))=VALUE(LEFT(B704,6)))*(ft_medicos_clinicos!$B:$B=C704), 0)), "")</f>
        <v>1819</v>
      </c>
      <c r="F704" cm="1">
        <f t="array" aca="1" ref="F704" ca="1">IFERROR(INDEX(ft_enfermeiros!$C:$C, MATCH(1, (VALUE(LEFT(ft_enfermeiros!$A:$A,6))=VALUE(LEFT(B704,6)))*(ft_enfermeiros!$B:$B=C704), 0)), "")</f>
        <v>3220</v>
      </c>
      <c r="G704" t="str" cm="1">
        <f t="array" aca="1" ref="G704" ca="1">IFERROR(INDEX(ft_equipes_acs!$C:$C, MATCH(1, (VALUE(LEFT(ft_equipes_acs!$A:$A,6))=VALUE(LEFT(B704,6)))*(ft_equipes_acs!$B:$B=C704), 0)), "")</f>
        <v/>
      </c>
      <c r="H704" cm="1">
        <f t="array" aca="1" ref="H704" ca="1">IFERROR(INDEX(ci_leitos_internacao!$C:$C, MATCH(1, (VALUE(LEFT(ci_leitos_internacao!$A:$A,6))=VALUE(LEFT(B704,6)))*(ci_leitos_internacao!$B:$B=C704), 0)), "")</f>
        <v>6257</v>
      </c>
      <c r="I704" cm="1">
        <f t="array" aca="1" ref="I704" ca="1">IFERROR(INDEX(ci_hospitais_internacao!$C:$C, MATCH(1, (VALUE(LEFT(ci_hospitais_internacao!$A:$A,6))=VALUE(LEFT(B704,6)))*(ci_hospitais_internacao!$B:$B=C704), 0)), "")</f>
        <v>23</v>
      </c>
      <c r="J704" t="str" cm="1">
        <f t="array" aca="1" ref="J704" ca="1">IFERROR(INDEX(ci_pa_clinico!$C:$C, MATCH(1, (VALUE(LEFT(ci_pa_clinico!$A:$A,6))=VALUE(LEFT(B704,6)))*(ci_pa_clinico!$B:$B=C704), 0)), "")</f>
        <v/>
      </c>
      <c r="K704" t="str" cm="1">
        <f t="array" aca="1" ref="K704" ca="1">IFERROR(INDEX(aps_equipes_esf!$C:$C, MATCH(1, (VALUE(LEFT(aps_equipes_esf!$A:$A,6))=VALUE(LEFT(B704,6)))*(aps_equipes_esf!$B:$B=C704), 0)), "")</f>
        <v>-</v>
      </c>
      <c r="L704" cm="1">
        <f t="array" aca="1" ref="L704" ca="1">IFERROR(INDEX(casos!$C:$C, MATCH(1, (VALUE(LEFT(casos!$A:$A,6))=VALUE(LEFT(B704,6)))*(casos!$B:$B=C704), 0)), "")</f>
        <v>61595</v>
      </c>
      <c r="M704" cm="1">
        <f t="array" ref="M704">IFERROR(INDEX(srag!$D:$D, MATCH(1, (VALUE(LEFT(srag!$A:$A,6))=VALUE(LEFT(B704,6)))*(srag!$C:$C=C704), 0)), "")</f>
        <v>1276</v>
      </c>
      <c r="N704" cm="1">
        <f t="array" aca="1" ref="N704" ca="1">IFERROR(INDEX(fesp!$E:$E, MATCH(1, (VALUE(LEFT(fesp!$A:$A,6))=VALUE(LEFT(B704,6)))*(fesp!$C:$C=C704), 0)), "")</f>
        <v>329</v>
      </c>
      <c r="O704" cm="1">
        <f t="array" aca="1" ref="O704" ca="1">IFERROR(INDEX(fesp!$F:$F, MATCH(1, (VALUE(LEFT(fesp!$A:$A,6))=VALUE(LEFT(B704,6)))*(fesp!$C:$C=C704), 0)), "")</f>
        <v>15910</v>
      </c>
      <c r="P704" cm="1">
        <f t="array" aca="1" ref="P704" ca="1">IFERROR(INDEX(fesp!$G:$G, MATCH(1, (VALUE(LEFT(fesp!$A:$A,6))=VALUE(LEFT(B704,6)))*(fesp!$C:$C=C704), 0)), "")</f>
        <v>8713411</v>
      </c>
      <c r="Q704" cm="1">
        <f t="array" aca="1" ref="Q704" ca="1">IFERROR(INDEX(fesp!$H:$H, MATCH(1, (VALUE(LEFT(fesp!$A:$A,6))=VALUE(LEFT(B704,6)))*(fesp!$C:$C=C704), 0)), "")</f>
        <v>44</v>
      </c>
      <c r="R704" cm="1">
        <f t="array" aca="1" ref="R704" ca="1">IFERROR(INDEX(fesp!$I:$I, MATCH(1, (VALUE(LEFT(fesp!$A:$A,6))=VALUE(LEFT(B704,6)))*(fesp!$C:$C=C704), 0)), "")</f>
        <v>27831</v>
      </c>
      <c r="S704" cm="1">
        <f t="array" aca="1" ref="S704" ca="1">IFERROR(INDEX(fesp!$J:$J, MATCH(1, (VALUE(LEFT(fesp!$A:$A,6))=VALUE(LEFT(B704,6)))*(fesp!$C:$C=C704), 0)), "")</f>
        <v>1070012</v>
      </c>
    </row>
    <row r="705" spans="1:19">
      <c r="A705" s="1" t="s">
        <v>19</v>
      </c>
      <c r="B705" s="3">
        <v>5208707</v>
      </c>
      <c r="C705" s="3">
        <v>2025</v>
      </c>
      <c r="D705" cm="1">
        <f t="array" ref="D705">IFERROR(INDEX(fesp!$D:$D, MATCH(1, (VALUE(LEFT(fesp!$A:$A,6))=VALUE(LEFT(B705,6)))*(fesp!$C:$C=C705), 0)), "")</f>
        <v>0</v>
      </c>
      <c r="E705" cm="1">
        <f t="array" aca="1" ref="E705" ca="1">IFERROR(INDEX(ft_medicos_clinicos!$C:$C, MATCH(1, (VALUE(LEFT(ft_medicos_clinicos!$A:$A,6))=VALUE(LEFT(B705,6)))*(ft_medicos_clinicos!$B:$B=C705), 0)), "")</f>
        <v>1751</v>
      </c>
      <c r="F705" cm="1">
        <f t="array" aca="1" ref="F705" ca="1">IFERROR(INDEX(ft_enfermeiros!$C:$C, MATCH(1, (VALUE(LEFT(ft_enfermeiros!$A:$A,6))=VALUE(LEFT(B705,6)))*(ft_enfermeiros!$B:$B=C705), 0)), "")</f>
        <v>3486</v>
      </c>
      <c r="G705" t="str" cm="1">
        <f t="array" aca="1" ref="G705" ca="1">IFERROR(INDEX(ft_equipes_acs!$C:$C, MATCH(1, (VALUE(LEFT(ft_equipes_acs!$A:$A,6))=VALUE(LEFT(B705,6)))*(ft_equipes_acs!$B:$B=C705), 0)), "")</f>
        <v/>
      </c>
      <c r="H705" cm="1">
        <f t="array" aca="1" ref="H705" ca="1">IFERROR(INDEX(ci_leitos_internacao!$C:$C, MATCH(1, (VALUE(LEFT(ci_leitos_internacao!$A:$A,6))=VALUE(LEFT(B705,6)))*(ci_leitos_internacao!$B:$B=C705), 0)), "")</f>
        <v>6283</v>
      </c>
      <c r="I705" cm="1">
        <f t="array" aca="1" ref="I705" ca="1">IFERROR(INDEX(ci_hospitais_internacao!$C:$C, MATCH(1, (VALUE(LEFT(ci_hospitais_internacao!$A:$A,6))=VALUE(LEFT(B705,6)))*(ci_hospitais_internacao!$B:$B=C705), 0)), "")</f>
        <v>24</v>
      </c>
      <c r="J705" t="str" cm="1">
        <f t="array" aca="1" ref="J705" ca="1">IFERROR(INDEX(ci_pa_clinico!$C:$C, MATCH(1, (VALUE(LEFT(ci_pa_clinico!$A:$A,6))=VALUE(LEFT(B705,6)))*(ci_pa_clinico!$B:$B=C705), 0)), "")</f>
        <v/>
      </c>
      <c r="K705" t="str" cm="1">
        <f t="array" aca="1" ref="K705" ca="1">IFERROR(INDEX(aps_equipes_esf!$C:$C, MATCH(1, (VALUE(LEFT(aps_equipes_esf!$A:$A,6))=VALUE(LEFT(B705,6)))*(aps_equipes_esf!$B:$B=C705), 0)), "")</f>
        <v>-</v>
      </c>
      <c r="L705" cm="1">
        <f t="array" aca="1" ref="L705" ca="1">IFERROR(INDEX(casos!$C:$C, MATCH(1, (VALUE(LEFT(casos!$A:$A,6))=VALUE(LEFT(B705,6)))*(casos!$B:$B=C705), 0)), "")</f>
        <v>32433</v>
      </c>
      <c r="M705" cm="1">
        <f t="array" ref="M705">IFERROR(INDEX(srag!$D:$D, MATCH(1, (VALUE(LEFT(srag!$A:$A,6))=VALUE(LEFT(B705,6)))*(srag!$C:$C=C705), 0)), "")</f>
        <v>1676</v>
      </c>
      <c r="N705" cm="1">
        <f t="array" aca="1" ref="N705" ca="1">IFERROR(INDEX(fesp!$E:$E, MATCH(1, (VALUE(LEFT(fesp!$A:$A,6))=VALUE(LEFT(B705,6)))*(fesp!$C:$C=C705), 0)), "")</f>
        <v>288</v>
      </c>
      <c r="O705" cm="1">
        <f t="array" aca="1" ref="O705" ca="1">IFERROR(INDEX(fesp!$F:$F, MATCH(1, (VALUE(LEFT(fesp!$A:$A,6))=VALUE(LEFT(B705,6)))*(fesp!$C:$C=C705), 0)), "")</f>
        <v>15734</v>
      </c>
      <c r="P705" cm="1">
        <f t="array" aca="1" ref="P705" ca="1">IFERROR(INDEX(fesp!$G:$G, MATCH(1, (VALUE(LEFT(fesp!$A:$A,6))=VALUE(LEFT(B705,6)))*(fesp!$C:$C=C705), 0)), "")</f>
        <v>7111333</v>
      </c>
      <c r="Q705" cm="1">
        <f t="array" aca="1" ref="Q705" ca="1">IFERROR(INDEX(fesp!$H:$H, MATCH(1, (VALUE(LEFT(fesp!$A:$A,6))=VALUE(LEFT(B705,6)))*(fesp!$C:$C=C705), 0)), "")</f>
        <v>42</v>
      </c>
      <c r="R705" cm="1">
        <f t="array" aca="1" ref="R705" ca="1">IFERROR(INDEX(fesp!$I:$I, MATCH(1, (VALUE(LEFT(fesp!$A:$A,6))=VALUE(LEFT(B705,6)))*(fesp!$C:$C=C705), 0)), "")</f>
        <v>16975</v>
      </c>
      <c r="S705" cm="1">
        <f t="array" aca="1" ref="S705" ca="1">IFERROR(INDEX(fesp!$J:$J, MATCH(1, (VALUE(LEFT(fesp!$A:$A,6))=VALUE(LEFT(B705,6)))*(fesp!$C:$C=C705), 0)), "")</f>
        <v>692070</v>
      </c>
    </row>
    <row r="706" spans="1:19">
      <c r="A706" s="1" t="s">
        <v>4</v>
      </c>
      <c r="B706" s="3">
        <v>5300108</v>
      </c>
      <c r="C706" s="4">
        <v>2015</v>
      </c>
      <c r="D706" cm="1">
        <f t="array" ref="D706">IFERROR(INDEX(fesp!$D:$D, MATCH(1, (VALUE(LEFT(fesp!$A:$A,6))=VALUE(LEFT(B706,6)))*(fesp!$C:$C=C706), 0)), "")</f>
        <v>2914830</v>
      </c>
      <c r="E706" cm="1">
        <f t="array" aca="1" ref="E706" ca="1">IFERROR(INDEX(ft_medicos_clinicos!$C:$C, MATCH(1, (VALUE(LEFT(ft_medicos_clinicos!$A:$A,6))=VALUE(LEFT(B706,6)))*(ft_medicos_clinicos!$B:$B=C706), 0)), "")</f>
        <v>1458</v>
      </c>
      <c r="F706" cm="1">
        <f t="array" aca="1" ref="F706" ca="1">IFERROR(INDEX(ft_enfermeiros!$C:$C, MATCH(1, (VALUE(LEFT(ft_enfermeiros!$A:$A,6))=VALUE(LEFT(B706,6)))*(ft_enfermeiros!$B:$B=C706), 0)), "")</f>
        <v>3597</v>
      </c>
      <c r="G706" cm="1">
        <f t="array" aca="1" ref="G706" ca="1">IFERROR(INDEX(ft_equipes_acs!$C:$C, MATCH(1, (VALUE(LEFT(ft_equipes_acs!$A:$A,6))=VALUE(LEFT(B706,6)))*(ft_equipes_acs!$B:$B=C706), 0)), "")</f>
        <v>17</v>
      </c>
      <c r="H706" cm="1">
        <f t="array" aca="1" ref="H706" ca="1">IFERROR(INDEX(ci_leitos_internacao!$C:$C, MATCH(1, (VALUE(LEFT(ci_leitos_internacao!$A:$A,6))=VALUE(LEFT(B706,6)))*(ci_leitos_internacao!$B:$B=C706), 0)), "")</f>
        <v>6398</v>
      </c>
      <c r="I706" cm="1">
        <f t="array" aca="1" ref="I706" ca="1">IFERROR(INDEX(ci_hospitais_internacao!$C:$C, MATCH(1, (VALUE(LEFT(ci_hospitais_internacao!$A:$A,6))=VALUE(LEFT(B706,6)))*(ci_hospitais_internacao!$B:$B=C706), 0)), "")</f>
        <v>18</v>
      </c>
      <c r="J706" t="str" cm="1">
        <f t="array" aca="1" ref="J706" ca="1">IFERROR(INDEX(ci_pa_clinico!$C:$C, MATCH(1, (VALUE(LEFT(ci_pa_clinico!$A:$A,6))=VALUE(LEFT(B706,6)))*(ci_pa_clinico!$B:$B=C706), 0)), "")</f>
        <v/>
      </c>
      <c r="K706" cm="1">
        <f t="array" aca="1" ref="K706" ca="1">IFERROR(INDEX(aps_equipes_esf!$C:$C, MATCH(1, (VALUE(LEFT(aps_equipes_esf!$A:$A,6))=VALUE(LEFT(B706,6)))*(aps_equipes_esf!$B:$B=C706), 0)), "")</f>
        <v>185</v>
      </c>
      <c r="L706" cm="1">
        <f t="array" aca="1" ref="L706" ca="1">IFERROR(INDEX(casos!$C:$C, MATCH(1, (VALUE(LEFT(casos!$A:$A,6))=VALUE(LEFT(B706,6)))*(casos!$B:$B=C706), 0)), "")</f>
        <v>10240</v>
      </c>
      <c r="M706" cm="1">
        <f t="array" ref="M706">IFERROR(INDEX(srag!$D:$D, MATCH(1, (VALUE(LEFT(srag!$A:$A,6))=VALUE(LEFT(B706,6)))*(srag!$C:$C=C706), 0)), "")</f>
        <v>99</v>
      </c>
      <c r="N706" cm="1">
        <f t="array" aca="1" ref="N706" ca="1">IFERROR(INDEX(fesp!$E:$E, MATCH(1, (VALUE(LEFT(fesp!$A:$A,6))=VALUE(LEFT(B706,6)))*(fesp!$C:$C=C706), 0)), "")</f>
        <v>1228</v>
      </c>
      <c r="O706" cm="1">
        <f t="array" aca="1" ref="O706" ca="1">IFERROR(INDEX(fesp!$F:$F, MATCH(1, (VALUE(LEFT(fesp!$A:$A,6))=VALUE(LEFT(B706,6)))*(fesp!$C:$C=C706), 0)), "")</f>
        <v>2761</v>
      </c>
      <c r="P706" cm="1">
        <f t="array" aca="1" ref="P706" ca="1">IFERROR(INDEX(fesp!$G:$G, MATCH(1, (VALUE(LEFT(fesp!$A:$A,6))=VALUE(LEFT(B706,6)))*(fesp!$C:$C=C706), 0)), "")</f>
        <v>13528777</v>
      </c>
      <c r="Q706" cm="1">
        <f t="array" aca="1" ref="Q706" ca="1">IFERROR(INDEX(fesp!$H:$H, MATCH(1, (VALUE(LEFT(fesp!$A:$A,6))=VALUE(LEFT(B706,6)))*(fesp!$C:$C=C706), 0)), "")</f>
        <v>567</v>
      </c>
      <c r="R706" cm="1">
        <f t="array" aca="1" ref="R706" ca="1">IFERROR(INDEX(fesp!$I:$I, MATCH(1, (VALUE(LEFT(fesp!$A:$A,6))=VALUE(LEFT(B706,6)))*(fesp!$C:$C=C706), 0)), "")</f>
        <v>522050</v>
      </c>
      <c r="S706" cm="1">
        <f t="array" aca="1" ref="S706" ca="1">IFERROR(INDEX(fesp!$J:$J, MATCH(1, (VALUE(LEFT(fesp!$A:$A,6))=VALUE(LEFT(B706,6)))*(fesp!$C:$C=C706), 0)), "")</f>
        <v>1283546</v>
      </c>
    </row>
    <row r="707" spans="1:19">
      <c r="A707" s="1" t="s">
        <v>4</v>
      </c>
      <c r="B707" s="3" t="s">
        <v>5</v>
      </c>
      <c r="C707" s="4">
        <v>2016</v>
      </c>
      <c r="D707" cm="1">
        <f t="array" ref="D707">IFERROR(INDEX(fesp!$D:$D, MATCH(1, (VALUE(LEFT(fesp!$A:$A,6))=VALUE(LEFT(B707,6)))*(fesp!$C:$C=C707), 0)), "")</f>
        <v>0</v>
      </c>
      <c r="E707" cm="1">
        <f t="array" aca="1" ref="E707" ca="1">IFERROR(INDEX(ft_medicos_clinicos!$C:$C, MATCH(1, (VALUE(LEFT(ft_medicos_clinicos!$A:$A,6))=VALUE(LEFT(B707,6)))*(ft_medicos_clinicos!$B:$B=C707), 0)), "")</f>
        <v>1411</v>
      </c>
      <c r="F707" cm="1">
        <f t="array" aca="1" ref="F707" ca="1">IFERROR(INDEX(ft_enfermeiros!$C:$C, MATCH(1, (VALUE(LEFT(ft_enfermeiros!$A:$A,6))=VALUE(LEFT(B707,6)))*(ft_enfermeiros!$B:$B=C707), 0)), "")</f>
        <v>3754</v>
      </c>
      <c r="G707" cm="1">
        <f t="array" aca="1" ref="G707" ca="1">IFERROR(INDEX(ft_equipes_acs!$C:$C, MATCH(1, (VALUE(LEFT(ft_equipes_acs!$A:$A,6))=VALUE(LEFT(B707,6)))*(ft_equipes_acs!$B:$B=C707), 0)), "")</f>
        <v>13</v>
      </c>
      <c r="H707" cm="1">
        <f t="array" aca="1" ref="H707" ca="1">IFERROR(INDEX(ci_leitos_internacao!$C:$C, MATCH(1, (VALUE(LEFT(ci_leitos_internacao!$A:$A,6))=VALUE(LEFT(B707,6)))*(ci_leitos_internacao!$B:$B=C707), 0)), "")</f>
        <v>6344</v>
      </c>
      <c r="I707" cm="1">
        <f t="array" aca="1" ref="I707" ca="1">IFERROR(INDEX(ci_hospitais_internacao!$C:$C, MATCH(1, (VALUE(LEFT(ci_hospitais_internacao!$A:$A,6))=VALUE(LEFT(B707,6)))*(ci_hospitais_internacao!$B:$B=C707), 0)), "")</f>
        <v>17</v>
      </c>
      <c r="J707" t="str" cm="1">
        <f t="array" aca="1" ref="J707" ca="1">IFERROR(INDEX(ci_pa_clinico!$C:$C, MATCH(1, (VALUE(LEFT(ci_pa_clinico!$A:$A,6))=VALUE(LEFT(B707,6)))*(ci_pa_clinico!$B:$B=C707), 0)), "")</f>
        <v/>
      </c>
      <c r="K707" cm="1">
        <f t="array" aca="1" ref="K707" ca="1">IFERROR(INDEX(aps_equipes_esf!$C:$C, MATCH(1, (VALUE(LEFT(aps_equipes_esf!$A:$A,6))=VALUE(LEFT(B707,6)))*(aps_equipes_esf!$B:$B=C707), 0)), "")</f>
        <v>186</v>
      </c>
      <c r="L707" cm="1">
        <f t="array" aca="1" ref="L707" ca="1">IFERROR(INDEX(casos!$C:$C, MATCH(1, (VALUE(LEFT(casos!$A:$A,6))=VALUE(LEFT(B707,6)))*(casos!$B:$B=C707), 0)), "")</f>
        <v>19603</v>
      </c>
      <c r="M707" cm="1">
        <f t="array" ref="M707">IFERROR(INDEX(srag!$D:$D, MATCH(1, (VALUE(LEFT(srag!$A:$A,6))=VALUE(LEFT(B707,6)))*(srag!$C:$C=C707), 0)), "")</f>
        <v>561</v>
      </c>
      <c r="N707" cm="1">
        <f t="array" aca="1" ref="N707" ca="1">IFERROR(INDEX(fesp!$E:$E, MATCH(1, (VALUE(LEFT(fesp!$A:$A,6))=VALUE(LEFT(B707,6)))*(fesp!$C:$C=C707), 0)), "")</f>
        <v>1369</v>
      </c>
      <c r="O707" cm="1">
        <f t="array" aca="1" ref="O707" ca="1">IFERROR(INDEX(fesp!$F:$F, MATCH(1, (VALUE(LEFT(fesp!$A:$A,6))=VALUE(LEFT(B707,6)))*(fesp!$C:$C=C707), 0)), "")</f>
        <v>4338</v>
      </c>
      <c r="P707" cm="1">
        <f t="array" aca="1" ref="P707" ca="1">IFERROR(INDEX(fesp!$G:$G, MATCH(1, (VALUE(LEFT(fesp!$A:$A,6))=VALUE(LEFT(B707,6)))*(fesp!$C:$C=C707), 0)), "")</f>
        <v>12192821</v>
      </c>
      <c r="Q707" cm="1">
        <f t="array" aca="1" ref="Q707" ca="1">IFERROR(INDEX(fesp!$H:$H, MATCH(1, (VALUE(LEFT(fesp!$A:$A,6))=VALUE(LEFT(B707,6)))*(fesp!$C:$C=C707), 0)), "")</f>
        <v>577</v>
      </c>
      <c r="R707" cm="1">
        <f t="array" aca="1" ref="R707" ca="1">IFERROR(INDEX(fesp!$I:$I, MATCH(1, (VALUE(LEFT(fesp!$A:$A,6))=VALUE(LEFT(B707,6)))*(fesp!$C:$C=C707), 0)), "")</f>
        <v>239164</v>
      </c>
      <c r="S707" cm="1">
        <f t="array" aca="1" ref="S707" ca="1">IFERROR(INDEX(fesp!$J:$J, MATCH(1, (VALUE(LEFT(fesp!$A:$A,6))=VALUE(LEFT(B707,6)))*(fesp!$C:$C=C707), 0)), "")</f>
        <v>1405234</v>
      </c>
    </row>
    <row r="708" spans="1:19">
      <c r="A708" s="1" t="s">
        <v>4</v>
      </c>
      <c r="B708" s="3" t="s">
        <v>5</v>
      </c>
      <c r="C708" s="4">
        <v>2017</v>
      </c>
      <c r="D708" cm="1">
        <f t="array" ref="D708">IFERROR(INDEX(fesp!$D:$D, MATCH(1, (VALUE(LEFT(fesp!$A:$A,6))=VALUE(LEFT(B708,6)))*(fesp!$C:$C=C708), 0)), "")</f>
        <v>0</v>
      </c>
      <c r="E708" cm="1">
        <f t="array" aca="1" ref="E708" ca="1">IFERROR(INDEX(ft_medicos_clinicos!$C:$C, MATCH(1, (VALUE(LEFT(ft_medicos_clinicos!$A:$A,6))=VALUE(LEFT(B708,6)))*(ft_medicos_clinicos!$B:$B=C708), 0)), "")</f>
        <v>1592</v>
      </c>
      <c r="F708" cm="1">
        <f t="array" aca="1" ref="F708" ca="1">IFERROR(INDEX(ft_enfermeiros!$C:$C, MATCH(1, (VALUE(LEFT(ft_enfermeiros!$A:$A,6))=VALUE(LEFT(B708,6)))*(ft_enfermeiros!$B:$B=C708), 0)), "")</f>
        <v>4156</v>
      </c>
      <c r="G708" cm="1">
        <f t="array" aca="1" ref="G708" ca="1">IFERROR(INDEX(ft_equipes_acs!$C:$C, MATCH(1, (VALUE(LEFT(ft_equipes_acs!$A:$A,6))=VALUE(LEFT(B708,6)))*(ft_equipes_acs!$B:$B=C708), 0)), "")</f>
        <v>10</v>
      </c>
      <c r="H708" cm="1">
        <f t="array" aca="1" ref="H708" ca="1">IFERROR(INDEX(ci_leitos_internacao!$C:$C, MATCH(1, (VALUE(LEFT(ci_leitos_internacao!$A:$A,6))=VALUE(LEFT(B708,6)))*(ci_leitos_internacao!$B:$B=C708), 0)), "")</f>
        <v>6669</v>
      </c>
      <c r="I708" cm="1">
        <f t="array" aca="1" ref="I708" ca="1">IFERROR(INDEX(ci_hospitais_internacao!$C:$C, MATCH(1, (VALUE(LEFT(ci_hospitais_internacao!$A:$A,6))=VALUE(LEFT(B708,6)))*(ci_hospitais_internacao!$B:$B=C708), 0)), "")</f>
        <v>15</v>
      </c>
      <c r="J708" t="str" cm="1">
        <f t="array" aca="1" ref="J708" ca="1">IFERROR(INDEX(ci_pa_clinico!$C:$C, MATCH(1, (VALUE(LEFT(ci_pa_clinico!$A:$A,6))=VALUE(LEFT(B708,6)))*(ci_pa_clinico!$B:$B=C708), 0)), "")</f>
        <v/>
      </c>
      <c r="K708" cm="1">
        <f t="array" aca="1" ref="K708" ca="1">IFERROR(INDEX(aps_equipes_esf!$C:$C, MATCH(1, (VALUE(LEFT(aps_equipes_esf!$A:$A,6))=VALUE(LEFT(B708,6)))*(aps_equipes_esf!$B:$B=C708), 0)), "")</f>
        <v>216</v>
      </c>
      <c r="L708" cm="1">
        <f t="array" aca="1" ref="L708" ca="1">IFERROR(INDEX(casos!$C:$C, MATCH(1, (VALUE(LEFT(casos!$A:$A,6))=VALUE(LEFT(B708,6)))*(casos!$B:$B=C708), 0)), "")</f>
        <v>4251</v>
      </c>
      <c r="M708" cm="1">
        <f t="array" ref="M708">IFERROR(INDEX(srag!$D:$D, MATCH(1, (VALUE(LEFT(srag!$A:$A,6))=VALUE(LEFT(B708,6)))*(srag!$C:$C=C708), 0)), "")</f>
        <v>594</v>
      </c>
      <c r="N708" cm="1">
        <f t="array" aca="1" ref="N708" ca="1">IFERROR(INDEX(fesp!$E:$E, MATCH(1, (VALUE(LEFT(fesp!$A:$A,6))=VALUE(LEFT(B708,6)))*(fesp!$C:$C=C708), 0)), "")</f>
        <v>1325</v>
      </c>
      <c r="O708" cm="1">
        <f t="array" aca="1" ref="O708" ca="1">IFERROR(INDEX(fesp!$F:$F, MATCH(1, (VALUE(LEFT(fesp!$A:$A,6))=VALUE(LEFT(B708,6)))*(fesp!$C:$C=C708), 0)), "")</f>
        <v>4601</v>
      </c>
      <c r="P708" cm="1">
        <f t="array" aca="1" ref="P708" ca="1">IFERROR(INDEX(fesp!$G:$G, MATCH(1, (VALUE(LEFT(fesp!$A:$A,6))=VALUE(LEFT(B708,6)))*(fesp!$C:$C=C708), 0)), "")</f>
        <v>13030085</v>
      </c>
      <c r="Q708" cm="1">
        <f t="array" aca="1" ref="Q708" ca="1">IFERROR(INDEX(fesp!$H:$H, MATCH(1, (VALUE(LEFT(fesp!$A:$A,6))=VALUE(LEFT(B708,6)))*(fesp!$C:$C=C708), 0)), "")</f>
        <v>595</v>
      </c>
      <c r="R708" cm="1">
        <f t="array" aca="1" ref="R708" ca="1">IFERROR(INDEX(fesp!$I:$I, MATCH(1, (VALUE(LEFT(fesp!$A:$A,6))=VALUE(LEFT(B708,6)))*(fesp!$C:$C=C708), 0)), "")</f>
        <v>236903</v>
      </c>
      <c r="S708" cm="1">
        <f t="array" aca="1" ref="S708" ca="1">IFERROR(INDEX(fesp!$J:$J, MATCH(1, (VALUE(LEFT(fesp!$A:$A,6))=VALUE(LEFT(B708,6)))*(fesp!$C:$C=C708), 0)), "")</f>
        <v>1334349</v>
      </c>
    </row>
    <row r="709" spans="1:19">
      <c r="A709" s="1" t="s">
        <v>4</v>
      </c>
      <c r="B709" s="3" t="s">
        <v>5</v>
      </c>
      <c r="C709" s="4">
        <v>2018</v>
      </c>
      <c r="D709" cm="1">
        <f t="array" ref="D709">IFERROR(INDEX(fesp!$D:$D, MATCH(1, (VALUE(LEFT(fesp!$A:$A,6))=VALUE(LEFT(B709,6)))*(fesp!$C:$C=C709), 0)), "")</f>
        <v>0</v>
      </c>
      <c r="E709" cm="1">
        <f t="array" aca="1" ref="E709" ca="1">IFERROR(INDEX(ft_medicos_clinicos!$C:$C, MATCH(1, (VALUE(LEFT(ft_medicos_clinicos!$A:$A,6))=VALUE(LEFT(B709,6)))*(ft_medicos_clinicos!$B:$B=C709), 0)), "")</f>
        <v>1837</v>
      </c>
      <c r="F709" cm="1">
        <f t="array" aca="1" ref="F709" ca="1">IFERROR(INDEX(ft_enfermeiros!$C:$C, MATCH(1, (VALUE(LEFT(ft_enfermeiros!$A:$A,6))=VALUE(LEFT(B709,6)))*(ft_enfermeiros!$B:$B=C709), 0)), "")</f>
        <v>4613</v>
      </c>
      <c r="G709" cm="1">
        <f t="array" aca="1" ref="G709" ca="1">IFERROR(INDEX(ft_equipes_acs!$C:$C, MATCH(1, (VALUE(LEFT(ft_equipes_acs!$A:$A,6))=VALUE(LEFT(B709,6)))*(ft_equipes_acs!$B:$B=C709), 0)), "")</f>
        <v>9</v>
      </c>
      <c r="H709" cm="1">
        <f t="array" aca="1" ref="H709" ca="1">IFERROR(INDEX(ci_leitos_internacao!$C:$C, MATCH(1, (VALUE(LEFT(ci_leitos_internacao!$A:$A,6))=VALUE(LEFT(B709,6)))*(ci_leitos_internacao!$B:$B=C709), 0)), "")</f>
        <v>6737</v>
      </c>
      <c r="I709" cm="1">
        <f t="array" aca="1" ref="I709" ca="1">IFERROR(INDEX(ci_hospitais_internacao!$C:$C, MATCH(1, (VALUE(LEFT(ci_hospitais_internacao!$A:$A,6))=VALUE(LEFT(B709,6)))*(ci_hospitais_internacao!$B:$B=C709), 0)), "")</f>
        <v>16</v>
      </c>
      <c r="J709" t="str" cm="1">
        <f t="array" aca="1" ref="J709" ca="1">IFERROR(INDEX(ci_pa_clinico!$C:$C, MATCH(1, (VALUE(LEFT(ci_pa_clinico!$A:$A,6))=VALUE(LEFT(B709,6)))*(ci_pa_clinico!$B:$B=C709), 0)), "")</f>
        <v/>
      </c>
      <c r="K709" cm="1">
        <f t="array" aca="1" ref="K709" ca="1">IFERROR(INDEX(aps_equipes_esf!$C:$C, MATCH(1, (VALUE(LEFT(aps_equipes_esf!$A:$A,6))=VALUE(LEFT(B709,6)))*(aps_equipes_esf!$B:$B=C709), 0)), "")</f>
        <v>327</v>
      </c>
      <c r="L709" cm="1">
        <f t="array" aca="1" ref="L709" ca="1">IFERROR(INDEX(casos!$C:$C, MATCH(1, (VALUE(LEFT(casos!$A:$A,6))=VALUE(LEFT(B709,6)))*(casos!$B:$B=C709), 0)), "")</f>
        <v>2482</v>
      </c>
      <c r="M709" cm="1">
        <f t="array" ref="M709">IFERROR(INDEX(srag!$D:$D, MATCH(1, (VALUE(LEFT(srag!$A:$A,6))=VALUE(LEFT(B709,6)))*(srag!$C:$C=C709), 0)), "")</f>
        <v>1182</v>
      </c>
      <c r="N709" cm="1">
        <f t="array" aca="1" ref="N709" ca="1">IFERROR(INDEX(fesp!$E:$E, MATCH(1, (VALUE(LEFT(fesp!$A:$A,6))=VALUE(LEFT(B709,6)))*(fesp!$C:$C=C709), 0)), "")</f>
        <v>1350</v>
      </c>
      <c r="O709" cm="1">
        <f t="array" aca="1" ref="O709" ca="1">IFERROR(INDEX(fesp!$F:$F, MATCH(1, (VALUE(LEFT(fesp!$A:$A,6))=VALUE(LEFT(B709,6)))*(fesp!$C:$C=C709), 0)), "")</f>
        <v>4424</v>
      </c>
      <c r="P709" cm="1">
        <f t="array" aca="1" ref="P709" ca="1">IFERROR(INDEX(fesp!$G:$G, MATCH(1, (VALUE(LEFT(fesp!$A:$A,6))=VALUE(LEFT(B709,6)))*(fesp!$C:$C=C709), 0)), "")</f>
        <v>12804916</v>
      </c>
      <c r="Q709" cm="1">
        <f t="array" aca="1" ref="Q709" ca="1">IFERROR(INDEX(fesp!$H:$H, MATCH(1, (VALUE(LEFT(fesp!$A:$A,6))=VALUE(LEFT(B709,6)))*(fesp!$C:$C=C709), 0)), "")</f>
        <v>702</v>
      </c>
      <c r="R709" cm="1">
        <f t="array" aca="1" ref="R709" ca="1">IFERROR(INDEX(fesp!$I:$I, MATCH(1, (VALUE(LEFT(fesp!$A:$A,6))=VALUE(LEFT(B709,6)))*(fesp!$C:$C=C709), 0)), "")</f>
        <v>42171</v>
      </c>
      <c r="S709" cm="1">
        <f t="array" aca="1" ref="S709" ca="1">IFERROR(INDEX(fesp!$J:$J, MATCH(1, (VALUE(LEFT(fesp!$A:$A,6))=VALUE(LEFT(B709,6)))*(fesp!$C:$C=C709), 0)), "")</f>
        <v>188758</v>
      </c>
    </row>
    <row r="710" spans="1:19">
      <c r="A710" s="1" t="s">
        <v>4</v>
      </c>
      <c r="B710" s="3" t="s">
        <v>5</v>
      </c>
      <c r="C710" s="4">
        <v>2019</v>
      </c>
      <c r="D710" cm="1">
        <f t="array" ref="D710">IFERROR(INDEX(fesp!$D:$D, MATCH(1, (VALUE(LEFT(fesp!$A:$A,6))=VALUE(LEFT(B710,6)))*(fesp!$C:$C=C710), 0)), "")</f>
        <v>0</v>
      </c>
      <c r="E710" cm="1">
        <f t="array" aca="1" ref="E710" ca="1">IFERROR(INDEX(ft_medicos_clinicos!$C:$C, MATCH(1, (VALUE(LEFT(ft_medicos_clinicos!$A:$A,6))=VALUE(LEFT(B710,6)))*(ft_medicos_clinicos!$B:$B=C710), 0)), "")</f>
        <v>1987</v>
      </c>
      <c r="F710" cm="1">
        <f t="array" aca="1" ref="F710" ca="1">IFERROR(INDEX(ft_enfermeiros!$C:$C, MATCH(1, (VALUE(LEFT(ft_enfermeiros!$A:$A,6))=VALUE(LEFT(B710,6)))*(ft_enfermeiros!$B:$B=C710), 0)), "")</f>
        <v>5239</v>
      </c>
      <c r="G710" cm="1">
        <f t="array" aca="1" ref="G710" ca="1">IFERROR(INDEX(ft_equipes_acs!$C:$C, MATCH(1, (VALUE(LEFT(ft_equipes_acs!$A:$A,6))=VALUE(LEFT(B710,6)))*(ft_equipes_acs!$B:$B=C710), 0)), "")</f>
        <v>14</v>
      </c>
      <c r="H710" cm="1">
        <f t="array" aca="1" ref="H710" ca="1">IFERROR(INDEX(ci_leitos_internacao!$C:$C, MATCH(1, (VALUE(LEFT(ci_leitos_internacao!$A:$A,6))=VALUE(LEFT(B710,6)))*(ci_leitos_internacao!$B:$B=C710), 0)), "")</f>
        <v>6951</v>
      </c>
      <c r="I710" cm="1">
        <f t="array" aca="1" ref="I710" ca="1">IFERROR(INDEX(ci_hospitais_internacao!$C:$C, MATCH(1, (VALUE(LEFT(ci_hospitais_internacao!$A:$A,6))=VALUE(LEFT(B710,6)))*(ci_hospitais_internacao!$B:$B=C710), 0)), "")</f>
        <v>15</v>
      </c>
      <c r="J710" t="str" cm="1">
        <f t="array" aca="1" ref="J710" ca="1">IFERROR(INDEX(ci_pa_clinico!$C:$C, MATCH(1, (VALUE(LEFT(ci_pa_clinico!$A:$A,6))=VALUE(LEFT(B710,6)))*(ci_pa_clinico!$B:$B=C710), 0)), "")</f>
        <v/>
      </c>
      <c r="K710" cm="1">
        <f t="array" aca="1" ref="K710" ca="1">IFERROR(INDEX(aps_equipes_esf!$C:$C, MATCH(1, (VALUE(LEFT(aps_equipes_esf!$A:$A,6))=VALUE(LEFT(B710,6)))*(aps_equipes_esf!$B:$B=C710), 0)), "")</f>
        <v>324</v>
      </c>
      <c r="L710" cm="1">
        <f t="array" aca="1" ref="L710" ca="1">IFERROR(INDEX(casos!$C:$C, MATCH(1, (VALUE(LEFT(casos!$A:$A,6))=VALUE(LEFT(B710,6)))*(casos!$B:$B=C710), 0)), "")</f>
        <v>39583</v>
      </c>
      <c r="M710" cm="1">
        <f t="array" ref="M710">IFERROR(INDEX(srag!$D:$D, MATCH(1, (VALUE(LEFT(srag!$A:$A,6))=VALUE(LEFT(B710,6)))*(srag!$C:$C=C710), 0)), "")</f>
        <v>266</v>
      </c>
      <c r="N710" cm="1">
        <f t="array" aca="1" ref="N710" ca="1">IFERROR(INDEX(fesp!$E:$E, MATCH(1, (VALUE(LEFT(fesp!$A:$A,6))=VALUE(LEFT(B710,6)))*(fesp!$C:$C=C710), 0)), "")</f>
        <v>1355</v>
      </c>
      <c r="O710" cm="1">
        <f t="array" aca="1" ref="O710" ca="1">IFERROR(INDEX(fesp!$F:$F, MATCH(1, (VALUE(LEFT(fesp!$A:$A,6))=VALUE(LEFT(B710,6)))*(fesp!$C:$C=C710), 0)), "")</f>
        <v>8447</v>
      </c>
      <c r="P710" cm="1">
        <f t="array" aca="1" ref="P710" ca="1">IFERROR(INDEX(fesp!$G:$G, MATCH(1, (VALUE(LEFT(fesp!$A:$A,6))=VALUE(LEFT(B710,6)))*(fesp!$C:$C=C710), 0)), "")</f>
        <v>14885178</v>
      </c>
      <c r="Q710" cm="1">
        <f t="array" aca="1" ref="Q710" ca="1">IFERROR(INDEX(fesp!$H:$H, MATCH(1, (VALUE(LEFT(fesp!$A:$A,6))=VALUE(LEFT(B710,6)))*(fesp!$C:$C=C710), 0)), "")</f>
        <v>845</v>
      </c>
      <c r="R710" cm="1">
        <f t="array" aca="1" ref="R710" ca="1">IFERROR(INDEX(fesp!$I:$I, MATCH(1, (VALUE(LEFT(fesp!$A:$A,6))=VALUE(LEFT(B710,6)))*(fesp!$C:$C=C710), 0)), "")</f>
        <v>17955</v>
      </c>
      <c r="S710" cm="1">
        <f t="array" aca="1" ref="S710" ca="1">IFERROR(INDEX(fesp!$J:$J, MATCH(1, (VALUE(LEFT(fesp!$A:$A,6))=VALUE(LEFT(B710,6)))*(fesp!$C:$C=C710), 0)), "")</f>
        <v>13501</v>
      </c>
    </row>
    <row r="711" spans="1:19">
      <c r="A711" s="1" t="s">
        <v>4</v>
      </c>
      <c r="B711" s="3" t="s">
        <v>5</v>
      </c>
      <c r="C711" s="4">
        <v>2020</v>
      </c>
      <c r="D711" cm="1">
        <f t="array" ref="D711">IFERROR(INDEX(fesp!$D:$D, MATCH(1, (VALUE(LEFT(fesp!$A:$A,6))=VALUE(LEFT(B711,6)))*(fesp!$C:$C=C711), 0)), "")</f>
        <v>0</v>
      </c>
      <c r="E711" cm="1">
        <f t="array" aca="1" ref="E711" ca="1">IFERROR(INDEX(ft_medicos_clinicos!$C:$C, MATCH(1, (VALUE(LEFT(ft_medicos_clinicos!$A:$A,6))=VALUE(LEFT(B711,6)))*(ft_medicos_clinicos!$B:$B=C711), 0)), "")</f>
        <v>2334</v>
      </c>
      <c r="F711" cm="1">
        <f t="array" aca="1" ref="F711" ca="1">IFERROR(INDEX(ft_enfermeiros!$C:$C, MATCH(1, (VALUE(LEFT(ft_enfermeiros!$A:$A,6))=VALUE(LEFT(B711,6)))*(ft_enfermeiros!$B:$B=C711), 0)), "")</f>
        <v>5744</v>
      </c>
      <c r="G711" t="str" cm="1">
        <f t="array" aca="1" ref="G711" ca="1">IFERROR(INDEX(ft_equipes_acs!$C:$C, MATCH(1, (VALUE(LEFT(ft_equipes_acs!$A:$A,6))=VALUE(LEFT(B711,6)))*(ft_equipes_acs!$B:$B=C711), 0)), "")</f>
        <v>-</v>
      </c>
      <c r="H711" cm="1">
        <f t="array" aca="1" ref="H711" ca="1">IFERROR(INDEX(ci_leitos_internacao!$C:$C, MATCH(1, (VALUE(LEFT(ci_leitos_internacao!$A:$A,6))=VALUE(LEFT(B711,6)))*(ci_leitos_internacao!$B:$B=C711), 0)), "")</f>
        <v>7609</v>
      </c>
      <c r="I711" cm="1">
        <f t="array" aca="1" ref="I711" ca="1">IFERROR(INDEX(ci_hospitais_internacao!$C:$C, MATCH(1, (VALUE(LEFT(ci_hospitais_internacao!$A:$A,6))=VALUE(LEFT(B711,6)))*(ci_hospitais_internacao!$B:$B=C711), 0)), "")</f>
        <v>24</v>
      </c>
      <c r="J711" t="str" cm="1">
        <f t="array" aca="1" ref="J711" ca="1">IFERROR(INDEX(ci_pa_clinico!$C:$C, MATCH(1, (VALUE(LEFT(ci_pa_clinico!$A:$A,6))=VALUE(LEFT(B711,6)))*(ci_pa_clinico!$B:$B=C711), 0)), "")</f>
        <v/>
      </c>
      <c r="K711" cm="1">
        <f t="array" aca="1" ref="K711" ca="1">IFERROR(INDEX(aps_equipes_esf!$C:$C, MATCH(1, (VALUE(LEFT(aps_equipes_esf!$A:$A,6))=VALUE(LEFT(B711,6)))*(aps_equipes_esf!$B:$B=C711), 0)), "")</f>
        <v>2</v>
      </c>
      <c r="L711" cm="1">
        <f t="array" aca="1" ref="L711" ca="1">IFERROR(INDEX(casos!$C:$C, MATCH(1, (VALUE(LEFT(casos!$A:$A,6))=VALUE(LEFT(B711,6)))*(casos!$B:$B=C711), 0)), "")</f>
        <v>50856</v>
      </c>
      <c r="M711" cm="1">
        <f t="array" ref="M711">IFERROR(INDEX(srag!$D:$D, MATCH(1, (VALUE(LEFT(srag!$A:$A,6))=VALUE(LEFT(B711,6)))*(srag!$C:$C=C711), 0)), "")</f>
        <v>200</v>
      </c>
      <c r="N711" cm="1">
        <f t="array" aca="1" ref="N711" ca="1">IFERROR(INDEX(fesp!$E:$E, MATCH(1, (VALUE(LEFT(fesp!$A:$A,6))=VALUE(LEFT(B711,6)))*(fesp!$C:$C=C711), 0)), "")</f>
        <v>1123</v>
      </c>
      <c r="O711" cm="1">
        <f t="array" aca="1" ref="O711" ca="1">IFERROR(INDEX(fesp!$F:$F, MATCH(1, (VALUE(LEFT(fesp!$A:$A,6))=VALUE(LEFT(B711,6)))*(fesp!$C:$C=C711), 0)), "")</f>
        <v>6503</v>
      </c>
      <c r="P711" cm="1">
        <f t="array" aca="1" ref="P711" ca="1">IFERROR(INDEX(fesp!$G:$G, MATCH(1, (VALUE(LEFT(fesp!$A:$A,6))=VALUE(LEFT(B711,6)))*(fesp!$C:$C=C711), 0)), "")</f>
        <v>11576561</v>
      </c>
      <c r="Q711" cm="1">
        <f t="array" aca="1" ref="Q711" ca="1">IFERROR(INDEX(fesp!$H:$H, MATCH(1, (VALUE(LEFT(fesp!$A:$A,6))=VALUE(LEFT(B711,6)))*(fesp!$C:$C=C711), 0)), "")</f>
        <v>515</v>
      </c>
      <c r="R711" cm="1">
        <f t="array" aca="1" ref="R711" ca="1">IFERROR(INDEX(fesp!$I:$I, MATCH(1, (VALUE(LEFT(fesp!$A:$A,6))=VALUE(LEFT(B711,6)))*(fesp!$C:$C=C711), 0)), "")</f>
        <v>23317</v>
      </c>
      <c r="S711" cm="1">
        <f t="array" aca="1" ref="S711" ca="1">IFERROR(INDEX(fesp!$J:$J, MATCH(1, (VALUE(LEFT(fesp!$A:$A,6))=VALUE(LEFT(B711,6)))*(fesp!$C:$C=C711), 0)), "")</f>
        <v>19911</v>
      </c>
    </row>
    <row r="712" spans="1:19">
      <c r="A712" s="1" t="s">
        <v>4</v>
      </c>
      <c r="B712" s="3" t="s">
        <v>5</v>
      </c>
      <c r="C712" s="4">
        <v>2021</v>
      </c>
      <c r="D712" cm="1">
        <f t="array" ref="D712">IFERROR(INDEX(fesp!$D:$D, MATCH(1, (VALUE(LEFT(fesp!$A:$A,6))=VALUE(LEFT(B712,6)))*(fesp!$C:$C=C712), 0)), "")</f>
        <v>0</v>
      </c>
      <c r="E712" cm="1">
        <f t="array" aca="1" ref="E712" ca="1">IFERROR(INDEX(ft_medicos_clinicos!$C:$C, MATCH(1, (VALUE(LEFT(ft_medicos_clinicos!$A:$A,6))=VALUE(LEFT(B712,6)))*(ft_medicos_clinicos!$B:$B=C712), 0)), "")</f>
        <v>2569</v>
      </c>
      <c r="F712" cm="1">
        <f t="array" aca="1" ref="F712" ca="1">IFERROR(INDEX(ft_enfermeiros!$C:$C, MATCH(1, (VALUE(LEFT(ft_enfermeiros!$A:$A,6))=VALUE(LEFT(B712,6)))*(ft_enfermeiros!$B:$B=C712), 0)), "")</f>
        <v>6652</v>
      </c>
      <c r="G712" t="str" cm="1">
        <f t="array" aca="1" ref="G712" ca="1">IFERROR(INDEX(ft_equipes_acs!$C:$C, MATCH(1, (VALUE(LEFT(ft_equipes_acs!$A:$A,6))=VALUE(LEFT(B712,6)))*(ft_equipes_acs!$B:$B=C712), 0)), "")</f>
        <v>-</v>
      </c>
      <c r="H712" cm="1">
        <f t="array" aca="1" ref="H712" ca="1">IFERROR(INDEX(ci_leitos_internacao!$C:$C, MATCH(1, (VALUE(LEFT(ci_leitos_internacao!$A:$A,6))=VALUE(LEFT(B712,6)))*(ci_leitos_internacao!$B:$B=C712), 0)), "")</f>
        <v>7848</v>
      </c>
      <c r="I712" cm="1">
        <f t="array" aca="1" ref="I712" ca="1">IFERROR(INDEX(ci_hospitais_internacao!$C:$C, MATCH(1, (VALUE(LEFT(ci_hospitais_internacao!$A:$A,6))=VALUE(LEFT(B712,6)))*(ci_hospitais_internacao!$B:$B=C712), 0)), "")</f>
        <v>26</v>
      </c>
      <c r="J712" t="str" cm="1">
        <f t="array" aca="1" ref="J712" ca="1">IFERROR(INDEX(ci_pa_clinico!$C:$C, MATCH(1, (VALUE(LEFT(ci_pa_clinico!$A:$A,6))=VALUE(LEFT(B712,6)))*(ci_pa_clinico!$B:$B=C712), 0)), "")</f>
        <v/>
      </c>
      <c r="K712" cm="1">
        <f t="array" aca="1" ref="K712" ca="1">IFERROR(INDEX(aps_equipes_esf!$C:$C, MATCH(1, (VALUE(LEFT(aps_equipes_esf!$A:$A,6))=VALUE(LEFT(B712,6)))*(aps_equipes_esf!$B:$B=C712), 0)), "")</f>
        <v>2</v>
      </c>
      <c r="L712" cm="1">
        <f t="array" aca="1" ref="L712" ca="1">IFERROR(INDEX(casos!$C:$C, MATCH(1, (VALUE(LEFT(casos!$A:$A,6))=VALUE(LEFT(B712,6)))*(casos!$B:$B=C712), 0)), "")</f>
        <v>18707</v>
      </c>
      <c r="M712" cm="1">
        <f t="array" ref="M712">IFERROR(INDEX(srag!$D:$D, MATCH(1, (VALUE(LEFT(srag!$A:$A,6))=VALUE(LEFT(B712,6)))*(srag!$C:$C=C712), 0)), "")</f>
        <v>310</v>
      </c>
      <c r="N712" cm="1">
        <f t="array" aca="1" ref="N712" ca="1">IFERROR(INDEX(fesp!$E:$E, MATCH(1, (VALUE(LEFT(fesp!$A:$A,6))=VALUE(LEFT(B712,6)))*(fesp!$C:$C=C712), 0)), "")</f>
        <v>1119</v>
      </c>
      <c r="O712" cm="1">
        <f t="array" aca="1" ref="O712" ca="1">IFERROR(INDEX(fesp!$F:$F, MATCH(1, (VALUE(LEFT(fesp!$A:$A,6))=VALUE(LEFT(B712,6)))*(fesp!$C:$C=C712), 0)), "")</f>
        <v>8735</v>
      </c>
      <c r="P712" cm="1">
        <f t="array" aca="1" ref="P712" ca="1">IFERROR(INDEX(fesp!$G:$G, MATCH(1, (VALUE(LEFT(fesp!$A:$A,6))=VALUE(LEFT(B712,6)))*(fesp!$C:$C=C712), 0)), "")</f>
        <v>13954381</v>
      </c>
      <c r="Q712" cm="1">
        <f t="array" aca="1" ref="Q712" ca="1">IFERROR(INDEX(fesp!$H:$H, MATCH(1, (VALUE(LEFT(fesp!$A:$A,6))=VALUE(LEFT(B712,6)))*(fesp!$C:$C=C712), 0)), "")</f>
        <v>509</v>
      </c>
      <c r="R712" cm="1">
        <f t="array" aca="1" ref="R712" ca="1">IFERROR(INDEX(fesp!$I:$I, MATCH(1, (VALUE(LEFT(fesp!$A:$A,6))=VALUE(LEFT(B712,6)))*(fesp!$C:$C=C712), 0)), "")</f>
        <v>18700</v>
      </c>
      <c r="S712" cm="1">
        <f t="array" aca="1" ref="S712" ca="1">IFERROR(INDEX(fesp!$J:$J, MATCH(1, (VALUE(LEFT(fesp!$A:$A,6))=VALUE(LEFT(B712,6)))*(fesp!$C:$C=C712), 0)), "")</f>
        <v>10654</v>
      </c>
    </row>
    <row r="713" spans="1:19">
      <c r="A713" s="1" t="s">
        <v>4</v>
      </c>
      <c r="B713" s="3" t="s">
        <v>5</v>
      </c>
      <c r="C713" s="4">
        <v>2022</v>
      </c>
      <c r="D713" cm="1">
        <f t="array" ref="D713">IFERROR(INDEX(fesp!$D:$D, MATCH(1, (VALUE(LEFT(fesp!$A:$A,6))=VALUE(LEFT(B713,6)))*(fesp!$C:$C=C713), 0)), "")</f>
        <v>2817381</v>
      </c>
      <c r="E713" cm="1">
        <f t="array" aca="1" ref="E713" ca="1">IFERROR(INDEX(ft_medicos_clinicos!$C:$C, MATCH(1, (VALUE(LEFT(ft_medicos_clinicos!$A:$A,6))=VALUE(LEFT(B713,6)))*(ft_medicos_clinicos!$B:$B=C713), 0)), "")</f>
        <v>2668</v>
      </c>
      <c r="F713" cm="1">
        <f t="array" aca="1" ref="F713" ca="1">IFERROR(INDEX(ft_enfermeiros!$C:$C, MATCH(1, (VALUE(LEFT(ft_enfermeiros!$A:$A,6))=VALUE(LEFT(B713,6)))*(ft_enfermeiros!$B:$B=C713), 0)), "")</f>
        <v>6893</v>
      </c>
      <c r="G713" t="str" cm="1">
        <f t="array" aca="1" ref="G713" ca="1">IFERROR(INDEX(ft_equipes_acs!$C:$C, MATCH(1, (VALUE(LEFT(ft_equipes_acs!$A:$A,6))=VALUE(LEFT(B713,6)))*(ft_equipes_acs!$B:$B=C713), 0)), "")</f>
        <v>-</v>
      </c>
      <c r="H713" cm="1">
        <f t="array" aca="1" ref="H713" ca="1">IFERROR(INDEX(ci_leitos_internacao!$C:$C, MATCH(1, (VALUE(LEFT(ci_leitos_internacao!$A:$A,6))=VALUE(LEFT(B713,6)))*(ci_leitos_internacao!$B:$B=C713), 0)), "")</f>
        <v>7806</v>
      </c>
      <c r="I713" cm="1">
        <f t="array" aca="1" ref="I713" ca="1">IFERROR(INDEX(ci_hospitais_internacao!$C:$C, MATCH(1, (VALUE(LEFT(ci_hospitais_internacao!$A:$A,6))=VALUE(LEFT(B713,6)))*(ci_hospitais_internacao!$B:$B=C713), 0)), "")</f>
        <v>25</v>
      </c>
      <c r="J713" t="str" cm="1">
        <f t="array" aca="1" ref="J713" ca="1">IFERROR(INDEX(ci_pa_clinico!$C:$C, MATCH(1, (VALUE(LEFT(ci_pa_clinico!$A:$A,6))=VALUE(LEFT(B713,6)))*(ci_pa_clinico!$B:$B=C713), 0)), "")</f>
        <v/>
      </c>
      <c r="K713" cm="1">
        <f t="array" aca="1" ref="K713" ca="1">IFERROR(INDEX(aps_equipes_esf!$C:$C, MATCH(1, (VALUE(LEFT(aps_equipes_esf!$A:$A,6))=VALUE(LEFT(B713,6)))*(aps_equipes_esf!$B:$B=C713), 0)), "")</f>
        <v>2</v>
      </c>
      <c r="L713" cm="1">
        <f t="array" aca="1" ref="L713" ca="1">IFERROR(INDEX(casos!$C:$C, MATCH(1, (VALUE(LEFT(casos!$A:$A,6))=VALUE(LEFT(B713,6)))*(casos!$B:$B=C713), 0)), "")</f>
        <v>72691</v>
      </c>
      <c r="M713" cm="1">
        <f t="array" ref="M713">IFERROR(INDEX(srag!$D:$D, MATCH(1, (VALUE(LEFT(srag!$A:$A,6))=VALUE(LEFT(B713,6)))*(srag!$C:$C=C713), 0)), "")</f>
        <v>89</v>
      </c>
      <c r="N713" cm="1">
        <f t="array" aca="1" ref="N713" ca="1">IFERROR(INDEX(fesp!$E:$E, MATCH(1, (VALUE(LEFT(fesp!$A:$A,6))=VALUE(LEFT(B713,6)))*(fesp!$C:$C=C713), 0)), "")</f>
        <v>1228</v>
      </c>
      <c r="O713" cm="1">
        <f t="array" aca="1" ref="O713" ca="1">IFERROR(INDEX(fesp!$F:$F, MATCH(1, (VALUE(LEFT(fesp!$A:$A,6))=VALUE(LEFT(B713,6)))*(fesp!$C:$C=C713), 0)), "")</f>
        <v>12064</v>
      </c>
      <c r="P713" cm="1">
        <f t="array" aca="1" ref="P713" ca="1">IFERROR(INDEX(fesp!$G:$G, MATCH(1, (VALUE(LEFT(fesp!$A:$A,6))=VALUE(LEFT(B713,6)))*(fesp!$C:$C=C713), 0)), "")</f>
        <v>16498250</v>
      </c>
      <c r="Q713" cm="1">
        <f t="array" aca="1" ref="Q713" ca="1">IFERROR(INDEX(fesp!$H:$H, MATCH(1, (VALUE(LEFT(fesp!$A:$A,6))=VALUE(LEFT(B713,6)))*(fesp!$C:$C=C713), 0)), "")</f>
        <v>486</v>
      </c>
      <c r="R713" cm="1">
        <f t="array" aca="1" ref="R713" ca="1">IFERROR(INDEX(fesp!$I:$I, MATCH(1, (VALUE(LEFT(fesp!$A:$A,6))=VALUE(LEFT(B713,6)))*(fesp!$C:$C=C713), 0)), "")</f>
        <v>16029</v>
      </c>
      <c r="S713" cm="1">
        <f t="array" aca="1" ref="S713" ca="1">IFERROR(INDEX(fesp!$J:$J, MATCH(1, (VALUE(LEFT(fesp!$A:$A,6))=VALUE(LEFT(B713,6)))*(fesp!$C:$C=C713), 0)), "")</f>
        <v>7684</v>
      </c>
    </row>
    <row r="714" spans="1:19">
      <c r="A714" s="1" t="s">
        <v>4</v>
      </c>
      <c r="B714" s="3" t="s">
        <v>5</v>
      </c>
      <c r="C714" s="4">
        <v>2023</v>
      </c>
      <c r="D714" cm="1">
        <f t="array" ref="D714">IFERROR(INDEX(fesp!$D:$D, MATCH(1, (VALUE(LEFT(fesp!$A:$A,6))=VALUE(LEFT(B714,6)))*(fesp!$C:$C=C714), 0)), "")</f>
        <v>0</v>
      </c>
      <c r="E714" cm="1">
        <f t="array" aca="1" ref="E714" ca="1">IFERROR(INDEX(ft_medicos_clinicos!$C:$C, MATCH(1, (VALUE(LEFT(ft_medicos_clinicos!$A:$A,6))=VALUE(LEFT(B714,6)))*(ft_medicos_clinicos!$B:$B=C714), 0)), "")</f>
        <v>2759</v>
      </c>
      <c r="F714" cm="1">
        <f t="array" aca="1" ref="F714" ca="1">IFERROR(INDEX(ft_enfermeiros!$C:$C, MATCH(1, (VALUE(LEFT(ft_enfermeiros!$A:$A,6))=VALUE(LEFT(B714,6)))*(ft_enfermeiros!$B:$B=C714), 0)), "")</f>
        <v>6834</v>
      </c>
      <c r="G714" t="str" cm="1">
        <f t="array" aca="1" ref="G714" ca="1">IFERROR(INDEX(ft_equipes_acs!$C:$C, MATCH(1, (VALUE(LEFT(ft_equipes_acs!$A:$A,6))=VALUE(LEFT(B714,6)))*(ft_equipes_acs!$B:$B=C714), 0)), "")</f>
        <v>-</v>
      </c>
      <c r="H714" cm="1">
        <f t="array" aca="1" ref="H714" ca="1">IFERROR(INDEX(ci_leitos_internacao!$C:$C, MATCH(1, (VALUE(LEFT(ci_leitos_internacao!$A:$A,6))=VALUE(LEFT(B714,6)))*(ci_leitos_internacao!$B:$B=C714), 0)), "")</f>
        <v>7817</v>
      </c>
      <c r="I714" cm="1">
        <f t="array" aca="1" ref="I714" ca="1">IFERROR(INDEX(ci_hospitais_internacao!$C:$C, MATCH(1, (VALUE(LEFT(ci_hospitais_internacao!$A:$A,6))=VALUE(LEFT(B714,6)))*(ci_hospitais_internacao!$B:$B=C714), 0)), "")</f>
        <v>27</v>
      </c>
      <c r="J714" t="str" cm="1">
        <f t="array" aca="1" ref="J714" ca="1">IFERROR(INDEX(ci_pa_clinico!$C:$C, MATCH(1, (VALUE(LEFT(ci_pa_clinico!$A:$A,6))=VALUE(LEFT(B714,6)))*(ci_pa_clinico!$B:$B=C714), 0)), "")</f>
        <v/>
      </c>
      <c r="K714" cm="1">
        <f t="array" aca="1" ref="K714" ca="1">IFERROR(INDEX(aps_equipes_esf!$C:$C, MATCH(1, (VALUE(LEFT(aps_equipes_esf!$A:$A,6))=VALUE(LEFT(B714,6)))*(aps_equipes_esf!$B:$B=C714), 0)), "")</f>
        <v>2</v>
      </c>
      <c r="L714" cm="1">
        <f t="array" aca="1" ref="L714" ca="1">IFERROR(INDEX(casos!$C:$C, MATCH(1, (VALUE(LEFT(casos!$A:$A,6))=VALUE(LEFT(B714,6)))*(casos!$B:$B=C714), 0)), "")</f>
        <v>42167</v>
      </c>
      <c r="M714" cm="1">
        <f t="array" ref="M714">IFERROR(INDEX(srag!$D:$D, MATCH(1, (VALUE(LEFT(srag!$A:$A,6))=VALUE(LEFT(B714,6)))*(srag!$C:$C=C714), 0)), "")</f>
        <v>45</v>
      </c>
      <c r="N714" cm="1">
        <f t="array" aca="1" ref="N714" ca="1">IFERROR(INDEX(fesp!$E:$E, MATCH(1, (VALUE(LEFT(fesp!$A:$A,6))=VALUE(LEFT(B714,6)))*(fesp!$C:$C=C714), 0)), "")</f>
        <v>1103</v>
      </c>
      <c r="O714" cm="1">
        <f t="array" aca="1" ref="O714" ca="1">IFERROR(INDEX(fesp!$F:$F, MATCH(1, (VALUE(LEFT(fesp!$A:$A,6))=VALUE(LEFT(B714,6)))*(fesp!$C:$C=C714), 0)), "")</f>
        <v>10049</v>
      </c>
      <c r="P714" cm="1">
        <f t="array" aca="1" ref="P714" ca="1">IFERROR(INDEX(fesp!$G:$G, MATCH(1, (VALUE(LEFT(fesp!$A:$A,6))=VALUE(LEFT(B714,6)))*(fesp!$C:$C=C714), 0)), "")</f>
        <v>18507451</v>
      </c>
      <c r="Q714" cm="1">
        <f t="array" aca="1" ref="Q714" ca="1">IFERROR(INDEX(fesp!$H:$H, MATCH(1, (VALUE(LEFT(fesp!$A:$A,6))=VALUE(LEFT(B714,6)))*(fesp!$C:$C=C714), 0)), "")</f>
        <v>523</v>
      </c>
      <c r="R714" cm="1">
        <f t="array" aca="1" ref="R714" ca="1">IFERROR(INDEX(fesp!$I:$I, MATCH(1, (VALUE(LEFT(fesp!$A:$A,6))=VALUE(LEFT(B714,6)))*(fesp!$C:$C=C714), 0)), "")</f>
        <v>15842</v>
      </c>
      <c r="S714" cm="1">
        <f t="array" aca="1" ref="S714" ca="1">IFERROR(INDEX(fesp!$J:$J, MATCH(1, (VALUE(LEFT(fesp!$A:$A,6))=VALUE(LEFT(B714,6)))*(fesp!$C:$C=C714), 0)), "")</f>
        <v>8434</v>
      </c>
    </row>
    <row r="715" spans="1:19">
      <c r="A715" s="1" t="s">
        <v>4</v>
      </c>
      <c r="B715" s="3" t="s">
        <v>5</v>
      </c>
      <c r="C715" s="4">
        <v>2024</v>
      </c>
      <c r="D715" cm="1">
        <f t="array" ref="D715">IFERROR(INDEX(fesp!$D:$D, MATCH(1, (VALUE(LEFT(fesp!$A:$A,6))=VALUE(LEFT(B715,6)))*(fesp!$C:$C=C715), 0)), "")</f>
        <v>0</v>
      </c>
      <c r="E715" cm="1">
        <f t="array" aca="1" ref="E715" ca="1">IFERROR(INDEX(ft_medicos_clinicos!$C:$C, MATCH(1, (VALUE(LEFT(ft_medicos_clinicos!$A:$A,6))=VALUE(LEFT(B715,6)))*(ft_medicos_clinicos!$B:$B=C715), 0)), "")</f>
        <v>3032</v>
      </c>
      <c r="F715" cm="1">
        <f t="array" aca="1" ref="F715" ca="1">IFERROR(INDEX(ft_enfermeiros!$C:$C, MATCH(1, (VALUE(LEFT(ft_enfermeiros!$A:$A,6))=VALUE(LEFT(B715,6)))*(ft_enfermeiros!$B:$B=C715), 0)), "")</f>
        <v>7243</v>
      </c>
      <c r="G715" t="str" cm="1">
        <f t="array" aca="1" ref="G715" ca="1">IFERROR(INDEX(ft_equipes_acs!$C:$C, MATCH(1, (VALUE(LEFT(ft_equipes_acs!$A:$A,6))=VALUE(LEFT(B715,6)))*(ft_equipes_acs!$B:$B=C715), 0)), "")</f>
        <v>-</v>
      </c>
      <c r="H715" cm="1">
        <f t="array" aca="1" ref="H715" ca="1">IFERROR(INDEX(ci_leitos_internacao!$C:$C, MATCH(1, (VALUE(LEFT(ci_leitos_internacao!$A:$A,6))=VALUE(LEFT(B715,6)))*(ci_leitos_internacao!$B:$B=C715), 0)), "")</f>
        <v>8269</v>
      </c>
      <c r="I715" cm="1">
        <f t="array" aca="1" ref="I715" ca="1">IFERROR(INDEX(ci_hospitais_internacao!$C:$C, MATCH(1, (VALUE(LEFT(ci_hospitais_internacao!$A:$A,6))=VALUE(LEFT(B715,6)))*(ci_hospitais_internacao!$B:$B=C715), 0)), "")</f>
        <v>25</v>
      </c>
      <c r="J715" t="str" cm="1">
        <f t="array" aca="1" ref="J715" ca="1">IFERROR(INDEX(ci_pa_clinico!$C:$C, MATCH(1, (VALUE(LEFT(ci_pa_clinico!$A:$A,6))=VALUE(LEFT(B715,6)))*(ci_pa_clinico!$B:$B=C715), 0)), "")</f>
        <v/>
      </c>
      <c r="K715" cm="1">
        <f t="array" aca="1" ref="K715" ca="1">IFERROR(INDEX(aps_equipes_esf!$C:$C, MATCH(1, (VALUE(LEFT(aps_equipes_esf!$A:$A,6))=VALUE(LEFT(B715,6)))*(aps_equipes_esf!$B:$B=C715), 0)), "")</f>
        <v>2</v>
      </c>
      <c r="L715" cm="1">
        <f t="array" aca="1" ref="L715" ca="1">IFERROR(INDEX(casos!$C:$C, MATCH(1, (VALUE(LEFT(casos!$A:$A,6))=VALUE(LEFT(B715,6)))*(casos!$B:$B=C715), 0)), "")</f>
        <v>278998</v>
      </c>
      <c r="M715" cm="1">
        <f t="array" ref="M715">IFERROR(INDEX(srag!$D:$D, MATCH(1, (VALUE(LEFT(srag!$A:$A,6))=VALUE(LEFT(B715,6)))*(srag!$C:$C=C715), 0)), "")</f>
        <v>41</v>
      </c>
      <c r="N715" cm="1">
        <f t="array" aca="1" ref="N715" ca="1">IFERROR(INDEX(fesp!$E:$E, MATCH(1, (VALUE(LEFT(fesp!$A:$A,6))=VALUE(LEFT(B715,6)))*(fesp!$C:$C=C715), 0)), "")</f>
        <v>1279</v>
      </c>
      <c r="O715" cm="1">
        <f t="array" aca="1" ref="O715" ca="1">IFERROR(INDEX(fesp!$F:$F, MATCH(1, (VALUE(LEFT(fesp!$A:$A,6))=VALUE(LEFT(B715,6)))*(fesp!$C:$C=C715), 0)), "")</f>
        <v>6135</v>
      </c>
      <c r="P715" cm="1">
        <f t="array" aca="1" ref="P715" ca="1">IFERROR(INDEX(fesp!$G:$G, MATCH(1, (VALUE(LEFT(fesp!$A:$A,6))=VALUE(LEFT(B715,6)))*(fesp!$C:$C=C715), 0)), "")</f>
        <v>19461719</v>
      </c>
      <c r="Q715" cm="1">
        <f t="array" aca="1" ref="Q715" ca="1">IFERROR(INDEX(fesp!$H:$H, MATCH(1, (VALUE(LEFT(fesp!$A:$A,6))=VALUE(LEFT(B715,6)))*(fesp!$C:$C=C715), 0)), "")</f>
        <v>426</v>
      </c>
      <c r="R715" cm="1">
        <f t="array" aca="1" ref="R715" ca="1">IFERROR(INDEX(fesp!$I:$I, MATCH(1, (VALUE(LEFT(fesp!$A:$A,6))=VALUE(LEFT(B715,6)))*(fesp!$C:$C=C715), 0)), "")</f>
        <v>12171</v>
      </c>
      <c r="S715" cm="1">
        <f t="array" aca="1" ref="S715" ca="1">IFERROR(INDEX(fesp!$J:$J, MATCH(1, (VALUE(LEFT(fesp!$A:$A,6))=VALUE(LEFT(B715,6)))*(fesp!$C:$C=C715), 0)), "")</f>
        <v>4220</v>
      </c>
    </row>
    <row r="716" spans="1:19">
      <c r="A716" s="1" t="s">
        <v>4</v>
      </c>
      <c r="B716" s="3" t="s">
        <v>5</v>
      </c>
      <c r="C716" s="4">
        <v>2025</v>
      </c>
      <c r="D716" cm="1">
        <f t="array" ref="D716">IFERROR(INDEX(fesp!$D:$D, MATCH(1, (VALUE(LEFT(fesp!$A:$A,6))=VALUE(LEFT(B716,6)))*(fesp!$C:$C=C716), 0)), "")</f>
        <v>0</v>
      </c>
      <c r="E716" cm="1">
        <f t="array" aca="1" ref="E716" ca="1">IFERROR(INDEX(ft_medicos_clinicos!$C:$C, MATCH(1, (VALUE(LEFT(ft_medicos_clinicos!$A:$A,6))=VALUE(LEFT(B716,6)))*(ft_medicos_clinicos!$B:$B=C716), 0)), "")</f>
        <v>3044</v>
      </c>
      <c r="F716" cm="1">
        <f t="array" aca="1" ref="F716" ca="1">IFERROR(INDEX(ft_enfermeiros!$C:$C, MATCH(1, (VALUE(LEFT(ft_enfermeiros!$A:$A,6))=VALUE(LEFT(B716,6)))*(ft_enfermeiros!$B:$B=C716), 0)), "")</f>
        <v>7765</v>
      </c>
      <c r="G716" t="str" cm="1">
        <f t="array" aca="1" ref="G716" ca="1">IFERROR(INDEX(ft_equipes_acs!$C:$C, MATCH(1, (VALUE(LEFT(ft_equipes_acs!$A:$A,6))=VALUE(LEFT(B716,6)))*(ft_equipes_acs!$B:$B=C716), 0)), "")</f>
        <v>-</v>
      </c>
      <c r="H716" cm="1">
        <f t="array" aca="1" ref="H716" ca="1">IFERROR(INDEX(ci_leitos_internacao!$C:$C, MATCH(1, (VALUE(LEFT(ci_leitos_internacao!$A:$A,6))=VALUE(LEFT(B716,6)))*(ci_leitos_internacao!$B:$B=C716), 0)), "")</f>
        <v>8083</v>
      </c>
      <c r="I716" cm="1">
        <f t="array" aca="1" ref="I716" ca="1">IFERROR(INDEX(ci_hospitais_internacao!$C:$C, MATCH(1, (VALUE(LEFT(ci_hospitais_internacao!$A:$A,6))=VALUE(LEFT(B716,6)))*(ci_hospitais_internacao!$B:$B=C716), 0)), "")</f>
        <v>26</v>
      </c>
      <c r="J716" t="str" cm="1">
        <f t="array" aca="1" ref="J716" ca="1">IFERROR(INDEX(ci_pa_clinico!$C:$C, MATCH(1, (VALUE(LEFT(ci_pa_clinico!$A:$A,6))=VALUE(LEFT(B716,6)))*(ci_pa_clinico!$B:$B=C716), 0)), "")</f>
        <v/>
      </c>
      <c r="K716" cm="1">
        <f t="array" aca="1" ref="K716" ca="1">IFERROR(INDEX(aps_equipes_esf!$C:$C, MATCH(1, (VALUE(LEFT(aps_equipes_esf!$A:$A,6))=VALUE(LEFT(B716,6)))*(aps_equipes_esf!$B:$B=C716), 0)), "")</f>
        <v>2</v>
      </c>
      <c r="L716" cm="1">
        <f t="array" aca="1" ref="L716" ca="1">IFERROR(INDEX(casos!$C:$C, MATCH(1, (VALUE(LEFT(casos!$A:$A,6))=VALUE(LEFT(B716,6)))*(casos!$B:$B=C716), 0)), "")</f>
        <v>11473</v>
      </c>
      <c r="M716" cm="1">
        <f t="array" ref="M716">IFERROR(INDEX(srag!$D:$D, MATCH(1, (VALUE(LEFT(srag!$A:$A,6))=VALUE(LEFT(B716,6)))*(srag!$C:$C=C716), 0)), "")</f>
        <v>95</v>
      </c>
      <c r="N716" cm="1">
        <f t="array" aca="1" ref="N716" ca="1">IFERROR(INDEX(fesp!$E:$E, MATCH(1, (VALUE(LEFT(fesp!$A:$A,6))=VALUE(LEFT(B716,6)))*(fesp!$C:$C=C716), 0)), "")</f>
        <v>1029</v>
      </c>
      <c r="O716" cm="1">
        <f t="array" aca="1" ref="O716" ca="1">IFERROR(INDEX(fesp!$F:$F, MATCH(1, (VALUE(LEFT(fesp!$A:$A,6))=VALUE(LEFT(B716,6)))*(fesp!$C:$C=C716), 0)), "")</f>
        <v>4191</v>
      </c>
      <c r="P716" cm="1">
        <f t="array" aca="1" ref="P716" ca="1">IFERROR(INDEX(fesp!$G:$G, MATCH(1, (VALUE(LEFT(fesp!$A:$A,6))=VALUE(LEFT(B716,6)))*(fesp!$C:$C=C716), 0)), "")</f>
        <v>17899881</v>
      </c>
      <c r="Q716" cm="1">
        <f t="array" aca="1" ref="Q716" ca="1">IFERROR(INDEX(fesp!$H:$H, MATCH(1, (VALUE(LEFT(fesp!$A:$A,6))=VALUE(LEFT(B716,6)))*(fesp!$C:$C=C716), 0)), "")</f>
        <v>279</v>
      </c>
      <c r="R716" cm="1">
        <f t="array" aca="1" ref="R716" ca="1">IFERROR(INDEX(fesp!$I:$I, MATCH(1, (VALUE(LEFT(fesp!$A:$A,6))=VALUE(LEFT(B716,6)))*(fesp!$C:$C=C716), 0)), "")</f>
        <v>11242</v>
      </c>
      <c r="S716" cm="1">
        <f t="array" aca="1" ref="S716" ca="1">IFERROR(INDEX(fesp!$J:$J, MATCH(1, (VALUE(LEFT(fesp!$A:$A,6))=VALUE(LEFT(B716,6)))*(fesp!$C:$C=C716), 0)), "")</f>
        <v>383</v>
      </c>
    </row>
  </sheetData>
  <sortState xmlns:xlrd2="http://schemas.microsoft.com/office/spreadsheetml/2017/richdata2" ref="A2:B717">
    <sortCondition ref="B2:B71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AAE16-AD34-0042-BF4C-45956028A5B7}">
  <dimension ref="A1:D810"/>
  <sheetViews>
    <sheetView zoomScale="150" zoomScaleNormal="150" workbookViewId="0">
      <selection activeCell="J21" sqref="J21"/>
    </sheetView>
  </sheetViews>
  <sheetFormatPr baseColWidth="10" defaultRowHeight="15"/>
  <cols>
    <col min="1" max="1" width="10.6640625" bestFit="1" customWidth="1"/>
    <col min="2" max="2" width="20.1640625" bestFit="1" customWidth="1"/>
    <col min="4" max="4" width="18.5" bestFit="1" customWidth="1"/>
  </cols>
  <sheetData>
    <row r="1" spans="1:4">
      <c r="A1" s="15" t="s">
        <v>291</v>
      </c>
      <c r="B1" s="8" t="s">
        <v>292</v>
      </c>
      <c r="C1" s="8" t="s">
        <v>257</v>
      </c>
      <c r="D1" s="8" t="s">
        <v>368</v>
      </c>
    </row>
    <row r="2" spans="1:4">
      <c r="A2" s="16">
        <v>110020</v>
      </c>
      <c r="B2" s="12" t="s">
        <v>301</v>
      </c>
      <c r="C2" s="12">
        <v>2014</v>
      </c>
      <c r="D2" s="17">
        <v>0</v>
      </c>
    </row>
    <row r="3" spans="1:4">
      <c r="A3" s="16">
        <v>110020</v>
      </c>
      <c r="B3" s="12" t="s">
        <v>301</v>
      </c>
      <c r="C3" s="12">
        <v>2015</v>
      </c>
      <c r="D3" s="17">
        <v>21</v>
      </c>
    </row>
    <row r="4" spans="1:4">
      <c r="A4" s="16">
        <v>110020</v>
      </c>
      <c r="B4" s="12" t="s">
        <v>301</v>
      </c>
      <c r="C4" s="12">
        <v>2016</v>
      </c>
      <c r="D4" s="17">
        <v>62</v>
      </c>
    </row>
    <row r="5" spans="1:4">
      <c r="A5" s="16">
        <v>110020</v>
      </c>
      <c r="B5" s="12" t="s">
        <v>301</v>
      </c>
      <c r="C5" s="12">
        <v>2017</v>
      </c>
      <c r="D5" s="17">
        <v>10</v>
      </c>
    </row>
    <row r="6" spans="1:4">
      <c r="A6" s="16">
        <v>110020</v>
      </c>
      <c r="B6" s="12" t="s">
        <v>301</v>
      </c>
      <c r="C6" s="12">
        <v>2018</v>
      </c>
      <c r="D6" s="17">
        <v>19</v>
      </c>
    </row>
    <row r="7" spans="1:4">
      <c r="A7" s="16">
        <v>110020</v>
      </c>
      <c r="B7" s="12" t="s">
        <v>301</v>
      </c>
      <c r="C7" s="12">
        <v>2019</v>
      </c>
      <c r="D7" s="17">
        <v>63</v>
      </c>
    </row>
    <row r="8" spans="1:4">
      <c r="A8" s="16">
        <v>110020</v>
      </c>
      <c r="B8" s="12" t="s">
        <v>301</v>
      </c>
      <c r="C8" s="12">
        <v>2020</v>
      </c>
      <c r="D8" s="17">
        <v>3483</v>
      </c>
    </row>
    <row r="9" spans="1:4">
      <c r="A9" s="16">
        <v>110020</v>
      </c>
      <c r="B9" s="12" t="s">
        <v>301</v>
      </c>
      <c r="C9" s="12">
        <v>2021</v>
      </c>
      <c r="D9" s="17">
        <v>6682</v>
      </c>
    </row>
    <row r="10" spans="1:4">
      <c r="A10" s="16">
        <v>110020</v>
      </c>
      <c r="B10" s="12" t="s">
        <v>301</v>
      </c>
      <c r="C10" s="12">
        <v>2022</v>
      </c>
      <c r="D10" s="17">
        <v>1270</v>
      </c>
    </row>
    <row r="11" spans="1:4">
      <c r="A11" s="16">
        <v>110020</v>
      </c>
      <c r="B11" s="12" t="s">
        <v>301</v>
      </c>
      <c r="C11" s="12">
        <v>2023</v>
      </c>
      <c r="D11" s="17">
        <v>642</v>
      </c>
    </row>
    <row r="12" spans="1:4">
      <c r="A12" s="16">
        <v>110020</v>
      </c>
      <c r="B12" s="12" t="s">
        <v>301</v>
      </c>
      <c r="C12" s="12">
        <v>2024</v>
      </c>
      <c r="D12" s="17">
        <v>719</v>
      </c>
    </row>
    <row r="13" spans="1:4">
      <c r="A13" s="16">
        <v>110020</v>
      </c>
      <c r="B13" s="12" t="s">
        <v>301</v>
      </c>
      <c r="C13" s="12">
        <v>2025</v>
      </c>
      <c r="D13" s="17">
        <v>812</v>
      </c>
    </row>
    <row r="14" spans="1:4">
      <c r="A14" s="16">
        <v>120040</v>
      </c>
      <c r="B14" s="12" t="s">
        <v>302</v>
      </c>
      <c r="C14" s="12">
        <v>2014</v>
      </c>
      <c r="D14" s="17">
        <v>0</v>
      </c>
    </row>
    <row r="15" spans="1:4">
      <c r="A15" s="16">
        <v>120040</v>
      </c>
      <c r="B15" s="12" t="s">
        <v>302</v>
      </c>
      <c r="C15" s="12">
        <v>2015</v>
      </c>
      <c r="D15" s="17">
        <v>0</v>
      </c>
    </row>
    <row r="16" spans="1:4">
      <c r="A16" s="16">
        <v>120040</v>
      </c>
      <c r="B16" s="12" t="s">
        <v>302</v>
      </c>
      <c r="C16" s="12">
        <v>2016</v>
      </c>
      <c r="D16" s="17">
        <v>0</v>
      </c>
    </row>
    <row r="17" spans="1:4">
      <c r="A17" s="16">
        <v>120040</v>
      </c>
      <c r="B17" s="12" t="s">
        <v>302</v>
      </c>
      <c r="C17" s="12">
        <v>2017</v>
      </c>
      <c r="D17" s="17">
        <v>0</v>
      </c>
    </row>
    <row r="18" spans="1:4">
      <c r="A18" s="16">
        <v>120040</v>
      </c>
      <c r="B18" s="12" t="s">
        <v>302</v>
      </c>
      <c r="C18" s="12">
        <v>2018</v>
      </c>
      <c r="D18" s="17">
        <v>0</v>
      </c>
    </row>
    <row r="19" spans="1:4">
      <c r="A19" s="16">
        <v>120040</v>
      </c>
      <c r="B19" s="12" t="s">
        <v>302</v>
      </c>
      <c r="C19" s="12">
        <v>2019</v>
      </c>
      <c r="D19" s="17">
        <v>0</v>
      </c>
    </row>
    <row r="20" spans="1:4">
      <c r="A20" s="16">
        <v>120040</v>
      </c>
      <c r="B20" s="12" t="s">
        <v>302</v>
      </c>
      <c r="C20" s="12">
        <v>2020</v>
      </c>
      <c r="D20" s="17">
        <v>0</v>
      </c>
    </row>
    <row r="21" spans="1:4">
      <c r="A21" s="16">
        <v>120040</v>
      </c>
      <c r="B21" s="12" t="s">
        <v>302</v>
      </c>
      <c r="C21" s="12">
        <v>2021</v>
      </c>
      <c r="D21" s="17">
        <v>0</v>
      </c>
    </row>
    <row r="22" spans="1:4">
      <c r="A22" s="16">
        <v>120040</v>
      </c>
      <c r="B22" s="12" t="s">
        <v>302</v>
      </c>
      <c r="C22" s="12">
        <v>2022</v>
      </c>
      <c r="D22" s="17">
        <v>0</v>
      </c>
    </row>
    <row r="23" spans="1:4">
      <c r="A23" s="16">
        <v>120040</v>
      </c>
      <c r="B23" s="12" t="s">
        <v>302</v>
      </c>
      <c r="C23" s="12">
        <v>2023</v>
      </c>
      <c r="D23" s="17">
        <v>0</v>
      </c>
    </row>
    <row r="24" spans="1:4">
      <c r="A24" s="16">
        <v>120040</v>
      </c>
      <c r="B24" s="12" t="s">
        <v>302</v>
      </c>
      <c r="C24" s="12">
        <v>2024</v>
      </c>
      <c r="D24" s="17">
        <v>0</v>
      </c>
    </row>
    <row r="25" spans="1:4">
      <c r="A25" s="16">
        <v>120040</v>
      </c>
      <c r="B25" s="12" t="s">
        <v>302</v>
      </c>
      <c r="C25" s="12">
        <v>2025</v>
      </c>
      <c r="D25" s="17">
        <v>0</v>
      </c>
    </row>
    <row r="26" spans="1:4">
      <c r="A26" s="16">
        <v>130260</v>
      </c>
      <c r="B26" s="12" t="s">
        <v>303</v>
      </c>
      <c r="C26" s="12">
        <v>2014</v>
      </c>
      <c r="D26" s="17">
        <v>0</v>
      </c>
    </row>
    <row r="27" spans="1:4">
      <c r="A27" s="16">
        <v>130260</v>
      </c>
      <c r="B27" s="12" t="s">
        <v>303</v>
      </c>
      <c r="C27" s="12">
        <v>2015</v>
      </c>
      <c r="D27" s="17">
        <v>36</v>
      </c>
    </row>
    <row r="28" spans="1:4">
      <c r="A28" s="16">
        <v>130260</v>
      </c>
      <c r="B28" s="12" t="s">
        <v>303</v>
      </c>
      <c r="C28" s="12">
        <v>2016</v>
      </c>
      <c r="D28" s="17">
        <v>132</v>
      </c>
    </row>
    <row r="29" spans="1:4">
      <c r="A29" s="16">
        <v>130260</v>
      </c>
      <c r="B29" s="12" t="s">
        <v>303</v>
      </c>
      <c r="C29" s="12">
        <v>2017</v>
      </c>
      <c r="D29" s="17">
        <v>487</v>
      </c>
    </row>
    <row r="30" spans="1:4">
      <c r="A30" s="16">
        <v>130260</v>
      </c>
      <c r="B30" s="12" t="s">
        <v>303</v>
      </c>
      <c r="C30" s="12">
        <v>2018</v>
      </c>
      <c r="D30" s="17">
        <v>230</v>
      </c>
    </row>
    <row r="31" spans="1:4">
      <c r="A31" s="16">
        <v>130260</v>
      </c>
      <c r="B31" s="12" t="s">
        <v>303</v>
      </c>
      <c r="C31" s="12">
        <v>2019</v>
      </c>
      <c r="D31" s="17">
        <v>1608</v>
      </c>
    </row>
    <row r="32" spans="1:4">
      <c r="A32" s="16">
        <v>130260</v>
      </c>
      <c r="B32" s="12" t="s">
        <v>303</v>
      </c>
      <c r="C32" s="12">
        <v>2020</v>
      </c>
      <c r="D32" s="17">
        <v>15281</v>
      </c>
    </row>
    <row r="33" spans="1:4">
      <c r="A33" s="16">
        <v>130260</v>
      </c>
      <c r="B33" s="12" t="s">
        <v>303</v>
      </c>
      <c r="C33" s="12">
        <v>2021</v>
      </c>
      <c r="D33" s="17">
        <v>18437</v>
      </c>
    </row>
    <row r="34" spans="1:4">
      <c r="A34" s="16">
        <v>130260</v>
      </c>
      <c r="B34" s="12" t="s">
        <v>303</v>
      </c>
      <c r="C34" s="12">
        <v>2022</v>
      </c>
      <c r="D34" s="17">
        <v>4170</v>
      </c>
    </row>
    <row r="35" spans="1:4">
      <c r="A35" s="16">
        <v>130260</v>
      </c>
      <c r="B35" s="12" t="s">
        <v>303</v>
      </c>
      <c r="C35" s="12">
        <v>2023</v>
      </c>
      <c r="D35" s="17">
        <v>2409</v>
      </c>
    </row>
    <row r="36" spans="1:4">
      <c r="A36" s="16">
        <v>130260</v>
      </c>
      <c r="B36" s="12" t="s">
        <v>303</v>
      </c>
      <c r="C36" s="12">
        <v>2024</v>
      </c>
      <c r="D36" s="17">
        <v>2313</v>
      </c>
    </row>
    <row r="37" spans="1:4">
      <c r="A37" s="16">
        <v>130260</v>
      </c>
      <c r="B37" s="12" t="s">
        <v>303</v>
      </c>
      <c r="C37" s="12">
        <v>2025</v>
      </c>
      <c r="D37" s="17">
        <v>2714</v>
      </c>
    </row>
    <row r="38" spans="1:4">
      <c r="A38" s="16">
        <v>140010</v>
      </c>
      <c r="B38" s="12" t="s">
        <v>304</v>
      </c>
      <c r="C38" s="12">
        <v>2014</v>
      </c>
      <c r="D38" s="17">
        <v>0</v>
      </c>
    </row>
    <row r="39" spans="1:4">
      <c r="A39" s="16">
        <v>140010</v>
      </c>
      <c r="B39" s="12" t="s">
        <v>304</v>
      </c>
      <c r="C39" s="12">
        <v>2015</v>
      </c>
      <c r="D39" s="17">
        <v>4</v>
      </c>
    </row>
    <row r="40" spans="1:4">
      <c r="A40" s="16">
        <v>140010</v>
      </c>
      <c r="B40" s="12" t="s">
        <v>304</v>
      </c>
      <c r="C40" s="12">
        <v>2016</v>
      </c>
      <c r="D40" s="17">
        <v>11</v>
      </c>
    </row>
    <row r="41" spans="1:4">
      <c r="A41" s="16">
        <v>140010</v>
      </c>
      <c r="B41" s="12" t="s">
        <v>304</v>
      </c>
      <c r="C41" s="12">
        <v>2017</v>
      </c>
      <c r="D41" s="17">
        <v>0</v>
      </c>
    </row>
    <row r="42" spans="1:4">
      <c r="A42" s="16">
        <v>140010</v>
      </c>
      <c r="B42" s="12" t="s">
        <v>304</v>
      </c>
      <c r="C42" s="12">
        <v>2018</v>
      </c>
      <c r="D42" s="17">
        <v>3</v>
      </c>
    </row>
    <row r="43" spans="1:4">
      <c r="A43" s="16">
        <v>140010</v>
      </c>
      <c r="B43" s="12" t="s">
        <v>304</v>
      </c>
      <c r="C43" s="12">
        <v>2019</v>
      </c>
      <c r="D43" s="17">
        <v>27</v>
      </c>
    </row>
    <row r="44" spans="1:4">
      <c r="A44" s="16">
        <v>140010</v>
      </c>
      <c r="B44" s="12" t="s">
        <v>304</v>
      </c>
      <c r="C44" s="12">
        <v>2020</v>
      </c>
      <c r="D44" s="17">
        <v>1531</v>
      </c>
    </row>
    <row r="45" spans="1:4">
      <c r="A45" s="16">
        <v>140010</v>
      </c>
      <c r="B45" s="12" t="s">
        <v>304</v>
      </c>
      <c r="C45" s="12">
        <v>2021</v>
      </c>
      <c r="D45" s="17">
        <v>2945</v>
      </c>
    </row>
    <row r="46" spans="1:4">
      <c r="A46" s="16">
        <v>140010</v>
      </c>
      <c r="B46" s="12" t="s">
        <v>304</v>
      </c>
      <c r="C46" s="12">
        <v>2022</v>
      </c>
      <c r="D46" s="17">
        <v>441</v>
      </c>
    </row>
    <row r="47" spans="1:4">
      <c r="A47" s="16">
        <v>140010</v>
      </c>
      <c r="B47" s="12" t="s">
        <v>304</v>
      </c>
      <c r="C47" s="12">
        <v>2023</v>
      </c>
      <c r="D47" s="17">
        <v>355</v>
      </c>
    </row>
    <row r="48" spans="1:4">
      <c r="A48" s="16">
        <v>140010</v>
      </c>
      <c r="B48" s="12" t="s">
        <v>304</v>
      </c>
      <c r="C48" s="12">
        <v>2024</v>
      </c>
      <c r="D48" s="17">
        <v>633</v>
      </c>
    </row>
    <row r="49" spans="1:4">
      <c r="A49" s="16">
        <v>140010</v>
      </c>
      <c r="B49" s="12" t="s">
        <v>304</v>
      </c>
      <c r="C49" s="12">
        <v>2025</v>
      </c>
      <c r="D49" s="17">
        <v>1137</v>
      </c>
    </row>
    <row r="50" spans="1:4">
      <c r="A50" s="16">
        <v>150080</v>
      </c>
      <c r="B50" s="12" t="s">
        <v>305</v>
      </c>
      <c r="C50" s="12">
        <v>2014</v>
      </c>
      <c r="D50" s="17">
        <v>0</v>
      </c>
    </row>
    <row r="51" spans="1:4">
      <c r="A51" s="16">
        <v>150080</v>
      </c>
      <c r="B51" s="12" t="s">
        <v>305</v>
      </c>
      <c r="C51" s="12">
        <v>2015</v>
      </c>
      <c r="D51" s="17">
        <v>18</v>
      </c>
    </row>
    <row r="52" spans="1:4">
      <c r="A52" s="16">
        <v>150080</v>
      </c>
      <c r="B52" s="12" t="s">
        <v>305</v>
      </c>
      <c r="C52" s="12">
        <v>2016</v>
      </c>
      <c r="D52" s="17">
        <v>58</v>
      </c>
    </row>
    <row r="53" spans="1:4">
      <c r="A53" s="16">
        <v>150080</v>
      </c>
      <c r="B53" s="12" t="s">
        <v>305</v>
      </c>
      <c r="C53" s="12">
        <v>2017</v>
      </c>
      <c r="D53" s="17">
        <v>32</v>
      </c>
    </row>
    <row r="54" spans="1:4">
      <c r="A54" s="16">
        <v>150080</v>
      </c>
      <c r="B54" s="12" t="s">
        <v>305</v>
      </c>
      <c r="C54" s="12">
        <v>2018</v>
      </c>
      <c r="D54" s="17">
        <v>54</v>
      </c>
    </row>
    <row r="55" spans="1:4">
      <c r="A55" s="16">
        <v>150080</v>
      </c>
      <c r="B55" s="12" t="s">
        <v>305</v>
      </c>
      <c r="C55" s="12">
        <v>2019</v>
      </c>
      <c r="D55" s="17">
        <v>59</v>
      </c>
    </row>
    <row r="56" spans="1:4">
      <c r="A56" s="16">
        <v>150080</v>
      </c>
      <c r="B56" s="12" t="s">
        <v>305</v>
      </c>
      <c r="C56" s="12">
        <v>2020</v>
      </c>
      <c r="D56" s="17">
        <v>1959</v>
      </c>
    </row>
    <row r="57" spans="1:4">
      <c r="A57" s="16">
        <v>150080</v>
      </c>
      <c r="B57" s="12" t="s">
        <v>305</v>
      </c>
      <c r="C57" s="12">
        <v>2021</v>
      </c>
      <c r="D57" s="17">
        <v>1503</v>
      </c>
    </row>
    <row r="58" spans="1:4">
      <c r="A58" s="16">
        <v>150080</v>
      </c>
      <c r="B58" s="12" t="s">
        <v>305</v>
      </c>
      <c r="C58" s="12">
        <v>2022</v>
      </c>
      <c r="D58" s="17">
        <v>169</v>
      </c>
    </row>
    <row r="59" spans="1:4">
      <c r="A59" s="16">
        <v>150080</v>
      </c>
      <c r="B59" s="12" t="s">
        <v>305</v>
      </c>
      <c r="C59" s="12">
        <v>2023</v>
      </c>
      <c r="D59" s="17">
        <v>247</v>
      </c>
    </row>
    <row r="60" spans="1:4">
      <c r="A60" s="16">
        <v>150080</v>
      </c>
      <c r="B60" s="12" t="s">
        <v>305</v>
      </c>
      <c r="C60" s="12">
        <v>2024</v>
      </c>
      <c r="D60" s="17">
        <v>309</v>
      </c>
    </row>
    <row r="61" spans="1:4">
      <c r="A61" s="16">
        <v>150080</v>
      </c>
      <c r="B61" s="12" t="s">
        <v>305</v>
      </c>
      <c r="C61" s="12">
        <v>2025</v>
      </c>
      <c r="D61" s="17">
        <v>470</v>
      </c>
    </row>
    <row r="62" spans="1:4">
      <c r="A62" s="16">
        <v>150140</v>
      </c>
      <c r="B62" s="12" t="s">
        <v>306</v>
      </c>
      <c r="C62" s="12">
        <v>2014</v>
      </c>
      <c r="D62" s="17">
        <v>0</v>
      </c>
    </row>
    <row r="63" spans="1:4">
      <c r="A63" s="16">
        <v>150140</v>
      </c>
      <c r="B63" s="12" t="s">
        <v>306</v>
      </c>
      <c r="C63" s="12">
        <v>2015</v>
      </c>
      <c r="D63" s="17">
        <v>72</v>
      </c>
    </row>
    <row r="64" spans="1:4">
      <c r="A64" s="16">
        <v>150140</v>
      </c>
      <c r="B64" s="12" t="s">
        <v>306</v>
      </c>
      <c r="C64" s="12">
        <v>2016</v>
      </c>
      <c r="D64" s="17">
        <v>358</v>
      </c>
    </row>
    <row r="65" spans="1:4">
      <c r="A65" s="16">
        <v>150140</v>
      </c>
      <c r="B65" s="12" t="s">
        <v>306</v>
      </c>
      <c r="C65" s="12">
        <v>2017</v>
      </c>
      <c r="D65" s="17">
        <v>161</v>
      </c>
    </row>
    <row r="66" spans="1:4">
      <c r="A66" s="16">
        <v>150140</v>
      </c>
      <c r="B66" s="12" t="s">
        <v>306</v>
      </c>
      <c r="C66" s="12">
        <v>2018</v>
      </c>
      <c r="D66" s="17">
        <v>241</v>
      </c>
    </row>
    <row r="67" spans="1:4">
      <c r="A67" s="16">
        <v>150140</v>
      </c>
      <c r="B67" s="12" t="s">
        <v>306</v>
      </c>
      <c r="C67" s="12">
        <v>2019</v>
      </c>
      <c r="D67" s="17">
        <v>230</v>
      </c>
    </row>
    <row r="68" spans="1:4">
      <c r="A68" s="16">
        <v>150140</v>
      </c>
      <c r="B68" s="12" t="s">
        <v>306</v>
      </c>
      <c r="C68" s="12">
        <v>2020</v>
      </c>
      <c r="D68" s="17">
        <v>9607</v>
      </c>
    </row>
    <row r="69" spans="1:4">
      <c r="A69" s="16">
        <v>150140</v>
      </c>
      <c r="B69" s="12" t="s">
        <v>306</v>
      </c>
      <c r="C69" s="12">
        <v>2021</v>
      </c>
      <c r="D69" s="17">
        <v>7218</v>
      </c>
    </row>
    <row r="70" spans="1:4">
      <c r="A70" s="16">
        <v>150140</v>
      </c>
      <c r="B70" s="12" t="s">
        <v>306</v>
      </c>
      <c r="C70" s="12">
        <v>2022</v>
      </c>
      <c r="D70" s="17">
        <v>889</v>
      </c>
    </row>
    <row r="71" spans="1:4">
      <c r="A71" s="16">
        <v>150140</v>
      </c>
      <c r="B71" s="12" t="s">
        <v>306</v>
      </c>
      <c r="C71" s="12">
        <v>2023</v>
      </c>
      <c r="D71" s="17">
        <v>831</v>
      </c>
    </row>
    <row r="72" spans="1:4">
      <c r="A72" s="16">
        <v>150140</v>
      </c>
      <c r="B72" s="12" t="s">
        <v>306</v>
      </c>
      <c r="C72" s="12">
        <v>2024</v>
      </c>
      <c r="D72" s="17">
        <v>1172</v>
      </c>
    </row>
    <row r="73" spans="1:4">
      <c r="A73" s="16">
        <v>150140</v>
      </c>
      <c r="B73" s="12" t="s">
        <v>306</v>
      </c>
      <c r="C73" s="12">
        <v>2025</v>
      </c>
      <c r="D73" s="17">
        <v>1440</v>
      </c>
    </row>
    <row r="74" spans="1:4">
      <c r="A74" s="16">
        <v>160030</v>
      </c>
      <c r="B74" s="12" t="s">
        <v>307</v>
      </c>
      <c r="C74" s="12">
        <v>2014</v>
      </c>
      <c r="D74" s="17">
        <v>0</v>
      </c>
    </row>
    <row r="75" spans="1:4">
      <c r="A75" s="16">
        <v>160030</v>
      </c>
      <c r="B75" s="12" t="s">
        <v>307</v>
      </c>
      <c r="C75" s="12">
        <v>2015</v>
      </c>
      <c r="D75" s="17">
        <v>4</v>
      </c>
    </row>
    <row r="76" spans="1:4">
      <c r="A76" s="16">
        <v>160030</v>
      </c>
      <c r="B76" s="12" t="s">
        <v>307</v>
      </c>
      <c r="C76" s="12">
        <v>2016</v>
      </c>
      <c r="D76" s="17">
        <v>27</v>
      </c>
    </row>
    <row r="77" spans="1:4">
      <c r="A77" s="16">
        <v>160030</v>
      </c>
      <c r="B77" s="12" t="s">
        <v>307</v>
      </c>
      <c r="C77" s="12">
        <v>2017</v>
      </c>
      <c r="D77" s="17">
        <v>9</v>
      </c>
    </row>
    <row r="78" spans="1:4">
      <c r="A78" s="16">
        <v>160030</v>
      </c>
      <c r="B78" s="12" t="s">
        <v>307</v>
      </c>
      <c r="C78" s="12">
        <v>2018</v>
      </c>
      <c r="D78" s="17">
        <v>15</v>
      </c>
    </row>
    <row r="79" spans="1:4">
      <c r="A79" s="16">
        <v>160030</v>
      </c>
      <c r="B79" s="12" t="s">
        <v>307</v>
      </c>
      <c r="C79" s="12">
        <v>2019</v>
      </c>
      <c r="D79" s="17">
        <v>22</v>
      </c>
    </row>
    <row r="80" spans="1:4">
      <c r="A80" s="16">
        <v>160030</v>
      </c>
      <c r="B80" s="12" t="s">
        <v>307</v>
      </c>
      <c r="C80" s="12">
        <v>2020</v>
      </c>
      <c r="D80" s="17">
        <v>1473</v>
      </c>
    </row>
    <row r="81" spans="1:4">
      <c r="A81" s="16">
        <v>160030</v>
      </c>
      <c r="B81" s="12" t="s">
        <v>307</v>
      </c>
      <c r="C81" s="12">
        <v>2021</v>
      </c>
      <c r="D81" s="17">
        <v>2560</v>
      </c>
    </row>
    <row r="82" spans="1:4">
      <c r="A82" s="16">
        <v>160030</v>
      </c>
      <c r="B82" s="12" t="s">
        <v>307</v>
      </c>
      <c r="C82" s="12">
        <v>2022</v>
      </c>
      <c r="D82" s="17">
        <v>708</v>
      </c>
    </row>
    <row r="83" spans="1:4">
      <c r="A83" s="16">
        <v>160030</v>
      </c>
      <c r="B83" s="12" t="s">
        <v>307</v>
      </c>
      <c r="C83" s="12">
        <v>2023</v>
      </c>
      <c r="D83" s="17">
        <v>1668</v>
      </c>
    </row>
    <row r="84" spans="1:4">
      <c r="A84" s="16">
        <v>160030</v>
      </c>
      <c r="B84" s="12" t="s">
        <v>307</v>
      </c>
      <c r="C84" s="12">
        <v>2024</v>
      </c>
      <c r="D84" s="17">
        <v>1325</v>
      </c>
    </row>
    <row r="85" spans="1:4">
      <c r="A85" s="16">
        <v>160030</v>
      </c>
      <c r="B85" s="12" t="s">
        <v>307</v>
      </c>
      <c r="C85" s="12">
        <v>2025</v>
      </c>
      <c r="D85" s="17">
        <v>1361</v>
      </c>
    </row>
    <row r="86" spans="1:4">
      <c r="A86" s="16">
        <v>172100</v>
      </c>
      <c r="B86" s="12" t="s">
        <v>308</v>
      </c>
      <c r="C86" s="12">
        <v>2014</v>
      </c>
      <c r="D86" s="17">
        <v>0</v>
      </c>
    </row>
    <row r="87" spans="1:4">
      <c r="A87" s="16">
        <v>172100</v>
      </c>
      <c r="B87" s="12" t="s">
        <v>308</v>
      </c>
      <c r="C87" s="12">
        <v>2015</v>
      </c>
      <c r="D87" s="17">
        <v>0</v>
      </c>
    </row>
    <row r="88" spans="1:4">
      <c r="A88" s="16">
        <v>172100</v>
      </c>
      <c r="B88" s="12" t="s">
        <v>308</v>
      </c>
      <c r="C88" s="12">
        <v>2016</v>
      </c>
      <c r="D88" s="17">
        <v>0</v>
      </c>
    </row>
    <row r="89" spans="1:4">
      <c r="A89" s="16">
        <v>172100</v>
      </c>
      <c r="B89" s="12" t="s">
        <v>308</v>
      </c>
      <c r="C89" s="12">
        <v>2017</v>
      </c>
      <c r="D89" s="17">
        <v>0</v>
      </c>
    </row>
    <row r="90" spans="1:4">
      <c r="A90" s="16">
        <v>172100</v>
      </c>
      <c r="B90" s="12" t="s">
        <v>308</v>
      </c>
      <c r="C90" s="12">
        <v>2018</v>
      </c>
      <c r="D90" s="17">
        <v>0</v>
      </c>
    </row>
    <row r="91" spans="1:4">
      <c r="A91" s="16">
        <v>172100</v>
      </c>
      <c r="B91" s="12" t="s">
        <v>308</v>
      </c>
      <c r="C91" s="12">
        <v>2019</v>
      </c>
      <c r="D91" s="17">
        <v>0</v>
      </c>
    </row>
    <row r="92" spans="1:4">
      <c r="A92" s="16">
        <v>172100</v>
      </c>
      <c r="B92" s="12" t="s">
        <v>308</v>
      </c>
      <c r="C92" s="12">
        <v>2020</v>
      </c>
      <c r="D92" s="17">
        <v>0</v>
      </c>
    </row>
    <row r="93" spans="1:4">
      <c r="A93" s="16">
        <v>172100</v>
      </c>
      <c r="B93" s="12" t="s">
        <v>308</v>
      </c>
      <c r="C93" s="12">
        <v>2021</v>
      </c>
      <c r="D93" s="17">
        <v>0</v>
      </c>
    </row>
    <row r="94" spans="1:4">
      <c r="A94" s="16">
        <v>172100</v>
      </c>
      <c r="B94" s="12" t="s">
        <v>308</v>
      </c>
      <c r="C94" s="12">
        <v>2022</v>
      </c>
      <c r="D94" s="17">
        <v>0</v>
      </c>
    </row>
    <row r="95" spans="1:4">
      <c r="A95" s="16">
        <v>172100</v>
      </c>
      <c r="B95" s="12" t="s">
        <v>308</v>
      </c>
      <c r="C95" s="12">
        <v>2023</v>
      </c>
      <c r="D95" s="17">
        <v>0</v>
      </c>
    </row>
    <row r="96" spans="1:4">
      <c r="A96" s="16">
        <v>172100</v>
      </c>
      <c r="B96" s="12" t="s">
        <v>308</v>
      </c>
      <c r="C96" s="12">
        <v>2024</v>
      </c>
      <c r="D96" s="17">
        <v>0</v>
      </c>
    </row>
    <row r="97" spans="1:4">
      <c r="A97" s="16">
        <v>172100</v>
      </c>
      <c r="B97" s="12" t="s">
        <v>308</v>
      </c>
      <c r="C97" s="12">
        <v>2025</v>
      </c>
      <c r="D97" s="17">
        <v>0</v>
      </c>
    </row>
    <row r="98" spans="1:4">
      <c r="A98" s="16">
        <v>211130</v>
      </c>
      <c r="B98" s="12" t="s">
        <v>309</v>
      </c>
      <c r="C98" s="12">
        <v>2014</v>
      </c>
      <c r="D98" s="17">
        <v>0</v>
      </c>
    </row>
    <row r="99" spans="1:4">
      <c r="A99" s="16">
        <v>211130</v>
      </c>
      <c r="B99" s="12" t="s">
        <v>309</v>
      </c>
      <c r="C99" s="12">
        <v>2015</v>
      </c>
      <c r="D99" s="17">
        <v>21</v>
      </c>
    </row>
    <row r="100" spans="1:4">
      <c r="A100" s="16">
        <v>211130</v>
      </c>
      <c r="B100" s="12" t="s">
        <v>309</v>
      </c>
      <c r="C100" s="12">
        <v>2016</v>
      </c>
      <c r="D100" s="17">
        <v>28</v>
      </c>
    </row>
    <row r="101" spans="1:4">
      <c r="A101" s="16">
        <v>211130</v>
      </c>
      <c r="B101" s="12" t="s">
        <v>309</v>
      </c>
      <c r="C101" s="12">
        <v>2017</v>
      </c>
      <c r="D101" s="17">
        <v>34</v>
      </c>
    </row>
    <row r="102" spans="1:4">
      <c r="A102" s="16">
        <v>211130</v>
      </c>
      <c r="B102" s="12" t="s">
        <v>309</v>
      </c>
      <c r="C102" s="12">
        <v>2018</v>
      </c>
      <c r="D102" s="17">
        <v>177</v>
      </c>
    </row>
    <row r="103" spans="1:4">
      <c r="A103" s="16">
        <v>211130</v>
      </c>
      <c r="B103" s="12" t="s">
        <v>309</v>
      </c>
      <c r="C103" s="12">
        <v>2019</v>
      </c>
      <c r="D103" s="17">
        <v>160</v>
      </c>
    </row>
    <row r="104" spans="1:4">
      <c r="A104" s="16">
        <v>211130</v>
      </c>
      <c r="B104" s="12" t="s">
        <v>309</v>
      </c>
      <c r="C104" s="12">
        <v>2020</v>
      </c>
      <c r="D104" s="17">
        <v>6353</v>
      </c>
    </row>
    <row r="105" spans="1:4">
      <c r="A105" s="16">
        <v>211130</v>
      </c>
      <c r="B105" s="12" t="s">
        <v>309</v>
      </c>
      <c r="C105" s="12">
        <v>2021</v>
      </c>
      <c r="D105" s="17">
        <v>5317</v>
      </c>
    </row>
    <row r="106" spans="1:4">
      <c r="A106" s="16">
        <v>211130</v>
      </c>
      <c r="B106" s="12" t="s">
        <v>309</v>
      </c>
      <c r="C106" s="12">
        <v>2022</v>
      </c>
      <c r="D106" s="17">
        <v>1233</v>
      </c>
    </row>
    <row r="107" spans="1:4">
      <c r="A107" s="16">
        <v>211130</v>
      </c>
      <c r="B107" s="12" t="s">
        <v>309</v>
      </c>
      <c r="C107" s="12">
        <v>2023</v>
      </c>
      <c r="D107" s="17">
        <v>810</v>
      </c>
    </row>
    <row r="108" spans="1:4">
      <c r="A108" s="16">
        <v>211130</v>
      </c>
      <c r="B108" s="12" t="s">
        <v>309</v>
      </c>
      <c r="C108" s="12">
        <v>2024</v>
      </c>
      <c r="D108" s="17">
        <v>978</v>
      </c>
    </row>
    <row r="109" spans="1:4">
      <c r="A109" s="16">
        <v>211130</v>
      </c>
      <c r="B109" s="12" t="s">
        <v>309</v>
      </c>
      <c r="C109" s="12">
        <v>2025</v>
      </c>
      <c r="D109" s="17">
        <v>1068</v>
      </c>
    </row>
    <row r="110" spans="1:4">
      <c r="A110" s="16">
        <v>221100</v>
      </c>
      <c r="B110" s="12" t="s">
        <v>310</v>
      </c>
      <c r="C110" s="12">
        <v>2014</v>
      </c>
      <c r="D110" s="17">
        <v>0</v>
      </c>
    </row>
    <row r="111" spans="1:4">
      <c r="A111" s="16">
        <v>221100</v>
      </c>
      <c r="B111" s="12" t="s">
        <v>310</v>
      </c>
      <c r="C111" s="12">
        <v>2015</v>
      </c>
      <c r="D111" s="17">
        <v>18</v>
      </c>
    </row>
    <row r="112" spans="1:4">
      <c r="A112" s="16">
        <v>221100</v>
      </c>
      <c r="B112" s="12" t="s">
        <v>310</v>
      </c>
      <c r="C112" s="12">
        <v>2016</v>
      </c>
      <c r="D112" s="17">
        <v>144</v>
      </c>
    </row>
    <row r="113" spans="1:4">
      <c r="A113" s="16">
        <v>221100</v>
      </c>
      <c r="B113" s="12" t="s">
        <v>310</v>
      </c>
      <c r="C113" s="12">
        <v>2017</v>
      </c>
      <c r="D113" s="17">
        <v>142</v>
      </c>
    </row>
    <row r="114" spans="1:4">
      <c r="A114" s="16">
        <v>221100</v>
      </c>
      <c r="B114" s="12" t="s">
        <v>310</v>
      </c>
      <c r="C114" s="12">
        <v>2018</v>
      </c>
      <c r="D114" s="17">
        <v>486</v>
      </c>
    </row>
    <row r="115" spans="1:4">
      <c r="A115" s="16">
        <v>221100</v>
      </c>
      <c r="B115" s="12" t="s">
        <v>310</v>
      </c>
      <c r="C115" s="12">
        <v>2019</v>
      </c>
      <c r="D115" s="17">
        <v>344</v>
      </c>
    </row>
    <row r="116" spans="1:4">
      <c r="A116" s="16">
        <v>221100</v>
      </c>
      <c r="B116" s="12" t="s">
        <v>310</v>
      </c>
      <c r="C116" s="12">
        <v>2020</v>
      </c>
      <c r="D116" s="17">
        <v>8656</v>
      </c>
    </row>
    <row r="117" spans="1:4">
      <c r="A117" s="16">
        <v>221100</v>
      </c>
      <c r="B117" s="12" t="s">
        <v>310</v>
      </c>
      <c r="C117" s="12">
        <v>2021</v>
      </c>
      <c r="D117" s="17">
        <v>8015</v>
      </c>
    </row>
    <row r="118" spans="1:4">
      <c r="A118" s="16">
        <v>221100</v>
      </c>
      <c r="B118" s="12" t="s">
        <v>310</v>
      </c>
      <c r="C118" s="12">
        <v>2022</v>
      </c>
      <c r="D118" s="17">
        <v>2178</v>
      </c>
    </row>
    <row r="119" spans="1:4">
      <c r="A119" s="16">
        <v>221100</v>
      </c>
      <c r="B119" s="12" t="s">
        <v>310</v>
      </c>
      <c r="C119" s="12">
        <v>2023</v>
      </c>
      <c r="D119" s="17">
        <v>1032</v>
      </c>
    </row>
    <row r="120" spans="1:4">
      <c r="A120" s="16">
        <v>221100</v>
      </c>
      <c r="B120" s="12" t="s">
        <v>310</v>
      </c>
      <c r="C120" s="12">
        <v>2024</v>
      </c>
      <c r="D120" s="17">
        <v>844</v>
      </c>
    </row>
    <row r="121" spans="1:4">
      <c r="A121" s="16">
        <v>221100</v>
      </c>
      <c r="B121" s="12" t="s">
        <v>310</v>
      </c>
      <c r="C121" s="12">
        <v>2025</v>
      </c>
      <c r="D121" s="17">
        <v>721</v>
      </c>
    </row>
    <row r="122" spans="1:4">
      <c r="A122" s="16">
        <v>230440</v>
      </c>
      <c r="B122" s="12" t="s">
        <v>311</v>
      </c>
      <c r="C122" s="12">
        <v>2014</v>
      </c>
      <c r="D122" s="17">
        <v>0</v>
      </c>
    </row>
    <row r="123" spans="1:4">
      <c r="A123" s="16">
        <v>230440</v>
      </c>
      <c r="B123" s="12" t="s">
        <v>311</v>
      </c>
      <c r="C123" s="12">
        <v>2015</v>
      </c>
      <c r="D123" s="17">
        <v>168</v>
      </c>
    </row>
    <row r="124" spans="1:4">
      <c r="A124" s="16">
        <v>230440</v>
      </c>
      <c r="B124" s="12" t="s">
        <v>311</v>
      </c>
      <c r="C124" s="12">
        <v>2016</v>
      </c>
      <c r="D124" s="17">
        <v>383</v>
      </c>
    </row>
    <row r="125" spans="1:4">
      <c r="A125" s="16">
        <v>230440</v>
      </c>
      <c r="B125" s="12" t="s">
        <v>311</v>
      </c>
      <c r="C125" s="12">
        <v>2017</v>
      </c>
      <c r="D125" s="17">
        <v>191</v>
      </c>
    </row>
    <row r="126" spans="1:4">
      <c r="A126" s="16">
        <v>230440</v>
      </c>
      <c r="B126" s="12" t="s">
        <v>311</v>
      </c>
      <c r="C126" s="12">
        <v>2018</v>
      </c>
      <c r="D126" s="17">
        <v>960</v>
      </c>
    </row>
    <row r="127" spans="1:4">
      <c r="A127" s="16">
        <v>230440</v>
      </c>
      <c r="B127" s="12" t="s">
        <v>311</v>
      </c>
      <c r="C127" s="12">
        <v>2019</v>
      </c>
      <c r="D127" s="17">
        <v>561</v>
      </c>
    </row>
    <row r="128" spans="1:4">
      <c r="A128" s="16">
        <v>230440</v>
      </c>
      <c r="B128" s="12" t="s">
        <v>311</v>
      </c>
      <c r="C128" s="12">
        <v>2020</v>
      </c>
      <c r="D128" s="17">
        <v>21632</v>
      </c>
    </row>
    <row r="129" spans="1:4">
      <c r="A129" s="16">
        <v>230440</v>
      </c>
      <c r="B129" s="12" t="s">
        <v>311</v>
      </c>
      <c r="C129" s="12">
        <v>2021</v>
      </c>
      <c r="D129" s="17">
        <v>30665</v>
      </c>
    </row>
    <row r="130" spans="1:4">
      <c r="A130" s="16">
        <v>230440</v>
      </c>
      <c r="B130" s="12" t="s">
        <v>311</v>
      </c>
      <c r="C130" s="12">
        <v>2022</v>
      </c>
      <c r="D130" s="17">
        <v>17736</v>
      </c>
    </row>
    <row r="131" spans="1:4">
      <c r="A131" s="16">
        <v>230440</v>
      </c>
      <c r="B131" s="12" t="s">
        <v>311</v>
      </c>
      <c r="C131" s="12">
        <v>2023</v>
      </c>
      <c r="D131" s="17">
        <v>6611</v>
      </c>
    </row>
    <row r="132" spans="1:4">
      <c r="A132" s="16">
        <v>230440</v>
      </c>
      <c r="B132" s="12" t="s">
        <v>311</v>
      </c>
      <c r="C132" s="12">
        <v>2024</v>
      </c>
      <c r="D132" s="17">
        <v>3354</v>
      </c>
    </row>
    <row r="133" spans="1:4">
      <c r="A133" s="16">
        <v>230440</v>
      </c>
      <c r="B133" s="12" t="s">
        <v>311</v>
      </c>
      <c r="C133" s="12">
        <v>2025</v>
      </c>
      <c r="D133" s="17">
        <v>2093</v>
      </c>
    </row>
    <row r="134" spans="1:4">
      <c r="A134" s="16">
        <v>240810</v>
      </c>
      <c r="B134" s="12" t="s">
        <v>312</v>
      </c>
      <c r="C134" s="12">
        <v>2014</v>
      </c>
      <c r="D134" s="17">
        <v>0</v>
      </c>
    </row>
    <row r="135" spans="1:4">
      <c r="A135" s="16">
        <v>240810</v>
      </c>
      <c r="B135" s="12" t="s">
        <v>312</v>
      </c>
      <c r="C135" s="12">
        <v>2015</v>
      </c>
      <c r="D135" s="17">
        <v>100</v>
      </c>
    </row>
    <row r="136" spans="1:4">
      <c r="A136" s="16">
        <v>240810</v>
      </c>
      <c r="B136" s="12" t="s">
        <v>312</v>
      </c>
      <c r="C136" s="12">
        <v>2016</v>
      </c>
      <c r="D136" s="17">
        <v>187</v>
      </c>
    </row>
    <row r="137" spans="1:4">
      <c r="A137" s="16">
        <v>240810</v>
      </c>
      <c r="B137" s="12" t="s">
        <v>312</v>
      </c>
      <c r="C137" s="12">
        <v>2017</v>
      </c>
      <c r="D137" s="17">
        <v>95</v>
      </c>
    </row>
    <row r="138" spans="1:4">
      <c r="A138" s="16">
        <v>240810</v>
      </c>
      <c r="B138" s="12" t="s">
        <v>312</v>
      </c>
      <c r="C138" s="12">
        <v>2018</v>
      </c>
      <c r="D138" s="17">
        <v>134</v>
      </c>
    </row>
    <row r="139" spans="1:4">
      <c r="A139" s="16">
        <v>240810</v>
      </c>
      <c r="B139" s="12" t="s">
        <v>312</v>
      </c>
      <c r="C139" s="12">
        <v>2019</v>
      </c>
      <c r="D139" s="17">
        <v>111</v>
      </c>
    </row>
    <row r="140" spans="1:4">
      <c r="A140" s="16">
        <v>240810</v>
      </c>
      <c r="B140" s="12" t="s">
        <v>312</v>
      </c>
      <c r="C140" s="12">
        <v>2020</v>
      </c>
      <c r="D140" s="17">
        <v>5186</v>
      </c>
    </row>
    <row r="141" spans="1:4">
      <c r="A141" s="16">
        <v>240810</v>
      </c>
      <c r="B141" s="12" t="s">
        <v>312</v>
      </c>
      <c r="C141" s="12">
        <v>2021</v>
      </c>
      <c r="D141" s="17">
        <v>6606</v>
      </c>
    </row>
    <row r="142" spans="1:4">
      <c r="A142" s="16">
        <v>240810</v>
      </c>
      <c r="B142" s="12" t="s">
        <v>312</v>
      </c>
      <c r="C142" s="12">
        <v>2022</v>
      </c>
      <c r="D142" s="17">
        <v>1931</v>
      </c>
    </row>
    <row r="143" spans="1:4">
      <c r="A143" s="16">
        <v>240810</v>
      </c>
      <c r="B143" s="12" t="s">
        <v>312</v>
      </c>
      <c r="C143" s="12">
        <v>2023</v>
      </c>
      <c r="D143" s="17">
        <v>890</v>
      </c>
    </row>
    <row r="144" spans="1:4">
      <c r="A144" s="16">
        <v>240810</v>
      </c>
      <c r="B144" s="12" t="s">
        <v>312</v>
      </c>
      <c r="C144" s="12">
        <v>2024</v>
      </c>
      <c r="D144" s="17">
        <v>919</v>
      </c>
    </row>
    <row r="145" spans="1:4">
      <c r="A145" s="16">
        <v>240810</v>
      </c>
      <c r="B145" s="12" t="s">
        <v>312</v>
      </c>
      <c r="C145" s="12">
        <v>2025</v>
      </c>
      <c r="D145" s="17">
        <v>804</v>
      </c>
    </row>
    <row r="146" spans="1:4">
      <c r="A146" s="16">
        <v>250400</v>
      </c>
      <c r="B146" s="12" t="s">
        <v>313</v>
      </c>
      <c r="C146" s="12">
        <v>2014</v>
      </c>
      <c r="D146" s="17">
        <v>0</v>
      </c>
    </row>
    <row r="147" spans="1:4">
      <c r="A147" s="16">
        <v>250400</v>
      </c>
      <c r="B147" s="12" t="s">
        <v>313</v>
      </c>
      <c r="C147" s="12">
        <v>2015</v>
      </c>
      <c r="D147" s="17">
        <v>1</v>
      </c>
    </row>
    <row r="148" spans="1:4">
      <c r="A148" s="16">
        <v>250400</v>
      </c>
      <c r="B148" s="12" t="s">
        <v>313</v>
      </c>
      <c r="C148" s="12">
        <v>2016</v>
      </c>
      <c r="D148" s="17">
        <v>72</v>
      </c>
    </row>
    <row r="149" spans="1:4">
      <c r="A149" s="16">
        <v>250400</v>
      </c>
      <c r="B149" s="12" t="s">
        <v>313</v>
      </c>
      <c r="C149" s="12">
        <v>2017</v>
      </c>
      <c r="D149" s="17">
        <v>15</v>
      </c>
    </row>
    <row r="150" spans="1:4">
      <c r="A150" s="16">
        <v>250400</v>
      </c>
      <c r="B150" s="12" t="s">
        <v>313</v>
      </c>
      <c r="C150" s="12">
        <v>2018</v>
      </c>
      <c r="D150" s="17">
        <v>30</v>
      </c>
    </row>
    <row r="151" spans="1:4">
      <c r="A151" s="16">
        <v>250400</v>
      </c>
      <c r="B151" s="12" t="s">
        <v>313</v>
      </c>
      <c r="C151" s="12">
        <v>2019</v>
      </c>
      <c r="D151" s="17">
        <v>42</v>
      </c>
    </row>
    <row r="152" spans="1:4">
      <c r="A152" s="16">
        <v>250400</v>
      </c>
      <c r="B152" s="12" t="s">
        <v>313</v>
      </c>
      <c r="C152" s="12">
        <v>2020</v>
      </c>
      <c r="D152" s="17">
        <v>2242</v>
      </c>
    </row>
    <row r="153" spans="1:4">
      <c r="A153" s="16">
        <v>250400</v>
      </c>
      <c r="B153" s="12" t="s">
        <v>313</v>
      </c>
      <c r="C153" s="12">
        <v>2021</v>
      </c>
      <c r="D153" s="17">
        <v>3782</v>
      </c>
    </row>
    <row r="154" spans="1:4">
      <c r="A154" s="16">
        <v>250400</v>
      </c>
      <c r="B154" s="12" t="s">
        <v>313</v>
      </c>
      <c r="C154" s="12">
        <v>2022</v>
      </c>
      <c r="D154" s="17">
        <v>959</v>
      </c>
    </row>
    <row r="155" spans="1:4">
      <c r="A155" s="16">
        <v>250400</v>
      </c>
      <c r="B155" s="12" t="s">
        <v>313</v>
      </c>
      <c r="C155" s="12">
        <v>2023</v>
      </c>
      <c r="D155" s="17">
        <v>898</v>
      </c>
    </row>
    <row r="156" spans="1:4">
      <c r="A156" s="16">
        <v>250400</v>
      </c>
      <c r="B156" s="12" t="s">
        <v>313</v>
      </c>
      <c r="C156" s="12">
        <v>2024</v>
      </c>
      <c r="D156" s="17">
        <v>921</v>
      </c>
    </row>
    <row r="157" spans="1:4">
      <c r="A157" s="16">
        <v>250400</v>
      </c>
      <c r="B157" s="12" t="s">
        <v>313</v>
      </c>
      <c r="C157" s="12">
        <v>2025</v>
      </c>
      <c r="D157" s="17">
        <v>1546</v>
      </c>
    </row>
    <row r="158" spans="1:4">
      <c r="A158" s="16">
        <v>250750</v>
      </c>
      <c r="B158" s="12" t="s">
        <v>314</v>
      </c>
      <c r="C158" s="12">
        <v>2014</v>
      </c>
      <c r="D158" s="17">
        <v>0</v>
      </c>
    </row>
    <row r="159" spans="1:4">
      <c r="A159" s="16">
        <v>250750</v>
      </c>
      <c r="B159" s="12" t="s">
        <v>314</v>
      </c>
      <c r="C159" s="12">
        <v>2015</v>
      </c>
      <c r="D159" s="17">
        <v>2</v>
      </c>
    </row>
    <row r="160" spans="1:4">
      <c r="A160" s="16">
        <v>250750</v>
      </c>
      <c r="B160" s="12" t="s">
        <v>314</v>
      </c>
      <c r="C160" s="12">
        <v>2016</v>
      </c>
      <c r="D160" s="17">
        <v>97</v>
      </c>
    </row>
    <row r="161" spans="1:4">
      <c r="A161" s="16">
        <v>250750</v>
      </c>
      <c r="B161" s="12" t="s">
        <v>314</v>
      </c>
      <c r="C161" s="12">
        <v>2017</v>
      </c>
      <c r="D161" s="17">
        <v>131</v>
      </c>
    </row>
    <row r="162" spans="1:4">
      <c r="A162" s="16">
        <v>250750</v>
      </c>
      <c r="B162" s="12" t="s">
        <v>314</v>
      </c>
      <c r="C162" s="12">
        <v>2018</v>
      </c>
      <c r="D162" s="17">
        <v>181</v>
      </c>
    </row>
    <row r="163" spans="1:4">
      <c r="A163" s="16">
        <v>250750</v>
      </c>
      <c r="B163" s="12" t="s">
        <v>314</v>
      </c>
      <c r="C163" s="12">
        <v>2019</v>
      </c>
      <c r="D163" s="17">
        <v>150</v>
      </c>
    </row>
    <row r="164" spans="1:4">
      <c r="A164" s="16">
        <v>250750</v>
      </c>
      <c r="B164" s="12" t="s">
        <v>314</v>
      </c>
      <c r="C164" s="12">
        <v>2020</v>
      </c>
      <c r="D164" s="17">
        <v>7254</v>
      </c>
    </row>
    <row r="165" spans="1:4">
      <c r="A165" s="16">
        <v>250750</v>
      </c>
      <c r="B165" s="12" t="s">
        <v>314</v>
      </c>
      <c r="C165" s="12">
        <v>2021</v>
      </c>
      <c r="D165" s="17">
        <v>9095</v>
      </c>
    </row>
    <row r="166" spans="1:4">
      <c r="A166" s="16">
        <v>250750</v>
      </c>
      <c r="B166" s="12" t="s">
        <v>314</v>
      </c>
      <c r="C166" s="12">
        <v>2022</v>
      </c>
      <c r="D166" s="17">
        <v>2838</v>
      </c>
    </row>
    <row r="167" spans="1:4">
      <c r="A167" s="16">
        <v>250750</v>
      </c>
      <c r="B167" s="12" t="s">
        <v>314</v>
      </c>
      <c r="C167" s="12">
        <v>2023</v>
      </c>
      <c r="D167" s="17">
        <v>693</v>
      </c>
    </row>
    <row r="168" spans="1:4">
      <c r="A168" s="16">
        <v>250750</v>
      </c>
      <c r="B168" s="12" t="s">
        <v>314</v>
      </c>
      <c r="C168" s="12">
        <v>2024</v>
      </c>
      <c r="D168" s="17">
        <v>1171</v>
      </c>
    </row>
    <row r="169" spans="1:4">
      <c r="A169" s="16">
        <v>250750</v>
      </c>
      <c r="B169" s="12" t="s">
        <v>314</v>
      </c>
      <c r="C169" s="12">
        <v>2025</v>
      </c>
      <c r="D169" s="17">
        <v>1270</v>
      </c>
    </row>
    <row r="170" spans="1:4">
      <c r="A170" s="16">
        <v>260410</v>
      </c>
      <c r="B170" s="12" t="s">
        <v>315</v>
      </c>
      <c r="C170" s="12">
        <v>2014</v>
      </c>
      <c r="D170" s="17">
        <v>0</v>
      </c>
    </row>
    <row r="171" spans="1:4">
      <c r="A171" s="16">
        <v>260410</v>
      </c>
      <c r="B171" s="12" t="s">
        <v>315</v>
      </c>
      <c r="C171" s="12">
        <v>2015</v>
      </c>
      <c r="D171" s="17">
        <v>3</v>
      </c>
    </row>
    <row r="172" spans="1:4">
      <c r="A172" s="16">
        <v>260410</v>
      </c>
      <c r="B172" s="12" t="s">
        <v>315</v>
      </c>
      <c r="C172" s="12">
        <v>2016</v>
      </c>
      <c r="D172" s="17">
        <v>28</v>
      </c>
    </row>
    <row r="173" spans="1:4">
      <c r="A173" s="16">
        <v>260410</v>
      </c>
      <c r="B173" s="12" t="s">
        <v>315</v>
      </c>
      <c r="C173" s="12">
        <v>2017</v>
      </c>
      <c r="D173" s="17">
        <v>15</v>
      </c>
    </row>
    <row r="174" spans="1:4">
      <c r="A174" s="16">
        <v>260410</v>
      </c>
      <c r="B174" s="12" t="s">
        <v>315</v>
      </c>
      <c r="C174" s="12">
        <v>2018</v>
      </c>
      <c r="D174" s="17">
        <v>23</v>
      </c>
    </row>
    <row r="175" spans="1:4">
      <c r="A175" s="16">
        <v>260410</v>
      </c>
      <c r="B175" s="12" t="s">
        <v>315</v>
      </c>
      <c r="C175" s="12">
        <v>2019</v>
      </c>
      <c r="D175" s="17">
        <v>29</v>
      </c>
    </row>
    <row r="176" spans="1:4">
      <c r="A176" s="16">
        <v>260410</v>
      </c>
      <c r="B176" s="12" t="s">
        <v>315</v>
      </c>
      <c r="C176" s="12">
        <v>2020</v>
      </c>
      <c r="D176" s="17">
        <v>2347</v>
      </c>
    </row>
    <row r="177" spans="1:4">
      <c r="A177" s="16">
        <v>260410</v>
      </c>
      <c r="B177" s="12" t="s">
        <v>315</v>
      </c>
      <c r="C177" s="12">
        <v>2021</v>
      </c>
      <c r="D177" s="17">
        <v>1540</v>
      </c>
    </row>
    <row r="178" spans="1:4">
      <c r="A178" s="16">
        <v>260410</v>
      </c>
      <c r="B178" s="12" t="s">
        <v>315</v>
      </c>
      <c r="C178" s="12">
        <v>2022</v>
      </c>
      <c r="D178" s="17">
        <v>715</v>
      </c>
    </row>
    <row r="179" spans="1:4">
      <c r="A179" s="16">
        <v>260410</v>
      </c>
      <c r="B179" s="12" t="s">
        <v>315</v>
      </c>
      <c r="C179" s="12">
        <v>2023</v>
      </c>
      <c r="D179" s="17">
        <v>126</v>
      </c>
    </row>
    <row r="180" spans="1:4">
      <c r="A180" s="16">
        <v>260410</v>
      </c>
      <c r="B180" s="12" t="s">
        <v>315</v>
      </c>
      <c r="C180" s="12">
        <v>2024</v>
      </c>
      <c r="D180" s="17">
        <v>129</v>
      </c>
    </row>
    <row r="181" spans="1:4">
      <c r="A181" s="16">
        <v>260410</v>
      </c>
      <c r="B181" s="12" t="s">
        <v>315</v>
      </c>
      <c r="C181" s="12">
        <v>2025</v>
      </c>
      <c r="D181" s="17">
        <v>79</v>
      </c>
    </row>
    <row r="182" spans="1:4">
      <c r="A182" s="16">
        <v>260790</v>
      </c>
      <c r="B182" s="12" t="s">
        <v>316</v>
      </c>
      <c r="C182" s="12">
        <v>2014</v>
      </c>
      <c r="D182" s="17">
        <v>0</v>
      </c>
    </row>
    <row r="183" spans="1:4">
      <c r="A183" s="16">
        <v>260790</v>
      </c>
      <c r="B183" s="12" t="s">
        <v>316</v>
      </c>
      <c r="C183" s="12">
        <v>2015</v>
      </c>
      <c r="D183" s="17">
        <v>176</v>
      </c>
    </row>
    <row r="184" spans="1:4">
      <c r="A184" s="16">
        <v>260790</v>
      </c>
      <c r="B184" s="12" t="s">
        <v>316</v>
      </c>
      <c r="C184" s="12">
        <v>2016</v>
      </c>
      <c r="D184" s="17">
        <v>199</v>
      </c>
    </row>
    <row r="185" spans="1:4">
      <c r="A185" s="16">
        <v>260790</v>
      </c>
      <c r="B185" s="12" t="s">
        <v>316</v>
      </c>
      <c r="C185" s="12">
        <v>2017</v>
      </c>
      <c r="D185" s="17">
        <v>234</v>
      </c>
    </row>
    <row r="186" spans="1:4">
      <c r="A186" s="16">
        <v>260790</v>
      </c>
      <c r="B186" s="12" t="s">
        <v>316</v>
      </c>
      <c r="C186" s="12">
        <v>2018</v>
      </c>
      <c r="D186" s="17">
        <v>289</v>
      </c>
    </row>
    <row r="187" spans="1:4">
      <c r="A187" s="16">
        <v>260790</v>
      </c>
      <c r="B187" s="12" t="s">
        <v>316</v>
      </c>
      <c r="C187" s="12">
        <v>2019</v>
      </c>
      <c r="D187" s="17">
        <v>386</v>
      </c>
    </row>
    <row r="188" spans="1:4">
      <c r="A188" s="16">
        <v>260790</v>
      </c>
      <c r="B188" s="12" t="s">
        <v>316</v>
      </c>
      <c r="C188" s="12">
        <v>2020</v>
      </c>
      <c r="D188" s="17">
        <v>5262</v>
      </c>
    </row>
    <row r="189" spans="1:4">
      <c r="A189" s="16">
        <v>260790</v>
      </c>
      <c r="B189" s="12" t="s">
        <v>316</v>
      </c>
      <c r="C189" s="12">
        <v>2021</v>
      </c>
      <c r="D189" s="17">
        <v>5363</v>
      </c>
    </row>
    <row r="190" spans="1:4">
      <c r="A190" s="16">
        <v>260790</v>
      </c>
      <c r="B190" s="12" t="s">
        <v>316</v>
      </c>
      <c r="C190" s="12">
        <v>2022</v>
      </c>
      <c r="D190" s="17">
        <v>2161</v>
      </c>
    </row>
    <row r="191" spans="1:4">
      <c r="A191" s="16">
        <v>260790</v>
      </c>
      <c r="B191" s="12" t="s">
        <v>316</v>
      </c>
      <c r="C191" s="12">
        <v>2023</v>
      </c>
      <c r="D191" s="17">
        <v>881</v>
      </c>
    </row>
    <row r="192" spans="1:4">
      <c r="A192" s="16">
        <v>260790</v>
      </c>
      <c r="B192" s="12" t="s">
        <v>316</v>
      </c>
      <c r="C192" s="12">
        <v>2024</v>
      </c>
      <c r="D192" s="17">
        <v>590</v>
      </c>
    </row>
    <row r="193" spans="1:4">
      <c r="A193" s="16">
        <v>260790</v>
      </c>
      <c r="B193" s="12" t="s">
        <v>316</v>
      </c>
      <c r="C193" s="12">
        <v>2025</v>
      </c>
      <c r="D193" s="17">
        <v>480</v>
      </c>
    </row>
    <row r="194" spans="1:4">
      <c r="A194" s="16">
        <v>261110</v>
      </c>
      <c r="B194" s="12" t="s">
        <v>317</v>
      </c>
      <c r="C194" s="12">
        <v>2014</v>
      </c>
      <c r="D194" s="17">
        <v>0</v>
      </c>
    </row>
    <row r="195" spans="1:4">
      <c r="A195" s="16">
        <v>261110</v>
      </c>
      <c r="B195" s="12" t="s">
        <v>317</v>
      </c>
      <c r="C195" s="12">
        <v>2015</v>
      </c>
      <c r="D195" s="17">
        <v>0</v>
      </c>
    </row>
    <row r="196" spans="1:4">
      <c r="A196" s="16">
        <v>261110</v>
      </c>
      <c r="B196" s="12" t="s">
        <v>317</v>
      </c>
      <c r="C196" s="12">
        <v>2016</v>
      </c>
      <c r="D196" s="17">
        <v>40</v>
      </c>
    </row>
    <row r="197" spans="1:4">
      <c r="A197" s="16">
        <v>261110</v>
      </c>
      <c r="B197" s="12" t="s">
        <v>317</v>
      </c>
      <c r="C197" s="12">
        <v>2017</v>
      </c>
      <c r="D197" s="17">
        <v>14</v>
      </c>
    </row>
    <row r="198" spans="1:4">
      <c r="A198" s="16">
        <v>261110</v>
      </c>
      <c r="B198" s="12" t="s">
        <v>317</v>
      </c>
      <c r="C198" s="12">
        <v>2018</v>
      </c>
      <c r="D198" s="17">
        <v>42</v>
      </c>
    </row>
    <row r="199" spans="1:4">
      <c r="A199" s="16">
        <v>261110</v>
      </c>
      <c r="B199" s="12" t="s">
        <v>317</v>
      </c>
      <c r="C199" s="12">
        <v>2019</v>
      </c>
      <c r="D199" s="17">
        <v>51</v>
      </c>
    </row>
    <row r="200" spans="1:4">
      <c r="A200" s="16">
        <v>261110</v>
      </c>
      <c r="B200" s="12" t="s">
        <v>317</v>
      </c>
      <c r="C200" s="12">
        <v>2020</v>
      </c>
      <c r="D200" s="17">
        <v>1176</v>
      </c>
    </row>
    <row r="201" spans="1:4">
      <c r="A201" s="16">
        <v>261110</v>
      </c>
      <c r="B201" s="12" t="s">
        <v>317</v>
      </c>
      <c r="C201" s="12">
        <v>2021</v>
      </c>
      <c r="D201" s="17">
        <v>2098</v>
      </c>
    </row>
    <row r="202" spans="1:4">
      <c r="A202" s="16">
        <v>261110</v>
      </c>
      <c r="B202" s="12" t="s">
        <v>317</v>
      </c>
      <c r="C202" s="12">
        <v>2022</v>
      </c>
      <c r="D202" s="17">
        <v>575</v>
      </c>
    </row>
    <row r="203" spans="1:4">
      <c r="A203" s="16">
        <v>261110</v>
      </c>
      <c r="B203" s="12" t="s">
        <v>317</v>
      </c>
      <c r="C203" s="12">
        <v>2023</v>
      </c>
      <c r="D203" s="17">
        <v>163</v>
      </c>
    </row>
    <row r="204" spans="1:4">
      <c r="A204" s="16">
        <v>261110</v>
      </c>
      <c r="B204" s="12" t="s">
        <v>317</v>
      </c>
      <c r="C204" s="12">
        <v>2024</v>
      </c>
      <c r="D204" s="17">
        <v>584</v>
      </c>
    </row>
    <row r="205" spans="1:4">
      <c r="A205" s="16">
        <v>261110</v>
      </c>
      <c r="B205" s="12" t="s">
        <v>317</v>
      </c>
      <c r="C205" s="12">
        <v>2025</v>
      </c>
      <c r="D205" s="17">
        <v>212</v>
      </c>
    </row>
    <row r="206" spans="1:4">
      <c r="A206" s="16">
        <v>261160</v>
      </c>
      <c r="B206" s="12" t="s">
        <v>318</v>
      </c>
      <c r="C206" s="12">
        <v>2014</v>
      </c>
      <c r="D206" s="17">
        <v>0</v>
      </c>
    </row>
    <row r="207" spans="1:4">
      <c r="A207" s="16">
        <v>261160</v>
      </c>
      <c r="B207" s="12" t="s">
        <v>318</v>
      </c>
      <c r="C207" s="12">
        <v>2015</v>
      </c>
      <c r="D207" s="17">
        <v>306</v>
      </c>
    </row>
    <row r="208" spans="1:4">
      <c r="A208" s="16">
        <v>261160</v>
      </c>
      <c r="B208" s="12" t="s">
        <v>318</v>
      </c>
      <c r="C208" s="12">
        <v>2016</v>
      </c>
      <c r="D208" s="17">
        <v>563</v>
      </c>
    </row>
    <row r="209" spans="1:4">
      <c r="A209" s="16">
        <v>261160</v>
      </c>
      <c r="B209" s="12" t="s">
        <v>318</v>
      </c>
      <c r="C209" s="12">
        <v>2017</v>
      </c>
      <c r="D209" s="17">
        <v>628</v>
      </c>
    </row>
    <row r="210" spans="1:4">
      <c r="A210" s="16">
        <v>261160</v>
      </c>
      <c r="B210" s="12" t="s">
        <v>318</v>
      </c>
      <c r="C210" s="12">
        <v>2018</v>
      </c>
      <c r="D210" s="17">
        <v>854</v>
      </c>
    </row>
    <row r="211" spans="1:4">
      <c r="A211" s="16">
        <v>261160</v>
      </c>
      <c r="B211" s="12" t="s">
        <v>318</v>
      </c>
      <c r="C211" s="12">
        <v>2019</v>
      </c>
      <c r="D211" s="17">
        <v>969</v>
      </c>
    </row>
    <row r="212" spans="1:4">
      <c r="A212" s="16">
        <v>261160</v>
      </c>
      <c r="B212" s="12" t="s">
        <v>318</v>
      </c>
      <c r="C212" s="12">
        <v>2020</v>
      </c>
      <c r="D212" s="17">
        <v>18946</v>
      </c>
    </row>
    <row r="213" spans="1:4">
      <c r="A213" s="16">
        <v>261160</v>
      </c>
      <c r="B213" s="12" t="s">
        <v>318</v>
      </c>
      <c r="C213" s="12">
        <v>2021</v>
      </c>
      <c r="D213" s="17">
        <v>18238</v>
      </c>
    </row>
    <row r="214" spans="1:4">
      <c r="A214" s="16">
        <v>261160</v>
      </c>
      <c r="B214" s="12" t="s">
        <v>318</v>
      </c>
      <c r="C214" s="12">
        <v>2022</v>
      </c>
      <c r="D214" s="17">
        <v>8053</v>
      </c>
    </row>
    <row r="215" spans="1:4">
      <c r="A215" s="16">
        <v>261160</v>
      </c>
      <c r="B215" s="12" t="s">
        <v>318</v>
      </c>
      <c r="C215" s="12">
        <v>2023</v>
      </c>
      <c r="D215" s="17">
        <v>2962</v>
      </c>
    </row>
    <row r="216" spans="1:4">
      <c r="A216" s="16">
        <v>261160</v>
      </c>
      <c r="B216" s="12" t="s">
        <v>318</v>
      </c>
      <c r="C216" s="12">
        <v>2024</v>
      </c>
      <c r="D216" s="17">
        <v>1663</v>
      </c>
    </row>
    <row r="217" spans="1:4">
      <c r="A217" s="16">
        <v>261160</v>
      </c>
      <c r="B217" s="12" t="s">
        <v>318</v>
      </c>
      <c r="C217" s="12">
        <v>2025</v>
      </c>
      <c r="D217" s="17">
        <v>1704</v>
      </c>
    </row>
    <row r="218" spans="1:4">
      <c r="A218" s="16">
        <v>270430</v>
      </c>
      <c r="B218" s="12" t="s">
        <v>319</v>
      </c>
      <c r="C218" s="12">
        <v>2014</v>
      </c>
      <c r="D218" s="17">
        <v>0</v>
      </c>
    </row>
    <row r="219" spans="1:4">
      <c r="A219" s="16">
        <v>270430</v>
      </c>
      <c r="B219" s="12" t="s">
        <v>319</v>
      </c>
      <c r="C219" s="12">
        <v>2015</v>
      </c>
      <c r="D219" s="17">
        <v>1</v>
      </c>
    </row>
    <row r="220" spans="1:4">
      <c r="A220" s="16">
        <v>270430</v>
      </c>
      <c r="B220" s="12" t="s">
        <v>319</v>
      </c>
      <c r="C220" s="12">
        <v>2016</v>
      </c>
      <c r="D220" s="17">
        <v>94</v>
      </c>
    </row>
    <row r="221" spans="1:4">
      <c r="A221" s="16">
        <v>270430</v>
      </c>
      <c r="B221" s="12" t="s">
        <v>319</v>
      </c>
      <c r="C221" s="12">
        <v>2017</v>
      </c>
      <c r="D221" s="17">
        <v>26</v>
      </c>
    </row>
    <row r="222" spans="1:4">
      <c r="A222" s="16">
        <v>270430</v>
      </c>
      <c r="B222" s="12" t="s">
        <v>319</v>
      </c>
      <c r="C222" s="12">
        <v>2018</v>
      </c>
      <c r="D222" s="17">
        <v>180</v>
      </c>
    </row>
    <row r="223" spans="1:4">
      <c r="A223" s="16">
        <v>270430</v>
      </c>
      <c r="B223" s="12" t="s">
        <v>319</v>
      </c>
      <c r="C223" s="12">
        <v>2019</v>
      </c>
      <c r="D223" s="17">
        <v>138</v>
      </c>
    </row>
    <row r="224" spans="1:4">
      <c r="A224" s="16">
        <v>270430</v>
      </c>
      <c r="B224" s="12" t="s">
        <v>319</v>
      </c>
      <c r="C224" s="12">
        <v>2020</v>
      </c>
      <c r="D224" s="17">
        <v>5148</v>
      </c>
    </row>
    <row r="225" spans="1:4">
      <c r="A225" s="16">
        <v>270430</v>
      </c>
      <c r="B225" s="12" t="s">
        <v>319</v>
      </c>
      <c r="C225" s="12">
        <v>2021</v>
      </c>
      <c r="D225" s="17">
        <v>8426</v>
      </c>
    </row>
    <row r="226" spans="1:4">
      <c r="A226" s="16">
        <v>270430</v>
      </c>
      <c r="B226" s="12" t="s">
        <v>319</v>
      </c>
      <c r="C226" s="12">
        <v>2022</v>
      </c>
      <c r="D226" s="17">
        <v>2300</v>
      </c>
    </row>
    <row r="227" spans="1:4">
      <c r="A227" s="16">
        <v>270430</v>
      </c>
      <c r="B227" s="12" t="s">
        <v>319</v>
      </c>
      <c r="C227" s="12">
        <v>2023</v>
      </c>
      <c r="D227" s="17">
        <v>878</v>
      </c>
    </row>
    <row r="228" spans="1:4">
      <c r="A228" s="16">
        <v>270430</v>
      </c>
      <c r="B228" s="12" t="s">
        <v>319</v>
      </c>
      <c r="C228" s="12">
        <v>2024</v>
      </c>
      <c r="D228" s="17">
        <v>669</v>
      </c>
    </row>
    <row r="229" spans="1:4">
      <c r="A229" s="16">
        <v>270430</v>
      </c>
      <c r="B229" s="12" t="s">
        <v>319</v>
      </c>
      <c r="C229" s="12">
        <v>2025</v>
      </c>
      <c r="D229" s="17">
        <v>742</v>
      </c>
    </row>
    <row r="230" spans="1:4">
      <c r="A230" s="16">
        <v>280030</v>
      </c>
      <c r="B230" s="12" t="s">
        <v>320</v>
      </c>
      <c r="C230" s="12">
        <v>2014</v>
      </c>
      <c r="D230" s="17">
        <v>0</v>
      </c>
    </row>
    <row r="231" spans="1:4">
      <c r="A231" s="16">
        <v>280030</v>
      </c>
      <c r="B231" s="12" t="s">
        <v>320</v>
      </c>
      <c r="C231" s="12">
        <v>2015</v>
      </c>
      <c r="D231" s="17">
        <v>0</v>
      </c>
    </row>
    <row r="232" spans="1:4">
      <c r="A232" s="16">
        <v>280030</v>
      </c>
      <c r="B232" s="12" t="s">
        <v>320</v>
      </c>
      <c r="C232" s="12">
        <v>2016</v>
      </c>
      <c r="D232" s="17">
        <v>83</v>
      </c>
    </row>
    <row r="233" spans="1:4">
      <c r="A233" s="16">
        <v>280030</v>
      </c>
      <c r="B233" s="12" t="s">
        <v>320</v>
      </c>
      <c r="C233" s="12">
        <v>2017</v>
      </c>
      <c r="D233" s="17">
        <v>25</v>
      </c>
    </row>
    <row r="234" spans="1:4">
      <c r="A234" s="16">
        <v>280030</v>
      </c>
      <c r="B234" s="12" t="s">
        <v>320</v>
      </c>
      <c r="C234" s="12">
        <v>2018</v>
      </c>
      <c r="D234" s="17">
        <v>215</v>
      </c>
    </row>
    <row r="235" spans="1:4">
      <c r="A235" s="16">
        <v>280030</v>
      </c>
      <c r="B235" s="12" t="s">
        <v>320</v>
      </c>
      <c r="C235" s="12">
        <v>2019</v>
      </c>
      <c r="D235" s="17">
        <v>144</v>
      </c>
    </row>
    <row r="236" spans="1:4">
      <c r="A236" s="16">
        <v>280030</v>
      </c>
      <c r="B236" s="12" t="s">
        <v>320</v>
      </c>
      <c r="C236" s="12">
        <v>2020</v>
      </c>
      <c r="D236" s="17">
        <v>4020</v>
      </c>
    </row>
    <row r="237" spans="1:4">
      <c r="A237" s="16">
        <v>280030</v>
      </c>
      <c r="B237" s="12" t="s">
        <v>320</v>
      </c>
      <c r="C237" s="12">
        <v>2021</v>
      </c>
      <c r="D237" s="17">
        <v>7887</v>
      </c>
    </row>
    <row r="238" spans="1:4">
      <c r="A238" s="16">
        <v>280030</v>
      </c>
      <c r="B238" s="12" t="s">
        <v>320</v>
      </c>
      <c r="C238" s="12">
        <v>2022</v>
      </c>
      <c r="D238" s="17">
        <v>2441</v>
      </c>
    </row>
    <row r="239" spans="1:4">
      <c r="A239" s="16">
        <v>280030</v>
      </c>
      <c r="B239" s="12" t="s">
        <v>320</v>
      </c>
      <c r="C239" s="12">
        <v>2023</v>
      </c>
      <c r="D239" s="17">
        <v>1371</v>
      </c>
    </row>
    <row r="240" spans="1:4">
      <c r="A240" s="16">
        <v>280030</v>
      </c>
      <c r="B240" s="12" t="s">
        <v>320</v>
      </c>
      <c r="C240" s="12">
        <v>2024</v>
      </c>
      <c r="D240" s="17">
        <v>1939</v>
      </c>
    </row>
    <row r="241" spans="1:4">
      <c r="A241" s="16">
        <v>280030</v>
      </c>
      <c r="B241" s="12" t="s">
        <v>320</v>
      </c>
      <c r="C241" s="12">
        <v>2025</v>
      </c>
      <c r="D241" s="17">
        <v>1810</v>
      </c>
    </row>
    <row r="242" spans="1:4">
      <c r="A242" s="16">
        <v>291080</v>
      </c>
      <c r="B242" s="12" t="s">
        <v>321</v>
      </c>
      <c r="C242" s="12">
        <v>2014</v>
      </c>
      <c r="D242" s="17">
        <v>0</v>
      </c>
    </row>
    <row r="243" spans="1:4">
      <c r="A243" s="16">
        <v>291080</v>
      </c>
      <c r="B243" s="12" t="s">
        <v>321</v>
      </c>
      <c r="C243" s="12">
        <v>2015</v>
      </c>
      <c r="D243" s="17">
        <v>14</v>
      </c>
    </row>
    <row r="244" spans="1:4">
      <c r="A244" s="16">
        <v>291080</v>
      </c>
      <c r="B244" s="12" t="s">
        <v>321</v>
      </c>
      <c r="C244" s="12">
        <v>2016</v>
      </c>
      <c r="D244" s="17">
        <v>27</v>
      </c>
    </row>
    <row r="245" spans="1:4">
      <c r="A245" s="16">
        <v>291080</v>
      </c>
      <c r="B245" s="12" t="s">
        <v>321</v>
      </c>
      <c r="C245" s="12">
        <v>2017</v>
      </c>
      <c r="D245" s="17">
        <v>10</v>
      </c>
    </row>
    <row r="246" spans="1:4">
      <c r="A246" s="16">
        <v>291080</v>
      </c>
      <c r="B246" s="12" t="s">
        <v>321</v>
      </c>
      <c r="C246" s="12">
        <v>2018</v>
      </c>
      <c r="D246" s="17">
        <v>109</v>
      </c>
    </row>
    <row r="247" spans="1:4">
      <c r="A247" s="16">
        <v>291080</v>
      </c>
      <c r="B247" s="12" t="s">
        <v>321</v>
      </c>
      <c r="C247" s="12">
        <v>2019</v>
      </c>
      <c r="D247" s="17">
        <v>75</v>
      </c>
    </row>
    <row r="248" spans="1:4">
      <c r="A248" s="16">
        <v>291080</v>
      </c>
      <c r="B248" s="12" t="s">
        <v>321</v>
      </c>
      <c r="C248" s="12">
        <v>2020</v>
      </c>
      <c r="D248" s="17">
        <v>969</v>
      </c>
    </row>
    <row r="249" spans="1:4">
      <c r="A249" s="16">
        <v>291080</v>
      </c>
      <c r="B249" s="12" t="s">
        <v>321</v>
      </c>
      <c r="C249" s="12">
        <v>2021</v>
      </c>
      <c r="D249" s="17">
        <v>1569</v>
      </c>
    </row>
    <row r="250" spans="1:4">
      <c r="A250" s="16">
        <v>291080</v>
      </c>
      <c r="B250" s="12" t="s">
        <v>321</v>
      </c>
      <c r="C250" s="12">
        <v>2022</v>
      </c>
      <c r="D250" s="17">
        <v>647</v>
      </c>
    </row>
    <row r="251" spans="1:4">
      <c r="A251" s="16">
        <v>291080</v>
      </c>
      <c r="B251" s="12" t="s">
        <v>321</v>
      </c>
      <c r="C251" s="12">
        <v>2023</v>
      </c>
      <c r="D251" s="17">
        <v>787</v>
      </c>
    </row>
    <row r="252" spans="1:4">
      <c r="A252" s="16">
        <v>291080</v>
      </c>
      <c r="B252" s="12" t="s">
        <v>321</v>
      </c>
      <c r="C252" s="12">
        <v>2024</v>
      </c>
      <c r="D252" s="17">
        <v>1103</v>
      </c>
    </row>
    <row r="253" spans="1:4">
      <c r="A253" s="16">
        <v>291080</v>
      </c>
      <c r="B253" s="12" t="s">
        <v>321</v>
      </c>
      <c r="C253" s="12">
        <v>2025</v>
      </c>
      <c r="D253" s="17">
        <v>1119</v>
      </c>
    </row>
    <row r="254" spans="1:4">
      <c r="A254" s="16">
        <v>292740</v>
      </c>
      <c r="B254" s="12" t="s">
        <v>322</v>
      </c>
      <c r="C254" s="12">
        <v>2014</v>
      </c>
      <c r="D254" s="17">
        <v>0</v>
      </c>
    </row>
    <row r="255" spans="1:4">
      <c r="A255" s="16">
        <v>292740</v>
      </c>
      <c r="B255" s="12" t="s">
        <v>322</v>
      </c>
      <c r="C255" s="12">
        <v>2015</v>
      </c>
      <c r="D255" s="17">
        <v>194</v>
      </c>
    </row>
    <row r="256" spans="1:4">
      <c r="A256" s="16">
        <v>292740</v>
      </c>
      <c r="B256" s="12" t="s">
        <v>322</v>
      </c>
      <c r="C256" s="12">
        <v>2016</v>
      </c>
      <c r="D256" s="17">
        <v>572</v>
      </c>
    </row>
    <row r="257" spans="1:4">
      <c r="A257" s="16">
        <v>292740</v>
      </c>
      <c r="B257" s="12" t="s">
        <v>322</v>
      </c>
      <c r="C257" s="12">
        <v>2017</v>
      </c>
      <c r="D257" s="17">
        <v>264</v>
      </c>
    </row>
    <row r="258" spans="1:4">
      <c r="A258" s="16">
        <v>292740</v>
      </c>
      <c r="B258" s="12" t="s">
        <v>322</v>
      </c>
      <c r="C258" s="12">
        <v>2018</v>
      </c>
      <c r="D258" s="17">
        <v>857</v>
      </c>
    </row>
    <row r="259" spans="1:4">
      <c r="A259" s="16">
        <v>292740</v>
      </c>
      <c r="B259" s="12" t="s">
        <v>322</v>
      </c>
      <c r="C259" s="12">
        <v>2019</v>
      </c>
      <c r="D259" s="17">
        <v>941</v>
      </c>
    </row>
    <row r="260" spans="1:4">
      <c r="A260" s="16">
        <v>292740</v>
      </c>
      <c r="B260" s="12" t="s">
        <v>322</v>
      </c>
      <c r="C260" s="12">
        <v>2020</v>
      </c>
      <c r="D260" s="17">
        <v>15746</v>
      </c>
    </row>
    <row r="261" spans="1:4">
      <c r="A261" s="16">
        <v>292740</v>
      </c>
      <c r="B261" s="12" t="s">
        <v>322</v>
      </c>
      <c r="C261" s="12">
        <v>2021</v>
      </c>
      <c r="D261" s="17">
        <v>20453</v>
      </c>
    </row>
    <row r="262" spans="1:4">
      <c r="A262" s="16">
        <v>292740</v>
      </c>
      <c r="B262" s="12" t="s">
        <v>322</v>
      </c>
      <c r="C262" s="12">
        <v>2022</v>
      </c>
      <c r="D262" s="17">
        <v>7028</v>
      </c>
    </row>
    <row r="263" spans="1:4">
      <c r="A263" s="16">
        <v>292740</v>
      </c>
      <c r="B263" s="12" t="s">
        <v>322</v>
      </c>
      <c r="C263" s="12">
        <v>2023</v>
      </c>
      <c r="D263" s="17">
        <v>3981</v>
      </c>
    </row>
    <row r="264" spans="1:4">
      <c r="A264" s="16">
        <v>292740</v>
      </c>
      <c r="B264" s="12" t="s">
        <v>322</v>
      </c>
      <c r="C264" s="12">
        <v>2024</v>
      </c>
      <c r="D264" s="17">
        <v>4004</v>
      </c>
    </row>
    <row r="265" spans="1:4">
      <c r="A265" s="16">
        <v>292740</v>
      </c>
      <c r="B265" s="12" t="s">
        <v>322</v>
      </c>
      <c r="C265" s="12">
        <v>2025</v>
      </c>
      <c r="D265" s="17">
        <v>4778</v>
      </c>
    </row>
    <row r="266" spans="1:4">
      <c r="A266" s="16">
        <v>310620</v>
      </c>
      <c r="B266" s="12" t="s">
        <v>323</v>
      </c>
      <c r="C266" s="12">
        <v>2014</v>
      </c>
      <c r="D266" s="17">
        <v>0</v>
      </c>
    </row>
    <row r="267" spans="1:4">
      <c r="A267" s="16">
        <v>310620</v>
      </c>
      <c r="B267" s="12" t="s">
        <v>323</v>
      </c>
      <c r="C267" s="12">
        <v>2015</v>
      </c>
      <c r="D267" s="17">
        <v>657</v>
      </c>
    </row>
    <row r="268" spans="1:4">
      <c r="A268" s="16">
        <v>310620</v>
      </c>
      <c r="B268" s="12" t="s">
        <v>323</v>
      </c>
      <c r="C268" s="12">
        <v>2016</v>
      </c>
      <c r="D268" s="17">
        <v>1679</v>
      </c>
    </row>
    <row r="269" spans="1:4">
      <c r="A269" s="16">
        <v>310620</v>
      </c>
      <c r="B269" s="12" t="s">
        <v>323</v>
      </c>
      <c r="C269" s="12">
        <v>2017</v>
      </c>
      <c r="D269" s="17">
        <v>1330</v>
      </c>
    </row>
    <row r="270" spans="1:4">
      <c r="A270" s="16">
        <v>310620</v>
      </c>
      <c r="B270" s="12" t="s">
        <v>323</v>
      </c>
      <c r="C270" s="12">
        <v>2018</v>
      </c>
      <c r="D270" s="17">
        <v>1172</v>
      </c>
    </row>
    <row r="271" spans="1:4">
      <c r="A271" s="16">
        <v>310620</v>
      </c>
      <c r="B271" s="12" t="s">
        <v>323</v>
      </c>
      <c r="C271" s="12">
        <v>2019</v>
      </c>
      <c r="D271" s="17">
        <v>1442</v>
      </c>
    </row>
    <row r="272" spans="1:4">
      <c r="A272" s="16">
        <v>310620</v>
      </c>
      <c r="B272" s="12" t="s">
        <v>323</v>
      </c>
      <c r="C272" s="12">
        <v>2020</v>
      </c>
      <c r="D272" s="17">
        <v>24082</v>
      </c>
    </row>
    <row r="273" spans="1:4">
      <c r="A273" s="16">
        <v>310620</v>
      </c>
      <c r="B273" s="12" t="s">
        <v>323</v>
      </c>
      <c r="C273" s="12">
        <v>2021</v>
      </c>
      <c r="D273" s="17">
        <v>34861</v>
      </c>
    </row>
    <row r="274" spans="1:4">
      <c r="A274" s="16">
        <v>310620</v>
      </c>
      <c r="B274" s="12" t="s">
        <v>323</v>
      </c>
      <c r="C274" s="12">
        <v>2022</v>
      </c>
      <c r="D274" s="17">
        <v>16327</v>
      </c>
    </row>
    <row r="275" spans="1:4">
      <c r="A275" s="16">
        <v>310620</v>
      </c>
      <c r="B275" s="12" t="s">
        <v>323</v>
      </c>
      <c r="C275" s="12">
        <v>2023</v>
      </c>
      <c r="D275" s="17">
        <v>7682</v>
      </c>
    </row>
    <row r="276" spans="1:4">
      <c r="A276" s="16">
        <v>310620</v>
      </c>
      <c r="B276" s="12" t="s">
        <v>323</v>
      </c>
      <c r="C276" s="12">
        <v>2024</v>
      </c>
      <c r="D276" s="17">
        <v>7726</v>
      </c>
    </row>
    <row r="277" spans="1:4">
      <c r="A277" s="16">
        <v>310620</v>
      </c>
      <c r="B277" s="12" t="s">
        <v>323</v>
      </c>
      <c r="C277" s="12">
        <v>2025</v>
      </c>
      <c r="D277" s="17">
        <v>8482</v>
      </c>
    </row>
    <row r="278" spans="1:4">
      <c r="A278" s="16">
        <v>310670</v>
      </c>
      <c r="B278" s="12" t="s">
        <v>324</v>
      </c>
      <c r="C278" s="12">
        <v>2014</v>
      </c>
      <c r="D278" s="17">
        <v>0</v>
      </c>
    </row>
    <row r="279" spans="1:4">
      <c r="A279" s="16">
        <v>310670</v>
      </c>
      <c r="B279" s="12" t="s">
        <v>324</v>
      </c>
      <c r="C279" s="12">
        <v>2015</v>
      </c>
      <c r="D279" s="17">
        <v>23</v>
      </c>
    </row>
    <row r="280" spans="1:4">
      <c r="A280" s="16">
        <v>310670</v>
      </c>
      <c r="B280" s="12" t="s">
        <v>324</v>
      </c>
      <c r="C280" s="12">
        <v>2016</v>
      </c>
      <c r="D280" s="17">
        <v>90</v>
      </c>
    </row>
    <row r="281" spans="1:4">
      <c r="A281" s="16">
        <v>310670</v>
      </c>
      <c r="B281" s="12" t="s">
        <v>324</v>
      </c>
      <c r="C281" s="12">
        <v>2017</v>
      </c>
      <c r="D281" s="17">
        <v>68</v>
      </c>
    </row>
    <row r="282" spans="1:4">
      <c r="A282" s="16">
        <v>310670</v>
      </c>
      <c r="B282" s="12" t="s">
        <v>324</v>
      </c>
      <c r="C282" s="12">
        <v>2018</v>
      </c>
      <c r="D282" s="17">
        <v>51</v>
      </c>
    </row>
    <row r="283" spans="1:4">
      <c r="A283" s="16">
        <v>310670</v>
      </c>
      <c r="B283" s="12" t="s">
        <v>324</v>
      </c>
      <c r="C283" s="12">
        <v>2019</v>
      </c>
      <c r="D283" s="17">
        <v>69</v>
      </c>
    </row>
    <row r="284" spans="1:4">
      <c r="A284" s="16">
        <v>310670</v>
      </c>
      <c r="B284" s="12" t="s">
        <v>324</v>
      </c>
      <c r="C284" s="12">
        <v>2020</v>
      </c>
      <c r="D284" s="17">
        <v>3171</v>
      </c>
    </row>
    <row r="285" spans="1:4">
      <c r="A285" s="16">
        <v>310670</v>
      </c>
      <c r="B285" s="12" t="s">
        <v>324</v>
      </c>
      <c r="C285" s="12">
        <v>2021</v>
      </c>
      <c r="D285" s="17">
        <v>5361</v>
      </c>
    </row>
    <row r="286" spans="1:4">
      <c r="A286" s="16">
        <v>310670</v>
      </c>
      <c r="B286" s="12" t="s">
        <v>324</v>
      </c>
      <c r="C286" s="12">
        <v>2022</v>
      </c>
      <c r="D286" s="17">
        <v>2150</v>
      </c>
    </row>
    <row r="287" spans="1:4">
      <c r="A287" s="16">
        <v>310670</v>
      </c>
      <c r="B287" s="12" t="s">
        <v>324</v>
      </c>
      <c r="C287" s="12">
        <v>2023</v>
      </c>
      <c r="D287" s="17">
        <v>1013</v>
      </c>
    </row>
    <row r="288" spans="1:4">
      <c r="A288" s="16">
        <v>310670</v>
      </c>
      <c r="B288" s="12" t="s">
        <v>324</v>
      </c>
      <c r="C288" s="12">
        <v>2024</v>
      </c>
      <c r="D288" s="17">
        <v>705</v>
      </c>
    </row>
    <row r="289" spans="1:4">
      <c r="A289" s="16">
        <v>310670</v>
      </c>
      <c r="B289" s="12" t="s">
        <v>324</v>
      </c>
      <c r="C289" s="12">
        <v>2025</v>
      </c>
      <c r="D289" s="17">
        <v>1429</v>
      </c>
    </row>
    <row r="290" spans="1:4">
      <c r="A290" s="16">
        <v>311860</v>
      </c>
      <c r="B290" s="12" t="s">
        <v>325</v>
      </c>
      <c r="C290" s="12">
        <v>2014</v>
      </c>
      <c r="D290" s="17">
        <v>0</v>
      </c>
    </row>
    <row r="291" spans="1:4">
      <c r="A291" s="16">
        <v>311860</v>
      </c>
      <c r="B291" s="12" t="s">
        <v>325</v>
      </c>
      <c r="C291" s="12">
        <v>2015</v>
      </c>
      <c r="D291" s="17">
        <v>62</v>
      </c>
    </row>
    <row r="292" spans="1:4">
      <c r="A292" s="16">
        <v>311860</v>
      </c>
      <c r="B292" s="12" t="s">
        <v>325</v>
      </c>
      <c r="C292" s="12">
        <v>2016</v>
      </c>
      <c r="D292" s="17">
        <v>277</v>
      </c>
    </row>
    <row r="293" spans="1:4">
      <c r="A293" s="16">
        <v>311860</v>
      </c>
      <c r="B293" s="12" t="s">
        <v>325</v>
      </c>
      <c r="C293" s="12">
        <v>2017</v>
      </c>
      <c r="D293" s="17">
        <v>202</v>
      </c>
    </row>
    <row r="294" spans="1:4">
      <c r="A294" s="16">
        <v>311860</v>
      </c>
      <c r="B294" s="12" t="s">
        <v>325</v>
      </c>
      <c r="C294" s="12">
        <v>2018</v>
      </c>
      <c r="D294" s="17">
        <v>156</v>
      </c>
    </row>
    <row r="295" spans="1:4">
      <c r="A295" s="16">
        <v>311860</v>
      </c>
      <c r="B295" s="12" t="s">
        <v>325</v>
      </c>
      <c r="C295" s="12">
        <v>2019</v>
      </c>
      <c r="D295" s="17">
        <v>183</v>
      </c>
    </row>
    <row r="296" spans="1:4">
      <c r="A296" s="16">
        <v>311860</v>
      </c>
      <c r="B296" s="12" t="s">
        <v>325</v>
      </c>
      <c r="C296" s="12">
        <v>2020</v>
      </c>
      <c r="D296" s="17">
        <v>4712</v>
      </c>
    </row>
    <row r="297" spans="1:4">
      <c r="A297" s="16">
        <v>311860</v>
      </c>
      <c r="B297" s="12" t="s">
        <v>325</v>
      </c>
      <c r="C297" s="12">
        <v>2021</v>
      </c>
      <c r="D297" s="17">
        <v>7848</v>
      </c>
    </row>
    <row r="298" spans="1:4">
      <c r="A298" s="16">
        <v>311860</v>
      </c>
      <c r="B298" s="12" t="s">
        <v>325</v>
      </c>
      <c r="C298" s="12">
        <v>2022</v>
      </c>
      <c r="D298" s="17">
        <v>3867</v>
      </c>
    </row>
    <row r="299" spans="1:4">
      <c r="A299" s="16">
        <v>311860</v>
      </c>
      <c r="B299" s="12" t="s">
        <v>325</v>
      </c>
      <c r="C299" s="12">
        <v>2023</v>
      </c>
      <c r="D299" s="17">
        <v>1950</v>
      </c>
    </row>
    <row r="300" spans="1:4">
      <c r="A300" s="16">
        <v>311860</v>
      </c>
      <c r="B300" s="12" t="s">
        <v>325</v>
      </c>
      <c r="C300" s="12">
        <v>2024</v>
      </c>
      <c r="D300" s="17">
        <v>1555</v>
      </c>
    </row>
    <row r="301" spans="1:4">
      <c r="A301" s="16">
        <v>311860</v>
      </c>
      <c r="B301" s="12" t="s">
        <v>325</v>
      </c>
      <c r="C301" s="12">
        <v>2025</v>
      </c>
      <c r="D301" s="17">
        <v>2064</v>
      </c>
    </row>
    <row r="302" spans="1:4">
      <c r="A302" s="16">
        <v>313670</v>
      </c>
      <c r="B302" s="12" t="s">
        <v>326</v>
      </c>
      <c r="C302" s="12">
        <v>2014</v>
      </c>
      <c r="D302" s="17">
        <v>0</v>
      </c>
    </row>
    <row r="303" spans="1:4">
      <c r="A303" s="16">
        <v>313670</v>
      </c>
      <c r="B303" s="12" t="s">
        <v>326</v>
      </c>
      <c r="C303" s="12">
        <v>2015</v>
      </c>
      <c r="D303" s="17">
        <v>12</v>
      </c>
    </row>
    <row r="304" spans="1:4">
      <c r="A304" s="16">
        <v>313670</v>
      </c>
      <c r="B304" s="12" t="s">
        <v>326</v>
      </c>
      <c r="C304" s="12">
        <v>2016</v>
      </c>
      <c r="D304" s="17">
        <v>96</v>
      </c>
    </row>
    <row r="305" spans="1:4">
      <c r="A305" s="16">
        <v>313670</v>
      </c>
      <c r="B305" s="12" t="s">
        <v>326</v>
      </c>
      <c r="C305" s="12">
        <v>2017</v>
      </c>
      <c r="D305" s="17">
        <v>25</v>
      </c>
    </row>
    <row r="306" spans="1:4">
      <c r="A306" s="16">
        <v>313670</v>
      </c>
      <c r="B306" s="12" t="s">
        <v>326</v>
      </c>
      <c r="C306" s="12">
        <v>2018</v>
      </c>
      <c r="D306" s="17">
        <v>39</v>
      </c>
    </row>
    <row r="307" spans="1:4">
      <c r="A307" s="16">
        <v>313670</v>
      </c>
      <c r="B307" s="12" t="s">
        <v>326</v>
      </c>
      <c r="C307" s="12">
        <v>2019</v>
      </c>
      <c r="D307" s="17">
        <v>47</v>
      </c>
    </row>
    <row r="308" spans="1:4">
      <c r="A308" s="16">
        <v>313670</v>
      </c>
      <c r="B308" s="12" t="s">
        <v>326</v>
      </c>
      <c r="C308" s="12">
        <v>2020</v>
      </c>
      <c r="D308" s="17">
        <v>3556</v>
      </c>
    </row>
    <row r="309" spans="1:4">
      <c r="A309" s="16">
        <v>313670</v>
      </c>
      <c r="B309" s="12" t="s">
        <v>326</v>
      </c>
      <c r="C309" s="12">
        <v>2021</v>
      </c>
      <c r="D309" s="17">
        <v>6213</v>
      </c>
    </row>
    <row r="310" spans="1:4">
      <c r="A310" s="16">
        <v>313670</v>
      </c>
      <c r="B310" s="12" t="s">
        <v>326</v>
      </c>
      <c r="C310" s="12">
        <v>2022</v>
      </c>
      <c r="D310" s="17">
        <v>2208</v>
      </c>
    </row>
    <row r="311" spans="1:4">
      <c r="A311" s="16">
        <v>313670</v>
      </c>
      <c r="B311" s="12" t="s">
        <v>326</v>
      </c>
      <c r="C311" s="12">
        <v>2023</v>
      </c>
      <c r="D311" s="17">
        <v>495</v>
      </c>
    </row>
    <row r="312" spans="1:4">
      <c r="A312" s="16">
        <v>313670</v>
      </c>
      <c r="B312" s="12" t="s">
        <v>326</v>
      </c>
      <c r="C312" s="12">
        <v>2024</v>
      </c>
      <c r="D312" s="17">
        <v>193</v>
      </c>
    </row>
    <row r="313" spans="1:4">
      <c r="A313" s="16">
        <v>313670</v>
      </c>
      <c r="B313" s="12" t="s">
        <v>326</v>
      </c>
      <c r="C313" s="12">
        <v>2025</v>
      </c>
      <c r="D313" s="17">
        <v>263</v>
      </c>
    </row>
    <row r="314" spans="1:4">
      <c r="A314" s="16">
        <v>314330</v>
      </c>
      <c r="B314" s="12" t="s">
        <v>327</v>
      </c>
      <c r="C314" s="12">
        <v>2014</v>
      </c>
      <c r="D314" s="17">
        <v>0</v>
      </c>
    </row>
    <row r="315" spans="1:4">
      <c r="A315" s="16">
        <v>314330</v>
      </c>
      <c r="B315" s="12" t="s">
        <v>327</v>
      </c>
      <c r="C315" s="12">
        <v>2015</v>
      </c>
      <c r="D315" s="17">
        <v>2</v>
      </c>
    </row>
    <row r="316" spans="1:4">
      <c r="A316" s="16">
        <v>314330</v>
      </c>
      <c r="B316" s="12" t="s">
        <v>327</v>
      </c>
      <c r="C316" s="12">
        <v>2016</v>
      </c>
      <c r="D316" s="17">
        <v>26</v>
      </c>
    </row>
    <row r="317" spans="1:4">
      <c r="A317" s="16">
        <v>314330</v>
      </c>
      <c r="B317" s="12" t="s">
        <v>327</v>
      </c>
      <c r="C317" s="12">
        <v>2017</v>
      </c>
      <c r="D317" s="17">
        <v>19</v>
      </c>
    </row>
    <row r="318" spans="1:4">
      <c r="A318" s="16">
        <v>314330</v>
      </c>
      <c r="B318" s="12" t="s">
        <v>327</v>
      </c>
      <c r="C318" s="12">
        <v>2018</v>
      </c>
      <c r="D318" s="17">
        <v>49</v>
      </c>
    </row>
    <row r="319" spans="1:4">
      <c r="A319" s="16">
        <v>314330</v>
      </c>
      <c r="B319" s="12" t="s">
        <v>327</v>
      </c>
      <c r="C319" s="12">
        <v>2019</v>
      </c>
      <c r="D319" s="17">
        <v>62</v>
      </c>
    </row>
    <row r="320" spans="1:4">
      <c r="A320" s="16">
        <v>314330</v>
      </c>
      <c r="B320" s="12" t="s">
        <v>327</v>
      </c>
      <c r="C320" s="12">
        <v>2020</v>
      </c>
      <c r="D320" s="17">
        <v>1808</v>
      </c>
    </row>
    <row r="321" spans="1:4">
      <c r="A321" s="16">
        <v>314330</v>
      </c>
      <c r="B321" s="12" t="s">
        <v>327</v>
      </c>
      <c r="C321" s="12">
        <v>2021</v>
      </c>
      <c r="D321" s="17">
        <v>4050</v>
      </c>
    </row>
    <row r="322" spans="1:4">
      <c r="A322" s="16">
        <v>314330</v>
      </c>
      <c r="B322" s="12" t="s">
        <v>327</v>
      </c>
      <c r="C322" s="12">
        <v>2022</v>
      </c>
      <c r="D322" s="17">
        <v>1741</v>
      </c>
    </row>
    <row r="323" spans="1:4">
      <c r="A323" s="16">
        <v>314330</v>
      </c>
      <c r="B323" s="12" t="s">
        <v>327</v>
      </c>
      <c r="C323" s="12">
        <v>2023</v>
      </c>
      <c r="D323" s="17">
        <v>528</v>
      </c>
    </row>
    <row r="324" spans="1:4">
      <c r="A324" s="16">
        <v>314330</v>
      </c>
      <c r="B324" s="12" t="s">
        <v>327</v>
      </c>
      <c r="C324" s="12">
        <v>2024</v>
      </c>
      <c r="D324" s="17">
        <v>772</v>
      </c>
    </row>
    <row r="325" spans="1:4">
      <c r="A325" s="16">
        <v>314330</v>
      </c>
      <c r="B325" s="12" t="s">
        <v>327</v>
      </c>
      <c r="C325" s="12">
        <v>2025</v>
      </c>
      <c r="D325" s="17">
        <v>1066</v>
      </c>
    </row>
    <row r="326" spans="1:4">
      <c r="A326" s="16">
        <v>317020</v>
      </c>
      <c r="B326" s="12" t="s">
        <v>328</v>
      </c>
      <c r="C326" s="12">
        <v>2014</v>
      </c>
      <c r="D326" s="17">
        <v>0</v>
      </c>
    </row>
    <row r="327" spans="1:4">
      <c r="A327" s="16">
        <v>317020</v>
      </c>
      <c r="B327" s="12" t="s">
        <v>328</v>
      </c>
      <c r="C327" s="12">
        <v>2015</v>
      </c>
      <c r="D327" s="17">
        <v>33</v>
      </c>
    </row>
    <row r="328" spans="1:4">
      <c r="A328" s="16">
        <v>317020</v>
      </c>
      <c r="B328" s="12" t="s">
        <v>328</v>
      </c>
      <c r="C328" s="12">
        <v>2016</v>
      </c>
      <c r="D328" s="17">
        <v>164</v>
      </c>
    </row>
    <row r="329" spans="1:4">
      <c r="A329" s="16">
        <v>317020</v>
      </c>
      <c r="B329" s="12" t="s">
        <v>328</v>
      </c>
      <c r="C329" s="12">
        <v>2017</v>
      </c>
      <c r="D329" s="17">
        <v>64</v>
      </c>
    </row>
    <row r="330" spans="1:4">
      <c r="A330" s="16">
        <v>317020</v>
      </c>
      <c r="B330" s="12" t="s">
        <v>328</v>
      </c>
      <c r="C330" s="12">
        <v>2018</v>
      </c>
      <c r="D330" s="17">
        <v>106</v>
      </c>
    </row>
    <row r="331" spans="1:4">
      <c r="A331" s="16">
        <v>317020</v>
      </c>
      <c r="B331" s="12" t="s">
        <v>328</v>
      </c>
      <c r="C331" s="12">
        <v>2019</v>
      </c>
      <c r="D331" s="17">
        <v>198</v>
      </c>
    </row>
    <row r="332" spans="1:4">
      <c r="A332" s="16">
        <v>317020</v>
      </c>
      <c r="B332" s="12" t="s">
        <v>328</v>
      </c>
      <c r="C332" s="12">
        <v>2020</v>
      </c>
      <c r="D332" s="17">
        <v>6166</v>
      </c>
    </row>
    <row r="333" spans="1:4">
      <c r="A333" s="16">
        <v>317020</v>
      </c>
      <c r="B333" s="12" t="s">
        <v>328</v>
      </c>
      <c r="C333" s="12">
        <v>2021</v>
      </c>
      <c r="D333" s="17">
        <v>12876</v>
      </c>
    </row>
    <row r="334" spans="1:4">
      <c r="A334" s="16">
        <v>317020</v>
      </c>
      <c r="B334" s="12" t="s">
        <v>328</v>
      </c>
      <c r="C334" s="12">
        <v>2022</v>
      </c>
      <c r="D334" s="17">
        <v>2889</v>
      </c>
    </row>
    <row r="335" spans="1:4">
      <c r="A335" s="16">
        <v>317020</v>
      </c>
      <c r="B335" s="12" t="s">
        <v>328</v>
      </c>
      <c r="C335" s="12">
        <v>2023</v>
      </c>
      <c r="D335" s="17">
        <v>1145</v>
      </c>
    </row>
    <row r="336" spans="1:4">
      <c r="A336" s="16">
        <v>317020</v>
      </c>
      <c r="B336" s="12" t="s">
        <v>328</v>
      </c>
      <c r="C336" s="12">
        <v>2024</v>
      </c>
      <c r="D336" s="17">
        <v>1286</v>
      </c>
    </row>
    <row r="337" spans="1:4">
      <c r="A337" s="16">
        <v>317020</v>
      </c>
      <c r="B337" s="12" t="s">
        <v>328</v>
      </c>
      <c r="C337" s="12">
        <v>2025</v>
      </c>
      <c r="D337" s="17">
        <v>1952</v>
      </c>
    </row>
    <row r="338" spans="1:4">
      <c r="A338" s="16">
        <v>320500</v>
      </c>
      <c r="B338" s="12" t="s">
        <v>329</v>
      </c>
      <c r="C338" s="12">
        <v>2014</v>
      </c>
      <c r="D338" s="17">
        <v>0</v>
      </c>
    </row>
    <row r="339" spans="1:4">
      <c r="A339" s="16">
        <v>320500</v>
      </c>
      <c r="B339" s="12" t="s">
        <v>329</v>
      </c>
      <c r="C339" s="12">
        <v>2015</v>
      </c>
      <c r="D339" s="17">
        <v>14</v>
      </c>
    </row>
    <row r="340" spans="1:4">
      <c r="A340" s="16">
        <v>320500</v>
      </c>
      <c r="B340" s="12" t="s">
        <v>329</v>
      </c>
      <c r="C340" s="12">
        <v>2016</v>
      </c>
      <c r="D340" s="17">
        <v>159</v>
      </c>
    </row>
    <row r="341" spans="1:4">
      <c r="A341" s="16">
        <v>320500</v>
      </c>
      <c r="B341" s="12" t="s">
        <v>329</v>
      </c>
      <c r="C341" s="12">
        <v>2017</v>
      </c>
      <c r="D341" s="17">
        <v>82</v>
      </c>
    </row>
    <row r="342" spans="1:4">
      <c r="A342" s="16">
        <v>320500</v>
      </c>
      <c r="B342" s="12" t="s">
        <v>329</v>
      </c>
      <c r="C342" s="12">
        <v>2018</v>
      </c>
      <c r="D342" s="17">
        <v>128</v>
      </c>
    </row>
    <row r="343" spans="1:4">
      <c r="A343" s="16">
        <v>320500</v>
      </c>
      <c r="B343" s="12" t="s">
        <v>329</v>
      </c>
      <c r="C343" s="12">
        <v>2019</v>
      </c>
      <c r="D343" s="17">
        <v>104</v>
      </c>
    </row>
    <row r="344" spans="1:4">
      <c r="A344" s="16">
        <v>320500</v>
      </c>
      <c r="B344" s="12" t="s">
        <v>329</v>
      </c>
      <c r="C344" s="12">
        <v>2020</v>
      </c>
      <c r="D344" s="17">
        <v>2232</v>
      </c>
    </row>
    <row r="345" spans="1:4">
      <c r="A345" s="16">
        <v>320500</v>
      </c>
      <c r="B345" s="12" t="s">
        <v>329</v>
      </c>
      <c r="C345" s="12">
        <v>2021</v>
      </c>
      <c r="D345" s="17">
        <v>2451</v>
      </c>
    </row>
    <row r="346" spans="1:4">
      <c r="A346" s="16">
        <v>320500</v>
      </c>
      <c r="B346" s="12" t="s">
        <v>329</v>
      </c>
      <c r="C346" s="12">
        <v>2022</v>
      </c>
      <c r="D346" s="17">
        <v>1030</v>
      </c>
    </row>
    <row r="347" spans="1:4">
      <c r="A347" s="16">
        <v>320500</v>
      </c>
      <c r="B347" s="12" t="s">
        <v>329</v>
      </c>
      <c r="C347" s="12">
        <v>2023</v>
      </c>
      <c r="D347" s="17">
        <v>706</v>
      </c>
    </row>
    <row r="348" spans="1:4">
      <c r="A348" s="16">
        <v>320500</v>
      </c>
      <c r="B348" s="12" t="s">
        <v>329</v>
      </c>
      <c r="C348" s="12">
        <v>2024</v>
      </c>
      <c r="D348" s="17">
        <v>645</v>
      </c>
    </row>
    <row r="349" spans="1:4">
      <c r="A349" s="16">
        <v>320500</v>
      </c>
      <c r="B349" s="12" t="s">
        <v>329</v>
      </c>
      <c r="C349" s="12">
        <v>2025</v>
      </c>
      <c r="D349" s="17">
        <v>697</v>
      </c>
    </row>
    <row r="350" spans="1:4">
      <c r="A350" s="16">
        <v>320520</v>
      </c>
      <c r="B350" s="12" t="s">
        <v>330</v>
      </c>
      <c r="C350" s="12">
        <v>2014</v>
      </c>
      <c r="D350" s="17">
        <v>0</v>
      </c>
    </row>
    <row r="351" spans="1:4">
      <c r="A351" s="16">
        <v>320520</v>
      </c>
      <c r="B351" s="12" t="s">
        <v>330</v>
      </c>
      <c r="C351" s="12">
        <v>2015</v>
      </c>
      <c r="D351" s="17">
        <v>7</v>
      </c>
    </row>
    <row r="352" spans="1:4">
      <c r="A352" s="16">
        <v>320520</v>
      </c>
      <c r="B352" s="12" t="s">
        <v>330</v>
      </c>
      <c r="C352" s="12">
        <v>2016</v>
      </c>
      <c r="D352" s="17">
        <v>119</v>
      </c>
    </row>
    <row r="353" spans="1:4">
      <c r="A353" s="16">
        <v>320520</v>
      </c>
      <c r="B353" s="12" t="s">
        <v>330</v>
      </c>
      <c r="C353" s="12">
        <v>2017</v>
      </c>
      <c r="D353" s="17">
        <v>78</v>
      </c>
    </row>
    <row r="354" spans="1:4">
      <c r="A354" s="16">
        <v>320520</v>
      </c>
      <c r="B354" s="12" t="s">
        <v>330</v>
      </c>
      <c r="C354" s="12">
        <v>2018</v>
      </c>
      <c r="D354" s="17">
        <v>139</v>
      </c>
    </row>
    <row r="355" spans="1:4">
      <c r="A355" s="16">
        <v>320520</v>
      </c>
      <c r="B355" s="12" t="s">
        <v>330</v>
      </c>
      <c r="C355" s="12">
        <v>2019</v>
      </c>
      <c r="D355" s="17">
        <v>148</v>
      </c>
    </row>
    <row r="356" spans="1:4">
      <c r="A356" s="16">
        <v>320520</v>
      </c>
      <c r="B356" s="12" t="s">
        <v>330</v>
      </c>
      <c r="C356" s="12">
        <v>2020</v>
      </c>
      <c r="D356" s="17">
        <v>1915</v>
      </c>
    </row>
    <row r="357" spans="1:4">
      <c r="A357" s="16">
        <v>320520</v>
      </c>
      <c r="B357" s="12" t="s">
        <v>330</v>
      </c>
      <c r="C357" s="12">
        <v>2021</v>
      </c>
      <c r="D357" s="17">
        <v>1708</v>
      </c>
    </row>
    <row r="358" spans="1:4">
      <c r="A358" s="16">
        <v>320520</v>
      </c>
      <c r="B358" s="12" t="s">
        <v>330</v>
      </c>
      <c r="C358" s="12">
        <v>2022</v>
      </c>
      <c r="D358" s="17">
        <v>612</v>
      </c>
    </row>
    <row r="359" spans="1:4">
      <c r="A359" s="16">
        <v>320520</v>
      </c>
      <c r="B359" s="12" t="s">
        <v>330</v>
      </c>
      <c r="C359" s="12">
        <v>2023</v>
      </c>
      <c r="D359" s="17">
        <v>693</v>
      </c>
    </row>
    <row r="360" spans="1:4">
      <c r="A360" s="16">
        <v>320520</v>
      </c>
      <c r="B360" s="12" t="s">
        <v>330</v>
      </c>
      <c r="C360" s="12">
        <v>2024</v>
      </c>
      <c r="D360" s="17">
        <v>1202</v>
      </c>
    </row>
    <row r="361" spans="1:4">
      <c r="A361" s="16">
        <v>320520</v>
      </c>
      <c r="B361" s="12" t="s">
        <v>330</v>
      </c>
      <c r="C361" s="12">
        <v>2025</v>
      </c>
      <c r="D361" s="17">
        <v>597</v>
      </c>
    </row>
    <row r="362" spans="1:4">
      <c r="A362" s="16">
        <v>330045</v>
      </c>
      <c r="B362" s="12" t="s">
        <v>331</v>
      </c>
      <c r="C362" s="12">
        <v>2014</v>
      </c>
      <c r="D362" s="17">
        <v>0</v>
      </c>
    </row>
    <row r="363" spans="1:4">
      <c r="A363" s="16">
        <v>330045</v>
      </c>
      <c r="B363" s="12" t="s">
        <v>331</v>
      </c>
      <c r="C363" s="12">
        <v>2015</v>
      </c>
      <c r="D363" s="17">
        <v>18</v>
      </c>
    </row>
    <row r="364" spans="1:4">
      <c r="A364" s="16">
        <v>330045</v>
      </c>
      <c r="B364" s="12" t="s">
        <v>331</v>
      </c>
      <c r="C364" s="12">
        <v>2016</v>
      </c>
      <c r="D364" s="17">
        <v>44</v>
      </c>
    </row>
    <row r="365" spans="1:4">
      <c r="A365" s="16">
        <v>330045</v>
      </c>
      <c r="B365" s="12" t="s">
        <v>331</v>
      </c>
      <c r="C365" s="12">
        <v>2017</v>
      </c>
      <c r="D365" s="17">
        <v>22</v>
      </c>
    </row>
    <row r="366" spans="1:4">
      <c r="A366" s="16">
        <v>330045</v>
      </c>
      <c r="B366" s="12" t="s">
        <v>331</v>
      </c>
      <c r="C366" s="12">
        <v>2018</v>
      </c>
      <c r="D366" s="17">
        <v>47</v>
      </c>
    </row>
    <row r="367" spans="1:4">
      <c r="A367" s="16">
        <v>330045</v>
      </c>
      <c r="B367" s="12" t="s">
        <v>331</v>
      </c>
      <c r="C367" s="12">
        <v>2019</v>
      </c>
      <c r="D367" s="17">
        <v>46</v>
      </c>
    </row>
    <row r="368" spans="1:4">
      <c r="A368" s="16">
        <v>330045</v>
      </c>
      <c r="B368" s="12" t="s">
        <v>331</v>
      </c>
      <c r="C368" s="12">
        <v>2020</v>
      </c>
      <c r="D368" s="17">
        <v>1705</v>
      </c>
    </row>
    <row r="369" spans="1:4">
      <c r="A369" s="16">
        <v>330045</v>
      </c>
      <c r="B369" s="12" t="s">
        <v>331</v>
      </c>
      <c r="C369" s="12">
        <v>2021</v>
      </c>
      <c r="D369" s="17">
        <v>2246</v>
      </c>
    </row>
    <row r="370" spans="1:4">
      <c r="A370" s="16">
        <v>330045</v>
      </c>
      <c r="B370" s="12" t="s">
        <v>331</v>
      </c>
      <c r="C370" s="12">
        <v>2022</v>
      </c>
      <c r="D370" s="17">
        <v>423</v>
      </c>
    </row>
    <row r="371" spans="1:4">
      <c r="A371" s="16">
        <v>330045</v>
      </c>
      <c r="B371" s="12" t="s">
        <v>331</v>
      </c>
      <c r="C371" s="12">
        <v>2023</v>
      </c>
      <c r="D371" s="17">
        <v>159</v>
      </c>
    </row>
    <row r="372" spans="1:4">
      <c r="A372" s="16">
        <v>330045</v>
      </c>
      <c r="B372" s="12" t="s">
        <v>331</v>
      </c>
      <c r="C372" s="12">
        <v>2024</v>
      </c>
      <c r="D372" s="17">
        <v>175</v>
      </c>
    </row>
    <row r="373" spans="1:4">
      <c r="A373" s="16">
        <v>330045</v>
      </c>
      <c r="B373" s="12" t="s">
        <v>331</v>
      </c>
      <c r="C373" s="12">
        <v>2025</v>
      </c>
      <c r="D373" s="17">
        <v>258</v>
      </c>
    </row>
    <row r="374" spans="1:4">
      <c r="A374" s="16">
        <v>330100</v>
      </c>
      <c r="B374" s="12" t="s">
        <v>332</v>
      </c>
      <c r="C374" s="12">
        <v>2014</v>
      </c>
      <c r="D374" s="17">
        <v>0</v>
      </c>
    </row>
    <row r="375" spans="1:4">
      <c r="A375" s="16">
        <v>330100</v>
      </c>
      <c r="B375" s="12" t="s">
        <v>332</v>
      </c>
      <c r="C375" s="12">
        <v>2015</v>
      </c>
      <c r="D375" s="17">
        <v>3</v>
      </c>
    </row>
    <row r="376" spans="1:4">
      <c r="A376" s="16">
        <v>330100</v>
      </c>
      <c r="B376" s="12" t="s">
        <v>332</v>
      </c>
      <c r="C376" s="12">
        <v>2016</v>
      </c>
      <c r="D376" s="17">
        <v>55</v>
      </c>
    </row>
    <row r="377" spans="1:4">
      <c r="A377" s="16">
        <v>330100</v>
      </c>
      <c r="B377" s="12" t="s">
        <v>332</v>
      </c>
      <c r="C377" s="12">
        <v>2017</v>
      </c>
      <c r="D377" s="17">
        <v>11</v>
      </c>
    </row>
    <row r="378" spans="1:4">
      <c r="A378" s="16">
        <v>330100</v>
      </c>
      <c r="B378" s="12" t="s">
        <v>332</v>
      </c>
      <c r="C378" s="12">
        <v>2018</v>
      </c>
      <c r="D378" s="17">
        <v>35</v>
      </c>
    </row>
    <row r="379" spans="1:4">
      <c r="A379" s="16">
        <v>330100</v>
      </c>
      <c r="B379" s="12" t="s">
        <v>332</v>
      </c>
      <c r="C379" s="12">
        <v>2019</v>
      </c>
      <c r="D379" s="17">
        <v>65</v>
      </c>
    </row>
    <row r="380" spans="1:4">
      <c r="A380" s="16">
        <v>330100</v>
      </c>
      <c r="B380" s="12" t="s">
        <v>332</v>
      </c>
      <c r="C380" s="12">
        <v>2020</v>
      </c>
      <c r="D380" s="17">
        <v>2703</v>
      </c>
    </row>
    <row r="381" spans="1:4">
      <c r="A381" s="16">
        <v>330100</v>
      </c>
      <c r="B381" s="12" t="s">
        <v>332</v>
      </c>
      <c r="C381" s="12">
        <v>2021</v>
      </c>
      <c r="D381" s="17">
        <v>3246</v>
      </c>
    </row>
    <row r="382" spans="1:4">
      <c r="A382" s="16">
        <v>330100</v>
      </c>
      <c r="B382" s="12" t="s">
        <v>332</v>
      </c>
      <c r="C382" s="12">
        <v>2022</v>
      </c>
      <c r="D382" s="17">
        <v>693</v>
      </c>
    </row>
    <row r="383" spans="1:4">
      <c r="A383" s="16">
        <v>330100</v>
      </c>
      <c r="B383" s="12" t="s">
        <v>332</v>
      </c>
      <c r="C383" s="12">
        <v>2023</v>
      </c>
      <c r="D383" s="17">
        <v>769</v>
      </c>
    </row>
    <row r="384" spans="1:4">
      <c r="A384" s="16">
        <v>330100</v>
      </c>
      <c r="B384" s="12" t="s">
        <v>332</v>
      </c>
      <c r="C384" s="12">
        <v>2024</v>
      </c>
      <c r="D384" s="17">
        <v>316</v>
      </c>
    </row>
    <row r="385" spans="1:4">
      <c r="A385" s="16">
        <v>330100</v>
      </c>
      <c r="B385" s="12" t="s">
        <v>332</v>
      </c>
      <c r="C385" s="12">
        <v>2025</v>
      </c>
      <c r="D385" s="17">
        <v>300</v>
      </c>
    </row>
    <row r="386" spans="1:4">
      <c r="A386" s="16">
        <v>330170</v>
      </c>
      <c r="B386" s="12" t="s">
        <v>333</v>
      </c>
      <c r="C386" s="12">
        <v>2014</v>
      </c>
      <c r="D386" s="17">
        <v>0</v>
      </c>
    </row>
    <row r="387" spans="1:4">
      <c r="A387" s="16">
        <v>330170</v>
      </c>
      <c r="B387" s="12" t="s">
        <v>333</v>
      </c>
      <c r="C387" s="12">
        <v>2015</v>
      </c>
      <c r="D387" s="17">
        <v>23</v>
      </c>
    </row>
    <row r="388" spans="1:4">
      <c r="A388" s="16">
        <v>330170</v>
      </c>
      <c r="B388" s="12" t="s">
        <v>333</v>
      </c>
      <c r="C388" s="12">
        <v>2016</v>
      </c>
      <c r="D388" s="17">
        <v>141</v>
      </c>
    </row>
    <row r="389" spans="1:4">
      <c r="A389" s="16">
        <v>330170</v>
      </c>
      <c r="B389" s="12" t="s">
        <v>333</v>
      </c>
      <c r="C389" s="12">
        <v>2017</v>
      </c>
      <c r="D389" s="17">
        <v>45</v>
      </c>
    </row>
    <row r="390" spans="1:4">
      <c r="A390" s="16">
        <v>330170</v>
      </c>
      <c r="B390" s="12" t="s">
        <v>333</v>
      </c>
      <c r="C390" s="12">
        <v>2018</v>
      </c>
      <c r="D390" s="17">
        <v>139</v>
      </c>
    </row>
    <row r="391" spans="1:4">
      <c r="A391" s="16">
        <v>330170</v>
      </c>
      <c r="B391" s="12" t="s">
        <v>333</v>
      </c>
      <c r="C391" s="12">
        <v>2019</v>
      </c>
      <c r="D391" s="17">
        <v>143</v>
      </c>
    </row>
    <row r="392" spans="1:4">
      <c r="A392" s="16">
        <v>330170</v>
      </c>
      <c r="B392" s="12" t="s">
        <v>333</v>
      </c>
      <c r="C392" s="12">
        <v>2020</v>
      </c>
      <c r="D392" s="17">
        <v>5385</v>
      </c>
    </row>
    <row r="393" spans="1:4">
      <c r="A393" s="16">
        <v>330170</v>
      </c>
      <c r="B393" s="12" t="s">
        <v>333</v>
      </c>
      <c r="C393" s="12">
        <v>2021</v>
      </c>
      <c r="D393" s="17">
        <v>5506</v>
      </c>
    </row>
    <row r="394" spans="1:4">
      <c r="A394" s="16">
        <v>330170</v>
      </c>
      <c r="B394" s="12" t="s">
        <v>333</v>
      </c>
      <c r="C394" s="12">
        <v>2022</v>
      </c>
      <c r="D394" s="17">
        <v>1291</v>
      </c>
    </row>
    <row r="395" spans="1:4">
      <c r="A395" s="16">
        <v>330170</v>
      </c>
      <c r="B395" s="12" t="s">
        <v>333</v>
      </c>
      <c r="C395" s="12">
        <v>2023</v>
      </c>
      <c r="D395" s="17">
        <v>455</v>
      </c>
    </row>
    <row r="396" spans="1:4">
      <c r="A396" s="16">
        <v>330170</v>
      </c>
      <c r="B396" s="12" t="s">
        <v>333</v>
      </c>
      <c r="C396" s="12">
        <v>2024</v>
      </c>
      <c r="D396" s="17">
        <v>452</v>
      </c>
    </row>
    <row r="397" spans="1:4">
      <c r="A397" s="16">
        <v>330170</v>
      </c>
      <c r="B397" s="12" t="s">
        <v>333</v>
      </c>
      <c r="C397" s="12">
        <v>2025</v>
      </c>
      <c r="D397" s="17">
        <v>616</v>
      </c>
    </row>
    <row r="398" spans="1:4">
      <c r="A398" s="16">
        <v>330330</v>
      </c>
      <c r="B398" s="12" t="s">
        <v>334</v>
      </c>
      <c r="C398" s="12">
        <v>2014</v>
      </c>
      <c r="D398" s="17">
        <v>0</v>
      </c>
    </row>
    <row r="399" spans="1:4">
      <c r="A399" s="16">
        <v>330330</v>
      </c>
      <c r="B399" s="12" t="s">
        <v>334</v>
      </c>
      <c r="C399" s="12">
        <v>2015</v>
      </c>
      <c r="D399" s="17">
        <v>25</v>
      </c>
    </row>
    <row r="400" spans="1:4">
      <c r="A400" s="16">
        <v>330330</v>
      </c>
      <c r="B400" s="12" t="s">
        <v>334</v>
      </c>
      <c r="C400" s="12">
        <v>2016</v>
      </c>
      <c r="D400" s="17">
        <v>131</v>
      </c>
    </row>
    <row r="401" spans="1:4">
      <c r="A401" s="16">
        <v>330330</v>
      </c>
      <c r="B401" s="12" t="s">
        <v>334</v>
      </c>
      <c r="C401" s="12">
        <v>2017</v>
      </c>
      <c r="D401" s="17">
        <v>26</v>
      </c>
    </row>
    <row r="402" spans="1:4">
      <c r="A402" s="16">
        <v>330330</v>
      </c>
      <c r="B402" s="12" t="s">
        <v>334</v>
      </c>
      <c r="C402" s="12">
        <v>2018</v>
      </c>
      <c r="D402" s="17">
        <v>62</v>
      </c>
    </row>
    <row r="403" spans="1:4">
      <c r="A403" s="16">
        <v>330330</v>
      </c>
      <c r="B403" s="12" t="s">
        <v>334</v>
      </c>
      <c r="C403" s="12">
        <v>2019</v>
      </c>
      <c r="D403" s="17">
        <v>112</v>
      </c>
    </row>
    <row r="404" spans="1:4">
      <c r="A404" s="16">
        <v>330330</v>
      </c>
      <c r="B404" s="12" t="s">
        <v>334</v>
      </c>
      <c r="C404" s="12">
        <v>2020</v>
      </c>
      <c r="D404" s="17">
        <v>6131</v>
      </c>
    </row>
    <row r="405" spans="1:4">
      <c r="A405" s="16">
        <v>330330</v>
      </c>
      <c r="B405" s="12" t="s">
        <v>334</v>
      </c>
      <c r="C405" s="12">
        <v>2021</v>
      </c>
      <c r="D405" s="17">
        <v>8375</v>
      </c>
    </row>
    <row r="406" spans="1:4">
      <c r="A406" s="16">
        <v>330330</v>
      </c>
      <c r="B406" s="12" t="s">
        <v>334</v>
      </c>
      <c r="C406" s="12">
        <v>2022</v>
      </c>
      <c r="D406" s="17">
        <v>3262</v>
      </c>
    </row>
    <row r="407" spans="1:4">
      <c r="A407" s="16">
        <v>330330</v>
      </c>
      <c r="B407" s="12" t="s">
        <v>334</v>
      </c>
      <c r="C407" s="12">
        <v>2023</v>
      </c>
      <c r="D407" s="17">
        <v>1445</v>
      </c>
    </row>
    <row r="408" spans="1:4">
      <c r="A408" s="16">
        <v>330330</v>
      </c>
      <c r="B408" s="12" t="s">
        <v>334</v>
      </c>
      <c r="C408" s="12">
        <v>2024</v>
      </c>
      <c r="D408" s="17">
        <v>1029</v>
      </c>
    </row>
    <row r="409" spans="1:4">
      <c r="A409" s="16">
        <v>330330</v>
      </c>
      <c r="B409" s="12" t="s">
        <v>334</v>
      </c>
      <c r="C409" s="12">
        <v>2025</v>
      </c>
      <c r="D409" s="17">
        <v>1000</v>
      </c>
    </row>
    <row r="410" spans="1:4">
      <c r="A410" s="16">
        <v>330350</v>
      </c>
      <c r="B410" s="12" t="s">
        <v>335</v>
      </c>
      <c r="C410" s="12">
        <v>2014</v>
      </c>
      <c r="D410" s="17">
        <v>0</v>
      </c>
    </row>
    <row r="411" spans="1:4">
      <c r="A411" s="16">
        <v>330350</v>
      </c>
      <c r="B411" s="12" t="s">
        <v>335</v>
      </c>
      <c r="C411" s="12">
        <v>2015</v>
      </c>
      <c r="D411" s="17">
        <v>8</v>
      </c>
    </row>
    <row r="412" spans="1:4">
      <c r="A412" s="16">
        <v>330350</v>
      </c>
      <c r="B412" s="12" t="s">
        <v>335</v>
      </c>
      <c r="C412" s="12">
        <v>2016</v>
      </c>
      <c r="D412" s="17">
        <v>92</v>
      </c>
    </row>
    <row r="413" spans="1:4">
      <c r="A413" s="16">
        <v>330350</v>
      </c>
      <c r="B413" s="12" t="s">
        <v>335</v>
      </c>
      <c r="C413" s="12">
        <v>2017</v>
      </c>
      <c r="D413" s="17">
        <v>71</v>
      </c>
    </row>
    <row r="414" spans="1:4">
      <c r="A414" s="16">
        <v>330350</v>
      </c>
      <c r="B414" s="12" t="s">
        <v>335</v>
      </c>
      <c r="C414" s="12">
        <v>2018</v>
      </c>
      <c r="D414" s="17">
        <v>70</v>
      </c>
    </row>
    <row r="415" spans="1:4">
      <c r="A415" s="16">
        <v>330350</v>
      </c>
      <c r="B415" s="12" t="s">
        <v>335</v>
      </c>
      <c r="C415" s="12">
        <v>2019</v>
      </c>
      <c r="D415" s="17">
        <v>104</v>
      </c>
    </row>
    <row r="416" spans="1:4">
      <c r="A416" s="16">
        <v>330350</v>
      </c>
      <c r="B416" s="12" t="s">
        <v>335</v>
      </c>
      <c r="C416" s="12">
        <v>2020</v>
      </c>
      <c r="D416" s="17">
        <v>3967</v>
      </c>
    </row>
    <row r="417" spans="1:4">
      <c r="A417" s="16">
        <v>330350</v>
      </c>
      <c r="B417" s="12" t="s">
        <v>335</v>
      </c>
      <c r="C417" s="12">
        <v>2021</v>
      </c>
      <c r="D417" s="17">
        <v>6586</v>
      </c>
    </row>
    <row r="418" spans="1:4">
      <c r="A418" s="16">
        <v>330350</v>
      </c>
      <c r="B418" s="12" t="s">
        <v>335</v>
      </c>
      <c r="C418" s="12">
        <v>2022</v>
      </c>
      <c r="D418" s="17">
        <v>1310</v>
      </c>
    </row>
    <row r="419" spans="1:4">
      <c r="A419" s="16">
        <v>330350</v>
      </c>
      <c r="B419" s="12" t="s">
        <v>335</v>
      </c>
      <c r="C419" s="12">
        <v>2023</v>
      </c>
      <c r="D419" s="17">
        <v>411</v>
      </c>
    </row>
    <row r="420" spans="1:4">
      <c r="A420" s="16">
        <v>330350</v>
      </c>
      <c r="B420" s="12" t="s">
        <v>335</v>
      </c>
      <c r="C420" s="12">
        <v>2024</v>
      </c>
      <c r="D420" s="17">
        <v>533</v>
      </c>
    </row>
    <row r="421" spans="1:4">
      <c r="A421" s="16">
        <v>330350</v>
      </c>
      <c r="B421" s="12" t="s">
        <v>335</v>
      </c>
      <c r="C421" s="12">
        <v>2025</v>
      </c>
      <c r="D421" s="17">
        <v>648</v>
      </c>
    </row>
    <row r="422" spans="1:4">
      <c r="A422" s="16">
        <v>330455</v>
      </c>
      <c r="B422" s="12" t="s">
        <v>336</v>
      </c>
      <c r="C422" s="12">
        <v>2014</v>
      </c>
      <c r="D422" s="17">
        <v>0</v>
      </c>
    </row>
    <row r="423" spans="1:4">
      <c r="A423" s="16">
        <v>330455</v>
      </c>
      <c r="B423" s="12" t="s">
        <v>336</v>
      </c>
      <c r="C423" s="12">
        <v>2015</v>
      </c>
      <c r="D423" s="17">
        <v>297</v>
      </c>
    </row>
    <row r="424" spans="1:4">
      <c r="A424" s="16">
        <v>330455</v>
      </c>
      <c r="B424" s="12" t="s">
        <v>336</v>
      </c>
      <c r="C424" s="12">
        <v>2016</v>
      </c>
      <c r="D424" s="17">
        <v>871</v>
      </c>
    </row>
    <row r="425" spans="1:4">
      <c r="A425" s="16">
        <v>330455</v>
      </c>
      <c r="B425" s="12" t="s">
        <v>336</v>
      </c>
      <c r="C425" s="12">
        <v>2017</v>
      </c>
      <c r="D425" s="17">
        <v>463</v>
      </c>
    </row>
    <row r="426" spans="1:4">
      <c r="A426" s="16">
        <v>330455</v>
      </c>
      <c r="B426" s="12" t="s">
        <v>336</v>
      </c>
      <c r="C426" s="12">
        <v>2018</v>
      </c>
      <c r="D426" s="17">
        <v>666</v>
      </c>
    </row>
    <row r="427" spans="1:4">
      <c r="A427" s="16">
        <v>330455</v>
      </c>
      <c r="B427" s="12" t="s">
        <v>336</v>
      </c>
      <c r="C427" s="12">
        <v>2019</v>
      </c>
      <c r="D427" s="17">
        <v>724</v>
      </c>
    </row>
    <row r="428" spans="1:4">
      <c r="A428" s="16">
        <v>330455</v>
      </c>
      <c r="B428" s="12" t="s">
        <v>336</v>
      </c>
      <c r="C428" s="12">
        <v>2020</v>
      </c>
      <c r="D428" s="17">
        <v>54740</v>
      </c>
    </row>
    <row r="429" spans="1:4">
      <c r="A429" s="16">
        <v>330455</v>
      </c>
      <c r="B429" s="12" t="s">
        <v>336</v>
      </c>
      <c r="C429" s="12">
        <v>2021</v>
      </c>
      <c r="D429" s="17">
        <v>57811</v>
      </c>
    </row>
    <row r="430" spans="1:4">
      <c r="A430" s="16">
        <v>330455</v>
      </c>
      <c r="B430" s="12" t="s">
        <v>336</v>
      </c>
      <c r="C430" s="12">
        <v>2022</v>
      </c>
      <c r="D430" s="17">
        <v>15861</v>
      </c>
    </row>
    <row r="431" spans="1:4">
      <c r="A431" s="16">
        <v>330455</v>
      </c>
      <c r="B431" s="12" t="s">
        <v>336</v>
      </c>
      <c r="C431" s="12">
        <v>2023</v>
      </c>
      <c r="D431" s="17">
        <v>7403</v>
      </c>
    </row>
    <row r="432" spans="1:4">
      <c r="A432" s="16">
        <v>330455</v>
      </c>
      <c r="B432" s="12" t="s">
        <v>336</v>
      </c>
      <c r="C432" s="12">
        <v>2024</v>
      </c>
      <c r="D432" s="17">
        <v>6354</v>
      </c>
    </row>
    <row r="433" spans="1:4">
      <c r="A433" s="16">
        <v>330455</v>
      </c>
      <c r="B433" s="12" t="s">
        <v>336</v>
      </c>
      <c r="C433" s="12">
        <v>2025</v>
      </c>
      <c r="D433" s="17">
        <v>8356</v>
      </c>
    </row>
    <row r="434" spans="1:4">
      <c r="A434" s="16">
        <v>330490</v>
      </c>
      <c r="B434" s="12" t="s">
        <v>337</v>
      </c>
      <c r="C434" s="12">
        <v>2014</v>
      </c>
      <c r="D434" s="17">
        <v>0</v>
      </c>
    </row>
    <row r="435" spans="1:4">
      <c r="A435" s="16">
        <v>330490</v>
      </c>
      <c r="B435" s="12" t="s">
        <v>337</v>
      </c>
      <c r="C435" s="12">
        <v>2015</v>
      </c>
      <c r="D435" s="17">
        <v>24</v>
      </c>
    </row>
    <row r="436" spans="1:4">
      <c r="A436" s="16">
        <v>330490</v>
      </c>
      <c r="B436" s="12" t="s">
        <v>337</v>
      </c>
      <c r="C436" s="12">
        <v>2016</v>
      </c>
      <c r="D436" s="17">
        <v>159</v>
      </c>
    </row>
    <row r="437" spans="1:4">
      <c r="A437" s="16">
        <v>330490</v>
      </c>
      <c r="B437" s="12" t="s">
        <v>337</v>
      </c>
      <c r="C437" s="12">
        <v>2017</v>
      </c>
      <c r="D437" s="17">
        <v>53</v>
      </c>
    </row>
    <row r="438" spans="1:4">
      <c r="A438" s="16">
        <v>330490</v>
      </c>
      <c r="B438" s="12" t="s">
        <v>337</v>
      </c>
      <c r="C438" s="12">
        <v>2018</v>
      </c>
      <c r="D438" s="17">
        <v>64</v>
      </c>
    </row>
    <row r="439" spans="1:4">
      <c r="A439" s="16">
        <v>330490</v>
      </c>
      <c r="B439" s="12" t="s">
        <v>337</v>
      </c>
      <c r="C439" s="12">
        <v>2019</v>
      </c>
      <c r="D439" s="17">
        <v>142</v>
      </c>
    </row>
    <row r="440" spans="1:4">
      <c r="A440" s="16">
        <v>330490</v>
      </c>
      <c r="B440" s="12" t="s">
        <v>337</v>
      </c>
      <c r="C440" s="12">
        <v>2020</v>
      </c>
      <c r="D440" s="17">
        <v>7186</v>
      </c>
    </row>
    <row r="441" spans="1:4">
      <c r="A441" s="16">
        <v>330490</v>
      </c>
      <c r="B441" s="12" t="s">
        <v>337</v>
      </c>
      <c r="C441" s="12">
        <v>2021</v>
      </c>
      <c r="D441" s="17">
        <v>9184</v>
      </c>
    </row>
    <row r="442" spans="1:4">
      <c r="A442" s="16">
        <v>330490</v>
      </c>
      <c r="B442" s="12" t="s">
        <v>337</v>
      </c>
      <c r="C442" s="12">
        <v>2022</v>
      </c>
      <c r="D442" s="17">
        <v>3047</v>
      </c>
    </row>
    <row r="443" spans="1:4">
      <c r="A443" s="16">
        <v>330490</v>
      </c>
      <c r="B443" s="12" t="s">
        <v>337</v>
      </c>
      <c r="C443" s="12">
        <v>2023</v>
      </c>
      <c r="D443" s="17">
        <v>1648</v>
      </c>
    </row>
    <row r="444" spans="1:4">
      <c r="A444" s="16">
        <v>330490</v>
      </c>
      <c r="B444" s="12" t="s">
        <v>337</v>
      </c>
      <c r="C444" s="12">
        <v>2024</v>
      </c>
      <c r="D444" s="17">
        <v>2046</v>
      </c>
    </row>
    <row r="445" spans="1:4">
      <c r="A445" s="16">
        <v>330490</v>
      </c>
      <c r="B445" s="12" t="s">
        <v>337</v>
      </c>
      <c r="C445" s="12">
        <v>2025</v>
      </c>
      <c r="D445" s="17">
        <v>1876</v>
      </c>
    </row>
    <row r="446" spans="1:4">
      <c r="A446" s="16">
        <v>330510</v>
      </c>
      <c r="B446" s="12" t="s">
        <v>338</v>
      </c>
      <c r="C446" s="12">
        <v>2014</v>
      </c>
      <c r="D446" s="17">
        <v>0</v>
      </c>
    </row>
    <row r="447" spans="1:4">
      <c r="A447" s="16">
        <v>330510</v>
      </c>
      <c r="B447" s="12" t="s">
        <v>338</v>
      </c>
      <c r="C447" s="12">
        <v>2015</v>
      </c>
      <c r="D447" s="17">
        <v>9</v>
      </c>
    </row>
    <row r="448" spans="1:4">
      <c r="A448" s="16">
        <v>330510</v>
      </c>
      <c r="B448" s="12" t="s">
        <v>338</v>
      </c>
      <c r="C448" s="12">
        <v>2016</v>
      </c>
      <c r="D448" s="17">
        <v>53</v>
      </c>
    </row>
    <row r="449" spans="1:4">
      <c r="A449" s="16">
        <v>330510</v>
      </c>
      <c r="B449" s="12" t="s">
        <v>338</v>
      </c>
      <c r="C449" s="12">
        <v>2017</v>
      </c>
      <c r="D449" s="17">
        <v>19</v>
      </c>
    </row>
    <row r="450" spans="1:4">
      <c r="A450" s="16">
        <v>330510</v>
      </c>
      <c r="B450" s="12" t="s">
        <v>338</v>
      </c>
      <c r="C450" s="12">
        <v>2018</v>
      </c>
      <c r="D450" s="17">
        <v>34</v>
      </c>
    </row>
    <row r="451" spans="1:4">
      <c r="A451" s="16">
        <v>330510</v>
      </c>
      <c r="B451" s="12" t="s">
        <v>338</v>
      </c>
      <c r="C451" s="12">
        <v>2019</v>
      </c>
      <c r="D451" s="17">
        <v>59</v>
      </c>
    </row>
    <row r="452" spans="1:4">
      <c r="A452" s="16">
        <v>330510</v>
      </c>
      <c r="B452" s="12" t="s">
        <v>338</v>
      </c>
      <c r="C452" s="12">
        <v>2020</v>
      </c>
      <c r="D452" s="17">
        <v>2535</v>
      </c>
    </row>
    <row r="453" spans="1:4">
      <c r="A453" s="16">
        <v>330510</v>
      </c>
      <c r="B453" s="12" t="s">
        <v>338</v>
      </c>
      <c r="C453" s="12">
        <v>2021</v>
      </c>
      <c r="D453" s="17">
        <v>2931</v>
      </c>
    </row>
    <row r="454" spans="1:4">
      <c r="A454" s="16">
        <v>330510</v>
      </c>
      <c r="B454" s="12" t="s">
        <v>338</v>
      </c>
      <c r="C454" s="12">
        <v>2022</v>
      </c>
      <c r="D454" s="17">
        <v>561</v>
      </c>
    </row>
    <row r="455" spans="1:4">
      <c r="A455" s="16">
        <v>330510</v>
      </c>
      <c r="B455" s="12" t="s">
        <v>338</v>
      </c>
      <c r="C455" s="12">
        <v>2023</v>
      </c>
      <c r="D455" s="17">
        <v>210</v>
      </c>
    </row>
    <row r="456" spans="1:4">
      <c r="A456" s="16">
        <v>330510</v>
      </c>
      <c r="B456" s="12" t="s">
        <v>338</v>
      </c>
      <c r="C456" s="12">
        <v>2024</v>
      </c>
      <c r="D456" s="17">
        <v>341</v>
      </c>
    </row>
    <row r="457" spans="1:4">
      <c r="A457" s="16">
        <v>330510</v>
      </c>
      <c r="B457" s="12" t="s">
        <v>338</v>
      </c>
      <c r="C457" s="12">
        <v>2025</v>
      </c>
      <c r="D457" s="17">
        <v>600</v>
      </c>
    </row>
    <row r="458" spans="1:4">
      <c r="A458" s="16">
        <v>350950</v>
      </c>
      <c r="B458" s="12" t="s">
        <v>339</v>
      </c>
      <c r="C458" s="12">
        <v>2014</v>
      </c>
      <c r="D458" s="17">
        <v>0</v>
      </c>
    </row>
    <row r="459" spans="1:4">
      <c r="A459" s="16">
        <v>350950</v>
      </c>
      <c r="B459" s="12" t="s">
        <v>339</v>
      </c>
      <c r="C459" s="12">
        <v>2015</v>
      </c>
      <c r="D459" s="17">
        <v>566</v>
      </c>
    </row>
    <row r="460" spans="1:4">
      <c r="A460" s="16">
        <v>350950</v>
      </c>
      <c r="B460" s="12" t="s">
        <v>339</v>
      </c>
      <c r="C460" s="12">
        <v>2016</v>
      </c>
      <c r="D460" s="17">
        <v>1216</v>
      </c>
    </row>
    <row r="461" spans="1:4">
      <c r="A461" s="16">
        <v>350950</v>
      </c>
      <c r="B461" s="12" t="s">
        <v>339</v>
      </c>
      <c r="C461" s="12">
        <v>2017</v>
      </c>
      <c r="D461" s="17">
        <v>880</v>
      </c>
    </row>
    <row r="462" spans="1:4">
      <c r="A462" s="16">
        <v>350950</v>
      </c>
      <c r="B462" s="12" t="s">
        <v>339</v>
      </c>
      <c r="C462" s="12">
        <v>2018</v>
      </c>
      <c r="D462" s="17">
        <v>1267</v>
      </c>
    </row>
    <row r="463" spans="1:4">
      <c r="A463" s="16">
        <v>350950</v>
      </c>
      <c r="B463" s="12" t="s">
        <v>339</v>
      </c>
      <c r="C463" s="12">
        <v>2019</v>
      </c>
      <c r="D463" s="17">
        <v>1040</v>
      </c>
    </row>
    <row r="464" spans="1:4">
      <c r="A464" s="16">
        <v>350950</v>
      </c>
      <c r="B464" s="12" t="s">
        <v>339</v>
      </c>
      <c r="C464" s="12">
        <v>2020</v>
      </c>
      <c r="D464" s="17">
        <v>10458</v>
      </c>
    </row>
    <row r="465" spans="1:4">
      <c r="A465" s="16">
        <v>350950</v>
      </c>
      <c r="B465" s="12" t="s">
        <v>339</v>
      </c>
      <c r="C465" s="12">
        <v>2021</v>
      </c>
      <c r="D465" s="17">
        <v>17401</v>
      </c>
    </row>
    <row r="466" spans="1:4">
      <c r="A466" s="16">
        <v>350950</v>
      </c>
      <c r="B466" s="12" t="s">
        <v>339</v>
      </c>
      <c r="C466" s="12">
        <v>2022</v>
      </c>
      <c r="D466" s="17">
        <v>9496</v>
      </c>
    </row>
    <row r="467" spans="1:4">
      <c r="A467" s="16">
        <v>350950</v>
      </c>
      <c r="B467" s="12" t="s">
        <v>339</v>
      </c>
      <c r="C467" s="12">
        <v>2023</v>
      </c>
      <c r="D467" s="17">
        <v>5512</v>
      </c>
    </row>
    <row r="468" spans="1:4">
      <c r="A468" s="16">
        <v>350950</v>
      </c>
      <c r="B468" s="12" t="s">
        <v>339</v>
      </c>
      <c r="C468" s="12">
        <v>2024</v>
      </c>
      <c r="D468" s="17">
        <v>5863</v>
      </c>
    </row>
    <row r="469" spans="1:4">
      <c r="A469" s="16">
        <v>350950</v>
      </c>
      <c r="B469" s="12" t="s">
        <v>339</v>
      </c>
      <c r="C469" s="12">
        <v>2025</v>
      </c>
      <c r="D469" s="17">
        <v>5652</v>
      </c>
    </row>
    <row r="470" spans="1:4">
      <c r="A470" s="16">
        <v>351380</v>
      </c>
      <c r="B470" s="12" t="s">
        <v>340</v>
      </c>
      <c r="C470" s="12">
        <v>2014</v>
      </c>
      <c r="D470" s="17">
        <v>0</v>
      </c>
    </row>
    <row r="471" spans="1:4">
      <c r="A471" s="16">
        <v>351380</v>
      </c>
      <c r="B471" s="12" t="s">
        <v>340</v>
      </c>
      <c r="C471" s="12">
        <v>2015</v>
      </c>
      <c r="D471" s="17">
        <v>18</v>
      </c>
    </row>
    <row r="472" spans="1:4">
      <c r="A472" s="16">
        <v>351380</v>
      </c>
      <c r="B472" s="12" t="s">
        <v>340</v>
      </c>
      <c r="C472" s="12">
        <v>2016</v>
      </c>
      <c r="D472" s="17">
        <v>162</v>
      </c>
    </row>
    <row r="473" spans="1:4">
      <c r="A473" s="16">
        <v>351380</v>
      </c>
      <c r="B473" s="12" t="s">
        <v>340</v>
      </c>
      <c r="C473" s="12">
        <v>2017</v>
      </c>
      <c r="D473" s="17">
        <v>53</v>
      </c>
    </row>
    <row r="474" spans="1:4">
      <c r="A474" s="16">
        <v>351380</v>
      </c>
      <c r="B474" s="12" t="s">
        <v>340</v>
      </c>
      <c r="C474" s="12">
        <v>2018</v>
      </c>
      <c r="D474" s="17">
        <v>99</v>
      </c>
    </row>
    <row r="475" spans="1:4">
      <c r="A475" s="16">
        <v>351380</v>
      </c>
      <c r="B475" s="12" t="s">
        <v>340</v>
      </c>
      <c r="C475" s="12">
        <v>2019</v>
      </c>
      <c r="D475" s="17">
        <v>81</v>
      </c>
    </row>
    <row r="476" spans="1:4">
      <c r="A476" s="16">
        <v>351380</v>
      </c>
      <c r="B476" s="12" t="s">
        <v>340</v>
      </c>
      <c r="C476" s="12">
        <v>2020</v>
      </c>
      <c r="D476" s="17">
        <v>4708</v>
      </c>
    </row>
    <row r="477" spans="1:4">
      <c r="A477" s="16">
        <v>351380</v>
      </c>
      <c r="B477" s="12" t="s">
        <v>340</v>
      </c>
      <c r="C477" s="12">
        <v>2021</v>
      </c>
      <c r="D477" s="17">
        <v>4987</v>
      </c>
    </row>
    <row r="478" spans="1:4">
      <c r="A478" s="16">
        <v>351380</v>
      </c>
      <c r="B478" s="12" t="s">
        <v>340</v>
      </c>
      <c r="C478" s="12">
        <v>2022</v>
      </c>
      <c r="D478" s="17">
        <v>1652</v>
      </c>
    </row>
    <row r="479" spans="1:4">
      <c r="A479" s="16">
        <v>351380</v>
      </c>
      <c r="B479" s="12" t="s">
        <v>340</v>
      </c>
      <c r="C479" s="12">
        <v>2023</v>
      </c>
      <c r="D479" s="17">
        <v>402</v>
      </c>
    </row>
    <row r="480" spans="1:4">
      <c r="A480" s="16">
        <v>351380</v>
      </c>
      <c r="B480" s="12" t="s">
        <v>340</v>
      </c>
      <c r="C480" s="12">
        <v>2024</v>
      </c>
      <c r="D480" s="17">
        <v>300</v>
      </c>
    </row>
    <row r="481" spans="1:4">
      <c r="A481" s="16">
        <v>351380</v>
      </c>
      <c r="B481" s="12" t="s">
        <v>340</v>
      </c>
      <c r="C481" s="12">
        <v>2025</v>
      </c>
      <c r="D481" s="17">
        <v>295</v>
      </c>
    </row>
    <row r="482" spans="1:4">
      <c r="A482" s="16">
        <v>351880</v>
      </c>
      <c r="B482" s="12" t="s">
        <v>341</v>
      </c>
      <c r="C482" s="12">
        <v>2014</v>
      </c>
      <c r="D482" s="17">
        <v>0</v>
      </c>
    </row>
    <row r="483" spans="1:4">
      <c r="A483" s="16">
        <v>351880</v>
      </c>
      <c r="B483" s="12" t="s">
        <v>341</v>
      </c>
      <c r="C483" s="12">
        <v>2015</v>
      </c>
      <c r="D483" s="17">
        <v>68</v>
      </c>
    </row>
    <row r="484" spans="1:4">
      <c r="A484" s="16">
        <v>351880</v>
      </c>
      <c r="B484" s="12" t="s">
        <v>341</v>
      </c>
      <c r="C484" s="12">
        <v>2016</v>
      </c>
      <c r="D484" s="17">
        <v>565</v>
      </c>
    </row>
    <row r="485" spans="1:4">
      <c r="A485" s="16">
        <v>351880</v>
      </c>
      <c r="B485" s="12" t="s">
        <v>341</v>
      </c>
      <c r="C485" s="12">
        <v>2017</v>
      </c>
      <c r="D485" s="17">
        <v>152</v>
      </c>
    </row>
    <row r="486" spans="1:4">
      <c r="A486" s="16">
        <v>351880</v>
      </c>
      <c r="B486" s="12" t="s">
        <v>341</v>
      </c>
      <c r="C486" s="12">
        <v>2018</v>
      </c>
      <c r="D486" s="17">
        <v>252</v>
      </c>
    </row>
    <row r="487" spans="1:4">
      <c r="A487" s="16">
        <v>351880</v>
      </c>
      <c r="B487" s="12" t="s">
        <v>341</v>
      </c>
      <c r="C487" s="12">
        <v>2019</v>
      </c>
      <c r="D487" s="17">
        <v>304</v>
      </c>
    </row>
    <row r="488" spans="1:4">
      <c r="A488" s="16">
        <v>351880</v>
      </c>
      <c r="B488" s="12" t="s">
        <v>341</v>
      </c>
      <c r="C488" s="12">
        <v>2020</v>
      </c>
      <c r="D488" s="17">
        <v>13211</v>
      </c>
    </row>
    <row r="489" spans="1:4">
      <c r="A489" s="16">
        <v>351880</v>
      </c>
      <c r="B489" s="12" t="s">
        <v>341</v>
      </c>
      <c r="C489" s="12">
        <v>2021</v>
      </c>
      <c r="D489" s="17">
        <v>17740</v>
      </c>
    </row>
    <row r="490" spans="1:4">
      <c r="A490" s="16">
        <v>351880</v>
      </c>
      <c r="B490" s="12" t="s">
        <v>341</v>
      </c>
      <c r="C490" s="12">
        <v>2022</v>
      </c>
      <c r="D490" s="17">
        <v>8133</v>
      </c>
    </row>
    <row r="491" spans="1:4">
      <c r="A491" s="16">
        <v>351880</v>
      </c>
      <c r="B491" s="12" t="s">
        <v>341</v>
      </c>
      <c r="C491" s="12">
        <v>2023</v>
      </c>
      <c r="D491" s="17">
        <v>3396</v>
      </c>
    </row>
    <row r="492" spans="1:4">
      <c r="A492" s="16">
        <v>351880</v>
      </c>
      <c r="B492" s="12" t="s">
        <v>341</v>
      </c>
      <c r="C492" s="12">
        <v>2024</v>
      </c>
      <c r="D492" s="17">
        <v>2782</v>
      </c>
    </row>
    <row r="493" spans="1:4">
      <c r="A493" s="16">
        <v>351880</v>
      </c>
      <c r="B493" s="12" t="s">
        <v>341</v>
      </c>
      <c r="C493" s="12">
        <v>2025</v>
      </c>
      <c r="D493" s="17">
        <v>2980</v>
      </c>
    </row>
    <row r="494" spans="1:4">
      <c r="A494" s="16">
        <v>352590</v>
      </c>
      <c r="B494" s="12" t="s">
        <v>342</v>
      </c>
      <c r="C494" s="12">
        <v>2014</v>
      </c>
      <c r="D494" s="17">
        <v>0</v>
      </c>
    </row>
    <row r="495" spans="1:4">
      <c r="A495" s="16">
        <v>352590</v>
      </c>
      <c r="B495" s="12" t="s">
        <v>342</v>
      </c>
      <c r="C495" s="12">
        <v>2015</v>
      </c>
      <c r="D495" s="17">
        <v>13</v>
      </c>
    </row>
    <row r="496" spans="1:4">
      <c r="A496" s="16">
        <v>352590</v>
      </c>
      <c r="B496" s="12" t="s">
        <v>342</v>
      </c>
      <c r="C496" s="12">
        <v>2016</v>
      </c>
      <c r="D496" s="17">
        <v>146</v>
      </c>
    </row>
    <row r="497" spans="1:4">
      <c r="A497" s="16">
        <v>352590</v>
      </c>
      <c r="B497" s="12" t="s">
        <v>342</v>
      </c>
      <c r="C497" s="12">
        <v>2017</v>
      </c>
      <c r="D497" s="17">
        <v>40</v>
      </c>
    </row>
    <row r="498" spans="1:4">
      <c r="A498" s="16">
        <v>352590</v>
      </c>
      <c r="B498" s="12" t="s">
        <v>342</v>
      </c>
      <c r="C498" s="12">
        <v>2018</v>
      </c>
      <c r="D498" s="17">
        <v>85</v>
      </c>
    </row>
    <row r="499" spans="1:4">
      <c r="A499" s="16">
        <v>352590</v>
      </c>
      <c r="B499" s="12" t="s">
        <v>342</v>
      </c>
      <c r="C499" s="12">
        <v>2019</v>
      </c>
      <c r="D499" s="17">
        <v>70</v>
      </c>
    </row>
    <row r="500" spans="1:4">
      <c r="A500" s="16">
        <v>352590</v>
      </c>
      <c r="B500" s="12" t="s">
        <v>342</v>
      </c>
      <c r="C500" s="12">
        <v>2020</v>
      </c>
      <c r="D500" s="17">
        <v>2812</v>
      </c>
    </row>
    <row r="501" spans="1:4">
      <c r="A501" s="16">
        <v>352590</v>
      </c>
      <c r="B501" s="12" t="s">
        <v>342</v>
      </c>
      <c r="C501" s="12">
        <v>2021</v>
      </c>
      <c r="D501" s="17">
        <v>5369</v>
      </c>
    </row>
    <row r="502" spans="1:4">
      <c r="A502" s="16">
        <v>352590</v>
      </c>
      <c r="B502" s="12" t="s">
        <v>342</v>
      </c>
      <c r="C502" s="12">
        <v>2022</v>
      </c>
      <c r="D502" s="17">
        <v>1127</v>
      </c>
    </row>
    <row r="503" spans="1:4">
      <c r="A503" s="16">
        <v>352590</v>
      </c>
      <c r="B503" s="12" t="s">
        <v>342</v>
      </c>
      <c r="C503" s="12">
        <v>2023</v>
      </c>
      <c r="D503" s="17">
        <v>291</v>
      </c>
    </row>
    <row r="504" spans="1:4">
      <c r="A504" s="16">
        <v>352590</v>
      </c>
      <c r="B504" s="12" t="s">
        <v>342</v>
      </c>
      <c r="C504" s="12">
        <v>2024</v>
      </c>
      <c r="D504" s="17">
        <v>701</v>
      </c>
    </row>
    <row r="505" spans="1:4">
      <c r="A505" s="16">
        <v>352590</v>
      </c>
      <c r="B505" s="12" t="s">
        <v>342</v>
      </c>
      <c r="C505" s="12">
        <v>2025</v>
      </c>
      <c r="D505" s="17">
        <v>881</v>
      </c>
    </row>
    <row r="506" spans="1:4">
      <c r="A506" s="16">
        <v>352940</v>
      </c>
      <c r="B506" s="12" t="s">
        <v>343</v>
      </c>
      <c r="C506" s="12">
        <v>2014</v>
      </c>
      <c r="D506" s="17">
        <v>0</v>
      </c>
    </row>
    <row r="507" spans="1:4">
      <c r="A507" s="16">
        <v>352940</v>
      </c>
      <c r="B507" s="12" t="s">
        <v>343</v>
      </c>
      <c r="C507" s="12">
        <v>2015</v>
      </c>
      <c r="D507" s="17">
        <v>19</v>
      </c>
    </row>
    <row r="508" spans="1:4">
      <c r="A508" s="16">
        <v>352940</v>
      </c>
      <c r="B508" s="12" t="s">
        <v>343</v>
      </c>
      <c r="C508" s="12">
        <v>2016</v>
      </c>
      <c r="D508" s="17">
        <v>103</v>
      </c>
    </row>
    <row r="509" spans="1:4">
      <c r="A509" s="16">
        <v>352940</v>
      </c>
      <c r="B509" s="12" t="s">
        <v>343</v>
      </c>
      <c r="C509" s="12">
        <v>2017</v>
      </c>
      <c r="D509" s="17">
        <v>33</v>
      </c>
    </row>
    <row r="510" spans="1:4">
      <c r="A510" s="16">
        <v>352940</v>
      </c>
      <c r="B510" s="12" t="s">
        <v>343</v>
      </c>
      <c r="C510" s="12">
        <v>2018</v>
      </c>
      <c r="D510" s="17">
        <v>85</v>
      </c>
    </row>
    <row r="511" spans="1:4">
      <c r="A511" s="16">
        <v>352940</v>
      </c>
      <c r="B511" s="12" t="s">
        <v>343</v>
      </c>
      <c r="C511" s="12">
        <v>2019</v>
      </c>
      <c r="D511" s="17">
        <v>64</v>
      </c>
    </row>
    <row r="512" spans="1:4">
      <c r="A512" s="16">
        <v>352940</v>
      </c>
      <c r="B512" s="12" t="s">
        <v>343</v>
      </c>
      <c r="C512" s="12">
        <v>2020</v>
      </c>
      <c r="D512" s="17">
        <v>3136</v>
      </c>
    </row>
    <row r="513" spans="1:4">
      <c r="A513" s="16">
        <v>352940</v>
      </c>
      <c r="B513" s="12" t="s">
        <v>343</v>
      </c>
      <c r="C513" s="12">
        <v>2021</v>
      </c>
      <c r="D513" s="17">
        <v>4973</v>
      </c>
    </row>
    <row r="514" spans="1:4">
      <c r="A514" s="16">
        <v>352940</v>
      </c>
      <c r="B514" s="12" t="s">
        <v>343</v>
      </c>
      <c r="C514" s="12">
        <v>2022</v>
      </c>
      <c r="D514" s="17">
        <v>1888</v>
      </c>
    </row>
    <row r="515" spans="1:4">
      <c r="A515" s="16">
        <v>352940</v>
      </c>
      <c r="B515" s="12" t="s">
        <v>343</v>
      </c>
      <c r="C515" s="12">
        <v>2023</v>
      </c>
      <c r="D515" s="17">
        <v>1521</v>
      </c>
    </row>
    <row r="516" spans="1:4">
      <c r="A516" s="16">
        <v>352940</v>
      </c>
      <c r="B516" s="12" t="s">
        <v>343</v>
      </c>
      <c r="C516" s="12">
        <v>2024</v>
      </c>
      <c r="D516" s="17">
        <v>1234</v>
      </c>
    </row>
    <row r="517" spans="1:4">
      <c r="A517" s="16">
        <v>352940</v>
      </c>
      <c r="B517" s="12" t="s">
        <v>343</v>
      </c>
      <c r="C517" s="12">
        <v>2025</v>
      </c>
      <c r="D517" s="17">
        <v>1614</v>
      </c>
    </row>
    <row r="518" spans="1:4">
      <c r="A518" s="16">
        <v>353060</v>
      </c>
      <c r="B518" s="12" t="s">
        <v>344</v>
      </c>
      <c r="C518" s="12">
        <v>2014</v>
      </c>
      <c r="D518" s="17">
        <v>0</v>
      </c>
    </row>
    <row r="519" spans="1:4">
      <c r="A519" s="16">
        <v>353060</v>
      </c>
      <c r="B519" s="12" t="s">
        <v>344</v>
      </c>
      <c r="C519" s="12">
        <v>2015</v>
      </c>
      <c r="D519" s="17">
        <v>23</v>
      </c>
    </row>
    <row r="520" spans="1:4">
      <c r="A520" s="16">
        <v>353060</v>
      </c>
      <c r="B520" s="12" t="s">
        <v>344</v>
      </c>
      <c r="C520" s="12">
        <v>2016</v>
      </c>
      <c r="D520" s="17">
        <v>194</v>
      </c>
    </row>
    <row r="521" spans="1:4">
      <c r="A521" s="16">
        <v>353060</v>
      </c>
      <c r="B521" s="12" t="s">
        <v>344</v>
      </c>
      <c r="C521" s="12">
        <v>2017</v>
      </c>
      <c r="D521" s="17">
        <v>78</v>
      </c>
    </row>
    <row r="522" spans="1:4">
      <c r="A522" s="16">
        <v>353060</v>
      </c>
      <c r="B522" s="12" t="s">
        <v>344</v>
      </c>
      <c r="C522" s="12">
        <v>2018</v>
      </c>
      <c r="D522" s="17">
        <v>131</v>
      </c>
    </row>
    <row r="523" spans="1:4">
      <c r="A523" s="16">
        <v>353060</v>
      </c>
      <c r="B523" s="12" t="s">
        <v>344</v>
      </c>
      <c r="C523" s="12">
        <v>2019</v>
      </c>
      <c r="D523" s="17">
        <v>78</v>
      </c>
    </row>
    <row r="524" spans="1:4">
      <c r="A524" s="16">
        <v>353060</v>
      </c>
      <c r="B524" s="12" t="s">
        <v>344</v>
      </c>
      <c r="C524" s="12">
        <v>2020</v>
      </c>
      <c r="D524" s="17">
        <v>3199</v>
      </c>
    </row>
    <row r="525" spans="1:4">
      <c r="A525" s="16">
        <v>353060</v>
      </c>
      <c r="B525" s="12" t="s">
        <v>344</v>
      </c>
      <c r="C525" s="12">
        <v>2021</v>
      </c>
      <c r="D525" s="17">
        <v>4477</v>
      </c>
    </row>
    <row r="526" spans="1:4">
      <c r="A526" s="16">
        <v>353060</v>
      </c>
      <c r="B526" s="12" t="s">
        <v>344</v>
      </c>
      <c r="C526" s="12">
        <v>2022</v>
      </c>
      <c r="D526" s="17">
        <v>898</v>
      </c>
    </row>
    <row r="527" spans="1:4">
      <c r="A527" s="16">
        <v>353060</v>
      </c>
      <c r="B527" s="12" t="s">
        <v>344</v>
      </c>
      <c r="C527" s="12">
        <v>2023</v>
      </c>
      <c r="D527" s="17">
        <v>304</v>
      </c>
    </row>
    <row r="528" spans="1:4">
      <c r="A528" s="16">
        <v>353060</v>
      </c>
      <c r="B528" s="12" t="s">
        <v>344</v>
      </c>
      <c r="C528" s="12">
        <v>2024</v>
      </c>
      <c r="D528" s="17">
        <v>324</v>
      </c>
    </row>
    <row r="529" spans="1:4">
      <c r="A529" s="16">
        <v>353060</v>
      </c>
      <c r="B529" s="12" t="s">
        <v>344</v>
      </c>
      <c r="C529" s="12">
        <v>2025</v>
      </c>
      <c r="D529" s="17">
        <v>518</v>
      </c>
    </row>
    <row r="530" spans="1:4">
      <c r="A530" s="16">
        <v>353440</v>
      </c>
      <c r="B530" s="12" t="s">
        <v>345</v>
      </c>
      <c r="C530" s="12">
        <v>2014</v>
      </c>
      <c r="D530" s="17">
        <v>0</v>
      </c>
    </row>
    <row r="531" spans="1:4">
      <c r="A531" s="16">
        <v>353440</v>
      </c>
      <c r="B531" s="12" t="s">
        <v>345</v>
      </c>
      <c r="C531" s="12">
        <v>2015</v>
      </c>
      <c r="D531" s="17">
        <v>33</v>
      </c>
    </row>
    <row r="532" spans="1:4">
      <c r="A532" s="16">
        <v>353440</v>
      </c>
      <c r="B532" s="12" t="s">
        <v>345</v>
      </c>
      <c r="C532" s="12">
        <v>2016</v>
      </c>
      <c r="D532" s="17">
        <v>186</v>
      </c>
    </row>
    <row r="533" spans="1:4">
      <c r="A533" s="16">
        <v>353440</v>
      </c>
      <c r="B533" s="12" t="s">
        <v>345</v>
      </c>
      <c r="C533" s="12">
        <v>2017</v>
      </c>
      <c r="D533" s="17">
        <v>62</v>
      </c>
    </row>
    <row r="534" spans="1:4">
      <c r="A534" s="16">
        <v>353440</v>
      </c>
      <c r="B534" s="12" t="s">
        <v>345</v>
      </c>
      <c r="C534" s="12">
        <v>2018</v>
      </c>
      <c r="D534" s="17">
        <v>150</v>
      </c>
    </row>
    <row r="535" spans="1:4">
      <c r="A535" s="16">
        <v>353440</v>
      </c>
      <c r="B535" s="12" t="s">
        <v>345</v>
      </c>
      <c r="C535" s="12">
        <v>2019</v>
      </c>
      <c r="D535" s="17">
        <v>141</v>
      </c>
    </row>
    <row r="536" spans="1:4">
      <c r="A536" s="16">
        <v>353440</v>
      </c>
      <c r="B536" s="12" t="s">
        <v>345</v>
      </c>
      <c r="C536" s="12">
        <v>2020</v>
      </c>
      <c r="D536" s="17">
        <v>6213</v>
      </c>
    </row>
    <row r="537" spans="1:4">
      <c r="A537" s="16">
        <v>353440</v>
      </c>
      <c r="B537" s="12" t="s">
        <v>345</v>
      </c>
      <c r="C537" s="12">
        <v>2021</v>
      </c>
      <c r="D537" s="17">
        <v>7927</v>
      </c>
    </row>
    <row r="538" spans="1:4">
      <c r="A538" s="16">
        <v>353440</v>
      </c>
      <c r="B538" s="12" t="s">
        <v>345</v>
      </c>
      <c r="C538" s="12">
        <v>2022</v>
      </c>
      <c r="D538" s="17">
        <v>2562</v>
      </c>
    </row>
    <row r="539" spans="1:4">
      <c r="A539" s="16">
        <v>353440</v>
      </c>
      <c r="B539" s="12" t="s">
        <v>345</v>
      </c>
      <c r="C539" s="12">
        <v>2023</v>
      </c>
      <c r="D539" s="17">
        <v>1387</v>
      </c>
    </row>
    <row r="540" spans="1:4">
      <c r="A540" s="16">
        <v>353440</v>
      </c>
      <c r="B540" s="12" t="s">
        <v>345</v>
      </c>
      <c r="C540" s="12">
        <v>2024</v>
      </c>
      <c r="D540" s="17">
        <v>1188</v>
      </c>
    </row>
    <row r="541" spans="1:4">
      <c r="A541" s="16">
        <v>353440</v>
      </c>
      <c r="B541" s="12" t="s">
        <v>345</v>
      </c>
      <c r="C541" s="12">
        <v>2025</v>
      </c>
      <c r="D541" s="17">
        <v>1301</v>
      </c>
    </row>
    <row r="542" spans="1:4">
      <c r="A542" s="16">
        <v>353870</v>
      </c>
      <c r="B542" s="12" t="s">
        <v>346</v>
      </c>
      <c r="C542" s="12">
        <v>2014</v>
      </c>
      <c r="D542" s="17">
        <v>0</v>
      </c>
    </row>
    <row r="543" spans="1:4">
      <c r="A543" s="16">
        <v>353870</v>
      </c>
      <c r="B543" s="12" t="s">
        <v>346</v>
      </c>
      <c r="C543" s="12">
        <v>2015</v>
      </c>
      <c r="D543" s="17">
        <v>11</v>
      </c>
    </row>
    <row r="544" spans="1:4">
      <c r="A544" s="16">
        <v>353870</v>
      </c>
      <c r="B544" s="12" t="s">
        <v>346</v>
      </c>
      <c r="C544" s="12">
        <v>2016</v>
      </c>
      <c r="D544" s="17">
        <v>152</v>
      </c>
    </row>
    <row r="545" spans="1:4">
      <c r="A545" s="16">
        <v>353870</v>
      </c>
      <c r="B545" s="12" t="s">
        <v>346</v>
      </c>
      <c r="C545" s="12">
        <v>2017</v>
      </c>
      <c r="D545" s="17">
        <v>44</v>
      </c>
    </row>
    <row r="546" spans="1:4">
      <c r="A546" s="16">
        <v>353870</v>
      </c>
      <c r="B546" s="12" t="s">
        <v>346</v>
      </c>
      <c r="C546" s="12">
        <v>2018</v>
      </c>
      <c r="D546" s="17">
        <v>81</v>
      </c>
    </row>
    <row r="547" spans="1:4">
      <c r="A547" s="16">
        <v>353870</v>
      </c>
      <c r="B547" s="12" t="s">
        <v>346</v>
      </c>
      <c r="C547" s="12">
        <v>2019</v>
      </c>
      <c r="D547" s="17">
        <v>37</v>
      </c>
    </row>
    <row r="548" spans="1:4">
      <c r="A548" s="16">
        <v>353870</v>
      </c>
      <c r="B548" s="12" t="s">
        <v>346</v>
      </c>
      <c r="C548" s="12">
        <v>2020</v>
      </c>
      <c r="D548" s="17">
        <v>3507</v>
      </c>
    </row>
    <row r="549" spans="1:4">
      <c r="A549" s="16">
        <v>353870</v>
      </c>
      <c r="B549" s="12" t="s">
        <v>346</v>
      </c>
      <c r="C549" s="12">
        <v>2021</v>
      </c>
      <c r="D549" s="17">
        <v>6074</v>
      </c>
    </row>
    <row r="550" spans="1:4">
      <c r="A550" s="16">
        <v>353870</v>
      </c>
      <c r="B550" s="12" t="s">
        <v>346</v>
      </c>
      <c r="C550" s="12">
        <v>2022</v>
      </c>
      <c r="D550" s="17">
        <v>3449</v>
      </c>
    </row>
    <row r="551" spans="1:4">
      <c r="A551" s="16">
        <v>353870</v>
      </c>
      <c r="B551" s="12" t="s">
        <v>346</v>
      </c>
      <c r="C551" s="12">
        <v>2023</v>
      </c>
      <c r="D551" s="17">
        <v>1646</v>
      </c>
    </row>
    <row r="552" spans="1:4">
      <c r="A552" s="16">
        <v>353870</v>
      </c>
      <c r="B552" s="12" t="s">
        <v>346</v>
      </c>
      <c r="C552" s="12">
        <v>2024</v>
      </c>
      <c r="D552" s="17">
        <v>652</v>
      </c>
    </row>
    <row r="553" spans="1:4">
      <c r="A553" s="16">
        <v>353870</v>
      </c>
      <c r="B553" s="12" t="s">
        <v>346</v>
      </c>
      <c r="C553" s="12">
        <v>2025</v>
      </c>
      <c r="D553" s="17">
        <v>590</v>
      </c>
    </row>
    <row r="554" spans="1:4">
      <c r="A554" s="16">
        <v>354340</v>
      </c>
      <c r="B554" s="12" t="s">
        <v>347</v>
      </c>
      <c r="C554" s="12">
        <v>2014</v>
      </c>
      <c r="D554" s="17">
        <v>0</v>
      </c>
    </row>
    <row r="555" spans="1:4">
      <c r="A555" s="16">
        <v>354340</v>
      </c>
      <c r="B555" s="12" t="s">
        <v>347</v>
      </c>
      <c r="C555" s="12">
        <v>2015</v>
      </c>
      <c r="D555" s="17">
        <v>72</v>
      </c>
    </row>
    <row r="556" spans="1:4">
      <c r="A556" s="16">
        <v>354340</v>
      </c>
      <c r="B556" s="12" t="s">
        <v>347</v>
      </c>
      <c r="C556" s="12">
        <v>2016</v>
      </c>
      <c r="D556" s="17">
        <v>473</v>
      </c>
    </row>
    <row r="557" spans="1:4">
      <c r="A557" s="16">
        <v>354340</v>
      </c>
      <c r="B557" s="12" t="s">
        <v>347</v>
      </c>
      <c r="C557" s="12">
        <v>2017</v>
      </c>
      <c r="D557" s="17">
        <v>212</v>
      </c>
    </row>
    <row r="558" spans="1:4">
      <c r="A558" s="16">
        <v>354340</v>
      </c>
      <c r="B558" s="12" t="s">
        <v>347</v>
      </c>
      <c r="C558" s="12">
        <v>2018</v>
      </c>
      <c r="D558" s="17">
        <v>347</v>
      </c>
    </row>
    <row r="559" spans="1:4">
      <c r="A559" s="16">
        <v>354340</v>
      </c>
      <c r="B559" s="12" t="s">
        <v>347</v>
      </c>
      <c r="C559" s="12">
        <v>2019</v>
      </c>
      <c r="D559" s="17">
        <v>289</v>
      </c>
    </row>
    <row r="560" spans="1:4">
      <c r="A560" s="16">
        <v>354340</v>
      </c>
      <c r="B560" s="12" t="s">
        <v>347</v>
      </c>
      <c r="C560" s="12">
        <v>2020</v>
      </c>
      <c r="D560" s="17">
        <v>5119</v>
      </c>
    </row>
    <row r="561" spans="1:4">
      <c r="A561" s="16">
        <v>354340</v>
      </c>
      <c r="B561" s="12" t="s">
        <v>347</v>
      </c>
      <c r="C561" s="12">
        <v>2021</v>
      </c>
      <c r="D561" s="17">
        <v>7440</v>
      </c>
    </row>
    <row r="562" spans="1:4">
      <c r="A562" s="16">
        <v>354340</v>
      </c>
      <c r="B562" s="12" t="s">
        <v>347</v>
      </c>
      <c r="C562" s="12">
        <v>2022</v>
      </c>
      <c r="D562" s="17">
        <v>3145</v>
      </c>
    </row>
    <row r="563" spans="1:4">
      <c r="A563" s="16">
        <v>354340</v>
      </c>
      <c r="B563" s="12" t="s">
        <v>347</v>
      </c>
      <c r="C563" s="12">
        <v>2023</v>
      </c>
      <c r="D563" s="17">
        <v>1887</v>
      </c>
    </row>
    <row r="564" spans="1:4">
      <c r="A564" s="16">
        <v>354340</v>
      </c>
      <c r="B564" s="12" t="s">
        <v>347</v>
      </c>
      <c r="C564" s="12">
        <v>2024</v>
      </c>
      <c r="D564" s="17">
        <v>1957</v>
      </c>
    </row>
    <row r="565" spans="1:4">
      <c r="A565" s="16">
        <v>354340</v>
      </c>
      <c r="B565" s="12" t="s">
        <v>347</v>
      </c>
      <c r="C565" s="12">
        <v>2025</v>
      </c>
      <c r="D565" s="17">
        <v>1371</v>
      </c>
    </row>
    <row r="566" spans="1:4">
      <c r="A566" s="16">
        <v>354780</v>
      </c>
      <c r="B566" s="12" t="s">
        <v>348</v>
      </c>
      <c r="C566" s="12">
        <v>2014</v>
      </c>
      <c r="D566" s="17">
        <v>0</v>
      </c>
    </row>
    <row r="567" spans="1:4">
      <c r="A567" s="16">
        <v>354780</v>
      </c>
      <c r="B567" s="12" t="s">
        <v>348</v>
      </c>
      <c r="C567" s="12">
        <v>2015</v>
      </c>
      <c r="D567" s="17">
        <v>41</v>
      </c>
    </row>
    <row r="568" spans="1:4">
      <c r="A568" s="16">
        <v>354780</v>
      </c>
      <c r="B568" s="12" t="s">
        <v>348</v>
      </c>
      <c r="C568" s="12">
        <v>2016</v>
      </c>
      <c r="D568" s="17">
        <v>284</v>
      </c>
    </row>
    <row r="569" spans="1:4">
      <c r="A569" s="16">
        <v>354780</v>
      </c>
      <c r="B569" s="12" t="s">
        <v>348</v>
      </c>
      <c r="C569" s="12">
        <v>2017</v>
      </c>
      <c r="D569" s="17">
        <v>82</v>
      </c>
    </row>
    <row r="570" spans="1:4">
      <c r="A570" s="16">
        <v>354780</v>
      </c>
      <c r="B570" s="12" t="s">
        <v>348</v>
      </c>
      <c r="C570" s="12">
        <v>2018</v>
      </c>
      <c r="D570" s="17">
        <v>132</v>
      </c>
    </row>
    <row r="571" spans="1:4">
      <c r="A571" s="16">
        <v>354780</v>
      </c>
      <c r="B571" s="12" t="s">
        <v>348</v>
      </c>
      <c r="C571" s="12">
        <v>2019</v>
      </c>
      <c r="D571" s="17">
        <v>124</v>
      </c>
    </row>
    <row r="572" spans="1:4">
      <c r="A572" s="16">
        <v>354780</v>
      </c>
      <c r="B572" s="12" t="s">
        <v>348</v>
      </c>
      <c r="C572" s="12">
        <v>2020</v>
      </c>
      <c r="D572" s="17">
        <v>4665</v>
      </c>
    </row>
    <row r="573" spans="1:4">
      <c r="A573" s="16">
        <v>354780</v>
      </c>
      <c r="B573" s="12" t="s">
        <v>348</v>
      </c>
      <c r="C573" s="12">
        <v>2021</v>
      </c>
      <c r="D573" s="17">
        <v>7377</v>
      </c>
    </row>
    <row r="574" spans="1:4">
      <c r="A574" s="16">
        <v>354780</v>
      </c>
      <c r="B574" s="12" t="s">
        <v>348</v>
      </c>
      <c r="C574" s="12">
        <v>2022</v>
      </c>
      <c r="D574" s="17">
        <v>1981</v>
      </c>
    </row>
    <row r="575" spans="1:4">
      <c r="A575" s="16">
        <v>354780</v>
      </c>
      <c r="B575" s="12" t="s">
        <v>348</v>
      </c>
      <c r="C575" s="12">
        <v>2023</v>
      </c>
      <c r="D575" s="17">
        <v>803</v>
      </c>
    </row>
    <row r="576" spans="1:4">
      <c r="A576" s="16">
        <v>354780</v>
      </c>
      <c r="B576" s="12" t="s">
        <v>348</v>
      </c>
      <c r="C576" s="12">
        <v>2024</v>
      </c>
      <c r="D576" s="17">
        <v>686</v>
      </c>
    </row>
    <row r="577" spans="1:4">
      <c r="A577" s="16">
        <v>354780</v>
      </c>
      <c r="B577" s="12" t="s">
        <v>348</v>
      </c>
      <c r="C577" s="12">
        <v>2025</v>
      </c>
      <c r="D577" s="17">
        <v>539</v>
      </c>
    </row>
    <row r="578" spans="1:4">
      <c r="A578" s="16">
        <v>354850</v>
      </c>
      <c r="B578" s="12" t="s">
        <v>349</v>
      </c>
      <c r="C578" s="12">
        <v>2014</v>
      </c>
      <c r="D578" s="17">
        <v>0</v>
      </c>
    </row>
    <row r="579" spans="1:4">
      <c r="A579" s="16">
        <v>354850</v>
      </c>
      <c r="B579" s="12" t="s">
        <v>349</v>
      </c>
      <c r="C579" s="12">
        <v>2015</v>
      </c>
      <c r="D579" s="17">
        <v>39</v>
      </c>
    </row>
    <row r="580" spans="1:4">
      <c r="A580" s="16">
        <v>354850</v>
      </c>
      <c r="B580" s="12" t="s">
        <v>349</v>
      </c>
      <c r="C580" s="12">
        <v>2016</v>
      </c>
      <c r="D580" s="17">
        <v>135</v>
      </c>
    </row>
    <row r="581" spans="1:4">
      <c r="A581" s="16">
        <v>354850</v>
      </c>
      <c r="B581" s="12" t="s">
        <v>349</v>
      </c>
      <c r="C581" s="12">
        <v>2017</v>
      </c>
      <c r="D581" s="17">
        <v>45</v>
      </c>
    </row>
    <row r="582" spans="1:4">
      <c r="A582" s="16">
        <v>354850</v>
      </c>
      <c r="B582" s="12" t="s">
        <v>349</v>
      </c>
      <c r="C582" s="12">
        <v>2018</v>
      </c>
      <c r="D582" s="17">
        <v>59</v>
      </c>
    </row>
    <row r="583" spans="1:4">
      <c r="A583" s="16">
        <v>354850</v>
      </c>
      <c r="B583" s="12" t="s">
        <v>349</v>
      </c>
      <c r="C583" s="12">
        <v>2019</v>
      </c>
      <c r="D583" s="17">
        <v>55</v>
      </c>
    </row>
    <row r="584" spans="1:4">
      <c r="A584" s="16">
        <v>354850</v>
      </c>
      <c r="B584" s="12" t="s">
        <v>349</v>
      </c>
      <c r="C584" s="12">
        <v>2020</v>
      </c>
      <c r="D584" s="17">
        <v>5220</v>
      </c>
    </row>
    <row r="585" spans="1:4">
      <c r="A585" s="16">
        <v>354850</v>
      </c>
      <c r="B585" s="12" t="s">
        <v>349</v>
      </c>
      <c r="C585" s="12">
        <v>2021</v>
      </c>
      <c r="D585" s="17">
        <v>4132</v>
      </c>
    </row>
    <row r="586" spans="1:4">
      <c r="A586" s="16">
        <v>354850</v>
      </c>
      <c r="B586" s="12" t="s">
        <v>349</v>
      </c>
      <c r="C586" s="12">
        <v>2022</v>
      </c>
      <c r="D586" s="17">
        <v>1133</v>
      </c>
    </row>
    <row r="587" spans="1:4">
      <c r="A587" s="16">
        <v>354850</v>
      </c>
      <c r="B587" s="12" t="s">
        <v>349</v>
      </c>
      <c r="C587" s="12">
        <v>2023</v>
      </c>
      <c r="D587" s="17">
        <v>1080</v>
      </c>
    </row>
    <row r="588" spans="1:4">
      <c r="A588" s="16">
        <v>354850</v>
      </c>
      <c r="B588" s="12" t="s">
        <v>349</v>
      </c>
      <c r="C588" s="12">
        <v>2024</v>
      </c>
      <c r="D588" s="17">
        <v>844</v>
      </c>
    </row>
    <row r="589" spans="1:4">
      <c r="A589" s="16">
        <v>354850</v>
      </c>
      <c r="B589" s="12" t="s">
        <v>349</v>
      </c>
      <c r="C589" s="12">
        <v>2025</v>
      </c>
      <c r="D589" s="17">
        <v>935</v>
      </c>
    </row>
    <row r="590" spans="1:4">
      <c r="A590" s="16">
        <v>354870</v>
      </c>
      <c r="B590" s="12" t="s">
        <v>350</v>
      </c>
      <c r="C590" s="12">
        <v>2014</v>
      </c>
      <c r="D590" s="17">
        <v>0</v>
      </c>
    </row>
    <row r="591" spans="1:4">
      <c r="A591" s="16">
        <v>354870</v>
      </c>
      <c r="B591" s="12" t="s">
        <v>350</v>
      </c>
      <c r="C591" s="12">
        <v>2015</v>
      </c>
      <c r="D591" s="17">
        <v>50</v>
      </c>
    </row>
    <row r="592" spans="1:4">
      <c r="A592" s="16">
        <v>354870</v>
      </c>
      <c r="B592" s="12" t="s">
        <v>350</v>
      </c>
      <c r="C592" s="12">
        <v>2016</v>
      </c>
      <c r="D592" s="17">
        <v>363</v>
      </c>
    </row>
    <row r="593" spans="1:4">
      <c r="A593" s="16">
        <v>354870</v>
      </c>
      <c r="B593" s="12" t="s">
        <v>350</v>
      </c>
      <c r="C593" s="12">
        <v>2017</v>
      </c>
      <c r="D593" s="17">
        <v>116</v>
      </c>
    </row>
    <row r="594" spans="1:4">
      <c r="A594" s="16">
        <v>354870</v>
      </c>
      <c r="B594" s="12" t="s">
        <v>350</v>
      </c>
      <c r="C594" s="12">
        <v>2018</v>
      </c>
      <c r="D594" s="17">
        <v>292</v>
      </c>
    </row>
    <row r="595" spans="1:4">
      <c r="A595" s="16">
        <v>354870</v>
      </c>
      <c r="B595" s="12" t="s">
        <v>350</v>
      </c>
      <c r="C595" s="12">
        <v>2019</v>
      </c>
      <c r="D595" s="17">
        <v>214</v>
      </c>
    </row>
    <row r="596" spans="1:4">
      <c r="A596" s="16">
        <v>354870</v>
      </c>
      <c r="B596" s="12" t="s">
        <v>350</v>
      </c>
      <c r="C596" s="12">
        <v>2020</v>
      </c>
      <c r="D596" s="17">
        <v>8960</v>
      </c>
    </row>
    <row r="597" spans="1:4">
      <c r="A597" s="16">
        <v>354870</v>
      </c>
      <c r="B597" s="12" t="s">
        <v>350</v>
      </c>
      <c r="C597" s="12">
        <v>2021</v>
      </c>
      <c r="D597" s="17">
        <v>9937</v>
      </c>
    </row>
    <row r="598" spans="1:4">
      <c r="A598" s="16">
        <v>354870</v>
      </c>
      <c r="B598" s="12" t="s">
        <v>350</v>
      </c>
      <c r="C598" s="12">
        <v>2022</v>
      </c>
      <c r="D598" s="17">
        <v>2587</v>
      </c>
    </row>
    <row r="599" spans="1:4">
      <c r="A599" s="16">
        <v>354870</v>
      </c>
      <c r="B599" s="12" t="s">
        <v>350</v>
      </c>
      <c r="C599" s="12">
        <v>2023</v>
      </c>
      <c r="D599" s="17">
        <v>1107</v>
      </c>
    </row>
    <row r="600" spans="1:4">
      <c r="A600" s="16">
        <v>354870</v>
      </c>
      <c r="B600" s="12" t="s">
        <v>350</v>
      </c>
      <c r="C600" s="12">
        <v>2024</v>
      </c>
      <c r="D600" s="17">
        <v>967</v>
      </c>
    </row>
    <row r="601" spans="1:4">
      <c r="A601" s="16">
        <v>354870</v>
      </c>
      <c r="B601" s="12" t="s">
        <v>350</v>
      </c>
      <c r="C601" s="12">
        <v>2025</v>
      </c>
      <c r="D601" s="17">
        <v>907</v>
      </c>
    </row>
    <row r="602" spans="1:4">
      <c r="A602" s="16">
        <v>354980</v>
      </c>
      <c r="B602" s="12" t="s">
        <v>351</v>
      </c>
      <c r="C602" s="12">
        <v>2014</v>
      </c>
      <c r="D602" s="17">
        <v>0</v>
      </c>
    </row>
    <row r="603" spans="1:4">
      <c r="A603" s="16">
        <v>354980</v>
      </c>
      <c r="B603" s="12" t="s">
        <v>351</v>
      </c>
      <c r="C603" s="12">
        <v>2015</v>
      </c>
      <c r="D603" s="17">
        <v>138</v>
      </c>
    </row>
    <row r="604" spans="1:4">
      <c r="A604" s="16">
        <v>354980</v>
      </c>
      <c r="B604" s="12" t="s">
        <v>351</v>
      </c>
      <c r="C604" s="12">
        <v>2016</v>
      </c>
      <c r="D604" s="17">
        <v>542</v>
      </c>
    </row>
    <row r="605" spans="1:4">
      <c r="A605" s="16">
        <v>354980</v>
      </c>
      <c r="B605" s="12" t="s">
        <v>351</v>
      </c>
      <c r="C605" s="12">
        <v>2017</v>
      </c>
      <c r="D605" s="17">
        <v>197</v>
      </c>
    </row>
    <row r="606" spans="1:4">
      <c r="A606" s="16">
        <v>354980</v>
      </c>
      <c r="B606" s="12" t="s">
        <v>351</v>
      </c>
      <c r="C606" s="12">
        <v>2018</v>
      </c>
      <c r="D606" s="17">
        <v>470</v>
      </c>
    </row>
    <row r="607" spans="1:4">
      <c r="A607" s="16">
        <v>354980</v>
      </c>
      <c r="B607" s="12" t="s">
        <v>351</v>
      </c>
      <c r="C607" s="12">
        <v>2019</v>
      </c>
      <c r="D607" s="17">
        <v>272</v>
      </c>
    </row>
    <row r="608" spans="1:4">
      <c r="A608" s="16">
        <v>354980</v>
      </c>
      <c r="B608" s="12" t="s">
        <v>351</v>
      </c>
      <c r="C608" s="12">
        <v>2020</v>
      </c>
      <c r="D608" s="17">
        <v>6428</v>
      </c>
    </row>
    <row r="609" spans="1:4">
      <c r="A609" s="16">
        <v>354980</v>
      </c>
      <c r="B609" s="12" t="s">
        <v>351</v>
      </c>
      <c r="C609" s="12">
        <v>2021</v>
      </c>
      <c r="D609" s="17">
        <v>9379</v>
      </c>
    </row>
    <row r="610" spans="1:4">
      <c r="A610" s="16">
        <v>354980</v>
      </c>
      <c r="B610" s="12" t="s">
        <v>351</v>
      </c>
      <c r="C610" s="12">
        <v>2022</v>
      </c>
      <c r="D610" s="17">
        <v>3644</v>
      </c>
    </row>
    <row r="611" spans="1:4">
      <c r="A611" s="16">
        <v>354980</v>
      </c>
      <c r="B611" s="12" t="s">
        <v>351</v>
      </c>
      <c r="C611" s="12">
        <v>2023</v>
      </c>
      <c r="D611" s="17">
        <v>1953</v>
      </c>
    </row>
    <row r="612" spans="1:4">
      <c r="A612" s="16">
        <v>354980</v>
      </c>
      <c r="B612" s="12" t="s">
        <v>351</v>
      </c>
      <c r="C612" s="12">
        <v>2024</v>
      </c>
      <c r="D612" s="17">
        <v>2178</v>
      </c>
    </row>
    <row r="613" spans="1:4">
      <c r="A613" s="16">
        <v>354980</v>
      </c>
      <c r="B613" s="12" t="s">
        <v>351</v>
      </c>
      <c r="C613" s="12">
        <v>2025</v>
      </c>
      <c r="D613" s="17">
        <v>2728</v>
      </c>
    </row>
    <row r="614" spans="1:4">
      <c r="A614" s="16">
        <v>354990</v>
      </c>
      <c r="B614" s="12" t="s">
        <v>352</v>
      </c>
      <c r="C614" s="12">
        <v>2014</v>
      </c>
      <c r="D614" s="17">
        <v>0</v>
      </c>
    </row>
    <row r="615" spans="1:4">
      <c r="A615" s="16">
        <v>354990</v>
      </c>
      <c r="B615" s="12" t="s">
        <v>352</v>
      </c>
      <c r="C615" s="12">
        <v>2015</v>
      </c>
      <c r="D615" s="17">
        <v>113</v>
      </c>
    </row>
    <row r="616" spans="1:4">
      <c r="A616" s="16">
        <v>354990</v>
      </c>
      <c r="B616" s="12" t="s">
        <v>352</v>
      </c>
      <c r="C616" s="12">
        <v>2016</v>
      </c>
      <c r="D616" s="17">
        <v>278</v>
      </c>
    </row>
    <row r="617" spans="1:4">
      <c r="A617" s="16">
        <v>354990</v>
      </c>
      <c r="B617" s="12" t="s">
        <v>352</v>
      </c>
      <c r="C617" s="12">
        <v>2017</v>
      </c>
      <c r="D617" s="17">
        <v>193</v>
      </c>
    </row>
    <row r="618" spans="1:4">
      <c r="A618" s="16">
        <v>354990</v>
      </c>
      <c r="B618" s="12" t="s">
        <v>352</v>
      </c>
      <c r="C618" s="12">
        <v>2018</v>
      </c>
      <c r="D618" s="17">
        <v>448</v>
      </c>
    </row>
    <row r="619" spans="1:4">
      <c r="A619" s="16">
        <v>354990</v>
      </c>
      <c r="B619" s="12" t="s">
        <v>352</v>
      </c>
      <c r="C619" s="12">
        <v>2019</v>
      </c>
      <c r="D619" s="17">
        <v>503</v>
      </c>
    </row>
    <row r="620" spans="1:4">
      <c r="A620" s="16">
        <v>354990</v>
      </c>
      <c r="B620" s="12" t="s">
        <v>352</v>
      </c>
      <c r="C620" s="12">
        <v>2020</v>
      </c>
      <c r="D620" s="17">
        <v>4856</v>
      </c>
    </row>
    <row r="621" spans="1:4">
      <c r="A621" s="16">
        <v>354990</v>
      </c>
      <c r="B621" s="12" t="s">
        <v>352</v>
      </c>
      <c r="C621" s="12">
        <v>2021</v>
      </c>
      <c r="D621" s="17">
        <v>7631</v>
      </c>
    </row>
    <row r="622" spans="1:4">
      <c r="A622" s="16">
        <v>354990</v>
      </c>
      <c r="B622" s="12" t="s">
        <v>352</v>
      </c>
      <c r="C622" s="12">
        <v>2022</v>
      </c>
      <c r="D622" s="17">
        <v>2907</v>
      </c>
    </row>
    <row r="623" spans="1:4">
      <c r="A623" s="16">
        <v>354990</v>
      </c>
      <c r="B623" s="12" t="s">
        <v>352</v>
      </c>
      <c r="C623" s="12">
        <v>2023</v>
      </c>
      <c r="D623" s="17">
        <v>1037</v>
      </c>
    </row>
    <row r="624" spans="1:4">
      <c r="A624" s="16">
        <v>354990</v>
      </c>
      <c r="B624" s="12" t="s">
        <v>352</v>
      </c>
      <c r="C624" s="12">
        <v>2024</v>
      </c>
      <c r="D624" s="17">
        <v>702</v>
      </c>
    </row>
    <row r="625" spans="1:4">
      <c r="A625" s="16">
        <v>354990</v>
      </c>
      <c r="B625" s="12" t="s">
        <v>352</v>
      </c>
      <c r="C625" s="12">
        <v>2025</v>
      </c>
      <c r="D625" s="17">
        <v>1062</v>
      </c>
    </row>
    <row r="626" spans="1:4">
      <c r="A626" s="16">
        <v>355030</v>
      </c>
      <c r="B626" s="12" t="s">
        <v>353</v>
      </c>
      <c r="C626" s="12">
        <v>2014</v>
      </c>
      <c r="D626" s="17">
        <v>0</v>
      </c>
    </row>
    <row r="627" spans="1:4">
      <c r="A627" s="16">
        <v>355030</v>
      </c>
      <c r="B627" s="12" t="s">
        <v>353</v>
      </c>
      <c r="C627" s="12">
        <v>2015</v>
      </c>
      <c r="D627" s="17">
        <v>976</v>
      </c>
    </row>
    <row r="628" spans="1:4">
      <c r="A628" s="16">
        <v>355030</v>
      </c>
      <c r="B628" s="12" t="s">
        <v>353</v>
      </c>
      <c r="C628" s="12">
        <v>2016</v>
      </c>
      <c r="D628" s="17">
        <v>5768</v>
      </c>
    </row>
    <row r="629" spans="1:4">
      <c r="A629" s="16">
        <v>355030</v>
      </c>
      <c r="B629" s="12" t="s">
        <v>353</v>
      </c>
      <c r="C629" s="12">
        <v>2017</v>
      </c>
      <c r="D629" s="17">
        <v>2343</v>
      </c>
    </row>
    <row r="630" spans="1:4">
      <c r="A630" s="16">
        <v>355030</v>
      </c>
      <c r="B630" s="12" t="s">
        <v>353</v>
      </c>
      <c r="C630" s="12">
        <v>2018</v>
      </c>
      <c r="D630" s="17">
        <v>3739</v>
      </c>
    </row>
    <row r="631" spans="1:4">
      <c r="A631" s="16">
        <v>355030</v>
      </c>
      <c r="B631" s="12" t="s">
        <v>353</v>
      </c>
      <c r="C631" s="12">
        <v>2019</v>
      </c>
      <c r="D631" s="17">
        <v>3213</v>
      </c>
    </row>
    <row r="632" spans="1:4">
      <c r="A632" s="16">
        <v>355030</v>
      </c>
      <c r="B632" s="12" t="s">
        <v>353</v>
      </c>
      <c r="C632" s="12">
        <v>2020</v>
      </c>
      <c r="D632" s="17">
        <v>120189</v>
      </c>
    </row>
    <row r="633" spans="1:4">
      <c r="A633" s="16">
        <v>355030</v>
      </c>
      <c r="B633" s="12" t="s">
        <v>353</v>
      </c>
      <c r="C633" s="12">
        <v>2021</v>
      </c>
      <c r="D633" s="17">
        <v>132100</v>
      </c>
    </row>
    <row r="634" spans="1:4">
      <c r="A634" s="16">
        <v>355030</v>
      </c>
      <c r="B634" s="12" t="s">
        <v>353</v>
      </c>
      <c r="C634" s="12">
        <v>2022</v>
      </c>
      <c r="D634" s="17">
        <v>44275</v>
      </c>
    </row>
    <row r="635" spans="1:4">
      <c r="A635" s="16">
        <v>355030</v>
      </c>
      <c r="B635" s="12" t="s">
        <v>353</v>
      </c>
      <c r="C635" s="12">
        <v>2023</v>
      </c>
      <c r="D635" s="17">
        <v>20794</v>
      </c>
    </row>
    <row r="636" spans="1:4">
      <c r="A636" s="16">
        <v>355030</v>
      </c>
      <c r="B636" s="12" t="s">
        <v>353</v>
      </c>
      <c r="C636" s="12">
        <v>2024</v>
      </c>
      <c r="D636" s="17">
        <v>17442</v>
      </c>
    </row>
    <row r="637" spans="1:4">
      <c r="A637" s="16">
        <v>355030</v>
      </c>
      <c r="B637" s="12" t="s">
        <v>353</v>
      </c>
      <c r="C637" s="12">
        <v>2025</v>
      </c>
      <c r="D637" s="17">
        <v>17239</v>
      </c>
    </row>
    <row r="638" spans="1:4">
      <c r="A638" s="16">
        <v>355220</v>
      </c>
      <c r="B638" s="12" t="s">
        <v>354</v>
      </c>
      <c r="C638" s="12">
        <v>2014</v>
      </c>
      <c r="D638" s="17">
        <v>0</v>
      </c>
    </row>
    <row r="639" spans="1:4">
      <c r="A639" s="16">
        <v>355220</v>
      </c>
      <c r="B639" s="12" t="s">
        <v>354</v>
      </c>
      <c r="C639" s="12">
        <v>2015</v>
      </c>
      <c r="D639" s="17">
        <v>49</v>
      </c>
    </row>
    <row r="640" spans="1:4">
      <c r="A640" s="16">
        <v>355220</v>
      </c>
      <c r="B640" s="12" t="s">
        <v>354</v>
      </c>
      <c r="C640" s="12">
        <v>2016</v>
      </c>
      <c r="D640" s="17">
        <v>231</v>
      </c>
    </row>
    <row r="641" spans="1:4">
      <c r="A641" s="16">
        <v>355220</v>
      </c>
      <c r="B641" s="12" t="s">
        <v>354</v>
      </c>
      <c r="C641" s="12">
        <v>2017</v>
      </c>
      <c r="D641" s="17">
        <v>72</v>
      </c>
    </row>
    <row r="642" spans="1:4">
      <c r="A642" s="16">
        <v>355220</v>
      </c>
      <c r="B642" s="12" t="s">
        <v>354</v>
      </c>
      <c r="C642" s="12">
        <v>2018</v>
      </c>
      <c r="D642" s="17">
        <v>160</v>
      </c>
    </row>
    <row r="643" spans="1:4">
      <c r="A643" s="16">
        <v>355220</v>
      </c>
      <c r="B643" s="12" t="s">
        <v>354</v>
      </c>
      <c r="C643" s="12">
        <v>2019</v>
      </c>
      <c r="D643" s="17">
        <v>127</v>
      </c>
    </row>
    <row r="644" spans="1:4">
      <c r="A644" s="16">
        <v>355220</v>
      </c>
      <c r="B644" s="12" t="s">
        <v>354</v>
      </c>
      <c r="C644" s="12">
        <v>2020</v>
      </c>
      <c r="D644" s="17">
        <v>4141</v>
      </c>
    </row>
    <row r="645" spans="1:4">
      <c r="A645" s="16">
        <v>355220</v>
      </c>
      <c r="B645" s="12" t="s">
        <v>354</v>
      </c>
      <c r="C645" s="12">
        <v>2021</v>
      </c>
      <c r="D645" s="17">
        <v>9485</v>
      </c>
    </row>
    <row r="646" spans="1:4">
      <c r="A646" s="16">
        <v>355220</v>
      </c>
      <c r="B646" s="12" t="s">
        <v>354</v>
      </c>
      <c r="C646" s="12">
        <v>2022</v>
      </c>
      <c r="D646" s="17">
        <v>3100</v>
      </c>
    </row>
    <row r="647" spans="1:4">
      <c r="A647" s="16">
        <v>355220</v>
      </c>
      <c r="B647" s="12" t="s">
        <v>354</v>
      </c>
      <c r="C647" s="12">
        <v>2023</v>
      </c>
      <c r="D647" s="17">
        <v>1256</v>
      </c>
    </row>
    <row r="648" spans="1:4">
      <c r="A648" s="16">
        <v>355220</v>
      </c>
      <c r="B648" s="12" t="s">
        <v>354</v>
      </c>
      <c r="C648" s="12">
        <v>2024</v>
      </c>
      <c r="D648" s="17">
        <v>1093</v>
      </c>
    </row>
    <row r="649" spans="1:4">
      <c r="A649" s="16">
        <v>355220</v>
      </c>
      <c r="B649" s="12" t="s">
        <v>354</v>
      </c>
      <c r="C649" s="12">
        <v>2025</v>
      </c>
      <c r="D649" s="17">
        <v>1522</v>
      </c>
    </row>
    <row r="650" spans="1:4">
      <c r="A650" s="16">
        <v>410690</v>
      </c>
      <c r="B650" s="12" t="s">
        <v>355</v>
      </c>
      <c r="C650" s="12">
        <v>2014</v>
      </c>
      <c r="D650" s="17">
        <v>0</v>
      </c>
    </row>
    <row r="651" spans="1:4">
      <c r="A651" s="16">
        <v>410690</v>
      </c>
      <c r="B651" s="12" t="s">
        <v>355</v>
      </c>
      <c r="C651" s="12">
        <v>2015</v>
      </c>
      <c r="D651" s="17">
        <v>538</v>
      </c>
    </row>
    <row r="652" spans="1:4">
      <c r="A652" s="16">
        <v>410690</v>
      </c>
      <c r="B652" s="12" t="s">
        <v>355</v>
      </c>
      <c r="C652" s="12">
        <v>2016</v>
      </c>
      <c r="D652" s="17">
        <v>1227</v>
      </c>
    </row>
    <row r="653" spans="1:4">
      <c r="A653" s="16">
        <v>410690</v>
      </c>
      <c r="B653" s="12" t="s">
        <v>355</v>
      </c>
      <c r="C653" s="12">
        <v>2017</v>
      </c>
      <c r="D653" s="17">
        <v>1082</v>
      </c>
    </row>
    <row r="654" spans="1:4">
      <c r="A654" s="16">
        <v>410690</v>
      </c>
      <c r="B654" s="12" t="s">
        <v>355</v>
      </c>
      <c r="C654" s="12">
        <v>2018</v>
      </c>
      <c r="D654" s="17">
        <v>1720</v>
      </c>
    </row>
    <row r="655" spans="1:4">
      <c r="A655" s="16">
        <v>410690</v>
      </c>
      <c r="B655" s="12" t="s">
        <v>355</v>
      </c>
      <c r="C655" s="12">
        <v>2019</v>
      </c>
      <c r="D655" s="17">
        <v>1728</v>
      </c>
    </row>
    <row r="656" spans="1:4">
      <c r="A656" s="16">
        <v>410690</v>
      </c>
      <c r="B656" s="12" t="s">
        <v>355</v>
      </c>
      <c r="C656" s="12">
        <v>2020</v>
      </c>
      <c r="D656" s="17">
        <v>18009</v>
      </c>
    </row>
    <row r="657" spans="1:4">
      <c r="A657" s="16">
        <v>410690</v>
      </c>
      <c r="B657" s="12" t="s">
        <v>355</v>
      </c>
      <c r="C657" s="12">
        <v>2021</v>
      </c>
      <c r="D657" s="17">
        <v>28258</v>
      </c>
    </row>
    <row r="658" spans="1:4">
      <c r="A658" s="16">
        <v>410690</v>
      </c>
      <c r="B658" s="12" t="s">
        <v>355</v>
      </c>
      <c r="C658" s="12">
        <v>2022</v>
      </c>
      <c r="D658" s="17">
        <v>10663</v>
      </c>
    </row>
    <row r="659" spans="1:4">
      <c r="A659" s="16">
        <v>410690</v>
      </c>
      <c r="B659" s="12" t="s">
        <v>355</v>
      </c>
      <c r="C659" s="12">
        <v>2023</v>
      </c>
      <c r="D659" s="17">
        <v>4693</v>
      </c>
    </row>
    <row r="660" spans="1:4">
      <c r="A660" s="16">
        <v>410690</v>
      </c>
      <c r="B660" s="12" t="s">
        <v>355</v>
      </c>
      <c r="C660" s="12">
        <v>2024</v>
      </c>
      <c r="D660" s="17">
        <v>4421</v>
      </c>
    </row>
    <row r="661" spans="1:4">
      <c r="A661" s="16">
        <v>410690</v>
      </c>
      <c r="B661" s="12" t="s">
        <v>355</v>
      </c>
      <c r="C661" s="12">
        <v>2025</v>
      </c>
      <c r="D661" s="17">
        <v>3901</v>
      </c>
    </row>
    <row r="662" spans="1:4">
      <c r="A662" s="16">
        <v>411370</v>
      </c>
      <c r="B662" s="12" t="s">
        <v>356</v>
      </c>
      <c r="C662" s="12">
        <v>2014</v>
      </c>
      <c r="D662" s="17">
        <v>0</v>
      </c>
    </row>
    <row r="663" spans="1:4">
      <c r="A663" s="16">
        <v>411370</v>
      </c>
      <c r="B663" s="12" t="s">
        <v>356</v>
      </c>
      <c r="C663" s="12">
        <v>2015</v>
      </c>
      <c r="D663" s="17">
        <v>132</v>
      </c>
    </row>
    <row r="664" spans="1:4">
      <c r="A664" s="16">
        <v>411370</v>
      </c>
      <c r="B664" s="12" t="s">
        <v>356</v>
      </c>
      <c r="C664" s="12">
        <v>2016</v>
      </c>
      <c r="D664" s="17">
        <v>320</v>
      </c>
    </row>
    <row r="665" spans="1:4">
      <c r="A665" s="16">
        <v>411370</v>
      </c>
      <c r="B665" s="12" t="s">
        <v>356</v>
      </c>
      <c r="C665" s="12">
        <v>2017</v>
      </c>
      <c r="D665" s="17">
        <v>226</v>
      </c>
    </row>
    <row r="666" spans="1:4">
      <c r="A666" s="16">
        <v>411370</v>
      </c>
      <c r="B666" s="12" t="s">
        <v>356</v>
      </c>
      <c r="C666" s="12">
        <v>2018</v>
      </c>
      <c r="D666" s="17">
        <v>323</v>
      </c>
    </row>
    <row r="667" spans="1:4">
      <c r="A667" s="16">
        <v>411370</v>
      </c>
      <c r="B667" s="12" t="s">
        <v>356</v>
      </c>
      <c r="C667" s="12">
        <v>2019</v>
      </c>
      <c r="D667" s="17">
        <v>288</v>
      </c>
    </row>
    <row r="668" spans="1:4">
      <c r="A668" s="16">
        <v>411370</v>
      </c>
      <c r="B668" s="12" t="s">
        <v>356</v>
      </c>
      <c r="C668" s="12">
        <v>2020</v>
      </c>
      <c r="D668" s="17">
        <v>5523</v>
      </c>
    </row>
    <row r="669" spans="1:4">
      <c r="A669" s="16">
        <v>411370</v>
      </c>
      <c r="B669" s="12" t="s">
        <v>356</v>
      </c>
      <c r="C669" s="12">
        <v>2021</v>
      </c>
      <c r="D669" s="17">
        <v>10323</v>
      </c>
    </row>
    <row r="670" spans="1:4">
      <c r="A670" s="16">
        <v>411370</v>
      </c>
      <c r="B670" s="12" t="s">
        <v>356</v>
      </c>
      <c r="C670" s="12">
        <v>2022</v>
      </c>
      <c r="D670" s="17">
        <v>6428</v>
      </c>
    </row>
    <row r="671" spans="1:4">
      <c r="A671" s="16">
        <v>411370</v>
      </c>
      <c r="B671" s="12" t="s">
        <v>356</v>
      </c>
      <c r="C671" s="12">
        <v>2023</v>
      </c>
      <c r="D671" s="17">
        <v>2701</v>
      </c>
    </row>
    <row r="672" spans="1:4">
      <c r="A672" s="16">
        <v>411370</v>
      </c>
      <c r="B672" s="12" t="s">
        <v>356</v>
      </c>
      <c r="C672" s="12">
        <v>2024</v>
      </c>
      <c r="D672" s="17">
        <v>1686</v>
      </c>
    </row>
    <row r="673" spans="1:4">
      <c r="A673" s="16">
        <v>411370</v>
      </c>
      <c r="B673" s="12" t="s">
        <v>356</v>
      </c>
      <c r="C673" s="12">
        <v>2025</v>
      </c>
      <c r="D673" s="17">
        <v>2092</v>
      </c>
    </row>
    <row r="674" spans="1:4">
      <c r="A674" s="16">
        <v>411520</v>
      </c>
      <c r="B674" s="12" t="s">
        <v>357</v>
      </c>
      <c r="C674" s="12">
        <v>2014</v>
      </c>
      <c r="D674" s="17">
        <v>0</v>
      </c>
    </row>
    <row r="675" spans="1:4">
      <c r="A675" s="16">
        <v>411520</v>
      </c>
      <c r="B675" s="12" t="s">
        <v>357</v>
      </c>
      <c r="C675" s="12">
        <v>2015</v>
      </c>
      <c r="D675" s="17">
        <v>485</v>
      </c>
    </row>
    <row r="676" spans="1:4">
      <c r="A676" s="16">
        <v>411520</v>
      </c>
      <c r="B676" s="12" t="s">
        <v>357</v>
      </c>
      <c r="C676" s="12">
        <v>2016</v>
      </c>
      <c r="D676" s="17">
        <v>824</v>
      </c>
    </row>
    <row r="677" spans="1:4">
      <c r="A677" s="16">
        <v>411520</v>
      </c>
      <c r="B677" s="12" t="s">
        <v>357</v>
      </c>
      <c r="C677" s="12">
        <v>2017</v>
      </c>
      <c r="D677" s="17">
        <v>339</v>
      </c>
    </row>
    <row r="678" spans="1:4">
      <c r="A678" s="16">
        <v>411520</v>
      </c>
      <c r="B678" s="12" t="s">
        <v>357</v>
      </c>
      <c r="C678" s="12">
        <v>2018</v>
      </c>
      <c r="D678" s="17">
        <v>315</v>
      </c>
    </row>
    <row r="679" spans="1:4">
      <c r="A679" s="16">
        <v>411520</v>
      </c>
      <c r="B679" s="12" t="s">
        <v>357</v>
      </c>
      <c r="C679" s="12">
        <v>2019</v>
      </c>
      <c r="D679" s="17">
        <v>270</v>
      </c>
    </row>
    <row r="680" spans="1:4">
      <c r="A680" s="16">
        <v>411520</v>
      </c>
      <c r="B680" s="12" t="s">
        <v>357</v>
      </c>
      <c r="C680" s="12">
        <v>2020</v>
      </c>
      <c r="D680" s="17">
        <v>3401</v>
      </c>
    </row>
    <row r="681" spans="1:4">
      <c r="A681" s="16">
        <v>411520</v>
      </c>
      <c r="B681" s="12" t="s">
        <v>357</v>
      </c>
      <c r="C681" s="12">
        <v>2021</v>
      </c>
      <c r="D681" s="17">
        <v>8360</v>
      </c>
    </row>
    <row r="682" spans="1:4">
      <c r="A682" s="16">
        <v>411520</v>
      </c>
      <c r="B682" s="12" t="s">
        <v>357</v>
      </c>
      <c r="C682" s="12">
        <v>2022</v>
      </c>
      <c r="D682" s="17">
        <v>4248</v>
      </c>
    </row>
    <row r="683" spans="1:4">
      <c r="A683" s="16">
        <v>411520</v>
      </c>
      <c r="B683" s="12" t="s">
        <v>357</v>
      </c>
      <c r="C683" s="12">
        <v>2023</v>
      </c>
      <c r="D683" s="17">
        <v>1592</v>
      </c>
    </row>
    <row r="684" spans="1:4">
      <c r="A684" s="16">
        <v>411520</v>
      </c>
      <c r="B684" s="12" t="s">
        <v>357</v>
      </c>
      <c r="C684" s="12">
        <v>2024</v>
      </c>
      <c r="D684" s="17">
        <v>1146</v>
      </c>
    </row>
    <row r="685" spans="1:4">
      <c r="A685" s="16">
        <v>411520</v>
      </c>
      <c r="B685" s="12" t="s">
        <v>357</v>
      </c>
      <c r="C685" s="12">
        <v>2025</v>
      </c>
      <c r="D685" s="17">
        <v>1245</v>
      </c>
    </row>
    <row r="686" spans="1:4">
      <c r="A686" s="16">
        <v>420540</v>
      </c>
      <c r="B686" s="12" t="s">
        <v>358</v>
      </c>
      <c r="C686" s="12">
        <v>2014</v>
      </c>
      <c r="D686" s="17">
        <v>0</v>
      </c>
    </row>
    <row r="687" spans="1:4">
      <c r="A687" s="16">
        <v>420540</v>
      </c>
      <c r="B687" s="12" t="s">
        <v>358</v>
      </c>
      <c r="C687" s="12">
        <v>2015</v>
      </c>
      <c r="D687" s="17">
        <v>56</v>
      </c>
    </row>
    <row r="688" spans="1:4">
      <c r="A688" s="16">
        <v>420540</v>
      </c>
      <c r="B688" s="12" t="s">
        <v>358</v>
      </c>
      <c r="C688" s="12">
        <v>2016</v>
      </c>
      <c r="D688" s="17">
        <v>168</v>
      </c>
    </row>
    <row r="689" spans="1:4">
      <c r="A689" s="16">
        <v>420540</v>
      </c>
      <c r="B689" s="12" t="s">
        <v>358</v>
      </c>
      <c r="C689" s="12">
        <v>2017</v>
      </c>
      <c r="D689" s="17">
        <v>109</v>
      </c>
    </row>
    <row r="690" spans="1:4">
      <c r="A690" s="16">
        <v>420540</v>
      </c>
      <c r="B690" s="12" t="s">
        <v>358</v>
      </c>
      <c r="C690" s="12">
        <v>2018</v>
      </c>
      <c r="D690" s="17">
        <v>215</v>
      </c>
    </row>
    <row r="691" spans="1:4">
      <c r="A691" s="16">
        <v>420540</v>
      </c>
      <c r="B691" s="12" t="s">
        <v>358</v>
      </c>
      <c r="C691" s="12">
        <v>2019</v>
      </c>
      <c r="D691" s="17">
        <v>238</v>
      </c>
    </row>
    <row r="692" spans="1:4">
      <c r="A692" s="16">
        <v>420540</v>
      </c>
      <c r="B692" s="12" t="s">
        <v>358</v>
      </c>
      <c r="C692" s="12">
        <v>2020</v>
      </c>
      <c r="D692" s="17">
        <v>2307</v>
      </c>
    </row>
    <row r="693" spans="1:4">
      <c r="A693" s="16">
        <v>420540</v>
      </c>
      <c r="B693" s="12" t="s">
        <v>358</v>
      </c>
      <c r="C693" s="12">
        <v>2021</v>
      </c>
      <c r="D693" s="17">
        <v>4360</v>
      </c>
    </row>
    <row r="694" spans="1:4">
      <c r="A694" s="16">
        <v>420540</v>
      </c>
      <c r="B694" s="12" t="s">
        <v>358</v>
      </c>
      <c r="C694" s="12">
        <v>2022</v>
      </c>
      <c r="D694" s="17">
        <v>2340</v>
      </c>
    </row>
    <row r="695" spans="1:4">
      <c r="A695" s="16">
        <v>420540</v>
      </c>
      <c r="B695" s="12" t="s">
        <v>358</v>
      </c>
      <c r="C695" s="12">
        <v>2023</v>
      </c>
      <c r="D695" s="17">
        <v>1495</v>
      </c>
    </row>
    <row r="696" spans="1:4">
      <c r="A696" s="16">
        <v>420540</v>
      </c>
      <c r="B696" s="12" t="s">
        <v>358</v>
      </c>
      <c r="C696" s="12">
        <v>2024</v>
      </c>
      <c r="D696" s="17">
        <v>1744</v>
      </c>
    </row>
    <row r="697" spans="1:4">
      <c r="A697" s="16">
        <v>420540</v>
      </c>
      <c r="B697" s="12" t="s">
        <v>358</v>
      </c>
      <c r="C697" s="12">
        <v>2025</v>
      </c>
      <c r="D697" s="17">
        <v>2049</v>
      </c>
    </row>
    <row r="698" spans="1:4">
      <c r="A698" s="16">
        <v>420910</v>
      </c>
      <c r="B698" s="12" t="s">
        <v>359</v>
      </c>
      <c r="C698" s="12">
        <v>2014</v>
      </c>
      <c r="D698" s="17">
        <v>0</v>
      </c>
    </row>
    <row r="699" spans="1:4">
      <c r="A699" s="16">
        <v>420910</v>
      </c>
      <c r="B699" s="12" t="s">
        <v>359</v>
      </c>
      <c r="C699" s="12">
        <v>2015</v>
      </c>
      <c r="D699" s="17">
        <v>24</v>
      </c>
    </row>
    <row r="700" spans="1:4">
      <c r="A700" s="16">
        <v>420910</v>
      </c>
      <c r="B700" s="12" t="s">
        <v>359</v>
      </c>
      <c r="C700" s="12">
        <v>2016</v>
      </c>
      <c r="D700" s="17">
        <v>189</v>
      </c>
    </row>
    <row r="701" spans="1:4">
      <c r="A701" s="16">
        <v>420910</v>
      </c>
      <c r="B701" s="12" t="s">
        <v>359</v>
      </c>
      <c r="C701" s="12">
        <v>2017</v>
      </c>
      <c r="D701" s="17">
        <v>88</v>
      </c>
    </row>
    <row r="702" spans="1:4">
      <c r="A702" s="16">
        <v>420910</v>
      </c>
      <c r="B702" s="12" t="s">
        <v>359</v>
      </c>
      <c r="C702" s="12">
        <v>2018</v>
      </c>
      <c r="D702" s="17">
        <v>111</v>
      </c>
    </row>
    <row r="703" spans="1:4">
      <c r="A703" s="16">
        <v>420910</v>
      </c>
      <c r="B703" s="12" t="s">
        <v>359</v>
      </c>
      <c r="C703" s="12">
        <v>2019</v>
      </c>
      <c r="D703" s="17">
        <v>121</v>
      </c>
    </row>
    <row r="704" spans="1:4">
      <c r="A704" s="16">
        <v>420910</v>
      </c>
      <c r="B704" s="12" t="s">
        <v>359</v>
      </c>
      <c r="C704" s="12">
        <v>2020</v>
      </c>
      <c r="D704" s="17">
        <v>2582</v>
      </c>
    </row>
    <row r="705" spans="1:4">
      <c r="A705" s="16">
        <v>420910</v>
      </c>
      <c r="B705" s="12" t="s">
        <v>359</v>
      </c>
      <c r="C705" s="12">
        <v>2021</v>
      </c>
      <c r="D705" s="17">
        <v>5841</v>
      </c>
    </row>
    <row r="706" spans="1:4">
      <c r="A706" s="16">
        <v>420910</v>
      </c>
      <c r="B706" s="12" t="s">
        <v>359</v>
      </c>
      <c r="C706" s="12">
        <v>2022</v>
      </c>
      <c r="D706" s="17">
        <v>1516</v>
      </c>
    </row>
    <row r="707" spans="1:4">
      <c r="A707" s="16">
        <v>420910</v>
      </c>
      <c r="B707" s="12" t="s">
        <v>359</v>
      </c>
      <c r="C707" s="12">
        <v>2023</v>
      </c>
      <c r="D707" s="17">
        <v>740</v>
      </c>
    </row>
    <row r="708" spans="1:4">
      <c r="A708" s="16">
        <v>420910</v>
      </c>
      <c r="B708" s="12" t="s">
        <v>359</v>
      </c>
      <c r="C708" s="12">
        <v>2024</v>
      </c>
      <c r="D708" s="17">
        <v>718</v>
      </c>
    </row>
    <row r="709" spans="1:4">
      <c r="A709" s="16">
        <v>420910</v>
      </c>
      <c r="B709" s="12" t="s">
        <v>359</v>
      </c>
      <c r="C709" s="12">
        <v>2025</v>
      </c>
      <c r="D709" s="17">
        <v>794</v>
      </c>
    </row>
    <row r="710" spans="1:4">
      <c r="A710" s="16">
        <v>430510</v>
      </c>
      <c r="B710" s="12" t="s">
        <v>360</v>
      </c>
      <c r="C710" s="12">
        <v>2014</v>
      </c>
      <c r="D710" s="17">
        <v>0</v>
      </c>
    </row>
    <row r="711" spans="1:4">
      <c r="A711" s="16">
        <v>430510</v>
      </c>
      <c r="B711" s="12" t="s">
        <v>360</v>
      </c>
      <c r="C711" s="12">
        <v>2015</v>
      </c>
      <c r="D711" s="17">
        <v>8</v>
      </c>
    </row>
    <row r="712" spans="1:4">
      <c r="A712" s="16">
        <v>430510</v>
      </c>
      <c r="B712" s="12" t="s">
        <v>360</v>
      </c>
      <c r="C712" s="12">
        <v>2016</v>
      </c>
      <c r="D712" s="17">
        <v>204</v>
      </c>
    </row>
    <row r="713" spans="1:4">
      <c r="A713" s="16">
        <v>430510</v>
      </c>
      <c r="B713" s="12" t="s">
        <v>360</v>
      </c>
      <c r="C713" s="12">
        <v>2017</v>
      </c>
      <c r="D713" s="17">
        <v>63</v>
      </c>
    </row>
    <row r="714" spans="1:4">
      <c r="A714" s="16">
        <v>430510</v>
      </c>
      <c r="B714" s="12" t="s">
        <v>360</v>
      </c>
      <c r="C714" s="12">
        <v>2018</v>
      </c>
      <c r="D714" s="17">
        <v>228</v>
      </c>
    </row>
    <row r="715" spans="1:4">
      <c r="A715" s="16">
        <v>430510</v>
      </c>
      <c r="B715" s="12" t="s">
        <v>360</v>
      </c>
      <c r="C715" s="12">
        <v>2019</v>
      </c>
      <c r="D715" s="17">
        <v>175</v>
      </c>
    </row>
    <row r="716" spans="1:4">
      <c r="A716" s="16">
        <v>430510</v>
      </c>
      <c r="B716" s="12" t="s">
        <v>360</v>
      </c>
      <c r="C716" s="12">
        <v>2020</v>
      </c>
      <c r="D716" s="17">
        <v>2619</v>
      </c>
    </row>
    <row r="717" spans="1:4">
      <c r="A717" s="16">
        <v>430510</v>
      </c>
      <c r="B717" s="12" t="s">
        <v>360</v>
      </c>
      <c r="C717" s="12">
        <v>2021</v>
      </c>
      <c r="D717" s="17">
        <v>5840</v>
      </c>
    </row>
    <row r="718" spans="1:4">
      <c r="A718" s="16">
        <v>430510</v>
      </c>
      <c r="B718" s="12" t="s">
        <v>360</v>
      </c>
      <c r="C718" s="12">
        <v>2022</v>
      </c>
      <c r="D718" s="17">
        <v>2966</v>
      </c>
    </row>
    <row r="719" spans="1:4">
      <c r="A719" s="16">
        <v>430510</v>
      </c>
      <c r="B719" s="12" t="s">
        <v>360</v>
      </c>
      <c r="C719" s="12">
        <v>2023</v>
      </c>
      <c r="D719" s="17">
        <v>1422</v>
      </c>
    </row>
    <row r="720" spans="1:4">
      <c r="A720" s="16">
        <v>430510</v>
      </c>
      <c r="B720" s="12" t="s">
        <v>360</v>
      </c>
      <c r="C720" s="12">
        <v>2024</v>
      </c>
      <c r="D720" s="17">
        <v>1447</v>
      </c>
    </row>
    <row r="721" spans="1:4">
      <c r="A721" s="16">
        <v>430510</v>
      </c>
      <c r="B721" s="12" t="s">
        <v>360</v>
      </c>
      <c r="C721" s="12">
        <v>2025</v>
      </c>
      <c r="D721" s="17">
        <v>1168</v>
      </c>
    </row>
    <row r="722" spans="1:4">
      <c r="A722" s="16">
        <v>431490</v>
      </c>
      <c r="B722" s="12" t="s">
        <v>361</v>
      </c>
      <c r="C722" s="12">
        <v>2014</v>
      </c>
      <c r="D722" s="17">
        <v>0</v>
      </c>
    </row>
    <row r="723" spans="1:4">
      <c r="A723" s="16">
        <v>431490</v>
      </c>
      <c r="B723" s="12" t="s">
        <v>361</v>
      </c>
      <c r="C723" s="12">
        <v>2015</v>
      </c>
      <c r="D723" s="17">
        <v>995</v>
      </c>
    </row>
    <row r="724" spans="1:4">
      <c r="A724" s="16">
        <v>431490</v>
      </c>
      <c r="B724" s="12" t="s">
        <v>361</v>
      </c>
      <c r="C724" s="12">
        <v>2016</v>
      </c>
      <c r="D724" s="17">
        <v>1792</v>
      </c>
    </row>
    <row r="725" spans="1:4">
      <c r="A725" s="16">
        <v>431490</v>
      </c>
      <c r="B725" s="12" t="s">
        <v>361</v>
      </c>
      <c r="C725" s="12">
        <v>2017</v>
      </c>
      <c r="D725" s="17">
        <v>1161</v>
      </c>
    </row>
    <row r="726" spans="1:4">
      <c r="A726" s="16">
        <v>431490</v>
      </c>
      <c r="B726" s="12" t="s">
        <v>361</v>
      </c>
      <c r="C726" s="12">
        <v>2018</v>
      </c>
      <c r="D726" s="17">
        <v>1112</v>
      </c>
    </row>
    <row r="727" spans="1:4">
      <c r="A727" s="16">
        <v>431490</v>
      </c>
      <c r="B727" s="12" t="s">
        <v>361</v>
      </c>
      <c r="C727" s="12">
        <v>2019</v>
      </c>
      <c r="D727" s="17">
        <v>1079</v>
      </c>
    </row>
    <row r="728" spans="1:4">
      <c r="A728" s="16">
        <v>431490</v>
      </c>
      <c r="B728" s="12" t="s">
        <v>361</v>
      </c>
      <c r="C728" s="12">
        <v>2020</v>
      </c>
      <c r="D728" s="17">
        <v>9518</v>
      </c>
    </row>
    <row r="729" spans="1:4">
      <c r="A729" s="16">
        <v>431490</v>
      </c>
      <c r="B729" s="12" t="s">
        <v>361</v>
      </c>
      <c r="C729" s="12">
        <v>2021</v>
      </c>
      <c r="D729" s="17">
        <v>11854</v>
      </c>
    </row>
    <row r="730" spans="1:4">
      <c r="A730" s="16">
        <v>431490</v>
      </c>
      <c r="B730" s="12" t="s">
        <v>361</v>
      </c>
      <c r="C730" s="12">
        <v>2022</v>
      </c>
      <c r="D730" s="17">
        <v>3637</v>
      </c>
    </row>
    <row r="731" spans="1:4">
      <c r="A731" s="16">
        <v>431490</v>
      </c>
      <c r="B731" s="12" t="s">
        <v>361</v>
      </c>
      <c r="C731" s="12">
        <v>2023</v>
      </c>
      <c r="D731" s="17">
        <v>2570</v>
      </c>
    </row>
    <row r="732" spans="1:4">
      <c r="A732" s="16">
        <v>431490</v>
      </c>
      <c r="B732" s="12" t="s">
        <v>361</v>
      </c>
      <c r="C732" s="12">
        <v>2024</v>
      </c>
      <c r="D732" s="17">
        <v>2942</v>
      </c>
    </row>
    <row r="733" spans="1:4">
      <c r="A733" s="16">
        <v>431490</v>
      </c>
      <c r="B733" s="12" t="s">
        <v>361</v>
      </c>
      <c r="C733" s="12">
        <v>2025</v>
      </c>
      <c r="D733" s="17">
        <v>2411</v>
      </c>
    </row>
    <row r="734" spans="1:4">
      <c r="A734" s="16">
        <v>500270</v>
      </c>
      <c r="B734" s="12" t="s">
        <v>362</v>
      </c>
      <c r="C734" s="12">
        <v>2014</v>
      </c>
      <c r="D734" s="17">
        <v>0</v>
      </c>
    </row>
    <row r="735" spans="1:4">
      <c r="A735" s="16">
        <v>500270</v>
      </c>
      <c r="B735" s="12" t="s">
        <v>362</v>
      </c>
      <c r="C735" s="12">
        <v>2015</v>
      </c>
      <c r="D735" s="17">
        <v>207</v>
      </c>
    </row>
    <row r="736" spans="1:4">
      <c r="A736" s="16">
        <v>500270</v>
      </c>
      <c r="B736" s="12" t="s">
        <v>362</v>
      </c>
      <c r="C736" s="12">
        <v>2016</v>
      </c>
      <c r="D736" s="17">
        <v>598</v>
      </c>
    </row>
    <row r="737" spans="1:4">
      <c r="A737" s="16">
        <v>500270</v>
      </c>
      <c r="B737" s="12" t="s">
        <v>362</v>
      </c>
      <c r="C737" s="12">
        <v>2017</v>
      </c>
      <c r="D737" s="17">
        <v>401</v>
      </c>
    </row>
    <row r="738" spans="1:4">
      <c r="A738" s="16">
        <v>500270</v>
      </c>
      <c r="B738" s="12" t="s">
        <v>362</v>
      </c>
      <c r="C738" s="12">
        <v>2018</v>
      </c>
      <c r="D738" s="17">
        <v>651</v>
      </c>
    </row>
    <row r="739" spans="1:4">
      <c r="A739" s="16">
        <v>500270</v>
      </c>
      <c r="B739" s="12" t="s">
        <v>362</v>
      </c>
      <c r="C739" s="12">
        <v>2019</v>
      </c>
      <c r="D739" s="17">
        <v>887</v>
      </c>
    </row>
    <row r="740" spans="1:4">
      <c r="A740" s="16">
        <v>500270</v>
      </c>
      <c r="B740" s="12" t="s">
        <v>362</v>
      </c>
      <c r="C740" s="12">
        <v>2020</v>
      </c>
      <c r="D740" s="17">
        <v>8179</v>
      </c>
    </row>
    <row r="741" spans="1:4">
      <c r="A741" s="16">
        <v>500270</v>
      </c>
      <c r="B741" s="12" t="s">
        <v>362</v>
      </c>
      <c r="C741" s="12">
        <v>2021</v>
      </c>
      <c r="D741" s="17">
        <v>12925</v>
      </c>
    </row>
    <row r="742" spans="1:4">
      <c r="A742" s="16">
        <v>500270</v>
      </c>
      <c r="B742" s="12" t="s">
        <v>362</v>
      </c>
      <c r="C742" s="12">
        <v>2022</v>
      </c>
      <c r="D742" s="17">
        <v>5456</v>
      </c>
    </row>
    <row r="743" spans="1:4">
      <c r="A743" s="16">
        <v>500270</v>
      </c>
      <c r="B743" s="12" t="s">
        <v>362</v>
      </c>
      <c r="C743" s="12">
        <v>2023</v>
      </c>
      <c r="D743" s="17">
        <v>3143</v>
      </c>
    </row>
    <row r="744" spans="1:4">
      <c r="A744" s="16">
        <v>500270</v>
      </c>
      <c r="B744" s="12" t="s">
        <v>362</v>
      </c>
      <c r="C744" s="12">
        <v>2024</v>
      </c>
      <c r="D744" s="17">
        <v>3325</v>
      </c>
    </row>
    <row r="745" spans="1:4">
      <c r="A745" s="16">
        <v>500270</v>
      </c>
      <c r="B745" s="12" t="s">
        <v>362</v>
      </c>
      <c r="C745" s="12">
        <v>2025</v>
      </c>
      <c r="D745" s="17">
        <v>3278</v>
      </c>
    </row>
    <row r="746" spans="1:4">
      <c r="A746" s="16">
        <v>510340</v>
      </c>
      <c r="B746" s="12" t="s">
        <v>363</v>
      </c>
      <c r="C746" s="12">
        <v>2014</v>
      </c>
      <c r="D746" s="17">
        <v>0</v>
      </c>
    </row>
    <row r="747" spans="1:4">
      <c r="A747" s="16">
        <v>510340</v>
      </c>
      <c r="B747" s="12" t="s">
        <v>363</v>
      </c>
      <c r="C747" s="12">
        <v>2015</v>
      </c>
      <c r="D747" s="17">
        <v>37</v>
      </c>
    </row>
    <row r="748" spans="1:4">
      <c r="A748" s="16">
        <v>510340</v>
      </c>
      <c r="B748" s="12" t="s">
        <v>363</v>
      </c>
      <c r="C748" s="12">
        <v>2016</v>
      </c>
      <c r="D748" s="17">
        <v>116</v>
      </c>
    </row>
    <row r="749" spans="1:4">
      <c r="A749" s="16">
        <v>510340</v>
      </c>
      <c r="B749" s="12" t="s">
        <v>363</v>
      </c>
      <c r="C749" s="12">
        <v>2017</v>
      </c>
      <c r="D749" s="17">
        <v>62</v>
      </c>
    </row>
    <row r="750" spans="1:4">
      <c r="A750" s="16">
        <v>510340</v>
      </c>
      <c r="B750" s="12" t="s">
        <v>363</v>
      </c>
      <c r="C750" s="12">
        <v>2018</v>
      </c>
      <c r="D750" s="17">
        <v>96</v>
      </c>
    </row>
    <row r="751" spans="1:4">
      <c r="A751" s="16">
        <v>510340</v>
      </c>
      <c r="B751" s="12" t="s">
        <v>363</v>
      </c>
      <c r="C751" s="12">
        <v>2019</v>
      </c>
      <c r="D751" s="17">
        <v>91</v>
      </c>
    </row>
    <row r="752" spans="1:4">
      <c r="A752" s="16">
        <v>510340</v>
      </c>
      <c r="B752" s="12" t="s">
        <v>363</v>
      </c>
      <c r="C752" s="12">
        <v>2020</v>
      </c>
      <c r="D752" s="17">
        <v>6202</v>
      </c>
    </row>
    <row r="753" spans="1:4">
      <c r="A753" s="16">
        <v>510340</v>
      </c>
      <c r="B753" s="12" t="s">
        <v>363</v>
      </c>
      <c r="C753" s="12">
        <v>2021</v>
      </c>
      <c r="D753" s="17">
        <v>7271</v>
      </c>
    </row>
    <row r="754" spans="1:4">
      <c r="A754" s="16">
        <v>510340</v>
      </c>
      <c r="B754" s="12" t="s">
        <v>363</v>
      </c>
      <c r="C754" s="12">
        <v>2022</v>
      </c>
      <c r="D754" s="17">
        <v>1362</v>
      </c>
    </row>
    <row r="755" spans="1:4">
      <c r="A755" s="16">
        <v>510340</v>
      </c>
      <c r="B755" s="12" t="s">
        <v>363</v>
      </c>
      <c r="C755" s="12">
        <v>2023</v>
      </c>
      <c r="D755" s="17">
        <v>349</v>
      </c>
    </row>
    <row r="756" spans="1:4">
      <c r="A756" s="16">
        <v>510340</v>
      </c>
      <c r="B756" s="12" t="s">
        <v>363</v>
      </c>
      <c r="C756" s="12">
        <v>2024</v>
      </c>
      <c r="D756" s="17">
        <v>728</v>
      </c>
    </row>
    <row r="757" spans="1:4">
      <c r="A757" s="16">
        <v>510340</v>
      </c>
      <c r="B757" s="12" t="s">
        <v>363</v>
      </c>
      <c r="C757" s="12">
        <v>2025</v>
      </c>
      <c r="D757" s="17">
        <v>1352</v>
      </c>
    </row>
    <row r="758" spans="1:4">
      <c r="A758" s="16">
        <v>520110</v>
      </c>
      <c r="B758" s="12" t="s">
        <v>364</v>
      </c>
      <c r="C758" s="12">
        <v>2014</v>
      </c>
      <c r="D758" s="17">
        <v>0</v>
      </c>
    </row>
    <row r="759" spans="1:4">
      <c r="A759" s="16">
        <v>520110</v>
      </c>
      <c r="B759" s="12" t="s">
        <v>364</v>
      </c>
      <c r="C759" s="12">
        <v>2015</v>
      </c>
      <c r="D759" s="17">
        <v>15</v>
      </c>
    </row>
    <row r="760" spans="1:4">
      <c r="A760" s="16">
        <v>520110</v>
      </c>
      <c r="B760" s="12" t="s">
        <v>364</v>
      </c>
      <c r="C760" s="12">
        <v>2016</v>
      </c>
      <c r="D760" s="17">
        <v>42</v>
      </c>
    </row>
    <row r="761" spans="1:4">
      <c r="A761" s="16">
        <v>520110</v>
      </c>
      <c r="B761" s="12" t="s">
        <v>364</v>
      </c>
      <c r="C761" s="12">
        <v>2017</v>
      </c>
      <c r="D761" s="17">
        <v>38</v>
      </c>
    </row>
    <row r="762" spans="1:4">
      <c r="A762" s="16">
        <v>520110</v>
      </c>
      <c r="B762" s="12" t="s">
        <v>364</v>
      </c>
      <c r="C762" s="12">
        <v>2018</v>
      </c>
      <c r="D762" s="17">
        <v>101</v>
      </c>
    </row>
    <row r="763" spans="1:4">
      <c r="A763" s="16">
        <v>520110</v>
      </c>
      <c r="B763" s="12" t="s">
        <v>364</v>
      </c>
      <c r="C763" s="12">
        <v>2019</v>
      </c>
      <c r="D763" s="17">
        <v>104</v>
      </c>
    </row>
    <row r="764" spans="1:4">
      <c r="A764" s="16">
        <v>520110</v>
      </c>
      <c r="B764" s="12" t="s">
        <v>364</v>
      </c>
      <c r="C764" s="12">
        <v>2020</v>
      </c>
      <c r="D764" s="17">
        <v>1752</v>
      </c>
    </row>
    <row r="765" spans="1:4">
      <c r="A765" s="16">
        <v>520110</v>
      </c>
      <c r="B765" s="12" t="s">
        <v>364</v>
      </c>
      <c r="C765" s="12">
        <v>2021</v>
      </c>
      <c r="D765" s="17">
        <v>4071</v>
      </c>
    </row>
    <row r="766" spans="1:4">
      <c r="A766" s="16">
        <v>520110</v>
      </c>
      <c r="B766" s="12" t="s">
        <v>364</v>
      </c>
      <c r="C766" s="12">
        <v>2022</v>
      </c>
      <c r="D766" s="17">
        <v>1001</v>
      </c>
    </row>
    <row r="767" spans="1:4">
      <c r="A767" s="16">
        <v>520110</v>
      </c>
      <c r="B767" s="12" t="s">
        <v>364</v>
      </c>
      <c r="C767" s="12">
        <v>2023</v>
      </c>
      <c r="D767" s="17">
        <v>813</v>
      </c>
    </row>
    <row r="768" spans="1:4">
      <c r="A768" s="16">
        <v>520110</v>
      </c>
      <c r="B768" s="12" t="s">
        <v>364</v>
      </c>
      <c r="C768" s="12">
        <v>2024</v>
      </c>
      <c r="D768" s="17">
        <v>1191</v>
      </c>
    </row>
    <row r="769" spans="1:4">
      <c r="A769" s="16">
        <v>520110</v>
      </c>
      <c r="B769" s="12" t="s">
        <v>364</v>
      </c>
      <c r="C769" s="12">
        <v>2025</v>
      </c>
      <c r="D769" s="17">
        <v>2023</v>
      </c>
    </row>
    <row r="770" spans="1:4">
      <c r="A770" s="16">
        <v>520140</v>
      </c>
      <c r="B770" s="12" t="s">
        <v>365</v>
      </c>
      <c r="C770" s="12">
        <v>2014</v>
      </c>
      <c r="D770" s="17">
        <v>0</v>
      </c>
    </row>
    <row r="771" spans="1:4">
      <c r="A771" s="16">
        <v>520140</v>
      </c>
      <c r="B771" s="12" t="s">
        <v>365</v>
      </c>
      <c r="C771" s="12">
        <v>2015</v>
      </c>
      <c r="D771" s="17">
        <v>14</v>
      </c>
    </row>
    <row r="772" spans="1:4">
      <c r="A772" s="16">
        <v>520140</v>
      </c>
      <c r="B772" s="12" t="s">
        <v>365</v>
      </c>
      <c r="C772" s="12">
        <v>2016</v>
      </c>
      <c r="D772" s="17">
        <v>105</v>
      </c>
    </row>
    <row r="773" spans="1:4">
      <c r="A773" s="16">
        <v>520140</v>
      </c>
      <c r="B773" s="12" t="s">
        <v>365</v>
      </c>
      <c r="C773" s="12">
        <v>2017</v>
      </c>
      <c r="D773" s="17">
        <v>73</v>
      </c>
    </row>
    <row r="774" spans="1:4">
      <c r="A774" s="16">
        <v>520140</v>
      </c>
      <c r="B774" s="12" t="s">
        <v>365</v>
      </c>
      <c r="C774" s="12">
        <v>2018</v>
      </c>
      <c r="D774" s="17">
        <v>153</v>
      </c>
    </row>
    <row r="775" spans="1:4">
      <c r="A775" s="16">
        <v>520140</v>
      </c>
      <c r="B775" s="12" t="s">
        <v>365</v>
      </c>
      <c r="C775" s="12">
        <v>2019</v>
      </c>
      <c r="D775" s="17">
        <v>108</v>
      </c>
    </row>
    <row r="776" spans="1:4">
      <c r="A776" s="16">
        <v>520140</v>
      </c>
      <c r="B776" s="12" t="s">
        <v>365</v>
      </c>
      <c r="C776" s="12">
        <v>2020</v>
      </c>
      <c r="D776" s="17">
        <v>2760</v>
      </c>
    </row>
    <row r="777" spans="1:4">
      <c r="A777" s="16">
        <v>520140</v>
      </c>
      <c r="B777" s="12" t="s">
        <v>365</v>
      </c>
      <c r="C777" s="12">
        <v>2021</v>
      </c>
      <c r="D777" s="17">
        <v>5544</v>
      </c>
    </row>
    <row r="778" spans="1:4">
      <c r="A778" s="16">
        <v>520140</v>
      </c>
      <c r="B778" s="12" t="s">
        <v>365</v>
      </c>
      <c r="C778" s="12">
        <v>2022</v>
      </c>
      <c r="D778" s="17">
        <v>1663</v>
      </c>
    </row>
    <row r="779" spans="1:4">
      <c r="A779" s="16">
        <v>520140</v>
      </c>
      <c r="B779" s="12" t="s">
        <v>365</v>
      </c>
      <c r="C779" s="12">
        <v>2023</v>
      </c>
      <c r="D779" s="17">
        <v>1185</v>
      </c>
    </row>
    <row r="780" spans="1:4">
      <c r="A780" s="16">
        <v>520140</v>
      </c>
      <c r="B780" s="12" t="s">
        <v>365</v>
      </c>
      <c r="C780" s="12">
        <v>2024</v>
      </c>
      <c r="D780" s="17">
        <v>895</v>
      </c>
    </row>
    <row r="781" spans="1:4">
      <c r="A781" s="16">
        <v>520140</v>
      </c>
      <c r="B781" s="12" t="s">
        <v>365</v>
      </c>
      <c r="C781" s="12">
        <v>2025</v>
      </c>
      <c r="D781" s="17">
        <v>1169</v>
      </c>
    </row>
    <row r="782" spans="1:4">
      <c r="A782" s="16">
        <v>520870</v>
      </c>
      <c r="B782" s="12" t="s">
        <v>366</v>
      </c>
      <c r="C782" s="12">
        <v>2014</v>
      </c>
      <c r="D782" s="17">
        <v>0</v>
      </c>
    </row>
    <row r="783" spans="1:4">
      <c r="A783" s="16">
        <v>520870</v>
      </c>
      <c r="B783" s="12" t="s">
        <v>366</v>
      </c>
      <c r="C783" s="12">
        <v>2015</v>
      </c>
      <c r="D783" s="17">
        <v>76</v>
      </c>
    </row>
    <row r="784" spans="1:4">
      <c r="A784" s="16">
        <v>520870</v>
      </c>
      <c r="B784" s="12" t="s">
        <v>366</v>
      </c>
      <c r="C784" s="12">
        <v>2016</v>
      </c>
      <c r="D784" s="17">
        <v>309</v>
      </c>
    </row>
    <row r="785" spans="1:4">
      <c r="A785" s="16">
        <v>520870</v>
      </c>
      <c r="B785" s="12" t="s">
        <v>366</v>
      </c>
      <c r="C785" s="12">
        <v>2017</v>
      </c>
      <c r="D785" s="17">
        <v>204</v>
      </c>
    </row>
    <row r="786" spans="1:4">
      <c r="A786" s="16">
        <v>520870</v>
      </c>
      <c r="B786" s="12" t="s">
        <v>366</v>
      </c>
      <c r="C786" s="12">
        <v>2018</v>
      </c>
      <c r="D786" s="17">
        <v>512</v>
      </c>
    </row>
    <row r="787" spans="1:4">
      <c r="A787" s="16">
        <v>520870</v>
      </c>
      <c r="B787" s="12" t="s">
        <v>366</v>
      </c>
      <c r="C787" s="12">
        <v>2019</v>
      </c>
      <c r="D787" s="17">
        <v>330</v>
      </c>
    </row>
    <row r="788" spans="1:4">
      <c r="A788" s="16">
        <v>520870</v>
      </c>
      <c r="B788" s="12" t="s">
        <v>366</v>
      </c>
      <c r="C788" s="12">
        <v>2020</v>
      </c>
      <c r="D788" s="17">
        <v>11101</v>
      </c>
    </row>
    <row r="789" spans="1:4">
      <c r="A789" s="16">
        <v>520870</v>
      </c>
      <c r="B789" s="12" t="s">
        <v>366</v>
      </c>
      <c r="C789" s="12">
        <v>2021</v>
      </c>
      <c r="D789" s="17">
        <v>17939</v>
      </c>
    </row>
    <row r="790" spans="1:4">
      <c r="A790" s="16">
        <v>520870</v>
      </c>
      <c r="B790" s="12" t="s">
        <v>366</v>
      </c>
      <c r="C790" s="12">
        <v>2022</v>
      </c>
      <c r="D790" s="17">
        <v>4348</v>
      </c>
    </row>
    <row r="791" spans="1:4">
      <c r="A791" s="16">
        <v>520870</v>
      </c>
      <c r="B791" s="12" t="s">
        <v>366</v>
      </c>
      <c r="C791" s="12">
        <v>2023</v>
      </c>
      <c r="D791" s="17">
        <v>1490</v>
      </c>
    </row>
    <row r="792" spans="1:4">
      <c r="A792" s="16">
        <v>520870</v>
      </c>
      <c r="B792" s="12" t="s">
        <v>366</v>
      </c>
      <c r="C792" s="12">
        <v>2024</v>
      </c>
      <c r="D792" s="17">
        <v>1276</v>
      </c>
    </row>
    <row r="793" spans="1:4">
      <c r="A793" s="16">
        <v>520870</v>
      </c>
      <c r="B793" s="12" t="s">
        <v>366</v>
      </c>
      <c r="C793" s="12">
        <v>2025</v>
      </c>
      <c r="D793" s="17">
        <v>1676</v>
      </c>
    </row>
    <row r="794" spans="1:4">
      <c r="A794" s="16">
        <v>530010</v>
      </c>
      <c r="B794" s="12" t="s">
        <v>367</v>
      </c>
      <c r="C794" s="12">
        <v>2014</v>
      </c>
      <c r="D794" s="17">
        <v>0</v>
      </c>
    </row>
    <row r="795" spans="1:4">
      <c r="A795" s="16">
        <v>530010</v>
      </c>
      <c r="B795" s="12" t="s">
        <v>367</v>
      </c>
      <c r="C795" s="12">
        <v>2015</v>
      </c>
      <c r="D795" s="17">
        <v>99</v>
      </c>
    </row>
    <row r="796" spans="1:4">
      <c r="A796" s="16">
        <v>530010</v>
      </c>
      <c r="B796" s="12" t="s">
        <v>367</v>
      </c>
      <c r="C796" s="12">
        <v>2016</v>
      </c>
      <c r="D796" s="17">
        <v>561</v>
      </c>
    </row>
    <row r="797" spans="1:4">
      <c r="A797" s="16">
        <v>530010</v>
      </c>
      <c r="B797" s="12" t="s">
        <v>367</v>
      </c>
      <c r="C797" s="12">
        <v>2017</v>
      </c>
      <c r="D797" s="17">
        <v>594</v>
      </c>
    </row>
    <row r="798" spans="1:4">
      <c r="A798" s="16">
        <v>530010</v>
      </c>
      <c r="B798" s="12" t="s">
        <v>367</v>
      </c>
      <c r="C798" s="12">
        <v>2018</v>
      </c>
      <c r="D798" s="17">
        <v>1182</v>
      </c>
    </row>
    <row r="799" spans="1:4">
      <c r="A799" s="16">
        <v>530010</v>
      </c>
      <c r="B799" s="12" t="s">
        <v>367</v>
      </c>
      <c r="C799" s="12">
        <v>2019</v>
      </c>
      <c r="D799" s="17">
        <v>266</v>
      </c>
    </row>
    <row r="800" spans="1:4">
      <c r="A800" s="16">
        <v>530010</v>
      </c>
      <c r="B800" s="12" t="s">
        <v>367</v>
      </c>
      <c r="C800" s="12">
        <v>2020</v>
      </c>
      <c r="D800" s="17">
        <v>200</v>
      </c>
    </row>
    <row r="801" spans="1:4">
      <c r="A801" s="16">
        <v>530010</v>
      </c>
      <c r="B801" s="12" t="s">
        <v>367</v>
      </c>
      <c r="C801" s="12">
        <v>2021</v>
      </c>
      <c r="D801" s="17">
        <v>310</v>
      </c>
    </row>
    <row r="802" spans="1:4">
      <c r="A802" s="16">
        <v>530010</v>
      </c>
      <c r="B802" s="12" t="s">
        <v>367</v>
      </c>
      <c r="C802" s="12">
        <v>2022</v>
      </c>
      <c r="D802" s="17">
        <v>89</v>
      </c>
    </row>
    <row r="803" spans="1:4">
      <c r="A803" s="16">
        <v>530010</v>
      </c>
      <c r="B803" s="12" t="s">
        <v>367</v>
      </c>
      <c r="C803" s="12">
        <v>2023</v>
      </c>
      <c r="D803" s="17">
        <v>45</v>
      </c>
    </row>
    <row r="804" spans="1:4">
      <c r="A804" s="16">
        <v>530010</v>
      </c>
      <c r="B804" s="12" t="s">
        <v>367</v>
      </c>
      <c r="C804" s="12">
        <v>2024</v>
      </c>
      <c r="D804" s="17">
        <v>41</v>
      </c>
    </row>
    <row r="805" spans="1:4">
      <c r="A805" s="16">
        <v>530010</v>
      </c>
      <c r="B805" s="12" t="s">
        <v>367</v>
      </c>
      <c r="C805" s="12">
        <v>2025</v>
      </c>
      <c r="D805" s="17">
        <v>95</v>
      </c>
    </row>
    <row r="806" spans="1:4">
      <c r="A806" s="16"/>
      <c r="B806" s="12"/>
      <c r="C806" s="12"/>
      <c r="D806" s="17"/>
    </row>
    <row r="807" spans="1:4">
      <c r="A807" s="16"/>
      <c r="B807" s="12"/>
      <c r="C807" s="12"/>
      <c r="D807" s="17"/>
    </row>
    <row r="808" spans="1:4">
      <c r="A808" s="16"/>
      <c r="B808" s="12"/>
      <c r="C808" s="12"/>
      <c r="D808" s="17"/>
    </row>
    <row r="809" spans="1:4">
      <c r="A809" s="16"/>
      <c r="B809" s="12"/>
      <c r="C809" s="12"/>
      <c r="D809" s="17"/>
    </row>
    <row r="810" spans="1:4">
      <c r="A810" s="16"/>
      <c r="B810" s="12"/>
      <c r="C810" s="12"/>
      <c r="D810" s="12"/>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550D0-BC47-0B47-9514-B6556FEF20B7}">
  <dimension ref="A1:K805"/>
  <sheetViews>
    <sheetView zoomScale="150" zoomScaleNormal="150" workbookViewId="0">
      <selection activeCell="G2" sqref="G2"/>
    </sheetView>
  </sheetViews>
  <sheetFormatPr baseColWidth="10" defaultRowHeight="15"/>
  <sheetData>
    <row r="1" spans="1:11">
      <c r="A1" s="7" t="s">
        <v>291</v>
      </c>
      <c r="B1" s="8" t="s">
        <v>292</v>
      </c>
      <c r="C1" s="9" t="s">
        <v>257</v>
      </c>
      <c r="D1" s="9" t="s">
        <v>293</v>
      </c>
      <c r="E1" s="9" t="s">
        <v>294</v>
      </c>
      <c r="F1" s="9" t="s">
        <v>295</v>
      </c>
      <c r="G1" s="9" t="s">
        <v>296</v>
      </c>
      <c r="H1" s="9" t="s">
        <v>297</v>
      </c>
      <c r="I1" s="9" t="s">
        <v>298</v>
      </c>
      <c r="J1" s="9" t="s">
        <v>299</v>
      </c>
      <c r="K1" s="10" t="s">
        <v>300</v>
      </c>
    </row>
    <row r="2" spans="1:11">
      <c r="A2" s="11">
        <v>110020</v>
      </c>
      <c r="B2" s="12" t="s">
        <v>301</v>
      </c>
      <c r="C2" s="13">
        <v>2014</v>
      </c>
      <c r="D2" s="13">
        <v>484992</v>
      </c>
      <c r="E2" s="13">
        <v>148</v>
      </c>
      <c r="F2" s="13">
        <v>1494</v>
      </c>
      <c r="G2" s="13">
        <v>4521524</v>
      </c>
      <c r="H2" s="13">
        <v>43</v>
      </c>
      <c r="I2" s="13">
        <v>38731</v>
      </c>
      <c r="J2" s="13">
        <v>208018</v>
      </c>
      <c r="K2" s="14">
        <v>307</v>
      </c>
    </row>
    <row r="3" spans="1:11">
      <c r="A3" s="11">
        <v>110020</v>
      </c>
      <c r="B3" s="12" t="s">
        <v>301</v>
      </c>
      <c r="C3" s="13">
        <v>2015</v>
      </c>
      <c r="D3" s="13">
        <v>502748</v>
      </c>
      <c r="E3" s="13">
        <v>114</v>
      </c>
      <c r="F3" s="13">
        <v>652</v>
      </c>
      <c r="G3" s="13">
        <v>4574081</v>
      </c>
      <c r="H3" s="13">
        <v>25</v>
      </c>
      <c r="I3" s="13">
        <v>35047</v>
      </c>
      <c r="J3" s="13">
        <v>171666</v>
      </c>
      <c r="K3" s="13">
        <v>233</v>
      </c>
    </row>
    <row r="4" spans="1:11">
      <c r="A4" s="11">
        <v>110020</v>
      </c>
      <c r="B4" s="12" t="s">
        <v>301</v>
      </c>
      <c r="C4" s="13">
        <v>2016</v>
      </c>
      <c r="D4" s="13"/>
      <c r="E4" s="13">
        <v>114</v>
      </c>
      <c r="F4" s="13">
        <v>2413</v>
      </c>
      <c r="G4" s="13">
        <v>4546321</v>
      </c>
      <c r="H4" s="13">
        <v>39</v>
      </c>
      <c r="I4" s="13">
        <v>29870</v>
      </c>
      <c r="J4" s="13">
        <v>165475</v>
      </c>
      <c r="K4" s="13">
        <v>1009</v>
      </c>
    </row>
    <row r="5" spans="1:11">
      <c r="A5" s="11">
        <v>110020</v>
      </c>
      <c r="B5" s="12" t="s">
        <v>301</v>
      </c>
      <c r="C5" s="13">
        <v>2017</v>
      </c>
      <c r="D5" s="13"/>
      <c r="E5" s="13">
        <v>85</v>
      </c>
      <c r="F5" s="13">
        <v>892</v>
      </c>
      <c r="G5" s="13">
        <v>4765730</v>
      </c>
      <c r="H5" s="13">
        <v>25</v>
      </c>
      <c r="I5" s="13">
        <v>24180</v>
      </c>
      <c r="J5" s="13">
        <v>85781</v>
      </c>
      <c r="K5" s="13">
        <v>357</v>
      </c>
    </row>
    <row r="6" spans="1:11">
      <c r="A6" s="11">
        <v>110020</v>
      </c>
      <c r="B6" s="12" t="s">
        <v>301</v>
      </c>
      <c r="C6" s="13">
        <v>2018</v>
      </c>
      <c r="D6" s="13"/>
      <c r="E6" s="13">
        <v>96</v>
      </c>
      <c r="F6" s="13">
        <v>1480</v>
      </c>
      <c r="G6" s="13">
        <v>5243163</v>
      </c>
      <c r="H6" s="13">
        <v>17</v>
      </c>
      <c r="I6" s="13">
        <v>7469</v>
      </c>
      <c r="J6" s="13">
        <v>1365</v>
      </c>
      <c r="K6" s="13">
        <v>114</v>
      </c>
    </row>
    <row r="7" spans="1:11">
      <c r="A7" s="11">
        <v>110020</v>
      </c>
      <c r="B7" s="12" t="s">
        <v>301</v>
      </c>
      <c r="C7" s="13">
        <v>2019</v>
      </c>
      <c r="D7" s="13"/>
      <c r="E7" s="13">
        <v>116</v>
      </c>
      <c r="F7" s="13">
        <v>2950</v>
      </c>
      <c r="G7" s="13">
        <v>5397213</v>
      </c>
      <c r="H7" s="13">
        <v>26</v>
      </c>
      <c r="I7" s="13">
        <v>6023</v>
      </c>
      <c r="J7" s="13">
        <v>210</v>
      </c>
      <c r="K7" s="13">
        <v>181</v>
      </c>
    </row>
    <row r="8" spans="1:11">
      <c r="A8" s="11">
        <v>110020</v>
      </c>
      <c r="B8" s="12" t="s">
        <v>301</v>
      </c>
      <c r="C8" s="13">
        <v>2020</v>
      </c>
      <c r="D8" s="13"/>
      <c r="E8" s="13">
        <v>227</v>
      </c>
      <c r="F8" s="13">
        <v>1155</v>
      </c>
      <c r="G8" s="13">
        <v>4105324</v>
      </c>
      <c r="H8" s="13">
        <v>71</v>
      </c>
      <c r="I8" s="13">
        <v>3322</v>
      </c>
      <c r="J8" s="13">
        <v>0</v>
      </c>
      <c r="K8" s="13">
        <v>309</v>
      </c>
    </row>
    <row r="9" spans="1:11">
      <c r="A9" s="11">
        <v>110020</v>
      </c>
      <c r="B9" s="12" t="s">
        <v>301</v>
      </c>
      <c r="C9" s="13">
        <v>2021</v>
      </c>
      <c r="D9" s="13"/>
      <c r="E9" s="13">
        <v>277</v>
      </c>
      <c r="F9" s="13">
        <v>1441</v>
      </c>
      <c r="G9" s="13">
        <v>5205099</v>
      </c>
      <c r="H9" s="13">
        <v>53</v>
      </c>
      <c r="I9" s="13">
        <v>1893</v>
      </c>
      <c r="J9" s="13">
        <v>0</v>
      </c>
      <c r="K9" s="13">
        <v>212</v>
      </c>
    </row>
    <row r="10" spans="1:11">
      <c r="A10" s="11">
        <v>110020</v>
      </c>
      <c r="B10" s="12" t="s">
        <v>301</v>
      </c>
      <c r="C10" s="13">
        <v>2022</v>
      </c>
      <c r="D10" s="13">
        <v>460434</v>
      </c>
      <c r="E10" s="13">
        <v>153</v>
      </c>
      <c r="F10" s="13">
        <v>1874</v>
      </c>
      <c r="G10" s="13">
        <v>5880989</v>
      </c>
      <c r="H10" s="13">
        <v>51</v>
      </c>
      <c r="I10" s="13">
        <v>4957</v>
      </c>
      <c r="J10" s="13">
        <v>1</v>
      </c>
      <c r="K10" s="13">
        <v>2021</v>
      </c>
    </row>
    <row r="11" spans="1:11">
      <c r="A11" s="11">
        <v>110020</v>
      </c>
      <c r="B11" s="12" t="s">
        <v>301</v>
      </c>
      <c r="C11" s="13">
        <v>2023</v>
      </c>
      <c r="D11" s="13"/>
      <c r="E11" s="13">
        <v>173</v>
      </c>
      <c r="F11" s="13">
        <v>1880</v>
      </c>
      <c r="G11" s="13">
        <v>5655048</v>
      </c>
      <c r="H11" s="13">
        <v>28</v>
      </c>
      <c r="I11" s="13">
        <v>5489</v>
      </c>
      <c r="J11" s="13">
        <v>0</v>
      </c>
      <c r="K11" s="13">
        <v>1160</v>
      </c>
    </row>
    <row r="12" spans="1:11">
      <c r="A12" s="11">
        <v>110020</v>
      </c>
      <c r="B12" s="12" t="s">
        <v>301</v>
      </c>
      <c r="C12" s="13">
        <v>2024</v>
      </c>
      <c r="D12" s="13"/>
      <c r="E12" s="13">
        <v>110</v>
      </c>
      <c r="F12" s="13">
        <v>2923</v>
      </c>
      <c r="G12" s="13">
        <v>6506314</v>
      </c>
      <c r="H12" s="13">
        <v>20</v>
      </c>
      <c r="I12" s="13">
        <v>5907</v>
      </c>
      <c r="J12" s="13">
        <v>1</v>
      </c>
      <c r="K12" s="13">
        <v>613</v>
      </c>
    </row>
    <row r="13" spans="1:11">
      <c r="A13" s="11">
        <v>110020</v>
      </c>
      <c r="B13" s="12" t="s">
        <v>301</v>
      </c>
      <c r="C13" s="13">
        <v>2025</v>
      </c>
      <c r="D13" s="13"/>
      <c r="E13" s="13">
        <v>79</v>
      </c>
      <c r="F13" s="13">
        <v>6053</v>
      </c>
      <c r="G13" s="13">
        <v>5348012</v>
      </c>
      <c r="H13" s="13">
        <v>34</v>
      </c>
      <c r="I13" s="13">
        <v>1401</v>
      </c>
      <c r="J13" s="13">
        <v>0</v>
      </c>
      <c r="K13" s="13">
        <v>211</v>
      </c>
    </row>
    <row r="14" spans="1:11">
      <c r="A14" s="11">
        <v>120040</v>
      </c>
      <c r="B14" s="12" t="s">
        <v>302</v>
      </c>
      <c r="C14" s="13">
        <v>2014</v>
      </c>
      <c r="D14" s="13">
        <v>357194</v>
      </c>
      <c r="E14" s="13">
        <v>158</v>
      </c>
      <c r="F14" s="13">
        <v>2060</v>
      </c>
      <c r="G14" s="13">
        <v>3362808</v>
      </c>
      <c r="H14" s="13">
        <v>124</v>
      </c>
      <c r="I14" s="13">
        <v>36692</v>
      </c>
      <c r="J14" s="13">
        <v>399492</v>
      </c>
      <c r="K14" s="13">
        <v>732</v>
      </c>
    </row>
    <row r="15" spans="1:11">
      <c r="A15" s="11">
        <v>120040</v>
      </c>
      <c r="B15" s="12" t="s">
        <v>302</v>
      </c>
      <c r="C15" s="13">
        <v>2015</v>
      </c>
      <c r="D15" s="13">
        <v>370550</v>
      </c>
      <c r="E15" s="13">
        <v>158</v>
      </c>
      <c r="F15" s="13">
        <v>2772</v>
      </c>
      <c r="G15" s="13">
        <v>3185054</v>
      </c>
      <c r="H15" s="13">
        <v>98</v>
      </c>
      <c r="I15" s="13">
        <v>43883</v>
      </c>
      <c r="J15" s="13">
        <v>348615</v>
      </c>
      <c r="K15" s="13">
        <v>566</v>
      </c>
    </row>
    <row r="16" spans="1:11">
      <c r="A16" s="11">
        <v>120040</v>
      </c>
      <c r="B16" s="12" t="s">
        <v>302</v>
      </c>
      <c r="C16" s="13">
        <v>2016</v>
      </c>
      <c r="D16" s="13"/>
      <c r="E16" s="13">
        <v>158</v>
      </c>
      <c r="F16" s="13">
        <v>2093</v>
      </c>
      <c r="G16" s="13">
        <v>2888353</v>
      </c>
      <c r="H16" s="13">
        <v>63</v>
      </c>
      <c r="I16" s="13">
        <v>45811</v>
      </c>
      <c r="J16" s="13">
        <v>323506</v>
      </c>
      <c r="K16" s="13">
        <v>949</v>
      </c>
    </row>
    <row r="17" spans="1:11">
      <c r="A17" s="11">
        <v>120040</v>
      </c>
      <c r="B17" s="12" t="s">
        <v>302</v>
      </c>
      <c r="C17" s="13">
        <v>2017</v>
      </c>
      <c r="D17" s="13"/>
      <c r="E17" s="13">
        <v>136</v>
      </c>
      <c r="F17" s="13">
        <v>1505</v>
      </c>
      <c r="G17" s="13">
        <v>2879006</v>
      </c>
      <c r="H17" s="13">
        <v>76</v>
      </c>
      <c r="I17" s="13">
        <v>38180</v>
      </c>
      <c r="J17" s="13">
        <v>249568</v>
      </c>
      <c r="K17" s="13">
        <v>498</v>
      </c>
    </row>
    <row r="18" spans="1:11">
      <c r="A18" s="11">
        <v>120040</v>
      </c>
      <c r="B18" s="12" t="s">
        <v>302</v>
      </c>
      <c r="C18" s="13">
        <v>2018</v>
      </c>
      <c r="D18" s="13"/>
      <c r="E18" s="13">
        <v>179</v>
      </c>
      <c r="F18" s="13">
        <v>1040</v>
      </c>
      <c r="G18" s="13">
        <v>2322426</v>
      </c>
      <c r="H18" s="13">
        <v>74</v>
      </c>
      <c r="I18" s="13">
        <v>27430</v>
      </c>
      <c r="J18" s="13">
        <v>85655</v>
      </c>
      <c r="K18" s="13">
        <v>1757</v>
      </c>
    </row>
    <row r="19" spans="1:11">
      <c r="A19" s="11">
        <v>120040</v>
      </c>
      <c r="B19" s="12" t="s">
        <v>302</v>
      </c>
      <c r="C19" s="13">
        <v>2019</v>
      </c>
      <c r="D19" s="13"/>
      <c r="E19" s="13">
        <v>179</v>
      </c>
      <c r="F19" s="13">
        <v>732</v>
      </c>
      <c r="G19" s="13">
        <v>3034622</v>
      </c>
      <c r="H19" s="13">
        <v>98</v>
      </c>
      <c r="I19" s="13">
        <v>33026</v>
      </c>
      <c r="J19" s="13">
        <v>150656</v>
      </c>
      <c r="K19" s="13">
        <v>2879</v>
      </c>
    </row>
    <row r="20" spans="1:11">
      <c r="A20" s="11">
        <v>120040</v>
      </c>
      <c r="B20" s="12" t="s">
        <v>302</v>
      </c>
      <c r="C20" s="13">
        <v>2020</v>
      </c>
      <c r="D20" s="13"/>
      <c r="E20" s="13">
        <v>129</v>
      </c>
      <c r="F20" s="13">
        <v>430</v>
      </c>
      <c r="G20" s="13">
        <v>2002471</v>
      </c>
      <c r="H20" s="13">
        <v>38</v>
      </c>
      <c r="I20" s="13">
        <v>31401</v>
      </c>
      <c r="J20" s="13">
        <v>169300</v>
      </c>
      <c r="K20" s="13">
        <v>1379</v>
      </c>
    </row>
    <row r="21" spans="1:11">
      <c r="A21" s="11">
        <v>120040</v>
      </c>
      <c r="B21" s="12" t="s">
        <v>302</v>
      </c>
      <c r="C21" s="13">
        <v>2021</v>
      </c>
      <c r="D21" s="13"/>
      <c r="E21" s="13">
        <v>176</v>
      </c>
      <c r="F21" s="13">
        <v>266</v>
      </c>
      <c r="G21" s="13">
        <v>2795265</v>
      </c>
      <c r="H21" s="13">
        <v>72</v>
      </c>
      <c r="I21" s="13">
        <v>34119</v>
      </c>
      <c r="J21" s="13">
        <v>219531</v>
      </c>
      <c r="K21" s="13">
        <v>5761</v>
      </c>
    </row>
    <row r="22" spans="1:11">
      <c r="A22" s="11">
        <v>120040</v>
      </c>
      <c r="B22" s="12" t="s">
        <v>302</v>
      </c>
      <c r="C22" s="13">
        <v>2022</v>
      </c>
      <c r="D22" s="13">
        <v>364756</v>
      </c>
      <c r="E22" s="13">
        <v>171</v>
      </c>
      <c r="F22" s="13">
        <v>597</v>
      </c>
      <c r="G22" s="13">
        <v>3198571</v>
      </c>
      <c r="H22" s="13">
        <v>35</v>
      </c>
      <c r="I22" s="13">
        <v>28446</v>
      </c>
      <c r="J22" s="13">
        <v>218328</v>
      </c>
      <c r="K22" s="13">
        <v>261</v>
      </c>
    </row>
    <row r="23" spans="1:11">
      <c r="A23" s="11">
        <v>120040</v>
      </c>
      <c r="B23" s="12" t="s">
        <v>302</v>
      </c>
      <c r="C23" s="13">
        <v>2023</v>
      </c>
      <c r="D23" s="13"/>
      <c r="E23" s="13">
        <v>306</v>
      </c>
      <c r="F23" s="13">
        <v>3760</v>
      </c>
      <c r="G23" s="13">
        <v>3930217</v>
      </c>
      <c r="H23" s="13">
        <v>85</v>
      </c>
      <c r="I23" s="13">
        <v>28012</v>
      </c>
      <c r="J23" s="13">
        <v>239023</v>
      </c>
      <c r="K23" s="13">
        <v>1450</v>
      </c>
    </row>
    <row r="24" spans="1:11">
      <c r="A24" s="11">
        <v>120040</v>
      </c>
      <c r="B24" s="12" t="s">
        <v>302</v>
      </c>
      <c r="C24" s="13">
        <v>2024</v>
      </c>
      <c r="D24" s="13"/>
      <c r="E24" s="13">
        <v>361</v>
      </c>
      <c r="F24" s="13">
        <v>4797</v>
      </c>
      <c r="G24" s="13">
        <v>4618537</v>
      </c>
      <c r="H24" s="13">
        <v>41</v>
      </c>
      <c r="I24" s="13">
        <v>28774</v>
      </c>
      <c r="J24" s="13">
        <v>309787</v>
      </c>
      <c r="K24" s="13">
        <v>1423</v>
      </c>
    </row>
    <row r="25" spans="1:11">
      <c r="A25" s="11">
        <v>120040</v>
      </c>
      <c r="B25" s="12" t="s">
        <v>302</v>
      </c>
      <c r="C25" s="13">
        <v>2025</v>
      </c>
      <c r="D25" s="13"/>
      <c r="E25" s="13">
        <v>266</v>
      </c>
      <c r="F25" s="13">
        <v>3592</v>
      </c>
      <c r="G25" s="13">
        <v>4255892</v>
      </c>
      <c r="H25" s="13">
        <v>24</v>
      </c>
      <c r="I25" s="13">
        <v>25012</v>
      </c>
      <c r="J25" s="13">
        <v>277689</v>
      </c>
      <c r="K25" s="13">
        <v>3885</v>
      </c>
    </row>
    <row r="26" spans="1:11">
      <c r="A26" s="11">
        <v>130260</v>
      </c>
      <c r="B26" s="12" t="s">
        <v>303</v>
      </c>
      <c r="C26" s="13">
        <v>2014</v>
      </c>
      <c r="D26" s="13">
        <v>1982177</v>
      </c>
      <c r="E26" s="13">
        <v>421</v>
      </c>
      <c r="F26" s="13">
        <v>15994</v>
      </c>
      <c r="G26" s="13">
        <v>16057126</v>
      </c>
      <c r="H26" s="13">
        <v>277</v>
      </c>
      <c r="I26" s="13">
        <v>95032</v>
      </c>
      <c r="J26" s="13">
        <v>828236</v>
      </c>
      <c r="K26" s="13">
        <v>2623</v>
      </c>
    </row>
    <row r="27" spans="1:11">
      <c r="A27" s="11">
        <v>130260</v>
      </c>
      <c r="B27" s="12" t="s">
        <v>303</v>
      </c>
      <c r="C27" s="13">
        <v>2015</v>
      </c>
      <c r="D27" s="13">
        <v>2057711</v>
      </c>
      <c r="E27" s="13">
        <v>649</v>
      </c>
      <c r="F27" s="13">
        <v>18779</v>
      </c>
      <c r="G27" s="13">
        <v>15325905</v>
      </c>
      <c r="H27" s="13">
        <v>471</v>
      </c>
      <c r="I27" s="13">
        <v>98777</v>
      </c>
      <c r="J27" s="13">
        <v>1016036</v>
      </c>
      <c r="K27" s="13">
        <v>1620</v>
      </c>
    </row>
    <row r="28" spans="1:11">
      <c r="A28" s="11">
        <v>130260</v>
      </c>
      <c r="B28" s="12" t="s">
        <v>303</v>
      </c>
      <c r="C28" s="13">
        <v>2016</v>
      </c>
      <c r="D28" s="13"/>
      <c r="E28" s="13">
        <v>697</v>
      </c>
      <c r="F28" s="13">
        <v>20256</v>
      </c>
      <c r="G28" s="13">
        <v>15059115</v>
      </c>
      <c r="H28" s="13">
        <v>495</v>
      </c>
      <c r="I28" s="13">
        <v>170116</v>
      </c>
      <c r="J28" s="13">
        <v>1138916</v>
      </c>
      <c r="K28" s="13">
        <v>5359</v>
      </c>
    </row>
    <row r="29" spans="1:11">
      <c r="A29" s="11">
        <v>130260</v>
      </c>
      <c r="B29" s="12" t="s">
        <v>303</v>
      </c>
      <c r="C29" s="13">
        <v>2017</v>
      </c>
      <c r="D29" s="13"/>
      <c r="E29" s="13">
        <v>551</v>
      </c>
      <c r="F29" s="13">
        <v>21578</v>
      </c>
      <c r="G29" s="13">
        <v>15386998</v>
      </c>
      <c r="H29" s="13">
        <v>449</v>
      </c>
      <c r="I29" s="13">
        <v>140573</v>
      </c>
      <c r="J29" s="13">
        <v>900600</v>
      </c>
      <c r="K29" s="13">
        <v>2554</v>
      </c>
    </row>
    <row r="30" spans="1:11">
      <c r="A30" s="11">
        <v>130260</v>
      </c>
      <c r="B30" s="12" t="s">
        <v>303</v>
      </c>
      <c r="C30" s="13">
        <v>2018</v>
      </c>
      <c r="D30" s="13"/>
      <c r="E30" s="13">
        <v>702</v>
      </c>
      <c r="F30" s="13">
        <v>21114</v>
      </c>
      <c r="G30" s="13">
        <v>14543338</v>
      </c>
      <c r="H30" s="13">
        <v>399</v>
      </c>
      <c r="I30" s="13">
        <v>69709</v>
      </c>
      <c r="J30" s="13">
        <v>760578</v>
      </c>
      <c r="K30" s="13">
        <v>1303</v>
      </c>
    </row>
    <row r="31" spans="1:11">
      <c r="A31" s="11">
        <v>130260</v>
      </c>
      <c r="B31" s="12" t="s">
        <v>303</v>
      </c>
      <c r="C31" s="13">
        <v>2019</v>
      </c>
      <c r="D31" s="13"/>
      <c r="E31" s="13">
        <v>522</v>
      </c>
      <c r="F31" s="13">
        <v>20016</v>
      </c>
      <c r="G31" s="13">
        <v>15110985</v>
      </c>
      <c r="H31" s="13">
        <v>481</v>
      </c>
      <c r="I31" s="13">
        <v>46200</v>
      </c>
      <c r="J31" s="13">
        <v>356420</v>
      </c>
      <c r="K31" s="13">
        <v>477</v>
      </c>
    </row>
    <row r="32" spans="1:11">
      <c r="A32" s="11">
        <v>130260</v>
      </c>
      <c r="B32" s="12" t="s">
        <v>303</v>
      </c>
      <c r="C32" s="13">
        <v>2020</v>
      </c>
      <c r="D32" s="13"/>
      <c r="E32" s="13">
        <v>545</v>
      </c>
      <c r="F32" s="13">
        <v>13304</v>
      </c>
      <c r="G32" s="13">
        <v>11358728</v>
      </c>
      <c r="H32" s="13">
        <v>501</v>
      </c>
      <c r="I32" s="13">
        <v>6335</v>
      </c>
      <c r="J32" s="13">
        <v>56062</v>
      </c>
      <c r="K32" s="13">
        <v>959</v>
      </c>
    </row>
    <row r="33" spans="1:11">
      <c r="A33" s="11">
        <v>130260</v>
      </c>
      <c r="B33" s="12" t="s">
        <v>303</v>
      </c>
      <c r="C33" s="13">
        <v>2021</v>
      </c>
      <c r="D33" s="13"/>
      <c r="E33" s="13">
        <v>903</v>
      </c>
      <c r="F33" s="13">
        <v>12771</v>
      </c>
      <c r="G33" s="13">
        <v>13395881</v>
      </c>
      <c r="H33" s="13">
        <v>458</v>
      </c>
      <c r="I33" s="13">
        <v>1964</v>
      </c>
      <c r="J33" s="13">
        <v>17747</v>
      </c>
      <c r="K33" s="13">
        <v>4016</v>
      </c>
    </row>
    <row r="34" spans="1:11">
      <c r="A34" s="11">
        <v>130260</v>
      </c>
      <c r="B34" s="12" t="s">
        <v>303</v>
      </c>
      <c r="C34" s="13">
        <v>2022</v>
      </c>
      <c r="D34" s="13">
        <v>2063689</v>
      </c>
      <c r="E34" s="13">
        <v>952</v>
      </c>
      <c r="F34" s="13">
        <v>14630</v>
      </c>
      <c r="G34" s="13">
        <v>15598169</v>
      </c>
      <c r="H34" s="13">
        <v>416</v>
      </c>
      <c r="I34" s="13">
        <v>845</v>
      </c>
      <c r="J34" s="13">
        <v>10301</v>
      </c>
      <c r="K34" s="13">
        <v>1197</v>
      </c>
    </row>
    <row r="35" spans="1:11">
      <c r="A35" s="11">
        <v>130260</v>
      </c>
      <c r="B35" s="12" t="s">
        <v>303</v>
      </c>
      <c r="C35" s="13">
        <v>2023</v>
      </c>
      <c r="D35" s="13"/>
      <c r="E35" s="13">
        <v>972</v>
      </c>
      <c r="F35" s="13">
        <v>22494</v>
      </c>
      <c r="G35" s="13">
        <v>16240672</v>
      </c>
      <c r="H35" s="13">
        <v>415</v>
      </c>
      <c r="I35" s="13">
        <v>787</v>
      </c>
      <c r="J35" s="13">
        <v>20724</v>
      </c>
      <c r="K35" s="13">
        <v>1172</v>
      </c>
    </row>
    <row r="36" spans="1:11">
      <c r="A36" s="11">
        <v>130260</v>
      </c>
      <c r="B36" s="12" t="s">
        <v>303</v>
      </c>
      <c r="C36" s="13">
        <v>2024</v>
      </c>
      <c r="D36" s="13"/>
      <c r="E36" s="13">
        <v>792</v>
      </c>
      <c r="F36" s="13">
        <v>26000</v>
      </c>
      <c r="G36" s="13">
        <v>17718719</v>
      </c>
      <c r="H36" s="13">
        <v>387</v>
      </c>
      <c r="I36" s="13">
        <v>3058</v>
      </c>
      <c r="J36" s="13">
        <v>2573497</v>
      </c>
      <c r="K36" s="13">
        <v>2606</v>
      </c>
    </row>
    <row r="37" spans="1:11">
      <c r="A37" s="11">
        <v>130260</v>
      </c>
      <c r="B37" s="12" t="s">
        <v>303</v>
      </c>
      <c r="C37" s="13">
        <v>2025</v>
      </c>
      <c r="D37" s="13"/>
      <c r="E37" s="13">
        <v>571</v>
      </c>
      <c r="F37" s="13">
        <v>22385</v>
      </c>
      <c r="G37" s="13">
        <v>11389691</v>
      </c>
      <c r="H37" s="13">
        <v>184</v>
      </c>
      <c r="I37" s="13">
        <v>2305</v>
      </c>
      <c r="J37" s="13">
        <v>50526</v>
      </c>
      <c r="K37" s="13">
        <v>1272</v>
      </c>
    </row>
    <row r="38" spans="1:11">
      <c r="A38" s="11">
        <v>140010</v>
      </c>
      <c r="B38" s="12" t="s">
        <v>304</v>
      </c>
      <c r="C38" s="13">
        <v>2014</v>
      </c>
      <c r="D38" s="13">
        <v>308996</v>
      </c>
      <c r="E38" s="13">
        <v>499</v>
      </c>
      <c r="F38" s="13">
        <v>3808</v>
      </c>
      <c r="G38" s="13">
        <v>2167171</v>
      </c>
      <c r="H38" s="13">
        <v>87</v>
      </c>
      <c r="I38" s="13">
        <v>34402</v>
      </c>
      <c r="J38" s="13">
        <v>277604</v>
      </c>
      <c r="K38" s="13">
        <v>9</v>
      </c>
    </row>
    <row r="39" spans="1:11">
      <c r="A39" s="11">
        <v>140010</v>
      </c>
      <c r="B39" s="12" t="s">
        <v>304</v>
      </c>
      <c r="C39" s="13">
        <v>2015</v>
      </c>
      <c r="D39" s="13">
        <v>320714</v>
      </c>
      <c r="E39" s="13">
        <v>466</v>
      </c>
      <c r="F39" s="13">
        <v>3472</v>
      </c>
      <c r="G39" s="13">
        <v>2275887</v>
      </c>
      <c r="H39" s="13">
        <v>75</v>
      </c>
      <c r="I39" s="13">
        <v>121076</v>
      </c>
      <c r="J39" s="13">
        <v>290380</v>
      </c>
      <c r="K39" s="13">
        <v>439</v>
      </c>
    </row>
    <row r="40" spans="1:11">
      <c r="A40" s="11">
        <v>140010</v>
      </c>
      <c r="B40" s="12" t="s">
        <v>304</v>
      </c>
      <c r="C40" s="13">
        <v>2016</v>
      </c>
      <c r="D40" s="13"/>
      <c r="E40" s="13">
        <v>371</v>
      </c>
      <c r="F40" s="13">
        <v>1843</v>
      </c>
      <c r="G40" s="13">
        <v>2183881</v>
      </c>
      <c r="H40" s="13">
        <v>86</v>
      </c>
      <c r="I40" s="13">
        <v>32965</v>
      </c>
      <c r="J40" s="13">
        <v>339347</v>
      </c>
      <c r="K40" s="13">
        <v>82</v>
      </c>
    </row>
    <row r="41" spans="1:11">
      <c r="A41" s="11">
        <v>140010</v>
      </c>
      <c r="B41" s="12" t="s">
        <v>304</v>
      </c>
      <c r="C41" s="13">
        <v>2017</v>
      </c>
      <c r="D41" s="13"/>
      <c r="E41" s="13">
        <v>319</v>
      </c>
      <c r="F41" s="13">
        <v>1658</v>
      </c>
      <c r="G41" s="13">
        <v>2401679</v>
      </c>
      <c r="H41" s="13">
        <v>163</v>
      </c>
      <c r="I41" s="13">
        <v>20473</v>
      </c>
      <c r="J41" s="13">
        <v>129127</v>
      </c>
      <c r="K41" s="13">
        <v>203</v>
      </c>
    </row>
    <row r="42" spans="1:11">
      <c r="A42" s="11">
        <v>140010</v>
      </c>
      <c r="B42" s="12" t="s">
        <v>304</v>
      </c>
      <c r="C42" s="13">
        <v>2018</v>
      </c>
      <c r="D42" s="13"/>
      <c r="E42" s="13">
        <v>323</v>
      </c>
      <c r="F42" s="13">
        <v>1939</v>
      </c>
      <c r="G42" s="13">
        <v>2496464</v>
      </c>
      <c r="H42" s="13">
        <v>142</v>
      </c>
      <c r="I42" s="13">
        <v>5265</v>
      </c>
      <c r="J42" s="13">
        <v>34281</v>
      </c>
      <c r="K42" s="13">
        <v>75</v>
      </c>
    </row>
    <row r="43" spans="1:11">
      <c r="A43" s="11">
        <v>140010</v>
      </c>
      <c r="B43" s="12" t="s">
        <v>304</v>
      </c>
      <c r="C43" s="13">
        <v>2019</v>
      </c>
      <c r="D43" s="13"/>
      <c r="E43" s="13">
        <v>482</v>
      </c>
      <c r="F43" s="13">
        <v>1659</v>
      </c>
      <c r="G43" s="13">
        <v>2125387</v>
      </c>
      <c r="H43" s="13">
        <v>80</v>
      </c>
      <c r="I43" s="13">
        <v>0</v>
      </c>
      <c r="J43" s="13">
        <v>1647</v>
      </c>
      <c r="K43" s="13">
        <v>1038</v>
      </c>
    </row>
    <row r="44" spans="1:11">
      <c r="A44" s="11">
        <v>140010</v>
      </c>
      <c r="B44" s="12" t="s">
        <v>304</v>
      </c>
      <c r="C44" s="13">
        <v>2020</v>
      </c>
      <c r="D44" s="13"/>
      <c r="E44" s="13">
        <v>366</v>
      </c>
      <c r="F44" s="13">
        <v>1283</v>
      </c>
      <c r="G44" s="13">
        <v>1752373</v>
      </c>
      <c r="H44" s="13">
        <v>14</v>
      </c>
      <c r="I44" s="13">
        <v>0</v>
      </c>
      <c r="J44" s="13">
        <v>7</v>
      </c>
      <c r="K44" s="13">
        <v>374</v>
      </c>
    </row>
    <row r="45" spans="1:11">
      <c r="A45" s="11">
        <v>140010</v>
      </c>
      <c r="B45" s="12" t="s">
        <v>304</v>
      </c>
      <c r="C45" s="13">
        <v>2021</v>
      </c>
      <c r="D45" s="13"/>
      <c r="E45" s="13">
        <v>413</v>
      </c>
      <c r="F45" s="13">
        <v>2021</v>
      </c>
      <c r="G45" s="13">
        <v>2092242</v>
      </c>
      <c r="H45" s="13">
        <v>32</v>
      </c>
      <c r="I45" s="13">
        <v>4</v>
      </c>
      <c r="J45" s="13">
        <v>4</v>
      </c>
      <c r="K45" s="13">
        <v>41</v>
      </c>
    </row>
    <row r="46" spans="1:11">
      <c r="A46" s="11">
        <v>140010</v>
      </c>
      <c r="B46" s="12" t="s">
        <v>304</v>
      </c>
      <c r="C46" s="13">
        <v>2022</v>
      </c>
      <c r="D46" s="13">
        <v>413486</v>
      </c>
      <c r="E46" s="13">
        <v>453</v>
      </c>
      <c r="F46" s="13">
        <v>6196</v>
      </c>
      <c r="G46" s="13">
        <v>2201906</v>
      </c>
      <c r="H46" s="13">
        <v>67</v>
      </c>
      <c r="I46" s="13">
        <v>0</v>
      </c>
      <c r="J46" s="13">
        <v>36</v>
      </c>
      <c r="K46" s="13">
        <v>42</v>
      </c>
    </row>
    <row r="47" spans="1:11">
      <c r="A47" s="11">
        <v>140010</v>
      </c>
      <c r="B47" s="12" t="s">
        <v>304</v>
      </c>
      <c r="C47" s="13">
        <v>2023</v>
      </c>
      <c r="D47" s="13"/>
      <c r="E47" s="13">
        <v>553</v>
      </c>
      <c r="F47" s="13">
        <v>6328</v>
      </c>
      <c r="G47" s="13">
        <v>2451975</v>
      </c>
      <c r="H47" s="13">
        <v>120</v>
      </c>
      <c r="I47" s="13">
        <v>0</v>
      </c>
      <c r="J47" s="13">
        <v>11</v>
      </c>
      <c r="K47" s="13">
        <v>63</v>
      </c>
    </row>
    <row r="48" spans="1:11">
      <c r="A48" s="11">
        <v>140010</v>
      </c>
      <c r="B48" s="12" t="s">
        <v>304</v>
      </c>
      <c r="C48" s="13">
        <v>2024</v>
      </c>
      <c r="D48" s="13"/>
      <c r="E48" s="13">
        <v>272</v>
      </c>
      <c r="F48" s="13">
        <v>7838</v>
      </c>
      <c r="G48" s="13">
        <v>2937157</v>
      </c>
      <c r="H48" s="13">
        <v>48</v>
      </c>
      <c r="I48" s="13">
        <v>0</v>
      </c>
      <c r="J48" s="13">
        <v>138</v>
      </c>
      <c r="K48" s="13">
        <v>267</v>
      </c>
    </row>
    <row r="49" spans="1:11">
      <c r="A49" s="11">
        <v>140010</v>
      </c>
      <c r="B49" s="12" t="s">
        <v>304</v>
      </c>
      <c r="C49" s="13">
        <v>2025</v>
      </c>
      <c r="D49" s="13"/>
      <c r="E49" s="13">
        <v>128</v>
      </c>
      <c r="F49" s="13">
        <v>4923</v>
      </c>
      <c r="G49" s="13">
        <v>2291765</v>
      </c>
      <c r="H49" s="13">
        <v>31</v>
      </c>
      <c r="I49" s="13">
        <v>0</v>
      </c>
      <c r="J49" s="13">
        <v>333</v>
      </c>
      <c r="K49" s="13">
        <v>247</v>
      </c>
    </row>
    <row r="50" spans="1:11">
      <c r="A50" s="11">
        <v>150080</v>
      </c>
      <c r="B50" s="12" t="s">
        <v>305</v>
      </c>
      <c r="C50" s="13">
        <v>2014</v>
      </c>
      <c r="D50" s="13">
        <v>493976</v>
      </c>
      <c r="E50" s="13">
        <v>371</v>
      </c>
      <c r="F50" s="13">
        <v>3245</v>
      </c>
      <c r="G50" s="13">
        <v>1346276</v>
      </c>
      <c r="H50" s="13">
        <v>467</v>
      </c>
      <c r="I50" s="13">
        <v>34928</v>
      </c>
      <c r="J50" s="13">
        <v>310377</v>
      </c>
      <c r="K50" s="13">
        <v>72</v>
      </c>
    </row>
    <row r="51" spans="1:11">
      <c r="A51" s="11">
        <v>150080</v>
      </c>
      <c r="B51" s="12" t="s">
        <v>305</v>
      </c>
      <c r="C51" s="13">
        <v>2015</v>
      </c>
      <c r="D51" s="13">
        <v>505404</v>
      </c>
      <c r="E51" s="13">
        <v>232</v>
      </c>
      <c r="F51" s="13">
        <v>2304</v>
      </c>
      <c r="G51" s="13">
        <v>2000934</v>
      </c>
      <c r="H51" s="13">
        <v>188</v>
      </c>
      <c r="I51" s="13">
        <v>57160</v>
      </c>
      <c r="J51" s="13">
        <v>356665</v>
      </c>
      <c r="K51" s="13">
        <v>405</v>
      </c>
    </row>
    <row r="52" spans="1:11">
      <c r="A52" s="11">
        <v>150080</v>
      </c>
      <c r="B52" s="12" t="s">
        <v>305</v>
      </c>
      <c r="C52" s="13">
        <v>2016</v>
      </c>
      <c r="D52" s="13"/>
      <c r="E52" s="13">
        <v>283</v>
      </c>
      <c r="F52" s="13">
        <v>2055</v>
      </c>
      <c r="G52" s="13">
        <v>1165564</v>
      </c>
      <c r="H52" s="13">
        <v>198</v>
      </c>
      <c r="I52" s="13">
        <v>235152</v>
      </c>
      <c r="J52" s="13">
        <v>373805</v>
      </c>
      <c r="K52" s="13">
        <v>312</v>
      </c>
    </row>
    <row r="53" spans="1:11">
      <c r="A53" s="11">
        <v>150080</v>
      </c>
      <c r="B53" s="12" t="s">
        <v>305</v>
      </c>
      <c r="C53" s="13">
        <v>2017</v>
      </c>
      <c r="D53" s="13"/>
      <c r="E53" s="13">
        <v>400</v>
      </c>
      <c r="F53" s="13">
        <v>2222</v>
      </c>
      <c r="G53" s="13">
        <v>1010123</v>
      </c>
      <c r="H53" s="13">
        <v>261</v>
      </c>
      <c r="I53" s="13">
        <v>38595</v>
      </c>
      <c r="J53" s="13">
        <v>175757</v>
      </c>
      <c r="K53" s="13">
        <v>69</v>
      </c>
    </row>
    <row r="54" spans="1:11">
      <c r="A54" s="11">
        <v>150080</v>
      </c>
      <c r="B54" s="12" t="s">
        <v>305</v>
      </c>
      <c r="C54" s="13">
        <v>2018</v>
      </c>
      <c r="D54" s="13"/>
      <c r="E54" s="13">
        <v>478</v>
      </c>
      <c r="F54" s="13">
        <v>2957</v>
      </c>
      <c r="G54" s="13">
        <v>1154050</v>
      </c>
      <c r="H54" s="13">
        <v>349</v>
      </c>
      <c r="I54" s="13">
        <v>2802</v>
      </c>
      <c r="J54" s="13">
        <v>24430</v>
      </c>
      <c r="K54" s="13">
        <v>80</v>
      </c>
    </row>
    <row r="55" spans="1:11">
      <c r="A55" s="11">
        <v>150080</v>
      </c>
      <c r="B55" s="12" t="s">
        <v>305</v>
      </c>
      <c r="C55" s="13">
        <v>2019</v>
      </c>
      <c r="D55" s="13"/>
      <c r="E55" s="13">
        <v>658</v>
      </c>
      <c r="F55" s="13">
        <v>4314</v>
      </c>
      <c r="G55" s="13">
        <v>1099233</v>
      </c>
      <c r="H55" s="13">
        <v>421</v>
      </c>
      <c r="I55" s="13">
        <v>476</v>
      </c>
      <c r="J55" s="13">
        <v>64404</v>
      </c>
      <c r="K55" s="13">
        <v>68</v>
      </c>
    </row>
    <row r="56" spans="1:11">
      <c r="A56" s="11">
        <v>150080</v>
      </c>
      <c r="B56" s="12" t="s">
        <v>305</v>
      </c>
      <c r="C56" s="13">
        <v>2020</v>
      </c>
      <c r="D56" s="13"/>
      <c r="E56" s="13">
        <v>522</v>
      </c>
      <c r="F56" s="13">
        <v>5148</v>
      </c>
      <c r="G56" s="13">
        <v>1264142</v>
      </c>
      <c r="H56" s="13">
        <v>266</v>
      </c>
      <c r="I56" s="13">
        <v>0</v>
      </c>
      <c r="J56" s="13">
        <v>4610</v>
      </c>
      <c r="K56" s="13">
        <v>44</v>
      </c>
    </row>
    <row r="57" spans="1:11">
      <c r="A57" s="11">
        <v>150080</v>
      </c>
      <c r="B57" s="12" t="s">
        <v>305</v>
      </c>
      <c r="C57" s="13">
        <v>2021</v>
      </c>
      <c r="D57" s="13"/>
      <c r="E57" s="13">
        <v>53</v>
      </c>
      <c r="F57" s="13">
        <v>5052</v>
      </c>
      <c r="G57" s="13">
        <v>1187597</v>
      </c>
      <c r="H57" s="13">
        <v>62</v>
      </c>
      <c r="I57" s="13">
        <v>0</v>
      </c>
      <c r="J57" s="13">
        <v>518</v>
      </c>
      <c r="K57" s="13">
        <v>17</v>
      </c>
    </row>
    <row r="58" spans="1:11">
      <c r="A58" s="11">
        <v>150080</v>
      </c>
      <c r="B58" s="12" t="s">
        <v>305</v>
      </c>
      <c r="C58" s="13">
        <v>2022</v>
      </c>
      <c r="D58" s="13">
        <v>478778</v>
      </c>
      <c r="E58" s="13">
        <v>27</v>
      </c>
      <c r="F58" s="13">
        <v>4751</v>
      </c>
      <c r="G58" s="13">
        <v>2407971</v>
      </c>
      <c r="H58" s="13">
        <v>19</v>
      </c>
      <c r="I58" s="13">
        <v>0</v>
      </c>
      <c r="J58" s="13">
        <v>0</v>
      </c>
      <c r="K58" s="13">
        <v>53</v>
      </c>
    </row>
    <row r="59" spans="1:11">
      <c r="A59" s="11">
        <v>150080</v>
      </c>
      <c r="B59" s="12" t="s">
        <v>305</v>
      </c>
      <c r="C59" s="13">
        <v>2023</v>
      </c>
      <c r="D59" s="13"/>
      <c r="E59" s="13">
        <v>21</v>
      </c>
      <c r="F59" s="13">
        <v>5414</v>
      </c>
      <c r="G59" s="13">
        <v>3505876</v>
      </c>
      <c r="H59" s="13">
        <v>30</v>
      </c>
      <c r="I59" s="13">
        <v>0</v>
      </c>
      <c r="J59" s="13">
        <v>0</v>
      </c>
      <c r="K59" s="13">
        <v>66</v>
      </c>
    </row>
    <row r="60" spans="1:11">
      <c r="A60" s="11">
        <v>150080</v>
      </c>
      <c r="B60" s="12" t="s">
        <v>305</v>
      </c>
      <c r="C60" s="13">
        <v>2024</v>
      </c>
      <c r="D60" s="13"/>
      <c r="E60" s="13">
        <v>41</v>
      </c>
      <c r="F60" s="13">
        <v>3004</v>
      </c>
      <c r="G60" s="13">
        <v>3606032</v>
      </c>
      <c r="H60" s="13">
        <v>41</v>
      </c>
      <c r="I60" s="13">
        <v>0</v>
      </c>
      <c r="J60" s="13">
        <v>0</v>
      </c>
      <c r="K60" s="13">
        <v>558</v>
      </c>
    </row>
    <row r="61" spans="1:11">
      <c r="A61" s="11">
        <v>150080</v>
      </c>
      <c r="B61" s="12" t="s">
        <v>305</v>
      </c>
      <c r="C61" s="13">
        <v>2025</v>
      </c>
      <c r="D61" s="13"/>
      <c r="E61" s="13">
        <v>24</v>
      </c>
      <c r="F61" s="13">
        <v>3057</v>
      </c>
      <c r="G61" s="13">
        <v>3096944</v>
      </c>
      <c r="H61" s="13">
        <v>33</v>
      </c>
      <c r="I61" s="13">
        <v>0</v>
      </c>
      <c r="J61" s="13">
        <v>0</v>
      </c>
      <c r="K61" s="13">
        <v>213</v>
      </c>
    </row>
    <row r="62" spans="1:11">
      <c r="A62" s="11">
        <v>150140</v>
      </c>
      <c r="B62" s="12" t="s">
        <v>306</v>
      </c>
      <c r="C62" s="13">
        <v>2014</v>
      </c>
      <c r="D62" s="13">
        <v>1425922</v>
      </c>
      <c r="E62" s="13">
        <v>534</v>
      </c>
      <c r="F62" s="13">
        <v>32043</v>
      </c>
      <c r="G62" s="13">
        <v>7323500</v>
      </c>
      <c r="H62" s="13">
        <v>567</v>
      </c>
      <c r="I62" s="13">
        <v>89912</v>
      </c>
      <c r="J62" s="13">
        <v>1036375</v>
      </c>
      <c r="K62" s="13">
        <v>493</v>
      </c>
    </row>
    <row r="63" spans="1:11">
      <c r="A63" s="11">
        <v>150140</v>
      </c>
      <c r="B63" s="12" t="s">
        <v>306</v>
      </c>
      <c r="C63" s="13">
        <v>2015</v>
      </c>
      <c r="D63" s="13">
        <v>1439561</v>
      </c>
      <c r="E63" s="13">
        <v>395</v>
      </c>
      <c r="F63" s="13">
        <v>33972</v>
      </c>
      <c r="G63" s="13">
        <v>9162442</v>
      </c>
      <c r="H63" s="13">
        <v>391</v>
      </c>
      <c r="I63" s="13">
        <v>516719</v>
      </c>
      <c r="J63" s="13">
        <v>1126772</v>
      </c>
      <c r="K63" s="13">
        <v>1471</v>
      </c>
    </row>
    <row r="64" spans="1:11">
      <c r="A64" s="11">
        <v>150140</v>
      </c>
      <c r="B64" s="12" t="s">
        <v>306</v>
      </c>
      <c r="C64" s="13">
        <v>2016</v>
      </c>
      <c r="D64" s="13"/>
      <c r="E64" s="13">
        <v>412</v>
      </c>
      <c r="F64" s="13">
        <v>32733</v>
      </c>
      <c r="G64" s="13">
        <v>8239360</v>
      </c>
      <c r="H64" s="13">
        <v>299</v>
      </c>
      <c r="I64" s="13">
        <v>76751</v>
      </c>
      <c r="J64" s="13">
        <v>1036338</v>
      </c>
      <c r="K64" s="13">
        <v>742</v>
      </c>
    </row>
    <row r="65" spans="1:11">
      <c r="A65" s="11">
        <v>150140</v>
      </c>
      <c r="B65" s="12" t="s">
        <v>306</v>
      </c>
      <c r="C65" s="13">
        <v>2017</v>
      </c>
      <c r="D65" s="13"/>
      <c r="E65" s="13">
        <v>379</v>
      </c>
      <c r="F65" s="13">
        <v>32854</v>
      </c>
      <c r="G65" s="13">
        <v>8939948</v>
      </c>
      <c r="H65" s="13">
        <v>230</v>
      </c>
      <c r="I65" s="13">
        <v>41820</v>
      </c>
      <c r="J65" s="13">
        <v>572648</v>
      </c>
      <c r="K65" s="13">
        <v>303</v>
      </c>
    </row>
    <row r="66" spans="1:11">
      <c r="A66" s="11">
        <v>150140</v>
      </c>
      <c r="B66" s="12" t="s">
        <v>306</v>
      </c>
      <c r="C66" s="13">
        <v>2018</v>
      </c>
      <c r="D66" s="13"/>
      <c r="E66" s="13">
        <v>353</v>
      </c>
      <c r="F66" s="13">
        <v>38904</v>
      </c>
      <c r="G66" s="13">
        <v>9292403</v>
      </c>
      <c r="H66" s="13">
        <v>189</v>
      </c>
      <c r="I66" s="13">
        <v>21315</v>
      </c>
      <c r="J66" s="13">
        <v>397865</v>
      </c>
      <c r="K66" s="13">
        <v>294</v>
      </c>
    </row>
    <row r="67" spans="1:11">
      <c r="A67" s="11">
        <v>150140</v>
      </c>
      <c r="B67" s="12" t="s">
        <v>306</v>
      </c>
      <c r="C67" s="13">
        <v>2019</v>
      </c>
      <c r="D67" s="13"/>
      <c r="E67" s="13">
        <v>256</v>
      </c>
      <c r="F67" s="13">
        <v>40665</v>
      </c>
      <c r="G67" s="13">
        <v>9998999</v>
      </c>
      <c r="H67" s="13">
        <v>87</v>
      </c>
      <c r="I67" s="13">
        <v>17424</v>
      </c>
      <c r="J67" s="13">
        <v>188547</v>
      </c>
      <c r="K67" s="13">
        <v>204</v>
      </c>
    </row>
    <row r="68" spans="1:11">
      <c r="A68" s="11">
        <v>150140</v>
      </c>
      <c r="B68" s="12" t="s">
        <v>306</v>
      </c>
      <c r="C68" s="13">
        <v>2020</v>
      </c>
      <c r="D68" s="13"/>
      <c r="E68" s="13">
        <v>222</v>
      </c>
      <c r="F68" s="13">
        <v>39354</v>
      </c>
      <c r="G68" s="13">
        <v>9521892</v>
      </c>
      <c r="H68" s="13">
        <v>55</v>
      </c>
      <c r="I68" s="13">
        <v>115051</v>
      </c>
      <c r="J68" s="13">
        <v>206280</v>
      </c>
      <c r="K68" s="13">
        <v>234</v>
      </c>
    </row>
    <row r="69" spans="1:11">
      <c r="A69" s="11">
        <v>150140</v>
      </c>
      <c r="B69" s="12" t="s">
        <v>306</v>
      </c>
      <c r="C69" s="13">
        <v>2021</v>
      </c>
      <c r="D69" s="13"/>
      <c r="E69" s="13">
        <v>258</v>
      </c>
      <c r="F69" s="13">
        <v>49276</v>
      </c>
      <c r="G69" s="13">
        <v>12402446</v>
      </c>
      <c r="H69" s="13">
        <v>54</v>
      </c>
      <c r="I69" s="13">
        <v>12424</v>
      </c>
      <c r="J69" s="13">
        <v>197719</v>
      </c>
      <c r="K69" s="13">
        <v>623</v>
      </c>
    </row>
    <row r="70" spans="1:11">
      <c r="A70" s="11">
        <v>150140</v>
      </c>
      <c r="B70" s="12" t="s">
        <v>306</v>
      </c>
      <c r="C70" s="13">
        <v>2022</v>
      </c>
      <c r="D70" s="13">
        <v>1303403</v>
      </c>
      <c r="E70" s="13">
        <v>209</v>
      </c>
      <c r="F70" s="13">
        <v>49828</v>
      </c>
      <c r="G70" s="13">
        <v>13041341</v>
      </c>
      <c r="H70" s="13">
        <v>124</v>
      </c>
      <c r="I70" s="13">
        <v>5040</v>
      </c>
      <c r="J70" s="13">
        <v>57399</v>
      </c>
      <c r="K70" s="13">
        <v>260</v>
      </c>
    </row>
    <row r="71" spans="1:11">
      <c r="A71" s="11">
        <v>150140</v>
      </c>
      <c r="B71" s="12" t="s">
        <v>306</v>
      </c>
      <c r="C71" s="13">
        <v>2023</v>
      </c>
      <c r="D71" s="13"/>
      <c r="E71" s="13">
        <v>549</v>
      </c>
      <c r="F71" s="13">
        <v>46903</v>
      </c>
      <c r="G71" s="13">
        <v>13345414</v>
      </c>
      <c r="H71" s="13">
        <v>288</v>
      </c>
      <c r="I71" s="13">
        <v>4654</v>
      </c>
      <c r="J71" s="13">
        <v>34417</v>
      </c>
      <c r="K71" s="13">
        <v>481</v>
      </c>
    </row>
    <row r="72" spans="1:11">
      <c r="A72" s="11">
        <v>150140</v>
      </c>
      <c r="B72" s="12" t="s">
        <v>306</v>
      </c>
      <c r="C72" s="13">
        <v>2024</v>
      </c>
      <c r="D72" s="13"/>
      <c r="E72" s="13">
        <v>1319</v>
      </c>
      <c r="F72" s="13">
        <v>47864</v>
      </c>
      <c r="G72" s="13">
        <v>13992050</v>
      </c>
      <c r="H72" s="13">
        <v>956</v>
      </c>
      <c r="I72" s="13">
        <v>4903</v>
      </c>
      <c r="J72" s="13">
        <v>22702</v>
      </c>
      <c r="K72" s="13">
        <v>3349</v>
      </c>
    </row>
    <row r="73" spans="1:11">
      <c r="A73" s="11">
        <v>150140</v>
      </c>
      <c r="B73" s="12" t="s">
        <v>306</v>
      </c>
      <c r="C73" s="13">
        <v>2025</v>
      </c>
      <c r="D73" s="13"/>
      <c r="E73" s="13">
        <v>1086</v>
      </c>
      <c r="F73" s="13">
        <v>30550</v>
      </c>
      <c r="G73" s="13">
        <v>11751854</v>
      </c>
      <c r="H73" s="13">
        <v>925</v>
      </c>
      <c r="I73" s="13">
        <v>5081</v>
      </c>
      <c r="J73" s="13">
        <v>12764</v>
      </c>
      <c r="K73" s="13">
        <v>1034</v>
      </c>
    </row>
    <row r="74" spans="1:11">
      <c r="A74" s="11">
        <v>160030</v>
      </c>
      <c r="B74" s="12" t="s">
        <v>307</v>
      </c>
      <c r="C74" s="13">
        <v>2014</v>
      </c>
      <c r="D74" s="13">
        <v>437256</v>
      </c>
      <c r="E74" s="13">
        <v>168</v>
      </c>
      <c r="F74" s="13">
        <v>541</v>
      </c>
      <c r="G74" s="13">
        <v>1386282</v>
      </c>
      <c r="H74" s="13">
        <v>29</v>
      </c>
      <c r="I74" s="13">
        <v>33765</v>
      </c>
      <c r="J74" s="13">
        <v>174508</v>
      </c>
      <c r="K74" s="13">
        <v>319</v>
      </c>
    </row>
    <row r="75" spans="1:11">
      <c r="A75" s="11">
        <v>160030</v>
      </c>
      <c r="B75" s="12" t="s">
        <v>307</v>
      </c>
      <c r="C75" s="13">
        <v>2015</v>
      </c>
      <c r="D75" s="13">
        <v>456171</v>
      </c>
      <c r="E75" s="13">
        <v>117</v>
      </c>
      <c r="F75" s="13">
        <v>47</v>
      </c>
      <c r="G75" s="13">
        <v>1205797</v>
      </c>
      <c r="H75" s="13">
        <v>17</v>
      </c>
      <c r="I75" s="13">
        <v>31369</v>
      </c>
      <c r="J75" s="13">
        <v>212659</v>
      </c>
      <c r="K75" s="13">
        <v>1605</v>
      </c>
    </row>
    <row r="76" spans="1:11">
      <c r="A76" s="11">
        <v>160030</v>
      </c>
      <c r="B76" s="12" t="s">
        <v>307</v>
      </c>
      <c r="C76" s="13">
        <v>2016</v>
      </c>
      <c r="D76" s="13"/>
      <c r="E76" s="13">
        <v>96</v>
      </c>
      <c r="F76" s="13">
        <v>33</v>
      </c>
      <c r="G76" s="13">
        <v>1548729</v>
      </c>
      <c r="H76" s="13">
        <v>7</v>
      </c>
      <c r="I76" s="13">
        <v>46752</v>
      </c>
      <c r="J76" s="13">
        <v>279536</v>
      </c>
      <c r="K76" s="13">
        <v>953</v>
      </c>
    </row>
    <row r="77" spans="1:11">
      <c r="A77" s="11">
        <v>160030</v>
      </c>
      <c r="B77" s="12" t="s">
        <v>307</v>
      </c>
      <c r="C77" s="13">
        <v>2017</v>
      </c>
      <c r="D77" s="13"/>
      <c r="E77" s="13">
        <v>68</v>
      </c>
      <c r="F77" s="13">
        <v>96</v>
      </c>
      <c r="G77" s="13">
        <v>967526</v>
      </c>
      <c r="H77" s="13">
        <v>4</v>
      </c>
      <c r="I77" s="13">
        <v>32155</v>
      </c>
      <c r="J77" s="13">
        <v>250841</v>
      </c>
      <c r="K77" s="13">
        <v>386</v>
      </c>
    </row>
    <row r="78" spans="1:11">
      <c r="A78" s="11">
        <v>160030</v>
      </c>
      <c r="B78" s="12" t="s">
        <v>307</v>
      </c>
      <c r="C78" s="13">
        <v>2018</v>
      </c>
      <c r="D78" s="13"/>
      <c r="E78" s="13">
        <v>105</v>
      </c>
      <c r="F78" s="13">
        <v>24</v>
      </c>
      <c r="G78" s="13">
        <v>1340698</v>
      </c>
      <c r="H78" s="13">
        <v>7</v>
      </c>
      <c r="I78" s="13">
        <v>6622</v>
      </c>
      <c r="J78" s="13">
        <v>20377</v>
      </c>
      <c r="K78" s="13">
        <v>366</v>
      </c>
    </row>
    <row r="79" spans="1:11">
      <c r="A79" s="11">
        <v>160030</v>
      </c>
      <c r="B79" s="12" t="s">
        <v>307</v>
      </c>
      <c r="C79" s="13">
        <v>2019</v>
      </c>
      <c r="D79" s="13"/>
      <c r="E79" s="13">
        <v>56</v>
      </c>
      <c r="F79" s="13">
        <v>251</v>
      </c>
      <c r="G79" s="13">
        <v>1394991</v>
      </c>
      <c r="H79" s="13">
        <v>6</v>
      </c>
      <c r="I79" s="13">
        <v>467</v>
      </c>
      <c r="J79" s="13">
        <v>20</v>
      </c>
      <c r="K79" s="13">
        <v>158</v>
      </c>
    </row>
    <row r="80" spans="1:11">
      <c r="A80" s="11">
        <v>160030</v>
      </c>
      <c r="B80" s="12" t="s">
        <v>307</v>
      </c>
      <c r="C80" s="13">
        <v>2020</v>
      </c>
      <c r="D80" s="13"/>
      <c r="E80" s="13">
        <v>41</v>
      </c>
      <c r="F80" s="13">
        <v>6930</v>
      </c>
      <c r="G80" s="13">
        <v>1007855</v>
      </c>
      <c r="H80" s="13">
        <v>1</v>
      </c>
      <c r="I80" s="13">
        <v>285</v>
      </c>
      <c r="J80" s="13">
        <v>9810</v>
      </c>
      <c r="K80" s="13">
        <v>36</v>
      </c>
    </row>
    <row r="81" spans="1:11">
      <c r="A81" s="11">
        <v>160030</v>
      </c>
      <c r="B81" s="12" t="s">
        <v>307</v>
      </c>
      <c r="C81" s="13">
        <v>2021</v>
      </c>
      <c r="D81" s="13"/>
      <c r="E81" s="13">
        <v>43</v>
      </c>
      <c r="F81" s="13">
        <v>48732</v>
      </c>
      <c r="G81" s="13">
        <v>1646292</v>
      </c>
      <c r="H81" s="13">
        <v>1</v>
      </c>
      <c r="I81" s="13">
        <v>26</v>
      </c>
      <c r="J81" s="13">
        <v>12433</v>
      </c>
      <c r="K81" s="13">
        <v>245</v>
      </c>
    </row>
    <row r="82" spans="1:11">
      <c r="A82" s="11">
        <v>160030</v>
      </c>
      <c r="B82" s="12" t="s">
        <v>307</v>
      </c>
      <c r="C82" s="13">
        <v>2022</v>
      </c>
      <c r="D82" s="13">
        <v>442933</v>
      </c>
      <c r="E82" s="13">
        <v>62</v>
      </c>
      <c r="F82" s="13">
        <v>25033</v>
      </c>
      <c r="G82" s="13">
        <v>1980194</v>
      </c>
      <c r="H82" s="13">
        <v>3</v>
      </c>
      <c r="I82" s="13">
        <v>0</v>
      </c>
      <c r="J82" s="13">
        <v>47398</v>
      </c>
      <c r="K82" s="13">
        <v>233</v>
      </c>
    </row>
    <row r="83" spans="1:11">
      <c r="A83" s="11">
        <v>160030</v>
      </c>
      <c r="B83" s="12" t="s">
        <v>307</v>
      </c>
      <c r="C83" s="13">
        <v>2023</v>
      </c>
      <c r="D83" s="13"/>
      <c r="E83" s="13">
        <v>67</v>
      </c>
      <c r="F83" s="13">
        <v>11012</v>
      </c>
      <c r="G83" s="13">
        <v>2669989</v>
      </c>
      <c r="H83" s="13">
        <v>12</v>
      </c>
      <c r="I83" s="13">
        <v>27</v>
      </c>
      <c r="J83" s="13">
        <v>0</v>
      </c>
      <c r="K83" s="13">
        <v>633</v>
      </c>
    </row>
    <row r="84" spans="1:11">
      <c r="A84" s="11">
        <v>160030</v>
      </c>
      <c r="B84" s="12" t="s">
        <v>307</v>
      </c>
      <c r="C84" s="13">
        <v>2024</v>
      </c>
      <c r="D84" s="13"/>
      <c r="E84" s="13">
        <v>85</v>
      </c>
      <c r="F84" s="13">
        <v>4830</v>
      </c>
      <c r="G84" s="13">
        <v>3151293</v>
      </c>
      <c r="H84" s="13">
        <v>25</v>
      </c>
      <c r="I84" s="13">
        <v>0</v>
      </c>
      <c r="J84" s="13">
        <v>0</v>
      </c>
      <c r="K84" s="13">
        <v>5757</v>
      </c>
    </row>
    <row r="85" spans="1:11">
      <c r="A85" s="11">
        <v>160030</v>
      </c>
      <c r="B85" s="12" t="s">
        <v>307</v>
      </c>
      <c r="C85" s="13">
        <v>2025</v>
      </c>
      <c r="D85" s="13"/>
      <c r="E85" s="13">
        <v>83</v>
      </c>
      <c r="F85" s="13">
        <v>8386</v>
      </c>
      <c r="G85" s="13">
        <v>3045626</v>
      </c>
      <c r="H85" s="13">
        <v>14</v>
      </c>
      <c r="I85" s="13">
        <v>0</v>
      </c>
      <c r="J85" s="13">
        <v>0</v>
      </c>
      <c r="K85" s="13">
        <v>1367</v>
      </c>
    </row>
    <row r="86" spans="1:11">
      <c r="A86" s="11">
        <v>172100</v>
      </c>
      <c r="B86" s="12" t="s">
        <v>308</v>
      </c>
      <c r="C86" s="13">
        <v>2014</v>
      </c>
      <c r="D86" s="13">
        <v>257904</v>
      </c>
      <c r="E86" s="13">
        <v>230</v>
      </c>
      <c r="F86" s="13">
        <v>2210</v>
      </c>
      <c r="G86" s="13">
        <v>1867155</v>
      </c>
      <c r="H86" s="13">
        <v>66</v>
      </c>
      <c r="I86" s="13">
        <v>24217</v>
      </c>
      <c r="J86" s="13">
        <v>229247</v>
      </c>
      <c r="K86" s="13">
        <v>1296</v>
      </c>
    </row>
    <row r="87" spans="1:11">
      <c r="A87" s="11">
        <v>172100</v>
      </c>
      <c r="B87" s="12" t="s">
        <v>308</v>
      </c>
      <c r="C87" s="13">
        <v>2015</v>
      </c>
      <c r="D87" s="13">
        <v>272726</v>
      </c>
      <c r="E87" s="13">
        <v>121</v>
      </c>
      <c r="F87" s="13">
        <v>4184</v>
      </c>
      <c r="G87" s="13">
        <v>2164034</v>
      </c>
      <c r="H87" s="13">
        <v>48</v>
      </c>
      <c r="I87" s="13">
        <v>26398</v>
      </c>
      <c r="J87" s="13">
        <v>251406</v>
      </c>
      <c r="K87" s="13">
        <v>4478</v>
      </c>
    </row>
    <row r="88" spans="1:11">
      <c r="A88" s="11">
        <v>172100</v>
      </c>
      <c r="B88" s="12" t="s">
        <v>308</v>
      </c>
      <c r="C88" s="13">
        <v>2016</v>
      </c>
      <c r="D88" s="13"/>
      <c r="E88" s="13">
        <v>121</v>
      </c>
      <c r="F88" s="13">
        <v>4089</v>
      </c>
      <c r="G88" s="13">
        <v>2247694</v>
      </c>
      <c r="H88" s="13">
        <v>40</v>
      </c>
      <c r="I88" s="13">
        <v>20677</v>
      </c>
      <c r="J88" s="13">
        <v>222938</v>
      </c>
      <c r="K88" s="13">
        <v>2137</v>
      </c>
    </row>
    <row r="89" spans="1:11">
      <c r="A89" s="11">
        <v>172100</v>
      </c>
      <c r="B89" s="12" t="s">
        <v>308</v>
      </c>
      <c r="C89" s="13">
        <v>2017</v>
      </c>
      <c r="D89" s="13"/>
      <c r="E89" s="13">
        <v>104</v>
      </c>
      <c r="F89" s="13">
        <v>2270</v>
      </c>
      <c r="G89" s="13">
        <v>2060236</v>
      </c>
      <c r="H89" s="13">
        <v>18</v>
      </c>
      <c r="I89" s="13">
        <v>9976</v>
      </c>
      <c r="J89" s="13">
        <v>125364</v>
      </c>
      <c r="K89" s="13">
        <v>1314</v>
      </c>
    </row>
    <row r="90" spans="1:11">
      <c r="A90" s="11">
        <v>172100</v>
      </c>
      <c r="B90" s="12" t="s">
        <v>308</v>
      </c>
      <c r="C90" s="13">
        <v>2018</v>
      </c>
      <c r="D90" s="13"/>
      <c r="E90" s="13">
        <v>110</v>
      </c>
      <c r="F90" s="13">
        <v>1792</v>
      </c>
      <c r="G90" s="13">
        <v>2013694</v>
      </c>
      <c r="H90" s="13">
        <v>2</v>
      </c>
      <c r="I90" s="13">
        <v>71</v>
      </c>
      <c r="J90" s="13">
        <v>59</v>
      </c>
      <c r="K90" s="13">
        <v>1365</v>
      </c>
    </row>
    <row r="91" spans="1:11">
      <c r="A91" s="11">
        <v>172100</v>
      </c>
      <c r="B91" s="12" t="s">
        <v>308</v>
      </c>
      <c r="C91" s="13">
        <v>2019</v>
      </c>
      <c r="D91" s="13"/>
      <c r="E91" s="13">
        <v>211</v>
      </c>
      <c r="F91" s="13">
        <v>1055</v>
      </c>
      <c r="G91" s="13">
        <v>2036604</v>
      </c>
      <c r="H91" s="13">
        <v>112</v>
      </c>
      <c r="I91" s="13">
        <v>258</v>
      </c>
      <c r="J91" s="13">
        <v>0</v>
      </c>
      <c r="K91" s="13">
        <v>5701</v>
      </c>
    </row>
    <row r="92" spans="1:11">
      <c r="A92" s="11">
        <v>172100</v>
      </c>
      <c r="B92" s="12" t="s">
        <v>308</v>
      </c>
      <c r="C92" s="13">
        <v>2020</v>
      </c>
      <c r="D92" s="13"/>
      <c r="E92" s="13">
        <v>109</v>
      </c>
      <c r="F92" s="13">
        <v>2050</v>
      </c>
      <c r="G92" s="13">
        <v>1461154</v>
      </c>
      <c r="H92" s="13">
        <v>82</v>
      </c>
      <c r="I92" s="13">
        <v>125</v>
      </c>
      <c r="J92" s="13">
        <v>73</v>
      </c>
      <c r="K92" s="13">
        <v>563</v>
      </c>
    </row>
    <row r="93" spans="1:11">
      <c r="A93" s="11">
        <v>172100</v>
      </c>
      <c r="B93" s="12" t="s">
        <v>308</v>
      </c>
      <c r="C93" s="13">
        <v>2021</v>
      </c>
      <c r="D93" s="13"/>
      <c r="E93" s="13">
        <v>74</v>
      </c>
      <c r="F93" s="13">
        <v>3083</v>
      </c>
      <c r="G93" s="13">
        <v>1923391</v>
      </c>
      <c r="H93" s="13">
        <v>54</v>
      </c>
      <c r="I93" s="13">
        <v>197</v>
      </c>
      <c r="J93" s="13">
        <v>0</v>
      </c>
      <c r="K93" s="13">
        <v>4369</v>
      </c>
    </row>
    <row r="94" spans="1:11">
      <c r="A94" s="11">
        <v>172100</v>
      </c>
      <c r="B94" s="12" t="s">
        <v>308</v>
      </c>
      <c r="C94" s="13">
        <v>2022</v>
      </c>
      <c r="D94" s="13">
        <v>302692</v>
      </c>
      <c r="E94" s="13">
        <v>67</v>
      </c>
      <c r="F94" s="13">
        <v>4420</v>
      </c>
      <c r="G94" s="13">
        <v>2423369</v>
      </c>
      <c r="H94" s="13">
        <v>28</v>
      </c>
      <c r="I94" s="13">
        <v>1413</v>
      </c>
      <c r="J94" s="13">
        <v>0</v>
      </c>
      <c r="K94" s="13">
        <v>12181</v>
      </c>
    </row>
    <row r="95" spans="1:11">
      <c r="A95" s="11">
        <v>172100</v>
      </c>
      <c r="B95" s="12" t="s">
        <v>308</v>
      </c>
      <c r="C95" s="13">
        <v>2023</v>
      </c>
      <c r="D95" s="13"/>
      <c r="E95" s="13">
        <v>87</v>
      </c>
      <c r="F95" s="13">
        <v>2764</v>
      </c>
      <c r="G95" s="13">
        <v>2878991</v>
      </c>
      <c r="H95" s="13">
        <v>35</v>
      </c>
      <c r="I95" s="13">
        <v>765</v>
      </c>
      <c r="J95" s="13">
        <v>1022</v>
      </c>
      <c r="K95" s="13">
        <v>604</v>
      </c>
    </row>
    <row r="96" spans="1:11">
      <c r="A96" s="11">
        <v>172100</v>
      </c>
      <c r="B96" s="12" t="s">
        <v>308</v>
      </c>
      <c r="C96" s="13">
        <v>2024</v>
      </c>
      <c r="D96" s="13"/>
      <c r="E96" s="13">
        <v>74</v>
      </c>
      <c r="F96" s="13">
        <v>4644</v>
      </c>
      <c r="G96" s="13">
        <v>3210584</v>
      </c>
      <c r="H96" s="13">
        <v>16</v>
      </c>
      <c r="I96" s="13">
        <v>780</v>
      </c>
      <c r="J96" s="13">
        <v>297</v>
      </c>
      <c r="K96" s="13">
        <v>510</v>
      </c>
    </row>
    <row r="97" spans="1:11">
      <c r="A97" s="11">
        <v>172100</v>
      </c>
      <c r="B97" s="12" t="s">
        <v>308</v>
      </c>
      <c r="C97" s="13">
        <v>2025</v>
      </c>
      <c r="D97" s="13"/>
      <c r="E97" s="13">
        <v>26</v>
      </c>
      <c r="F97" s="13">
        <v>3092</v>
      </c>
      <c r="G97" s="13">
        <v>2454424</v>
      </c>
      <c r="H97" s="13">
        <v>18</v>
      </c>
      <c r="I97" s="13">
        <v>1352</v>
      </c>
      <c r="J97" s="13">
        <v>2431</v>
      </c>
      <c r="K97" s="13">
        <v>307</v>
      </c>
    </row>
    <row r="98" spans="1:11">
      <c r="A98" s="11">
        <v>211130</v>
      </c>
      <c r="B98" s="12" t="s">
        <v>309</v>
      </c>
      <c r="C98" s="13">
        <v>2014</v>
      </c>
      <c r="D98" s="13">
        <v>1053922</v>
      </c>
      <c r="E98" s="13">
        <v>583</v>
      </c>
      <c r="F98" s="13">
        <v>15515</v>
      </c>
      <c r="G98" s="13">
        <v>5670742</v>
      </c>
      <c r="H98" s="13">
        <v>188</v>
      </c>
      <c r="I98" s="13">
        <v>58597</v>
      </c>
      <c r="J98" s="13">
        <v>635760</v>
      </c>
      <c r="K98" s="13">
        <v>1026</v>
      </c>
    </row>
    <row r="99" spans="1:11">
      <c r="A99" s="11">
        <v>211130</v>
      </c>
      <c r="B99" s="12" t="s">
        <v>309</v>
      </c>
      <c r="C99" s="13">
        <v>2015</v>
      </c>
      <c r="D99" s="13">
        <v>1073893</v>
      </c>
      <c r="E99" s="13">
        <v>493</v>
      </c>
      <c r="F99" s="13">
        <v>20337</v>
      </c>
      <c r="G99" s="13">
        <v>6341203</v>
      </c>
      <c r="H99" s="13">
        <v>166</v>
      </c>
      <c r="I99" s="13">
        <v>58032</v>
      </c>
      <c r="J99" s="13">
        <v>511490</v>
      </c>
      <c r="K99" s="13">
        <v>2896</v>
      </c>
    </row>
    <row r="100" spans="1:11">
      <c r="A100" s="11">
        <v>211130</v>
      </c>
      <c r="B100" s="12" t="s">
        <v>309</v>
      </c>
      <c r="C100" s="13">
        <v>2016</v>
      </c>
      <c r="D100" s="13"/>
      <c r="E100" s="13">
        <v>606</v>
      </c>
      <c r="F100" s="13">
        <v>18968</v>
      </c>
      <c r="G100" s="13">
        <v>6837764</v>
      </c>
      <c r="H100" s="13">
        <v>214</v>
      </c>
      <c r="I100" s="13">
        <v>74230</v>
      </c>
      <c r="J100" s="13">
        <v>945803</v>
      </c>
      <c r="K100" s="13">
        <v>5583</v>
      </c>
    </row>
    <row r="101" spans="1:11">
      <c r="A101" s="11">
        <v>211130</v>
      </c>
      <c r="B101" s="12" t="s">
        <v>309</v>
      </c>
      <c r="C101" s="13">
        <v>2017</v>
      </c>
      <c r="D101" s="13"/>
      <c r="E101" s="13">
        <v>432</v>
      </c>
      <c r="F101" s="13">
        <v>16625</v>
      </c>
      <c r="G101" s="13">
        <v>7827795</v>
      </c>
      <c r="H101" s="13">
        <v>136</v>
      </c>
      <c r="I101" s="13">
        <v>86662</v>
      </c>
      <c r="J101" s="13">
        <v>559871</v>
      </c>
      <c r="K101" s="13">
        <v>1261</v>
      </c>
    </row>
    <row r="102" spans="1:11">
      <c r="A102" s="11">
        <v>211130</v>
      </c>
      <c r="B102" s="12" t="s">
        <v>309</v>
      </c>
      <c r="C102" s="13">
        <v>2018</v>
      </c>
      <c r="D102" s="13"/>
      <c r="E102" s="13">
        <v>483</v>
      </c>
      <c r="F102" s="13">
        <v>19534</v>
      </c>
      <c r="G102" s="13">
        <v>9351307</v>
      </c>
      <c r="H102" s="13">
        <v>134</v>
      </c>
      <c r="I102" s="13">
        <v>51130</v>
      </c>
      <c r="J102" s="13">
        <v>256989</v>
      </c>
      <c r="K102" s="13">
        <v>765</v>
      </c>
    </row>
    <row r="103" spans="1:11">
      <c r="A103" s="11">
        <v>211130</v>
      </c>
      <c r="B103" s="12" t="s">
        <v>309</v>
      </c>
      <c r="C103" s="13">
        <v>2019</v>
      </c>
      <c r="D103" s="13"/>
      <c r="E103" s="13">
        <v>1412</v>
      </c>
      <c r="F103" s="13">
        <v>19857</v>
      </c>
      <c r="G103" s="13">
        <v>8808911</v>
      </c>
      <c r="H103" s="13">
        <v>81</v>
      </c>
      <c r="I103" s="13">
        <v>18604</v>
      </c>
      <c r="J103" s="13">
        <v>82180</v>
      </c>
      <c r="K103" s="13">
        <v>1397</v>
      </c>
    </row>
    <row r="104" spans="1:11">
      <c r="A104" s="11">
        <v>211130</v>
      </c>
      <c r="B104" s="12" t="s">
        <v>309</v>
      </c>
      <c r="C104" s="13">
        <v>2020</v>
      </c>
      <c r="D104" s="13"/>
      <c r="E104" s="13">
        <v>1253</v>
      </c>
      <c r="F104" s="13">
        <v>15245</v>
      </c>
      <c r="G104" s="13">
        <v>6379144</v>
      </c>
      <c r="H104" s="13">
        <v>54</v>
      </c>
      <c r="I104" s="13">
        <v>7744</v>
      </c>
      <c r="J104" s="13">
        <v>19926</v>
      </c>
      <c r="K104" s="13">
        <v>857</v>
      </c>
    </row>
    <row r="105" spans="1:11">
      <c r="A105" s="11">
        <v>211130</v>
      </c>
      <c r="B105" s="12" t="s">
        <v>309</v>
      </c>
      <c r="C105" s="13">
        <v>2021</v>
      </c>
      <c r="D105" s="13"/>
      <c r="E105" s="13">
        <v>1243</v>
      </c>
      <c r="F105" s="13">
        <v>22150</v>
      </c>
      <c r="G105" s="13">
        <v>8564166</v>
      </c>
      <c r="H105" s="13">
        <v>175</v>
      </c>
      <c r="I105" s="13">
        <v>20348</v>
      </c>
      <c r="J105" s="13">
        <v>22011</v>
      </c>
      <c r="K105" s="13">
        <v>215</v>
      </c>
    </row>
    <row r="106" spans="1:11">
      <c r="A106" s="11">
        <v>211130</v>
      </c>
      <c r="B106" s="12" t="s">
        <v>309</v>
      </c>
      <c r="C106" s="13">
        <v>2022</v>
      </c>
      <c r="D106" s="13">
        <v>1037775</v>
      </c>
      <c r="E106" s="13">
        <v>1557</v>
      </c>
      <c r="F106" s="13">
        <v>20987</v>
      </c>
      <c r="G106" s="13">
        <v>10062408</v>
      </c>
      <c r="H106" s="13">
        <v>373</v>
      </c>
      <c r="I106" s="13">
        <v>4765</v>
      </c>
      <c r="J106" s="13">
        <v>18803</v>
      </c>
      <c r="K106" s="13">
        <v>2409</v>
      </c>
    </row>
    <row r="107" spans="1:11">
      <c r="A107" s="11">
        <v>211130</v>
      </c>
      <c r="B107" s="12" t="s">
        <v>309</v>
      </c>
      <c r="C107" s="13">
        <v>2023</v>
      </c>
      <c r="D107" s="13"/>
      <c r="E107" s="13">
        <v>1267</v>
      </c>
      <c r="F107" s="13">
        <v>20218</v>
      </c>
      <c r="G107" s="13">
        <v>10466801</v>
      </c>
      <c r="H107" s="13">
        <v>325</v>
      </c>
      <c r="I107" s="13">
        <v>100</v>
      </c>
      <c r="J107" s="13">
        <v>7555</v>
      </c>
      <c r="K107" s="13">
        <v>1740</v>
      </c>
    </row>
    <row r="108" spans="1:11">
      <c r="A108" s="11">
        <v>211130</v>
      </c>
      <c r="B108" s="12" t="s">
        <v>309</v>
      </c>
      <c r="C108" s="13">
        <v>2024</v>
      </c>
      <c r="D108" s="13"/>
      <c r="E108" s="13">
        <v>382</v>
      </c>
      <c r="F108" s="13">
        <v>28138</v>
      </c>
      <c r="G108" s="13">
        <v>11137040</v>
      </c>
      <c r="H108" s="13">
        <v>133</v>
      </c>
      <c r="I108" s="13">
        <v>304</v>
      </c>
      <c r="J108" s="13">
        <v>23422</v>
      </c>
      <c r="K108" s="13">
        <v>1998</v>
      </c>
    </row>
    <row r="109" spans="1:11">
      <c r="A109" s="11">
        <v>211130</v>
      </c>
      <c r="B109" s="12" t="s">
        <v>309</v>
      </c>
      <c r="C109" s="13">
        <v>2025</v>
      </c>
      <c r="D109" s="13"/>
      <c r="E109" s="13">
        <v>328</v>
      </c>
      <c r="F109" s="13">
        <v>20379</v>
      </c>
      <c r="G109" s="13">
        <v>10478462</v>
      </c>
      <c r="H109" s="13">
        <v>114</v>
      </c>
      <c r="I109" s="13">
        <v>0</v>
      </c>
      <c r="J109" s="13">
        <v>704</v>
      </c>
      <c r="K109" s="13">
        <v>1748</v>
      </c>
    </row>
    <row r="110" spans="1:11">
      <c r="A110" s="11">
        <v>221100</v>
      </c>
      <c r="B110" s="12" t="s">
        <v>310</v>
      </c>
      <c r="C110" s="13">
        <v>2014</v>
      </c>
      <c r="D110" s="13">
        <v>836475</v>
      </c>
      <c r="E110" s="13">
        <v>782</v>
      </c>
      <c r="F110" s="13">
        <v>9869</v>
      </c>
      <c r="G110" s="13">
        <v>4577286</v>
      </c>
      <c r="H110" s="13">
        <v>290</v>
      </c>
      <c r="I110" s="13">
        <v>31752</v>
      </c>
      <c r="J110" s="13">
        <v>302006</v>
      </c>
      <c r="K110" s="13">
        <v>3959</v>
      </c>
    </row>
    <row r="111" spans="1:11">
      <c r="A111" s="11">
        <v>221100</v>
      </c>
      <c r="B111" s="12" t="s">
        <v>310</v>
      </c>
      <c r="C111" s="13">
        <v>2015</v>
      </c>
      <c r="D111" s="13">
        <v>844245</v>
      </c>
      <c r="E111" s="13">
        <v>735</v>
      </c>
      <c r="F111" s="13">
        <v>9928</v>
      </c>
      <c r="G111" s="13">
        <v>4686854</v>
      </c>
      <c r="H111" s="13">
        <v>281</v>
      </c>
      <c r="I111" s="13">
        <v>2466</v>
      </c>
      <c r="J111" s="13">
        <v>195644</v>
      </c>
      <c r="K111" s="13">
        <v>5135</v>
      </c>
    </row>
    <row r="112" spans="1:11">
      <c r="A112" s="11">
        <v>221100</v>
      </c>
      <c r="B112" s="12" t="s">
        <v>310</v>
      </c>
      <c r="C112" s="13">
        <v>2016</v>
      </c>
      <c r="D112" s="13"/>
      <c r="E112" s="13">
        <v>621</v>
      </c>
      <c r="F112" s="13">
        <v>15713</v>
      </c>
      <c r="G112" s="13">
        <v>4696467</v>
      </c>
      <c r="H112" s="13">
        <v>307</v>
      </c>
      <c r="I112" s="13">
        <v>5054</v>
      </c>
      <c r="J112" s="13">
        <v>140088</v>
      </c>
      <c r="K112" s="13">
        <v>3279</v>
      </c>
    </row>
    <row r="113" spans="1:11">
      <c r="A113" s="11">
        <v>221100</v>
      </c>
      <c r="B113" s="12" t="s">
        <v>310</v>
      </c>
      <c r="C113" s="13">
        <v>2017</v>
      </c>
      <c r="D113" s="13"/>
      <c r="E113" s="13">
        <v>463</v>
      </c>
      <c r="F113" s="13">
        <v>7974</v>
      </c>
      <c r="G113" s="13">
        <v>4961999</v>
      </c>
      <c r="H113" s="13">
        <v>213</v>
      </c>
      <c r="I113" s="13">
        <v>15630</v>
      </c>
      <c r="J113" s="13">
        <v>152525</v>
      </c>
      <c r="K113" s="13">
        <v>3127</v>
      </c>
    </row>
    <row r="114" spans="1:11">
      <c r="A114" s="11">
        <v>221100</v>
      </c>
      <c r="B114" s="12" t="s">
        <v>310</v>
      </c>
      <c r="C114" s="13">
        <v>2018</v>
      </c>
      <c r="D114" s="13"/>
      <c r="E114" s="13">
        <v>317</v>
      </c>
      <c r="F114" s="13">
        <v>9842</v>
      </c>
      <c r="G114" s="13">
        <v>4957964</v>
      </c>
      <c r="H114" s="13">
        <v>159</v>
      </c>
      <c r="I114" s="13">
        <v>0</v>
      </c>
      <c r="J114" s="13">
        <v>0</v>
      </c>
      <c r="K114" s="13">
        <v>1205</v>
      </c>
    </row>
    <row r="115" spans="1:11">
      <c r="A115" s="11">
        <v>221100</v>
      </c>
      <c r="B115" s="12" t="s">
        <v>310</v>
      </c>
      <c r="C115" s="13">
        <v>2019</v>
      </c>
      <c r="D115" s="13"/>
      <c r="E115" s="13">
        <v>342</v>
      </c>
      <c r="F115" s="13">
        <v>13705</v>
      </c>
      <c r="G115" s="13">
        <v>5800521</v>
      </c>
      <c r="H115" s="13">
        <v>192</v>
      </c>
      <c r="I115" s="13">
        <v>0</v>
      </c>
      <c r="J115" s="13">
        <v>0</v>
      </c>
      <c r="K115" s="13">
        <v>4890</v>
      </c>
    </row>
    <row r="116" spans="1:11">
      <c r="A116" s="11">
        <v>221100</v>
      </c>
      <c r="B116" s="12" t="s">
        <v>310</v>
      </c>
      <c r="C116" s="13">
        <v>2020</v>
      </c>
      <c r="D116" s="13"/>
      <c r="E116" s="13">
        <v>285</v>
      </c>
      <c r="F116" s="13">
        <v>6165</v>
      </c>
      <c r="G116" s="13">
        <v>3656207</v>
      </c>
      <c r="H116" s="13">
        <v>206</v>
      </c>
      <c r="I116" s="13">
        <v>0</v>
      </c>
      <c r="J116" s="13">
        <v>0</v>
      </c>
      <c r="K116" s="13">
        <v>1091</v>
      </c>
    </row>
    <row r="117" spans="1:11">
      <c r="A117" s="11">
        <v>221100</v>
      </c>
      <c r="B117" s="12" t="s">
        <v>310</v>
      </c>
      <c r="C117" s="13">
        <v>2021</v>
      </c>
      <c r="D117" s="13"/>
      <c r="E117" s="13">
        <v>292</v>
      </c>
      <c r="F117" s="13">
        <v>13556</v>
      </c>
      <c r="G117" s="13">
        <v>5608842</v>
      </c>
      <c r="H117" s="13">
        <v>277</v>
      </c>
      <c r="I117" s="13">
        <v>0</v>
      </c>
      <c r="J117" s="13">
        <v>0</v>
      </c>
      <c r="K117" s="13">
        <v>1338</v>
      </c>
    </row>
    <row r="118" spans="1:11">
      <c r="A118" s="11">
        <v>221100</v>
      </c>
      <c r="B118" s="12" t="s">
        <v>310</v>
      </c>
      <c r="C118" s="13">
        <v>2022</v>
      </c>
      <c r="D118" s="13">
        <v>866300</v>
      </c>
      <c r="E118" s="13">
        <v>321</v>
      </c>
      <c r="F118" s="13">
        <v>18188</v>
      </c>
      <c r="G118" s="13">
        <v>7026977</v>
      </c>
      <c r="H118" s="13">
        <v>259</v>
      </c>
      <c r="I118" s="13">
        <v>0</v>
      </c>
      <c r="J118" s="13">
        <v>0</v>
      </c>
      <c r="K118" s="13">
        <v>18014</v>
      </c>
    </row>
    <row r="119" spans="1:11">
      <c r="A119" s="11">
        <v>221100</v>
      </c>
      <c r="B119" s="12" t="s">
        <v>310</v>
      </c>
      <c r="C119" s="13">
        <v>2023</v>
      </c>
      <c r="D119" s="13"/>
      <c r="E119" s="13">
        <v>318</v>
      </c>
      <c r="F119" s="13">
        <v>25434</v>
      </c>
      <c r="G119" s="13">
        <v>6684132</v>
      </c>
      <c r="H119" s="13">
        <v>157</v>
      </c>
      <c r="I119" s="13">
        <v>0</v>
      </c>
      <c r="J119" s="13">
        <v>0</v>
      </c>
      <c r="K119" s="13">
        <v>5127</v>
      </c>
    </row>
    <row r="120" spans="1:11">
      <c r="A120" s="11">
        <v>221100</v>
      </c>
      <c r="B120" s="12" t="s">
        <v>310</v>
      </c>
      <c r="C120" s="13">
        <v>2024</v>
      </c>
      <c r="D120" s="13"/>
      <c r="E120" s="13">
        <v>270</v>
      </c>
      <c r="F120" s="13">
        <v>21494</v>
      </c>
      <c r="G120" s="13">
        <v>6489186</v>
      </c>
      <c r="H120" s="13">
        <v>118</v>
      </c>
      <c r="I120" s="13">
        <v>0</v>
      </c>
      <c r="J120" s="13">
        <v>0</v>
      </c>
      <c r="K120" s="13">
        <v>7173</v>
      </c>
    </row>
    <row r="121" spans="1:11">
      <c r="A121" s="11">
        <v>221100</v>
      </c>
      <c r="B121" s="12" t="s">
        <v>310</v>
      </c>
      <c r="C121" s="13">
        <v>2025</v>
      </c>
      <c r="D121" s="13"/>
      <c r="E121" s="13">
        <v>264</v>
      </c>
      <c r="F121" s="13">
        <v>21149</v>
      </c>
      <c r="G121" s="13">
        <v>5175947</v>
      </c>
      <c r="H121" s="13">
        <v>93</v>
      </c>
      <c r="I121" s="13">
        <v>0</v>
      </c>
      <c r="J121" s="13">
        <v>0</v>
      </c>
      <c r="K121" s="13">
        <v>5153</v>
      </c>
    </row>
    <row r="122" spans="1:11">
      <c r="A122" s="11">
        <v>230440</v>
      </c>
      <c r="B122" s="12" t="s">
        <v>311</v>
      </c>
      <c r="C122" s="13">
        <v>2014</v>
      </c>
      <c r="D122" s="13">
        <v>2551806</v>
      </c>
      <c r="E122" s="13">
        <v>569</v>
      </c>
      <c r="F122" s="13">
        <v>15382</v>
      </c>
      <c r="G122" s="13">
        <v>8866868</v>
      </c>
      <c r="H122" s="13">
        <v>139</v>
      </c>
      <c r="I122" s="13">
        <v>94334</v>
      </c>
      <c r="J122" s="13">
        <v>967382</v>
      </c>
      <c r="K122" s="13">
        <v>5507</v>
      </c>
    </row>
    <row r="123" spans="1:11">
      <c r="A123" s="11">
        <v>230440</v>
      </c>
      <c r="B123" s="12" t="s">
        <v>311</v>
      </c>
      <c r="C123" s="13">
        <v>2015</v>
      </c>
      <c r="D123" s="13">
        <v>2591188</v>
      </c>
      <c r="E123" s="13">
        <v>560</v>
      </c>
      <c r="F123" s="13">
        <v>6060</v>
      </c>
      <c r="G123" s="13">
        <v>11709481</v>
      </c>
      <c r="H123" s="13">
        <v>99</v>
      </c>
      <c r="I123" s="13">
        <v>123555</v>
      </c>
      <c r="J123" s="13">
        <v>1110654</v>
      </c>
      <c r="K123" s="13">
        <v>27982</v>
      </c>
    </row>
    <row r="124" spans="1:11">
      <c r="A124" s="11">
        <v>230440</v>
      </c>
      <c r="B124" s="12" t="s">
        <v>311</v>
      </c>
      <c r="C124" s="13">
        <v>2016</v>
      </c>
      <c r="D124" s="13"/>
      <c r="E124" s="13">
        <v>556</v>
      </c>
      <c r="F124" s="13">
        <v>9821</v>
      </c>
      <c r="G124" s="13">
        <v>13015416</v>
      </c>
      <c r="H124" s="13">
        <v>106</v>
      </c>
      <c r="I124" s="13">
        <v>172617</v>
      </c>
      <c r="J124" s="13">
        <v>1190036</v>
      </c>
      <c r="K124" s="13">
        <v>25099</v>
      </c>
    </row>
    <row r="125" spans="1:11">
      <c r="A125" s="11">
        <v>230440</v>
      </c>
      <c r="B125" s="12" t="s">
        <v>311</v>
      </c>
      <c r="C125" s="13">
        <v>2017</v>
      </c>
      <c r="D125" s="13"/>
      <c r="E125" s="13">
        <v>540</v>
      </c>
      <c r="F125" s="13">
        <v>10631</v>
      </c>
      <c r="G125" s="13">
        <v>12952571</v>
      </c>
      <c r="H125" s="13">
        <v>145</v>
      </c>
      <c r="I125" s="13">
        <v>256630</v>
      </c>
      <c r="J125" s="13">
        <v>1599331</v>
      </c>
      <c r="K125" s="13">
        <v>23599</v>
      </c>
    </row>
    <row r="126" spans="1:11">
      <c r="A126" s="11">
        <v>230440</v>
      </c>
      <c r="B126" s="12" t="s">
        <v>311</v>
      </c>
      <c r="C126" s="13">
        <v>2018</v>
      </c>
      <c r="D126" s="13"/>
      <c r="E126" s="13">
        <v>644</v>
      </c>
      <c r="F126" s="13">
        <v>11646</v>
      </c>
      <c r="G126" s="13">
        <v>12581846</v>
      </c>
      <c r="H126" s="13">
        <v>169</v>
      </c>
      <c r="I126" s="13">
        <v>248834</v>
      </c>
      <c r="J126" s="13">
        <v>1536567</v>
      </c>
      <c r="K126" s="13">
        <v>1480</v>
      </c>
    </row>
    <row r="127" spans="1:11">
      <c r="A127" s="11">
        <v>230440</v>
      </c>
      <c r="B127" s="12" t="s">
        <v>311</v>
      </c>
      <c r="C127" s="13">
        <v>2019</v>
      </c>
      <c r="D127" s="13"/>
      <c r="E127" s="13">
        <v>669</v>
      </c>
      <c r="F127" s="13">
        <v>11239</v>
      </c>
      <c r="G127" s="13">
        <v>13169966</v>
      </c>
      <c r="H127" s="13">
        <v>155</v>
      </c>
      <c r="I127" s="13">
        <v>45297</v>
      </c>
      <c r="J127" s="13">
        <v>272574</v>
      </c>
      <c r="K127" s="13">
        <v>4073</v>
      </c>
    </row>
    <row r="128" spans="1:11">
      <c r="A128" s="11">
        <v>230440</v>
      </c>
      <c r="B128" s="12" t="s">
        <v>311</v>
      </c>
      <c r="C128" s="13">
        <v>2020</v>
      </c>
      <c r="D128" s="13"/>
      <c r="E128" s="13">
        <v>593</v>
      </c>
      <c r="F128" s="13">
        <v>12770</v>
      </c>
      <c r="G128" s="13">
        <v>12149518</v>
      </c>
      <c r="H128" s="13">
        <v>104</v>
      </c>
      <c r="I128" s="13">
        <v>0</v>
      </c>
      <c r="J128" s="13">
        <v>397</v>
      </c>
      <c r="K128" s="13">
        <v>10044</v>
      </c>
    </row>
    <row r="129" spans="1:11">
      <c r="A129" s="11">
        <v>230440</v>
      </c>
      <c r="B129" s="12" t="s">
        <v>311</v>
      </c>
      <c r="C129" s="13">
        <v>2021</v>
      </c>
      <c r="D129" s="13"/>
      <c r="E129" s="13">
        <v>690</v>
      </c>
      <c r="F129" s="13">
        <v>14059</v>
      </c>
      <c r="G129" s="13">
        <v>12330679</v>
      </c>
      <c r="H129" s="13">
        <v>95</v>
      </c>
      <c r="I129" s="13">
        <v>0</v>
      </c>
      <c r="J129" s="13">
        <v>948</v>
      </c>
      <c r="K129" s="13">
        <v>15218</v>
      </c>
    </row>
    <row r="130" spans="1:11">
      <c r="A130" s="11">
        <v>230440</v>
      </c>
      <c r="B130" s="12" t="s">
        <v>311</v>
      </c>
      <c r="C130" s="13">
        <v>2022</v>
      </c>
      <c r="D130" s="13">
        <v>2428708</v>
      </c>
      <c r="E130" s="13">
        <v>724</v>
      </c>
      <c r="F130" s="13">
        <v>14687</v>
      </c>
      <c r="G130" s="13">
        <v>13564675</v>
      </c>
      <c r="H130" s="13">
        <v>114</v>
      </c>
      <c r="I130" s="13">
        <v>0</v>
      </c>
      <c r="J130" s="13">
        <v>0</v>
      </c>
      <c r="K130" s="13">
        <v>19278</v>
      </c>
    </row>
    <row r="131" spans="1:11">
      <c r="A131" s="11">
        <v>230440</v>
      </c>
      <c r="B131" s="12" t="s">
        <v>311</v>
      </c>
      <c r="C131" s="13">
        <v>2023</v>
      </c>
      <c r="D131" s="13"/>
      <c r="E131" s="13">
        <v>708</v>
      </c>
      <c r="F131" s="13">
        <v>17126</v>
      </c>
      <c r="G131" s="13">
        <v>14657948</v>
      </c>
      <c r="H131" s="13">
        <v>109</v>
      </c>
      <c r="I131" s="13">
        <v>120</v>
      </c>
      <c r="J131" s="13">
        <v>185</v>
      </c>
      <c r="K131" s="13">
        <v>5330</v>
      </c>
    </row>
    <row r="132" spans="1:11">
      <c r="A132" s="11">
        <v>230440</v>
      </c>
      <c r="B132" s="12" t="s">
        <v>311</v>
      </c>
      <c r="C132" s="13">
        <v>2024</v>
      </c>
      <c r="D132" s="13"/>
      <c r="E132" s="13">
        <v>803</v>
      </c>
      <c r="F132" s="13">
        <v>29722</v>
      </c>
      <c r="G132" s="13">
        <v>15677537</v>
      </c>
      <c r="H132" s="13">
        <v>172</v>
      </c>
      <c r="I132" s="13">
        <v>26</v>
      </c>
      <c r="J132" s="13">
        <v>744</v>
      </c>
      <c r="K132" s="13">
        <v>3635</v>
      </c>
    </row>
    <row r="133" spans="1:11">
      <c r="A133" s="11">
        <v>230440</v>
      </c>
      <c r="B133" s="12" t="s">
        <v>311</v>
      </c>
      <c r="C133" s="13">
        <v>2025</v>
      </c>
      <c r="D133" s="13"/>
      <c r="E133" s="13">
        <v>652</v>
      </c>
      <c r="F133" s="13">
        <v>24347</v>
      </c>
      <c r="G133" s="13">
        <v>14621936</v>
      </c>
      <c r="H133" s="13">
        <v>104</v>
      </c>
      <c r="I133" s="13">
        <v>255</v>
      </c>
      <c r="J133" s="13">
        <v>332</v>
      </c>
      <c r="K133" s="13">
        <v>807</v>
      </c>
    </row>
    <row r="134" spans="1:11">
      <c r="A134" s="11">
        <v>240810</v>
      </c>
      <c r="B134" s="12" t="s">
        <v>312</v>
      </c>
      <c r="C134" s="13">
        <v>2014</v>
      </c>
      <c r="D134" s="13">
        <v>853928</v>
      </c>
      <c r="E134" s="13">
        <v>398</v>
      </c>
      <c r="F134" s="13">
        <v>9207</v>
      </c>
      <c r="G134" s="13">
        <v>4740446</v>
      </c>
      <c r="H134" s="13">
        <v>56</v>
      </c>
      <c r="I134" s="13">
        <v>24240</v>
      </c>
      <c r="J134" s="13">
        <v>382653</v>
      </c>
      <c r="K134" s="13">
        <v>4486</v>
      </c>
    </row>
    <row r="135" spans="1:11">
      <c r="A135" s="11">
        <v>240810</v>
      </c>
      <c r="B135" s="12" t="s">
        <v>312</v>
      </c>
      <c r="C135" s="13">
        <v>2015</v>
      </c>
      <c r="D135" s="13">
        <v>869954</v>
      </c>
      <c r="E135" s="13">
        <v>431</v>
      </c>
      <c r="F135" s="13">
        <v>10170</v>
      </c>
      <c r="G135" s="13">
        <v>4765262</v>
      </c>
      <c r="H135" s="13">
        <v>43</v>
      </c>
      <c r="I135" s="13">
        <v>14173</v>
      </c>
      <c r="J135" s="13">
        <v>309011</v>
      </c>
      <c r="K135" s="13">
        <v>8953</v>
      </c>
    </row>
    <row r="136" spans="1:11">
      <c r="A136" s="11">
        <v>240810</v>
      </c>
      <c r="B136" s="12" t="s">
        <v>312</v>
      </c>
      <c r="C136" s="13">
        <v>2016</v>
      </c>
      <c r="D136" s="13"/>
      <c r="E136" s="13">
        <v>355</v>
      </c>
      <c r="F136" s="13">
        <v>8830</v>
      </c>
      <c r="G136" s="13">
        <v>4801044</v>
      </c>
      <c r="H136" s="13">
        <v>45</v>
      </c>
      <c r="I136" s="13">
        <v>14106</v>
      </c>
      <c r="J136" s="13">
        <v>227376</v>
      </c>
      <c r="K136" s="13">
        <v>15359</v>
      </c>
    </row>
    <row r="137" spans="1:11">
      <c r="A137" s="11">
        <v>240810</v>
      </c>
      <c r="B137" s="12" t="s">
        <v>312</v>
      </c>
      <c r="C137" s="13">
        <v>2017</v>
      </c>
      <c r="D137" s="13"/>
      <c r="E137" s="13">
        <v>343</v>
      </c>
      <c r="F137" s="13">
        <v>8937</v>
      </c>
      <c r="G137" s="13">
        <v>4996988</v>
      </c>
      <c r="H137" s="13">
        <v>35</v>
      </c>
      <c r="I137" s="13">
        <v>15885</v>
      </c>
      <c r="J137" s="13">
        <v>162607</v>
      </c>
      <c r="K137" s="13">
        <v>4179</v>
      </c>
    </row>
    <row r="138" spans="1:11">
      <c r="A138" s="11">
        <v>240810</v>
      </c>
      <c r="B138" s="12" t="s">
        <v>312</v>
      </c>
      <c r="C138" s="13">
        <v>2018</v>
      </c>
      <c r="D138" s="13"/>
      <c r="E138" s="13">
        <v>308</v>
      </c>
      <c r="F138" s="13">
        <v>9764</v>
      </c>
      <c r="G138" s="13">
        <v>5194998</v>
      </c>
      <c r="H138" s="13">
        <v>31</v>
      </c>
      <c r="I138" s="13">
        <v>9147</v>
      </c>
      <c r="J138" s="13">
        <v>111658</v>
      </c>
      <c r="K138" s="13">
        <v>14954</v>
      </c>
    </row>
    <row r="139" spans="1:11">
      <c r="A139" s="11">
        <v>240810</v>
      </c>
      <c r="B139" s="12" t="s">
        <v>312</v>
      </c>
      <c r="C139" s="13">
        <v>2019</v>
      </c>
      <c r="D139" s="13"/>
      <c r="E139" s="13">
        <v>222</v>
      </c>
      <c r="F139" s="13">
        <v>9884</v>
      </c>
      <c r="G139" s="13">
        <v>4896047</v>
      </c>
      <c r="H139" s="13">
        <v>28</v>
      </c>
      <c r="I139" s="13">
        <v>7193</v>
      </c>
      <c r="J139" s="13">
        <v>103502</v>
      </c>
      <c r="K139" s="13">
        <v>18188</v>
      </c>
    </row>
    <row r="140" spans="1:11">
      <c r="A140" s="11">
        <v>240810</v>
      </c>
      <c r="B140" s="12" t="s">
        <v>312</v>
      </c>
      <c r="C140" s="13">
        <v>2020</v>
      </c>
      <c r="D140" s="13"/>
      <c r="E140" s="13">
        <v>307</v>
      </c>
      <c r="F140" s="13">
        <v>7503</v>
      </c>
      <c r="G140" s="13">
        <v>4454395</v>
      </c>
      <c r="H140" s="13">
        <v>21</v>
      </c>
      <c r="I140" s="13">
        <v>107693</v>
      </c>
      <c r="J140" s="13">
        <v>48433</v>
      </c>
      <c r="K140" s="13">
        <v>1371</v>
      </c>
    </row>
    <row r="141" spans="1:11">
      <c r="A141" s="11">
        <v>240810</v>
      </c>
      <c r="B141" s="12" t="s">
        <v>312</v>
      </c>
      <c r="C141" s="13">
        <v>2021</v>
      </c>
      <c r="D141" s="13"/>
      <c r="E141" s="13">
        <v>241</v>
      </c>
      <c r="F141" s="13">
        <v>11034</v>
      </c>
      <c r="G141" s="13">
        <v>6520280</v>
      </c>
      <c r="H141" s="13">
        <v>19</v>
      </c>
      <c r="I141" s="13">
        <v>105946</v>
      </c>
      <c r="J141" s="13">
        <v>53678</v>
      </c>
      <c r="K141" s="13">
        <v>1394</v>
      </c>
    </row>
    <row r="142" spans="1:11">
      <c r="A142" s="11">
        <v>240810</v>
      </c>
      <c r="B142" s="12" t="s">
        <v>312</v>
      </c>
      <c r="C142" s="13">
        <v>2022</v>
      </c>
      <c r="D142" s="13">
        <v>751300</v>
      </c>
      <c r="E142" s="13">
        <v>227</v>
      </c>
      <c r="F142" s="13">
        <v>11384</v>
      </c>
      <c r="G142" s="13">
        <v>6313597</v>
      </c>
      <c r="H142" s="13">
        <v>11</v>
      </c>
      <c r="I142" s="13">
        <v>3402</v>
      </c>
      <c r="J142" s="13">
        <v>50452</v>
      </c>
      <c r="K142" s="13">
        <v>19005</v>
      </c>
    </row>
    <row r="143" spans="1:11">
      <c r="A143" s="11">
        <v>240810</v>
      </c>
      <c r="B143" s="12" t="s">
        <v>312</v>
      </c>
      <c r="C143" s="13">
        <v>2023</v>
      </c>
      <c r="D143" s="13"/>
      <c r="E143" s="13">
        <v>225</v>
      </c>
      <c r="F143" s="13">
        <v>12642</v>
      </c>
      <c r="G143" s="13">
        <v>7244958</v>
      </c>
      <c r="H143" s="13">
        <v>23</v>
      </c>
      <c r="I143" s="13">
        <v>891</v>
      </c>
      <c r="J143" s="13">
        <v>22299</v>
      </c>
      <c r="K143" s="13">
        <v>3734</v>
      </c>
    </row>
    <row r="144" spans="1:11">
      <c r="A144" s="11">
        <v>240810</v>
      </c>
      <c r="B144" s="12" t="s">
        <v>312</v>
      </c>
      <c r="C144" s="13">
        <v>2024</v>
      </c>
      <c r="D144" s="13"/>
      <c r="E144" s="13">
        <v>330</v>
      </c>
      <c r="F144" s="13">
        <v>13055</v>
      </c>
      <c r="G144" s="13">
        <v>7508293</v>
      </c>
      <c r="H144" s="13">
        <v>14</v>
      </c>
      <c r="I144" s="13">
        <v>229</v>
      </c>
      <c r="J144" s="13">
        <v>10634</v>
      </c>
      <c r="K144" s="13">
        <v>8234</v>
      </c>
    </row>
    <row r="145" spans="1:11">
      <c r="A145" s="11">
        <v>240810</v>
      </c>
      <c r="B145" s="12" t="s">
        <v>312</v>
      </c>
      <c r="C145" s="13">
        <v>2025</v>
      </c>
      <c r="D145" s="13"/>
      <c r="E145" s="13">
        <v>353</v>
      </c>
      <c r="F145" s="13">
        <v>11682</v>
      </c>
      <c r="G145" s="13">
        <v>5908423</v>
      </c>
      <c r="H145" s="13">
        <v>10</v>
      </c>
      <c r="I145" s="13">
        <v>35</v>
      </c>
      <c r="J145" s="13">
        <v>3405</v>
      </c>
      <c r="K145" s="13">
        <v>5433</v>
      </c>
    </row>
    <row r="146" spans="1:11">
      <c r="A146" s="11">
        <v>250400</v>
      </c>
      <c r="B146" s="12" t="s">
        <v>313</v>
      </c>
      <c r="C146" s="13">
        <v>2014</v>
      </c>
      <c r="D146" s="13">
        <v>400002</v>
      </c>
      <c r="E146" s="13">
        <v>854</v>
      </c>
      <c r="F146" s="13">
        <v>3381</v>
      </c>
      <c r="G146" s="13">
        <v>2025062</v>
      </c>
      <c r="H146" s="13">
        <v>215</v>
      </c>
      <c r="I146" s="13">
        <v>19245</v>
      </c>
      <c r="J146" s="13">
        <v>127898</v>
      </c>
      <c r="K146" s="13">
        <v>234</v>
      </c>
    </row>
    <row r="147" spans="1:11">
      <c r="A147" s="11">
        <v>250400</v>
      </c>
      <c r="B147" s="12" t="s">
        <v>313</v>
      </c>
      <c r="C147" s="13">
        <v>2015</v>
      </c>
      <c r="D147" s="13">
        <v>405072</v>
      </c>
      <c r="E147" s="13">
        <v>774</v>
      </c>
      <c r="F147" s="13">
        <v>3199</v>
      </c>
      <c r="G147" s="13">
        <v>2290669</v>
      </c>
      <c r="H147" s="13">
        <v>229</v>
      </c>
      <c r="I147" s="13">
        <v>19879</v>
      </c>
      <c r="J147" s="13">
        <v>101693</v>
      </c>
      <c r="K147" s="13">
        <v>266</v>
      </c>
    </row>
    <row r="148" spans="1:11">
      <c r="A148" s="11">
        <v>250400</v>
      </c>
      <c r="B148" s="12" t="s">
        <v>313</v>
      </c>
      <c r="C148" s="13">
        <v>2016</v>
      </c>
      <c r="D148" s="13"/>
      <c r="E148" s="13">
        <v>825</v>
      </c>
      <c r="F148" s="13">
        <v>3233</v>
      </c>
      <c r="G148" s="13">
        <v>2339184</v>
      </c>
      <c r="H148" s="13">
        <v>211</v>
      </c>
      <c r="I148" s="13">
        <v>22586</v>
      </c>
      <c r="J148" s="13">
        <v>104922</v>
      </c>
      <c r="K148" s="13">
        <v>379</v>
      </c>
    </row>
    <row r="149" spans="1:11">
      <c r="A149" s="11">
        <v>250400</v>
      </c>
      <c r="B149" s="12" t="s">
        <v>313</v>
      </c>
      <c r="C149" s="13">
        <v>2017</v>
      </c>
      <c r="D149" s="13"/>
      <c r="E149" s="13">
        <v>873</v>
      </c>
      <c r="F149" s="13">
        <v>3770</v>
      </c>
      <c r="G149" s="13">
        <v>2013065</v>
      </c>
      <c r="H149" s="13">
        <v>208</v>
      </c>
      <c r="I149" s="13">
        <v>22637</v>
      </c>
      <c r="J149" s="13">
        <v>60193</v>
      </c>
      <c r="K149" s="13">
        <v>165</v>
      </c>
    </row>
    <row r="150" spans="1:11">
      <c r="A150" s="11">
        <v>250400</v>
      </c>
      <c r="B150" s="12" t="s">
        <v>313</v>
      </c>
      <c r="C150" s="13">
        <v>2018</v>
      </c>
      <c r="D150" s="13"/>
      <c r="E150" s="13">
        <v>878</v>
      </c>
      <c r="F150" s="13">
        <v>3709</v>
      </c>
      <c r="G150" s="13">
        <v>1468896</v>
      </c>
      <c r="H150" s="13">
        <v>237</v>
      </c>
      <c r="I150" s="13">
        <v>9524</v>
      </c>
      <c r="J150" s="13">
        <v>8055</v>
      </c>
      <c r="K150" s="13">
        <v>867</v>
      </c>
    </row>
    <row r="151" spans="1:11">
      <c r="A151" s="11">
        <v>250400</v>
      </c>
      <c r="B151" s="12" t="s">
        <v>313</v>
      </c>
      <c r="C151" s="13">
        <v>2019</v>
      </c>
      <c r="D151" s="13"/>
      <c r="E151" s="13">
        <v>631</v>
      </c>
      <c r="F151" s="13">
        <v>4023</v>
      </c>
      <c r="G151" s="13">
        <v>1515695</v>
      </c>
      <c r="H151" s="13">
        <v>144</v>
      </c>
      <c r="I151" s="13">
        <v>1761</v>
      </c>
      <c r="J151" s="13">
        <v>6928</v>
      </c>
      <c r="K151" s="13">
        <v>150</v>
      </c>
    </row>
    <row r="152" spans="1:11">
      <c r="A152" s="11">
        <v>250400</v>
      </c>
      <c r="B152" s="12" t="s">
        <v>313</v>
      </c>
      <c r="C152" s="13">
        <v>2020</v>
      </c>
      <c r="D152" s="13"/>
      <c r="E152" s="13">
        <v>441</v>
      </c>
      <c r="F152" s="13">
        <v>2671</v>
      </c>
      <c r="G152" s="13">
        <v>1160327</v>
      </c>
      <c r="H152" s="13">
        <v>118</v>
      </c>
      <c r="I152" s="13">
        <v>501</v>
      </c>
      <c r="J152" s="13">
        <v>5507</v>
      </c>
      <c r="K152" s="13">
        <v>401</v>
      </c>
    </row>
    <row r="153" spans="1:11">
      <c r="A153" s="11">
        <v>250400</v>
      </c>
      <c r="B153" s="12" t="s">
        <v>313</v>
      </c>
      <c r="C153" s="13">
        <v>2021</v>
      </c>
      <c r="D153" s="13"/>
      <c r="E153" s="13">
        <v>593</v>
      </c>
      <c r="F153" s="13">
        <v>4602</v>
      </c>
      <c r="G153" s="13">
        <v>1560659</v>
      </c>
      <c r="H153" s="13">
        <v>168</v>
      </c>
      <c r="I153" s="13">
        <v>610</v>
      </c>
      <c r="J153" s="13">
        <v>6373</v>
      </c>
      <c r="K153" s="13">
        <v>118</v>
      </c>
    </row>
    <row r="154" spans="1:11">
      <c r="A154" s="11">
        <v>250400</v>
      </c>
      <c r="B154" s="12" t="s">
        <v>313</v>
      </c>
      <c r="C154" s="13">
        <v>2022</v>
      </c>
      <c r="D154" s="13">
        <v>419379</v>
      </c>
      <c r="E154" s="13">
        <v>472</v>
      </c>
      <c r="F154" s="13">
        <v>6594</v>
      </c>
      <c r="G154" s="13">
        <v>2069873</v>
      </c>
      <c r="H154" s="13">
        <v>88</v>
      </c>
      <c r="I154" s="13">
        <v>227</v>
      </c>
      <c r="J154" s="13">
        <v>6847</v>
      </c>
      <c r="K154" s="13">
        <v>354</v>
      </c>
    </row>
    <row r="155" spans="1:11">
      <c r="A155" s="11">
        <v>250400</v>
      </c>
      <c r="B155" s="12" t="s">
        <v>313</v>
      </c>
      <c r="C155" s="13">
        <v>2023</v>
      </c>
      <c r="D155" s="13"/>
      <c r="E155" s="13">
        <v>370</v>
      </c>
      <c r="F155" s="13">
        <v>7461</v>
      </c>
      <c r="G155" s="13">
        <v>2197735</v>
      </c>
      <c r="H155" s="13">
        <v>89</v>
      </c>
      <c r="I155" s="13">
        <v>69</v>
      </c>
      <c r="J155" s="13">
        <v>1699</v>
      </c>
      <c r="K155" s="13">
        <v>120</v>
      </c>
    </row>
    <row r="156" spans="1:11">
      <c r="A156" s="11">
        <v>250400</v>
      </c>
      <c r="B156" s="12" t="s">
        <v>313</v>
      </c>
      <c r="C156" s="13">
        <v>2024</v>
      </c>
      <c r="D156" s="13"/>
      <c r="E156" s="13">
        <v>508</v>
      </c>
      <c r="F156" s="13">
        <v>8595</v>
      </c>
      <c r="G156" s="13">
        <v>2123065</v>
      </c>
      <c r="H156" s="13">
        <v>83</v>
      </c>
      <c r="I156" s="13">
        <v>220</v>
      </c>
      <c r="J156" s="13">
        <v>1069</v>
      </c>
      <c r="K156" s="13">
        <v>466</v>
      </c>
    </row>
    <row r="157" spans="1:11">
      <c r="A157" s="11">
        <v>250400</v>
      </c>
      <c r="B157" s="12" t="s">
        <v>313</v>
      </c>
      <c r="C157" s="13">
        <v>2025</v>
      </c>
      <c r="D157" s="13"/>
      <c r="E157" s="13">
        <v>335</v>
      </c>
      <c r="F157" s="13">
        <v>6794</v>
      </c>
      <c r="G157" s="13">
        <v>1494124</v>
      </c>
      <c r="H157" s="13">
        <v>55</v>
      </c>
      <c r="I157" s="13">
        <v>349</v>
      </c>
      <c r="J157" s="13">
        <v>304</v>
      </c>
      <c r="K157" s="13">
        <v>236</v>
      </c>
    </row>
    <row r="158" spans="1:11">
      <c r="A158" s="11">
        <v>250750</v>
      </c>
      <c r="B158" s="12" t="s">
        <v>314</v>
      </c>
      <c r="C158" s="13">
        <v>2014</v>
      </c>
      <c r="D158" s="13">
        <v>769607</v>
      </c>
      <c r="E158" s="13">
        <v>476</v>
      </c>
      <c r="F158" s="13">
        <v>12056</v>
      </c>
      <c r="G158" s="13">
        <v>4906226</v>
      </c>
      <c r="H158" s="13">
        <v>141</v>
      </c>
      <c r="I158" s="13">
        <v>30092</v>
      </c>
      <c r="J158" s="13">
        <v>233339</v>
      </c>
      <c r="K158" s="13">
        <v>2446</v>
      </c>
    </row>
    <row r="159" spans="1:11">
      <c r="A159" s="11">
        <v>250750</v>
      </c>
      <c r="B159" s="12" t="s">
        <v>314</v>
      </c>
      <c r="C159" s="13">
        <v>2015</v>
      </c>
      <c r="D159" s="13">
        <v>791438</v>
      </c>
      <c r="E159" s="13">
        <v>631</v>
      </c>
      <c r="F159" s="13">
        <v>10890</v>
      </c>
      <c r="G159" s="13">
        <v>4001417</v>
      </c>
      <c r="H159" s="13">
        <v>101</v>
      </c>
      <c r="I159" s="13">
        <v>1001</v>
      </c>
      <c r="J159" s="13">
        <v>10623</v>
      </c>
      <c r="K159" s="13">
        <v>4688</v>
      </c>
    </row>
    <row r="160" spans="1:11">
      <c r="A160" s="11">
        <v>250750</v>
      </c>
      <c r="B160" s="12" t="s">
        <v>314</v>
      </c>
      <c r="C160" s="13">
        <v>2016</v>
      </c>
      <c r="D160" s="13"/>
      <c r="E160" s="13">
        <v>375</v>
      </c>
      <c r="F160" s="13">
        <v>10008</v>
      </c>
      <c r="G160" s="13">
        <v>4043657</v>
      </c>
      <c r="H160" s="13">
        <v>109</v>
      </c>
      <c r="I160" s="13">
        <v>2012</v>
      </c>
      <c r="J160" s="13">
        <v>15592</v>
      </c>
      <c r="K160" s="13">
        <v>7039</v>
      </c>
    </row>
    <row r="161" spans="1:11">
      <c r="A161" s="11">
        <v>250750</v>
      </c>
      <c r="B161" s="12" t="s">
        <v>314</v>
      </c>
      <c r="C161" s="13">
        <v>2017</v>
      </c>
      <c r="D161" s="13"/>
      <c r="E161" s="13">
        <v>398</v>
      </c>
      <c r="F161" s="13">
        <v>9820</v>
      </c>
      <c r="G161" s="13">
        <v>4087862</v>
      </c>
      <c r="H161" s="13">
        <v>108</v>
      </c>
      <c r="I161" s="13">
        <v>347</v>
      </c>
      <c r="J161" s="13">
        <v>15783</v>
      </c>
      <c r="K161" s="13">
        <v>2548</v>
      </c>
    </row>
    <row r="162" spans="1:11">
      <c r="A162" s="11">
        <v>250750</v>
      </c>
      <c r="B162" s="12" t="s">
        <v>314</v>
      </c>
      <c r="C162" s="13">
        <v>2018</v>
      </c>
      <c r="D162" s="13"/>
      <c r="E162" s="13">
        <v>432</v>
      </c>
      <c r="F162" s="13">
        <v>12708</v>
      </c>
      <c r="G162" s="13">
        <v>5038159</v>
      </c>
      <c r="H162" s="13">
        <v>79</v>
      </c>
      <c r="I162" s="13">
        <v>390</v>
      </c>
      <c r="J162" s="13">
        <v>7685</v>
      </c>
      <c r="K162" s="13">
        <v>3340</v>
      </c>
    </row>
    <row r="163" spans="1:11">
      <c r="A163" s="11">
        <v>250750</v>
      </c>
      <c r="B163" s="12" t="s">
        <v>314</v>
      </c>
      <c r="C163" s="13">
        <v>2019</v>
      </c>
      <c r="D163" s="13"/>
      <c r="E163" s="13">
        <v>381</v>
      </c>
      <c r="F163" s="13">
        <v>16782</v>
      </c>
      <c r="G163" s="13">
        <v>4716520</v>
      </c>
      <c r="H163" s="13">
        <v>133</v>
      </c>
      <c r="I163" s="13">
        <v>343</v>
      </c>
      <c r="J163" s="13">
        <v>3601</v>
      </c>
      <c r="K163" s="13">
        <v>11488</v>
      </c>
    </row>
    <row r="164" spans="1:11">
      <c r="A164" s="11">
        <v>250750</v>
      </c>
      <c r="B164" s="12" t="s">
        <v>314</v>
      </c>
      <c r="C164" s="13">
        <v>2020</v>
      </c>
      <c r="D164" s="13"/>
      <c r="E164" s="13">
        <v>295</v>
      </c>
      <c r="F164" s="13">
        <v>12713</v>
      </c>
      <c r="G164" s="13">
        <v>2396526</v>
      </c>
      <c r="H164" s="13">
        <v>59</v>
      </c>
      <c r="I164" s="13">
        <v>163</v>
      </c>
      <c r="J164" s="13">
        <v>888</v>
      </c>
      <c r="K164" s="13">
        <v>2867</v>
      </c>
    </row>
    <row r="165" spans="1:11">
      <c r="A165" s="11">
        <v>250750</v>
      </c>
      <c r="B165" s="12" t="s">
        <v>314</v>
      </c>
      <c r="C165" s="13">
        <v>2021</v>
      </c>
      <c r="D165" s="13"/>
      <c r="E165" s="13">
        <v>322</v>
      </c>
      <c r="F165" s="13">
        <v>12664</v>
      </c>
      <c r="G165" s="13">
        <v>3316491</v>
      </c>
      <c r="H165" s="13">
        <v>80</v>
      </c>
      <c r="I165" s="13">
        <v>188</v>
      </c>
      <c r="J165" s="13">
        <v>1684</v>
      </c>
      <c r="K165" s="13">
        <v>8545</v>
      </c>
    </row>
    <row r="166" spans="1:11">
      <c r="A166" s="11">
        <v>250750</v>
      </c>
      <c r="B166" s="12" t="s">
        <v>314</v>
      </c>
      <c r="C166" s="13">
        <v>2022</v>
      </c>
      <c r="D166" s="13">
        <v>833932</v>
      </c>
      <c r="E166" s="13">
        <v>295</v>
      </c>
      <c r="F166" s="13">
        <v>13485</v>
      </c>
      <c r="G166" s="13">
        <v>3256483</v>
      </c>
      <c r="H166" s="13">
        <v>48</v>
      </c>
      <c r="I166" s="13">
        <v>43</v>
      </c>
      <c r="J166" s="13">
        <v>1669</v>
      </c>
      <c r="K166" s="13">
        <v>11114</v>
      </c>
    </row>
    <row r="167" spans="1:11">
      <c r="A167" s="11">
        <v>250750</v>
      </c>
      <c r="B167" s="12" t="s">
        <v>314</v>
      </c>
      <c r="C167" s="13">
        <v>2023</v>
      </c>
      <c r="D167" s="13"/>
      <c r="E167" s="13">
        <v>227</v>
      </c>
      <c r="F167" s="13">
        <v>15553</v>
      </c>
      <c r="G167" s="13">
        <v>4239156</v>
      </c>
      <c r="H167" s="13">
        <v>58</v>
      </c>
      <c r="I167" s="13">
        <v>9285</v>
      </c>
      <c r="J167" s="13">
        <v>423631</v>
      </c>
      <c r="K167" s="13">
        <v>4339</v>
      </c>
    </row>
    <row r="168" spans="1:11">
      <c r="A168" s="11">
        <v>250750</v>
      </c>
      <c r="B168" s="12" t="s">
        <v>314</v>
      </c>
      <c r="C168" s="13">
        <v>2024</v>
      </c>
      <c r="D168" s="13"/>
      <c r="E168" s="13">
        <v>288</v>
      </c>
      <c r="F168" s="13">
        <v>16633</v>
      </c>
      <c r="G168" s="13">
        <v>5938171</v>
      </c>
      <c r="H168" s="13">
        <v>70</v>
      </c>
      <c r="I168" s="13">
        <v>23773</v>
      </c>
      <c r="J168" s="13">
        <v>1102050</v>
      </c>
      <c r="K168" s="13">
        <v>7990</v>
      </c>
    </row>
    <row r="169" spans="1:11">
      <c r="A169" s="11">
        <v>250750</v>
      </c>
      <c r="B169" s="12" t="s">
        <v>314</v>
      </c>
      <c r="C169" s="13">
        <v>2025</v>
      </c>
      <c r="D169" s="13"/>
      <c r="E169" s="13">
        <v>231</v>
      </c>
      <c r="F169" s="13">
        <v>11118</v>
      </c>
      <c r="G169" s="13">
        <v>3841750</v>
      </c>
      <c r="H169" s="13">
        <v>49</v>
      </c>
      <c r="I169" s="13">
        <v>137</v>
      </c>
      <c r="J169" s="13">
        <v>136</v>
      </c>
      <c r="K169" s="13">
        <v>4464</v>
      </c>
    </row>
    <row r="170" spans="1:11">
      <c r="A170" s="11">
        <v>260410</v>
      </c>
      <c r="B170" s="12" t="s">
        <v>315</v>
      </c>
      <c r="C170" s="13">
        <v>2014</v>
      </c>
      <c r="D170" s="13">
        <v>337416</v>
      </c>
      <c r="E170" s="13">
        <v>124</v>
      </c>
      <c r="F170" s="13">
        <v>1285</v>
      </c>
      <c r="G170" s="13">
        <v>1400083</v>
      </c>
      <c r="H170" s="13">
        <v>51</v>
      </c>
      <c r="I170" s="13">
        <v>36006</v>
      </c>
      <c r="J170" s="13">
        <v>198728</v>
      </c>
      <c r="K170" s="13">
        <v>70</v>
      </c>
    </row>
    <row r="171" spans="1:11">
      <c r="A171" s="11">
        <v>260410</v>
      </c>
      <c r="B171" s="12" t="s">
        <v>315</v>
      </c>
      <c r="C171" s="13">
        <v>2015</v>
      </c>
      <c r="D171" s="13">
        <v>347088</v>
      </c>
      <c r="E171" s="13">
        <v>156</v>
      </c>
      <c r="F171" s="13">
        <v>2825</v>
      </c>
      <c r="G171" s="13">
        <v>1528122</v>
      </c>
      <c r="H171" s="13">
        <v>47</v>
      </c>
      <c r="I171" s="13">
        <v>33181</v>
      </c>
      <c r="J171" s="13">
        <v>204160</v>
      </c>
      <c r="K171" s="13">
        <v>693</v>
      </c>
    </row>
    <row r="172" spans="1:11">
      <c r="A172" s="11">
        <v>260410</v>
      </c>
      <c r="B172" s="12" t="s">
        <v>315</v>
      </c>
      <c r="C172" s="13">
        <v>2016</v>
      </c>
      <c r="D172" s="13"/>
      <c r="E172" s="13">
        <v>199</v>
      </c>
      <c r="F172" s="13">
        <v>1752</v>
      </c>
      <c r="G172" s="13">
        <v>1607124</v>
      </c>
      <c r="H172" s="13">
        <v>120</v>
      </c>
      <c r="I172" s="13">
        <v>21226</v>
      </c>
      <c r="J172" s="13">
        <v>170257</v>
      </c>
      <c r="K172" s="13">
        <v>817</v>
      </c>
    </row>
    <row r="173" spans="1:11">
      <c r="A173" s="11">
        <v>260410</v>
      </c>
      <c r="B173" s="12" t="s">
        <v>315</v>
      </c>
      <c r="C173" s="13">
        <v>2017</v>
      </c>
      <c r="D173" s="13"/>
      <c r="E173" s="13">
        <v>205</v>
      </c>
      <c r="F173" s="13">
        <v>1764</v>
      </c>
      <c r="G173" s="13">
        <v>1736119</v>
      </c>
      <c r="H173" s="13">
        <v>126</v>
      </c>
      <c r="I173" s="13">
        <v>16616</v>
      </c>
      <c r="J173" s="13">
        <v>94967</v>
      </c>
      <c r="K173" s="13">
        <v>297</v>
      </c>
    </row>
    <row r="174" spans="1:11">
      <c r="A174" s="11">
        <v>260410</v>
      </c>
      <c r="B174" s="12" t="s">
        <v>315</v>
      </c>
      <c r="C174" s="13">
        <v>2018</v>
      </c>
      <c r="D174" s="13"/>
      <c r="E174" s="13">
        <v>146</v>
      </c>
      <c r="F174" s="13">
        <v>1404</v>
      </c>
      <c r="G174" s="13">
        <v>1658756</v>
      </c>
      <c r="H174" s="13">
        <v>129</v>
      </c>
      <c r="I174" s="13">
        <v>5593</v>
      </c>
      <c r="J174" s="13">
        <v>52204</v>
      </c>
      <c r="K174" s="13">
        <v>273</v>
      </c>
    </row>
    <row r="175" spans="1:11">
      <c r="A175" s="11">
        <v>260410</v>
      </c>
      <c r="B175" s="12" t="s">
        <v>315</v>
      </c>
      <c r="C175" s="13">
        <v>2019</v>
      </c>
      <c r="D175" s="13"/>
      <c r="E175" s="13">
        <v>154</v>
      </c>
      <c r="F175" s="13">
        <v>1539</v>
      </c>
      <c r="G175" s="13">
        <v>1802330</v>
      </c>
      <c r="H175" s="13">
        <v>150</v>
      </c>
      <c r="I175" s="13">
        <v>3130</v>
      </c>
      <c r="J175" s="13">
        <v>45459</v>
      </c>
      <c r="K175" s="13">
        <v>230</v>
      </c>
    </row>
    <row r="176" spans="1:11">
      <c r="A176" s="11">
        <v>260410</v>
      </c>
      <c r="B176" s="12" t="s">
        <v>315</v>
      </c>
      <c r="C176" s="13">
        <v>2020</v>
      </c>
      <c r="D176" s="13"/>
      <c r="E176" s="13">
        <v>175</v>
      </c>
      <c r="F176" s="13">
        <v>1591</v>
      </c>
      <c r="G176" s="13">
        <v>1225427</v>
      </c>
      <c r="H176" s="13">
        <v>140</v>
      </c>
      <c r="I176" s="13">
        <v>3923</v>
      </c>
      <c r="J176" s="13">
        <v>6419</v>
      </c>
      <c r="K176" s="13">
        <v>143</v>
      </c>
    </row>
    <row r="177" spans="1:11">
      <c r="A177" s="11">
        <v>260410</v>
      </c>
      <c r="B177" s="12" t="s">
        <v>315</v>
      </c>
      <c r="C177" s="13">
        <v>2021</v>
      </c>
      <c r="D177" s="13"/>
      <c r="E177" s="13">
        <v>223</v>
      </c>
      <c r="F177" s="13">
        <v>2653</v>
      </c>
      <c r="G177" s="13">
        <v>1642057</v>
      </c>
      <c r="H177" s="13">
        <v>159</v>
      </c>
      <c r="I177" s="13">
        <v>3717</v>
      </c>
      <c r="J177" s="13">
        <v>0</v>
      </c>
      <c r="K177" s="13">
        <v>91</v>
      </c>
    </row>
    <row r="178" spans="1:11">
      <c r="A178" s="11">
        <v>260410</v>
      </c>
      <c r="B178" s="12" t="s">
        <v>315</v>
      </c>
      <c r="C178" s="13">
        <v>2022</v>
      </c>
      <c r="D178" s="13">
        <v>378048</v>
      </c>
      <c r="E178" s="13">
        <v>228</v>
      </c>
      <c r="F178" s="13">
        <v>2020</v>
      </c>
      <c r="G178" s="13">
        <v>1779443</v>
      </c>
      <c r="H178" s="13">
        <v>304</v>
      </c>
      <c r="I178" s="13">
        <v>4489</v>
      </c>
      <c r="J178" s="13">
        <v>0</v>
      </c>
      <c r="K178" s="13">
        <v>355</v>
      </c>
    </row>
    <row r="179" spans="1:11">
      <c r="A179" s="11">
        <v>260410</v>
      </c>
      <c r="B179" s="12" t="s">
        <v>315</v>
      </c>
      <c r="C179" s="13">
        <v>2023</v>
      </c>
      <c r="D179" s="13"/>
      <c r="E179" s="13">
        <v>187</v>
      </c>
      <c r="F179" s="13">
        <v>2392</v>
      </c>
      <c r="G179" s="13">
        <v>1916775</v>
      </c>
      <c r="H179" s="13">
        <v>243</v>
      </c>
      <c r="I179" s="13">
        <v>2879</v>
      </c>
      <c r="J179" s="13">
        <v>0</v>
      </c>
      <c r="K179" s="13">
        <v>107</v>
      </c>
    </row>
    <row r="180" spans="1:11">
      <c r="A180" s="11">
        <v>260410</v>
      </c>
      <c r="B180" s="12" t="s">
        <v>315</v>
      </c>
      <c r="C180" s="13">
        <v>2024</v>
      </c>
      <c r="D180" s="13"/>
      <c r="E180" s="13">
        <v>148</v>
      </c>
      <c r="F180" s="13">
        <v>2470</v>
      </c>
      <c r="G180" s="13">
        <v>2105946</v>
      </c>
      <c r="H180" s="13">
        <v>286</v>
      </c>
      <c r="I180" s="13">
        <v>2131</v>
      </c>
      <c r="J180" s="13">
        <v>139</v>
      </c>
      <c r="K180" s="13">
        <v>276</v>
      </c>
    </row>
    <row r="181" spans="1:11">
      <c r="A181" s="11">
        <v>260410</v>
      </c>
      <c r="B181" s="12" t="s">
        <v>315</v>
      </c>
      <c r="C181" s="13">
        <v>2025</v>
      </c>
      <c r="D181" s="13"/>
      <c r="E181" s="13">
        <v>178</v>
      </c>
      <c r="F181" s="13">
        <v>3191</v>
      </c>
      <c r="G181" s="13">
        <v>1669260</v>
      </c>
      <c r="H181" s="13">
        <v>206</v>
      </c>
      <c r="I181" s="13">
        <v>2644</v>
      </c>
      <c r="J181" s="13">
        <v>0</v>
      </c>
      <c r="K181" s="13">
        <v>227</v>
      </c>
    </row>
    <row r="182" spans="1:11">
      <c r="A182" s="11">
        <v>260790</v>
      </c>
      <c r="B182" s="12" t="s">
        <v>316</v>
      </c>
      <c r="C182" s="13">
        <v>2014</v>
      </c>
      <c r="D182" s="13">
        <v>675599</v>
      </c>
      <c r="E182" s="13">
        <v>231</v>
      </c>
      <c r="F182" s="13">
        <v>4448</v>
      </c>
      <c r="G182" s="13">
        <v>2176904</v>
      </c>
      <c r="H182" s="13">
        <v>30</v>
      </c>
      <c r="I182" s="13">
        <v>46024</v>
      </c>
      <c r="J182" s="13">
        <v>427235</v>
      </c>
      <c r="K182" s="13">
        <v>601</v>
      </c>
    </row>
    <row r="183" spans="1:11">
      <c r="A183" s="11">
        <v>260790</v>
      </c>
      <c r="B183" s="12" t="s">
        <v>316</v>
      </c>
      <c r="C183" s="13">
        <v>2015</v>
      </c>
      <c r="D183" s="13">
        <v>686122</v>
      </c>
      <c r="E183" s="13">
        <v>164</v>
      </c>
      <c r="F183" s="13">
        <v>4918</v>
      </c>
      <c r="G183" s="13">
        <v>2296675</v>
      </c>
      <c r="H183" s="13">
        <v>12</v>
      </c>
      <c r="I183" s="13">
        <v>50253</v>
      </c>
      <c r="J183" s="13">
        <v>365335</v>
      </c>
      <c r="K183" s="13">
        <v>4362</v>
      </c>
    </row>
    <row r="184" spans="1:11">
      <c r="A184" s="11">
        <v>260790</v>
      </c>
      <c r="B184" s="12" t="s">
        <v>316</v>
      </c>
      <c r="C184" s="13">
        <v>2016</v>
      </c>
      <c r="D184" s="13"/>
      <c r="E184" s="13">
        <v>239</v>
      </c>
      <c r="F184" s="13">
        <v>4142</v>
      </c>
      <c r="G184" s="13">
        <v>2087159</v>
      </c>
      <c r="H184" s="13">
        <v>27</v>
      </c>
      <c r="I184" s="13">
        <v>49990</v>
      </c>
      <c r="J184" s="13">
        <v>299839</v>
      </c>
      <c r="K184" s="13">
        <v>2734</v>
      </c>
    </row>
    <row r="185" spans="1:11">
      <c r="A185" s="11">
        <v>260790</v>
      </c>
      <c r="B185" s="12" t="s">
        <v>316</v>
      </c>
      <c r="C185" s="13">
        <v>2017</v>
      </c>
      <c r="D185" s="13"/>
      <c r="E185" s="13">
        <v>211</v>
      </c>
      <c r="F185" s="13">
        <v>4037</v>
      </c>
      <c r="G185" s="13">
        <v>1772247</v>
      </c>
      <c r="H185" s="13">
        <v>18</v>
      </c>
      <c r="I185" s="13">
        <v>20795</v>
      </c>
      <c r="J185" s="13">
        <v>160944</v>
      </c>
      <c r="K185" s="13">
        <v>170</v>
      </c>
    </row>
    <row r="186" spans="1:11">
      <c r="A186" s="11">
        <v>260790</v>
      </c>
      <c r="B186" s="12" t="s">
        <v>316</v>
      </c>
      <c r="C186" s="13">
        <v>2018</v>
      </c>
      <c r="D186" s="13"/>
      <c r="E186" s="13">
        <v>283</v>
      </c>
      <c r="F186" s="13">
        <v>5326</v>
      </c>
      <c r="G186" s="13">
        <v>1651017</v>
      </c>
      <c r="H186" s="13">
        <v>8</v>
      </c>
      <c r="I186" s="13">
        <v>3544</v>
      </c>
      <c r="J186" s="13">
        <v>77321</v>
      </c>
      <c r="K186" s="13">
        <v>750</v>
      </c>
    </row>
    <row r="187" spans="1:11">
      <c r="A187" s="11">
        <v>260790</v>
      </c>
      <c r="B187" s="12" t="s">
        <v>316</v>
      </c>
      <c r="C187" s="13">
        <v>2019</v>
      </c>
      <c r="D187" s="13"/>
      <c r="E187" s="13">
        <v>208</v>
      </c>
      <c r="F187" s="13">
        <v>6707</v>
      </c>
      <c r="G187" s="13">
        <v>2085188</v>
      </c>
      <c r="H187" s="13">
        <v>7</v>
      </c>
      <c r="I187" s="13">
        <v>2680</v>
      </c>
      <c r="J187" s="13">
        <v>71666</v>
      </c>
      <c r="K187" s="13">
        <v>4358</v>
      </c>
    </row>
    <row r="188" spans="1:11">
      <c r="A188" s="11">
        <v>260790</v>
      </c>
      <c r="B188" s="12" t="s">
        <v>316</v>
      </c>
      <c r="C188" s="13">
        <v>2020</v>
      </c>
      <c r="D188" s="13"/>
      <c r="E188" s="13">
        <v>194</v>
      </c>
      <c r="F188" s="13">
        <v>4437</v>
      </c>
      <c r="G188" s="13">
        <v>1303067</v>
      </c>
      <c r="H188" s="13">
        <v>11</v>
      </c>
      <c r="I188" s="13">
        <v>3355</v>
      </c>
      <c r="J188" s="13">
        <v>27546</v>
      </c>
      <c r="K188" s="13">
        <v>3120</v>
      </c>
    </row>
    <row r="189" spans="1:11">
      <c r="A189" s="11">
        <v>260790</v>
      </c>
      <c r="B189" s="12" t="s">
        <v>316</v>
      </c>
      <c r="C189" s="13">
        <v>2021</v>
      </c>
      <c r="D189" s="13"/>
      <c r="E189" s="13">
        <v>325</v>
      </c>
      <c r="F189" s="13">
        <v>8615</v>
      </c>
      <c r="G189" s="13">
        <v>1955259</v>
      </c>
      <c r="H189" s="13">
        <v>14</v>
      </c>
      <c r="I189" s="13">
        <v>5226</v>
      </c>
      <c r="J189" s="13">
        <v>33059</v>
      </c>
      <c r="K189" s="13">
        <v>9000</v>
      </c>
    </row>
    <row r="190" spans="1:11">
      <c r="A190" s="11">
        <v>260790</v>
      </c>
      <c r="B190" s="12" t="s">
        <v>316</v>
      </c>
      <c r="C190" s="13">
        <v>2022</v>
      </c>
      <c r="D190" s="13"/>
      <c r="E190" s="13">
        <v>326</v>
      </c>
      <c r="F190" s="13">
        <v>9152</v>
      </c>
      <c r="G190" s="13">
        <v>2371300</v>
      </c>
      <c r="H190" s="13">
        <v>36</v>
      </c>
      <c r="I190" s="13">
        <v>3419</v>
      </c>
      <c r="J190" s="13">
        <v>24770</v>
      </c>
      <c r="K190" s="13">
        <v>1554</v>
      </c>
    </row>
    <row r="191" spans="1:11">
      <c r="A191" s="11">
        <v>260790</v>
      </c>
      <c r="B191" s="12" t="s">
        <v>316</v>
      </c>
      <c r="C191" s="13">
        <v>2023</v>
      </c>
      <c r="D191" s="13"/>
      <c r="E191" s="13">
        <v>248</v>
      </c>
      <c r="F191" s="13">
        <v>12416</v>
      </c>
      <c r="G191" s="13">
        <v>2857152</v>
      </c>
      <c r="H191" s="13">
        <v>19</v>
      </c>
      <c r="I191" s="13">
        <v>4100</v>
      </c>
      <c r="J191" s="13">
        <v>32974</v>
      </c>
      <c r="K191" s="13">
        <v>965</v>
      </c>
    </row>
    <row r="192" spans="1:11">
      <c r="A192" s="11">
        <v>260790</v>
      </c>
      <c r="B192" s="12" t="s">
        <v>316</v>
      </c>
      <c r="C192" s="13">
        <v>2024</v>
      </c>
      <c r="D192" s="13"/>
      <c r="E192" s="13">
        <v>224</v>
      </c>
      <c r="F192" s="13">
        <v>10713</v>
      </c>
      <c r="G192" s="13">
        <v>2896012</v>
      </c>
      <c r="H192" s="13">
        <v>21</v>
      </c>
      <c r="I192" s="13">
        <v>2651</v>
      </c>
      <c r="J192" s="13">
        <v>23227</v>
      </c>
      <c r="K192" s="13">
        <v>1423</v>
      </c>
    </row>
    <row r="193" spans="1:11">
      <c r="A193" s="11">
        <v>260790</v>
      </c>
      <c r="B193" s="12" t="s">
        <v>316</v>
      </c>
      <c r="C193" s="13">
        <v>2025</v>
      </c>
      <c r="D193" s="13"/>
      <c r="E193" s="13">
        <v>286</v>
      </c>
      <c r="F193" s="13">
        <v>11782</v>
      </c>
      <c r="G193" s="13">
        <v>2399708</v>
      </c>
      <c r="H193" s="13">
        <v>17</v>
      </c>
      <c r="I193" s="13">
        <v>1516</v>
      </c>
      <c r="J193" s="13">
        <v>11200</v>
      </c>
      <c r="K193" s="13">
        <v>2781</v>
      </c>
    </row>
    <row r="194" spans="1:11">
      <c r="A194" s="11">
        <v>261110</v>
      </c>
      <c r="B194" s="12" t="s">
        <v>317</v>
      </c>
      <c r="C194" s="13">
        <v>2014</v>
      </c>
      <c r="D194" s="13">
        <v>319893</v>
      </c>
      <c r="E194" s="13">
        <v>40</v>
      </c>
      <c r="F194" s="13">
        <v>1125</v>
      </c>
      <c r="G194" s="13">
        <v>1063180</v>
      </c>
      <c r="H194" s="13">
        <v>20</v>
      </c>
      <c r="I194" s="13">
        <v>37460</v>
      </c>
      <c r="J194" s="13">
        <v>258079</v>
      </c>
      <c r="K194" s="13">
        <v>829</v>
      </c>
    </row>
    <row r="195" spans="1:11">
      <c r="A195" s="11">
        <v>261110</v>
      </c>
      <c r="B195" s="12" t="s">
        <v>317</v>
      </c>
      <c r="C195" s="13">
        <v>2015</v>
      </c>
      <c r="D195" s="13">
        <v>331951</v>
      </c>
      <c r="E195" s="13">
        <v>42</v>
      </c>
      <c r="F195" s="13">
        <v>1382</v>
      </c>
      <c r="G195" s="13">
        <v>1330166</v>
      </c>
      <c r="H195" s="13">
        <v>22</v>
      </c>
      <c r="I195" s="13">
        <v>50815</v>
      </c>
      <c r="J195" s="13">
        <v>276508</v>
      </c>
      <c r="K195" s="13">
        <v>1558</v>
      </c>
    </row>
    <row r="196" spans="1:11">
      <c r="A196" s="11">
        <v>261110</v>
      </c>
      <c r="B196" s="12" t="s">
        <v>317</v>
      </c>
      <c r="C196" s="13">
        <v>2016</v>
      </c>
      <c r="D196" s="13"/>
      <c r="E196" s="13">
        <v>46</v>
      </c>
      <c r="F196" s="13">
        <v>1574</v>
      </c>
      <c r="G196" s="13">
        <v>1371450</v>
      </c>
      <c r="H196" s="13">
        <v>22</v>
      </c>
      <c r="I196" s="13">
        <v>5205</v>
      </c>
      <c r="J196" s="13">
        <v>7976</v>
      </c>
      <c r="K196" s="13">
        <v>322</v>
      </c>
    </row>
    <row r="197" spans="1:11">
      <c r="A197" s="11">
        <v>261110</v>
      </c>
      <c r="B197" s="12" t="s">
        <v>317</v>
      </c>
      <c r="C197" s="13">
        <v>2017</v>
      </c>
      <c r="D197" s="13"/>
      <c r="E197" s="13">
        <v>43</v>
      </c>
      <c r="F197" s="13">
        <v>349</v>
      </c>
      <c r="G197" s="13">
        <v>1392811</v>
      </c>
      <c r="H197" s="13">
        <v>9</v>
      </c>
      <c r="I197" s="13">
        <v>10267</v>
      </c>
      <c r="J197" s="13">
        <v>9617</v>
      </c>
      <c r="K197" s="13">
        <v>24</v>
      </c>
    </row>
    <row r="198" spans="1:11">
      <c r="A198" s="11">
        <v>261110</v>
      </c>
      <c r="B198" s="12" t="s">
        <v>317</v>
      </c>
      <c r="C198" s="13">
        <v>2018</v>
      </c>
      <c r="D198" s="13"/>
      <c r="E198" s="13">
        <v>46</v>
      </c>
      <c r="F198" s="13">
        <v>1143</v>
      </c>
      <c r="G198" s="13">
        <v>1507787</v>
      </c>
      <c r="H198" s="13">
        <v>10</v>
      </c>
      <c r="I198" s="13">
        <v>5399</v>
      </c>
      <c r="J198" s="13">
        <v>139</v>
      </c>
      <c r="K198" s="13">
        <v>124</v>
      </c>
    </row>
    <row r="199" spans="1:11">
      <c r="A199" s="11">
        <v>261110</v>
      </c>
      <c r="B199" s="12" t="s">
        <v>317</v>
      </c>
      <c r="C199" s="13">
        <v>2019</v>
      </c>
      <c r="D199" s="13"/>
      <c r="E199" s="13">
        <v>50</v>
      </c>
      <c r="F199" s="13">
        <v>1139</v>
      </c>
      <c r="G199" s="13">
        <v>1648657</v>
      </c>
      <c r="H199" s="13">
        <v>13</v>
      </c>
      <c r="I199" s="13">
        <v>4011</v>
      </c>
      <c r="J199" s="13">
        <v>1389</v>
      </c>
      <c r="K199" s="13">
        <v>1482</v>
      </c>
    </row>
    <row r="200" spans="1:11">
      <c r="A200" s="11">
        <v>261110</v>
      </c>
      <c r="B200" s="12" t="s">
        <v>317</v>
      </c>
      <c r="C200" s="13">
        <v>2020</v>
      </c>
      <c r="D200" s="13"/>
      <c r="E200" s="13">
        <v>50</v>
      </c>
      <c r="F200" s="13">
        <v>1119</v>
      </c>
      <c r="G200" s="13">
        <v>1150979</v>
      </c>
      <c r="H200" s="13">
        <v>9</v>
      </c>
      <c r="I200" s="13">
        <v>2702</v>
      </c>
      <c r="J200" s="13">
        <v>285</v>
      </c>
      <c r="K200" s="13">
        <v>2692</v>
      </c>
    </row>
    <row r="201" spans="1:11">
      <c r="A201" s="11">
        <v>261110</v>
      </c>
      <c r="B201" s="12" t="s">
        <v>317</v>
      </c>
      <c r="C201" s="13">
        <v>2021</v>
      </c>
      <c r="D201" s="13"/>
      <c r="E201" s="13">
        <v>57</v>
      </c>
      <c r="F201" s="13">
        <v>2419</v>
      </c>
      <c r="G201" s="13">
        <v>1498603</v>
      </c>
      <c r="H201" s="13">
        <v>9</v>
      </c>
      <c r="I201" s="13">
        <v>5153</v>
      </c>
      <c r="J201" s="13">
        <v>6</v>
      </c>
      <c r="K201" s="13">
        <v>223</v>
      </c>
    </row>
    <row r="202" spans="1:11">
      <c r="A202" s="11">
        <v>261110</v>
      </c>
      <c r="B202" s="12" t="s">
        <v>317</v>
      </c>
      <c r="C202" s="13">
        <v>2022</v>
      </c>
      <c r="D202" s="13"/>
      <c r="E202" s="13">
        <v>57</v>
      </c>
      <c r="F202" s="13">
        <v>2601</v>
      </c>
      <c r="G202" s="13">
        <v>1758978</v>
      </c>
      <c r="H202" s="13">
        <v>12</v>
      </c>
      <c r="I202" s="13">
        <v>5240</v>
      </c>
      <c r="J202" s="13">
        <v>29</v>
      </c>
      <c r="K202" s="13">
        <v>490</v>
      </c>
    </row>
    <row r="203" spans="1:11">
      <c r="A203" s="11">
        <v>261110</v>
      </c>
      <c r="B203" s="12" t="s">
        <v>317</v>
      </c>
      <c r="C203" s="13">
        <v>2023</v>
      </c>
      <c r="D203" s="13"/>
      <c r="E203" s="13">
        <v>42</v>
      </c>
      <c r="F203" s="13">
        <v>2525</v>
      </c>
      <c r="G203" s="13">
        <v>1675613</v>
      </c>
      <c r="H203" s="13">
        <v>16</v>
      </c>
      <c r="I203" s="13">
        <v>1150</v>
      </c>
      <c r="J203" s="13">
        <v>31</v>
      </c>
      <c r="K203" s="13">
        <v>67</v>
      </c>
    </row>
    <row r="204" spans="1:11">
      <c r="A204" s="11">
        <v>261110</v>
      </c>
      <c r="B204" s="12" t="s">
        <v>317</v>
      </c>
      <c r="C204" s="13">
        <v>2024</v>
      </c>
      <c r="D204" s="13"/>
      <c r="E204" s="13">
        <v>59</v>
      </c>
      <c r="F204" s="13">
        <v>1931</v>
      </c>
      <c r="G204" s="13">
        <v>1927962</v>
      </c>
      <c r="H204" s="13">
        <v>16</v>
      </c>
      <c r="I204" s="13">
        <v>2552</v>
      </c>
      <c r="J204" s="13">
        <v>19602</v>
      </c>
      <c r="K204" s="13">
        <v>211</v>
      </c>
    </row>
    <row r="205" spans="1:11">
      <c r="A205" s="11">
        <v>261110</v>
      </c>
      <c r="B205" s="12" t="s">
        <v>317</v>
      </c>
      <c r="C205" s="13">
        <v>2025</v>
      </c>
      <c r="D205" s="13"/>
      <c r="E205" s="13">
        <v>30</v>
      </c>
      <c r="F205" s="13">
        <v>2186</v>
      </c>
      <c r="G205" s="13">
        <v>1259161</v>
      </c>
      <c r="H205" s="13">
        <v>14</v>
      </c>
      <c r="I205" s="13">
        <v>918</v>
      </c>
      <c r="J205" s="13">
        <v>1</v>
      </c>
      <c r="K205" s="13">
        <v>125</v>
      </c>
    </row>
    <row r="206" spans="1:11">
      <c r="A206" s="11">
        <v>261160</v>
      </c>
      <c r="B206" s="12" t="s">
        <v>318</v>
      </c>
      <c r="C206" s="13">
        <v>2014</v>
      </c>
      <c r="D206" s="13">
        <v>1599513</v>
      </c>
      <c r="E206" s="13">
        <v>1210</v>
      </c>
      <c r="F206" s="13">
        <v>23701</v>
      </c>
      <c r="G206" s="13">
        <v>15021671</v>
      </c>
      <c r="H206" s="13">
        <v>1394</v>
      </c>
      <c r="I206" s="13">
        <v>118058</v>
      </c>
      <c r="J206" s="13">
        <v>2056015</v>
      </c>
      <c r="K206" s="13">
        <v>2223</v>
      </c>
    </row>
    <row r="207" spans="1:11">
      <c r="A207" s="11">
        <v>261160</v>
      </c>
      <c r="B207" s="12" t="s">
        <v>318</v>
      </c>
      <c r="C207" s="13">
        <v>2015</v>
      </c>
      <c r="D207" s="13">
        <v>1617183</v>
      </c>
      <c r="E207" s="13">
        <v>932</v>
      </c>
      <c r="F207" s="13">
        <v>23601</v>
      </c>
      <c r="G207" s="13">
        <v>16150135</v>
      </c>
      <c r="H207" s="13">
        <v>1083</v>
      </c>
      <c r="I207" s="13">
        <v>156238</v>
      </c>
      <c r="J207" s="13">
        <v>3134706</v>
      </c>
      <c r="K207" s="13">
        <v>32078</v>
      </c>
    </row>
    <row r="208" spans="1:11">
      <c r="A208" s="11">
        <v>261160</v>
      </c>
      <c r="B208" s="12" t="s">
        <v>318</v>
      </c>
      <c r="C208" s="13">
        <v>2016</v>
      </c>
      <c r="D208" s="13"/>
      <c r="E208" s="13">
        <v>979</v>
      </c>
      <c r="F208" s="13">
        <v>22857</v>
      </c>
      <c r="G208" s="13">
        <v>16556924</v>
      </c>
      <c r="H208" s="13">
        <v>839</v>
      </c>
      <c r="I208" s="13">
        <v>158461</v>
      </c>
      <c r="J208" s="13">
        <v>3255823</v>
      </c>
      <c r="K208" s="13">
        <v>18773</v>
      </c>
    </row>
    <row r="209" spans="1:11">
      <c r="A209" s="11">
        <v>261160</v>
      </c>
      <c r="B209" s="12" t="s">
        <v>318</v>
      </c>
      <c r="C209" s="13">
        <v>2017</v>
      </c>
      <c r="D209" s="13"/>
      <c r="E209" s="13">
        <v>972</v>
      </c>
      <c r="F209" s="13">
        <v>21809</v>
      </c>
      <c r="G209" s="13">
        <v>17066652</v>
      </c>
      <c r="H209" s="13">
        <v>969</v>
      </c>
      <c r="I209" s="13">
        <v>101802</v>
      </c>
      <c r="J209" s="13">
        <v>1910571</v>
      </c>
      <c r="K209" s="13">
        <v>1749</v>
      </c>
    </row>
    <row r="210" spans="1:11">
      <c r="A210" s="11">
        <v>261160</v>
      </c>
      <c r="B210" s="12" t="s">
        <v>318</v>
      </c>
      <c r="C210" s="13">
        <v>2018</v>
      </c>
      <c r="D210" s="13"/>
      <c r="E210" s="13">
        <v>832</v>
      </c>
      <c r="F210" s="13">
        <v>22339</v>
      </c>
      <c r="G210" s="13">
        <v>17639266</v>
      </c>
      <c r="H210" s="13">
        <v>1069</v>
      </c>
      <c r="I210" s="13">
        <v>12446</v>
      </c>
      <c r="J210" s="13">
        <v>94474</v>
      </c>
      <c r="K210" s="13">
        <v>2276</v>
      </c>
    </row>
    <row r="211" spans="1:11">
      <c r="A211" s="11">
        <v>261160</v>
      </c>
      <c r="B211" s="12" t="s">
        <v>318</v>
      </c>
      <c r="C211" s="13">
        <v>2019</v>
      </c>
      <c r="D211" s="13"/>
      <c r="E211" s="13">
        <v>1141</v>
      </c>
      <c r="F211" s="13">
        <v>24201</v>
      </c>
      <c r="G211" s="13">
        <v>18773009</v>
      </c>
      <c r="H211" s="13">
        <v>1336</v>
      </c>
      <c r="I211" s="13">
        <v>11154</v>
      </c>
      <c r="J211" s="13">
        <v>85532</v>
      </c>
      <c r="K211" s="13">
        <v>7236</v>
      </c>
    </row>
    <row r="212" spans="1:11">
      <c r="A212" s="11">
        <v>261160</v>
      </c>
      <c r="B212" s="12" t="s">
        <v>318</v>
      </c>
      <c r="C212" s="13">
        <v>2020</v>
      </c>
      <c r="D212" s="13"/>
      <c r="E212" s="13">
        <v>1057</v>
      </c>
      <c r="F212" s="13">
        <v>16344</v>
      </c>
      <c r="G212" s="13">
        <v>15252531</v>
      </c>
      <c r="H212" s="13">
        <v>747</v>
      </c>
      <c r="I212" s="13">
        <v>7801</v>
      </c>
      <c r="J212" s="13">
        <v>32478</v>
      </c>
      <c r="K212" s="13">
        <v>2600</v>
      </c>
    </row>
    <row r="213" spans="1:11">
      <c r="A213" s="11">
        <v>261160</v>
      </c>
      <c r="B213" s="12" t="s">
        <v>318</v>
      </c>
      <c r="C213" s="13">
        <v>2021</v>
      </c>
      <c r="D213" s="13"/>
      <c r="E213" s="13">
        <v>1403</v>
      </c>
      <c r="F213" s="13">
        <v>37229</v>
      </c>
      <c r="G213" s="13">
        <v>17414404</v>
      </c>
      <c r="H213" s="13">
        <v>996</v>
      </c>
      <c r="I213" s="13">
        <v>7746</v>
      </c>
      <c r="J213" s="13">
        <v>51429</v>
      </c>
      <c r="K213" s="13">
        <v>9924</v>
      </c>
    </row>
    <row r="214" spans="1:11">
      <c r="A214" s="11">
        <v>261160</v>
      </c>
      <c r="B214" s="12" t="s">
        <v>318</v>
      </c>
      <c r="C214" s="13">
        <v>2022</v>
      </c>
      <c r="D214" s="13">
        <v>1488920</v>
      </c>
      <c r="E214" s="13">
        <v>1259</v>
      </c>
      <c r="F214" s="13">
        <v>52875</v>
      </c>
      <c r="G214" s="13">
        <v>19160985</v>
      </c>
      <c r="H214" s="13">
        <v>926</v>
      </c>
      <c r="I214" s="13">
        <v>8651</v>
      </c>
      <c r="J214" s="13">
        <v>49973</v>
      </c>
      <c r="K214" s="13">
        <v>2239</v>
      </c>
    </row>
    <row r="215" spans="1:11">
      <c r="A215" s="11">
        <v>261160</v>
      </c>
      <c r="B215" s="12" t="s">
        <v>318</v>
      </c>
      <c r="C215" s="13">
        <v>2023</v>
      </c>
      <c r="D215" s="13"/>
      <c r="E215" s="13">
        <v>1043</v>
      </c>
      <c r="F215" s="13">
        <v>60883</v>
      </c>
      <c r="G215" s="13">
        <v>20398030</v>
      </c>
      <c r="H215" s="13">
        <v>625</v>
      </c>
      <c r="I215" s="13">
        <v>6830</v>
      </c>
      <c r="J215" s="13">
        <v>30488</v>
      </c>
      <c r="K215" s="13">
        <v>2435</v>
      </c>
    </row>
    <row r="216" spans="1:11">
      <c r="A216" s="11">
        <v>261160</v>
      </c>
      <c r="B216" s="12" t="s">
        <v>318</v>
      </c>
      <c r="C216" s="13">
        <v>2024</v>
      </c>
      <c r="D216" s="13"/>
      <c r="E216" s="13">
        <v>907</v>
      </c>
      <c r="F216" s="13">
        <v>62202</v>
      </c>
      <c r="G216" s="13">
        <v>22385212</v>
      </c>
      <c r="H216" s="13">
        <v>528</v>
      </c>
      <c r="I216" s="13">
        <v>6077</v>
      </c>
      <c r="J216" s="13">
        <v>3601</v>
      </c>
      <c r="K216" s="13">
        <v>4546</v>
      </c>
    </row>
    <row r="217" spans="1:11">
      <c r="A217" s="11">
        <v>261160</v>
      </c>
      <c r="B217" s="12" t="s">
        <v>318</v>
      </c>
      <c r="C217" s="13">
        <v>2025</v>
      </c>
      <c r="D217" s="13"/>
      <c r="E217" s="13">
        <v>773</v>
      </c>
      <c r="F217" s="13">
        <v>54764</v>
      </c>
      <c r="G217" s="13">
        <v>17933786</v>
      </c>
      <c r="H217" s="13">
        <v>420</v>
      </c>
      <c r="I217" s="13">
        <v>8091</v>
      </c>
      <c r="J217" s="13">
        <v>2677</v>
      </c>
      <c r="K217" s="13">
        <v>8350</v>
      </c>
    </row>
    <row r="218" spans="1:11">
      <c r="A218" s="11">
        <v>270430</v>
      </c>
      <c r="B218" s="12" t="s">
        <v>319</v>
      </c>
      <c r="C218" s="13">
        <v>2014</v>
      </c>
      <c r="D218" s="13">
        <v>996733</v>
      </c>
      <c r="E218" s="13">
        <v>382</v>
      </c>
      <c r="F218" s="13">
        <v>47238</v>
      </c>
      <c r="G218" s="13">
        <v>3130517</v>
      </c>
      <c r="H218" s="13">
        <v>151</v>
      </c>
      <c r="I218" s="13">
        <v>41958</v>
      </c>
      <c r="J218" s="13">
        <v>1373657</v>
      </c>
      <c r="K218" s="13">
        <v>6017</v>
      </c>
    </row>
    <row r="219" spans="1:11">
      <c r="A219" s="11">
        <v>270430</v>
      </c>
      <c r="B219" s="12" t="s">
        <v>319</v>
      </c>
      <c r="C219" s="13">
        <v>2015</v>
      </c>
      <c r="D219" s="13">
        <v>1013773</v>
      </c>
      <c r="E219" s="13">
        <v>441</v>
      </c>
      <c r="F219" s="13">
        <v>22373</v>
      </c>
      <c r="G219" s="13">
        <v>3038181</v>
      </c>
      <c r="H219" s="13">
        <v>198</v>
      </c>
      <c r="I219" s="13">
        <v>142149</v>
      </c>
      <c r="J219" s="13">
        <v>350430</v>
      </c>
      <c r="K219" s="13">
        <v>4013</v>
      </c>
    </row>
    <row r="220" spans="1:11">
      <c r="A220" s="11">
        <v>270430</v>
      </c>
      <c r="B220" s="12" t="s">
        <v>319</v>
      </c>
      <c r="C220" s="13">
        <v>2016</v>
      </c>
      <c r="D220" s="13"/>
      <c r="E220" s="13">
        <v>479</v>
      </c>
      <c r="F220" s="13">
        <v>19095</v>
      </c>
      <c r="G220" s="13">
        <v>3563962</v>
      </c>
      <c r="H220" s="13">
        <v>214</v>
      </c>
      <c r="I220" s="13">
        <v>12665</v>
      </c>
      <c r="J220" s="13">
        <v>398064</v>
      </c>
      <c r="K220" s="13">
        <v>5802</v>
      </c>
    </row>
    <row r="221" spans="1:11">
      <c r="A221" s="11">
        <v>270430</v>
      </c>
      <c r="B221" s="12" t="s">
        <v>319</v>
      </c>
      <c r="C221" s="13">
        <v>2017</v>
      </c>
      <c r="D221" s="13"/>
      <c r="E221" s="13">
        <v>393</v>
      </c>
      <c r="F221" s="13">
        <v>12299</v>
      </c>
      <c r="G221" s="13">
        <v>4208984</v>
      </c>
      <c r="H221" s="13">
        <v>308</v>
      </c>
      <c r="I221" s="13">
        <v>17358</v>
      </c>
      <c r="J221" s="13">
        <v>115540</v>
      </c>
      <c r="K221" s="13">
        <v>725</v>
      </c>
    </row>
    <row r="222" spans="1:11">
      <c r="A222" s="11">
        <v>270430</v>
      </c>
      <c r="B222" s="12" t="s">
        <v>319</v>
      </c>
      <c r="C222" s="13">
        <v>2018</v>
      </c>
      <c r="D222" s="13"/>
      <c r="E222" s="13">
        <v>416</v>
      </c>
      <c r="F222" s="13">
        <v>11432</v>
      </c>
      <c r="G222" s="13">
        <v>5265667</v>
      </c>
      <c r="H222" s="13">
        <v>335</v>
      </c>
      <c r="I222" s="13">
        <v>1</v>
      </c>
      <c r="J222" s="13">
        <v>10255</v>
      </c>
      <c r="K222" s="13">
        <v>431</v>
      </c>
    </row>
    <row r="223" spans="1:11">
      <c r="A223" s="11">
        <v>270430</v>
      </c>
      <c r="B223" s="12" t="s">
        <v>319</v>
      </c>
      <c r="C223" s="13">
        <v>2019</v>
      </c>
      <c r="D223" s="13"/>
      <c r="E223" s="13">
        <v>513</v>
      </c>
      <c r="F223" s="13">
        <v>9361</v>
      </c>
      <c r="G223" s="13">
        <v>5665103</v>
      </c>
      <c r="H223" s="13">
        <v>434</v>
      </c>
      <c r="I223" s="13">
        <v>113</v>
      </c>
      <c r="J223" s="13">
        <v>11630</v>
      </c>
      <c r="K223" s="13">
        <v>5027</v>
      </c>
    </row>
    <row r="224" spans="1:11">
      <c r="A224" s="11">
        <v>270430</v>
      </c>
      <c r="B224" s="12" t="s">
        <v>319</v>
      </c>
      <c r="C224" s="13">
        <v>2020</v>
      </c>
      <c r="D224" s="13"/>
      <c r="E224" s="13">
        <v>457</v>
      </c>
      <c r="F224" s="13">
        <v>6224</v>
      </c>
      <c r="G224" s="13">
        <v>4862064</v>
      </c>
      <c r="H224" s="13">
        <v>235</v>
      </c>
      <c r="I224" s="13">
        <v>346</v>
      </c>
      <c r="J224" s="13">
        <v>2348</v>
      </c>
      <c r="K224" s="13">
        <v>990</v>
      </c>
    </row>
    <row r="225" spans="1:11">
      <c r="A225" s="11">
        <v>270430</v>
      </c>
      <c r="B225" s="12" t="s">
        <v>319</v>
      </c>
      <c r="C225" s="13">
        <v>2021</v>
      </c>
      <c r="D225" s="13"/>
      <c r="E225" s="13">
        <v>485</v>
      </c>
      <c r="F225" s="13">
        <v>9645</v>
      </c>
      <c r="G225" s="13">
        <v>6063977</v>
      </c>
      <c r="H225" s="13">
        <v>245</v>
      </c>
      <c r="I225" s="13">
        <v>164</v>
      </c>
      <c r="J225" s="13">
        <v>517</v>
      </c>
      <c r="K225" s="13">
        <v>4135</v>
      </c>
    </row>
    <row r="226" spans="1:11">
      <c r="A226" s="11">
        <v>270430</v>
      </c>
      <c r="B226" s="12" t="s">
        <v>319</v>
      </c>
      <c r="C226" s="13">
        <v>2022</v>
      </c>
      <c r="D226" s="13">
        <v>957916</v>
      </c>
      <c r="E226" s="13">
        <v>377</v>
      </c>
      <c r="F226" s="13">
        <v>12078</v>
      </c>
      <c r="G226" s="13">
        <v>6663640</v>
      </c>
      <c r="H226" s="13">
        <v>241</v>
      </c>
      <c r="I226" s="13">
        <v>0</v>
      </c>
      <c r="J226" s="13">
        <v>11</v>
      </c>
      <c r="K226" s="13">
        <v>15634</v>
      </c>
    </row>
    <row r="227" spans="1:11">
      <c r="A227" s="11">
        <v>270430</v>
      </c>
      <c r="B227" s="12" t="s">
        <v>319</v>
      </c>
      <c r="C227" s="13">
        <v>2023</v>
      </c>
      <c r="D227" s="13"/>
      <c r="E227" s="13">
        <v>350</v>
      </c>
      <c r="F227" s="13">
        <v>15367</v>
      </c>
      <c r="G227" s="13">
        <v>7483735</v>
      </c>
      <c r="H227" s="13">
        <v>170</v>
      </c>
      <c r="I227" s="13">
        <v>4</v>
      </c>
      <c r="J227" s="13">
        <v>8</v>
      </c>
      <c r="K227" s="13">
        <v>2463</v>
      </c>
    </row>
    <row r="228" spans="1:11">
      <c r="A228" s="11">
        <v>270430</v>
      </c>
      <c r="B228" s="12" t="s">
        <v>319</v>
      </c>
      <c r="C228" s="13">
        <v>2024</v>
      </c>
      <c r="D228" s="13"/>
      <c r="E228" s="13">
        <v>444</v>
      </c>
      <c r="F228" s="13">
        <v>20066</v>
      </c>
      <c r="G228" s="13">
        <v>8143419</v>
      </c>
      <c r="H228" s="13">
        <v>126</v>
      </c>
      <c r="I228" s="13">
        <v>0</v>
      </c>
      <c r="J228" s="13">
        <v>8</v>
      </c>
      <c r="K228" s="13">
        <v>8112</v>
      </c>
    </row>
    <row r="229" spans="1:11">
      <c r="A229" s="11">
        <v>270430</v>
      </c>
      <c r="B229" s="12" t="s">
        <v>319</v>
      </c>
      <c r="C229" s="13">
        <v>2025</v>
      </c>
      <c r="D229" s="13"/>
      <c r="E229" s="13">
        <v>461</v>
      </c>
      <c r="F229" s="13">
        <v>17723</v>
      </c>
      <c r="G229" s="13">
        <v>6974472</v>
      </c>
      <c r="H229" s="13">
        <v>91</v>
      </c>
      <c r="I229" s="13">
        <v>0</v>
      </c>
      <c r="J229" s="13">
        <v>918</v>
      </c>
      <c r="K229" s="13">
        <v>3062</v>
      </c>
    </row>
    <row r="230" spans="1:11">
      <c r="A230" s="11">
        <v>280030</v>
      </c>
      <c r="B230" s="12" t="s">
        <v>320</v>
      </c>
      <c r="C230" s="13">
        <v>2014</v>
      </c>
      <c r="D230" s="13">
        <v>614577</v>
      </c>
      <c r="E230" s="13">
        <v>123</v>
      </c>
      <c r="F230" s="13">
        <v>1595</v>
      </c>
      <c r="G230" s="13">
        <v>3242326</v>
      </c>
      <c r="H230" s="13">
        <v>102</v>
      </c>
      <c r="I230" s="13">
        <v>38464</v>
      </c>
      <c r="J230" s="13">
        <v>537701</v>
      </c>
      <c r="K230" s="13">
        <v>1291</v>
      </c>
    </row>
    <row r="231" spans="1:11">
      <c r="A231" s="11">
        <v>280030</v>
      </c>
      <c r="B231" s="12" t="s">
        <v>320</v>
      </c>
      <c r="C231" s="13">
        <v>2015</v>
      </c>
      <c r="D231" s="13">
        <v>632744</v>
      </c>
      <c r="E231" s="13">
        <v>181</v>
      </c>
      <c r="F231" s="13">
        <v>2013</v>
      </c>
      <c r="G231" s="13">
        <v>3225832</v>
      </c>
      <c r="H231" s="13">
        <v>114</v>
      </c>
      <c r="I231" s="13">
        <v>21263</v>
      </c>
      <c r="J231" s="13">
        <v>241484</v>
      </c>
      <c r="K231" s="13">
        <v>3037</v>
      </c>
    </row>
    <row r="232" spans="1:11">
      <c r="A232" s="11">
        <v>280030</v>
      </c>
      <c r="B232" s="12" t="s">
        <v>320</v>
      </c>
      <c r="C232" s="13">
        <v>2016</v>
      </c>
      <c r="D232" s="13"/>
      <c r="E232" s="13">
        <v>214</v>
      </c>
      <c r="F232" s="13">
        <v>1949</v>
      </c>
      <c r="G232" s="13">
        <v>3096488</v>
      </c>
      <c r="H232" s="13">
        <v>94</v>
      </c>
      <c r="I232" s="13">
        <v>4456</v>
      </c>
      <c r="J232" s="13">
        <v>70441</v>
      </c>
      <c r="K232" s="13">
        <v>1252</v>
      </c>
    </row>
    <row r="233" spans="1:11">
      <c r="A233" s="11">
        <v>280030</v>
      </c>
      <c r="B233" s="12" t="s">
        <v>320</v>
      </c>
      <c r="C233" s="13">
        <v>2017</v>
      </c>
      <c r="D233" s="13"/>
      <c r="E233" s="13">
        <v>219</v>
      </c>
      <c r="F233" s="13">
        <v>2158</v>
      </c>
      <c r="G233" s="13">
        <v>4040029</v>
      </c>
      <c r="H233" s="13">
        <v>58</v>
      </c>
      <c r="I233" s="13">
        <v>9419</v>
      </c>
      <c r="J233" s="13">
        <v>50391</v>
      </c>
      <c r="K233" s="13">
        <v>283</v>
      </c>
    </row>
    <row r="234" spans="1:11">
      <c r="A234" s="11">
        <v>280030</v>
      </c>
      <c r="B234" s="12" t="s">
        <v>320</v>
      </c>
      <c r="C234" s="13">
        <v>2018</v>
      </c>
      <c r="D234" s="13"/>
      <c r="E234" s="13">
        <v>115</v>
      </c>
      <c r="F234" s="13">
        <v>2282</v>
      </c>
      <c r="G234" s="13">
        <v>3852769</v>
      </c>
      <c r="H234" s="13">
        <v>62</v>
      </c>
      <c r="I234" s="13">
        <v>2406</v>
      </c>
      <c r="J234" s="13">
        <v>7415</v>
      </c>
      <c r="K234" s="13">
        <v>167</v>
      </c>
    </row>
    <row r="235" spans="1:11">
      <c r="A235" s="11">
        <v>280030</v>
      </c>
      <c r="B235" s="12" t="s">
        <v>320</v>
      </c>
      <c r="C235" s="13">
        <v>2019</v>
      </c>
      <c r="D235" s="13"/>
      <c r="E235" s="13">
        <v>171</v>
      </c>
      <c r="F235" s="13">
        <v>2018</v>
      </c>
      <c r="G235" s="13">
        <v>3961997</v>
      </c>
      <c r="H235" s="13">
        <v>97</v>
      </c>
      <c r="I235" s="13">
        <v>3357</v>
      </c>
      <c r="J235" s="13">
        <v>4219</v>
      </c>
      <c r="K235" s="13">
        <v>2744</v>
      </c>
    </row>
    <row r="236" spans="1:11">
      <c r="A236" s="11">
        <v>280030</v>
      </c>
      <c r="B236" s="12" t="s">
        <v>320</v>
      </c>
      <c r="C236" s="13">
        <v>2020</v>
      </c>
      <c r="D236" s="13"/>
      <c r="E236" s="13">
        <v>123</v>
      </c>
      <c r="F236" s="13">
        <v>1903</v>
      </c>
      <c r="G236" s="13">
        <v>2823073</v>
      </c>
      <c r="H236" s="13">
        <v>35</v>
      </c>
      <c r="I236" s="13">
        <v>2545</v>
      </c>
      <c r="J236" s="13">
        <v>3125</v>
      </c>
      <c r="K236" s="13">
        <v>1074</v>
      </c>
    </row>
    <row r="237" spans="1:11">
      <c r="A237" s="11">
        <v>280030</v>
      </c>
      <c r="B237" s="12" t="s">
        <v>320</v>
      </c>
      <c r="C237" s="13">
        <v>2021</v>
      </c>
      <c r="D237" s="13"/>
      <c r="E237" s="13">
        <v>154</v>
      </c>
      <c r="F237" s="13">
        <v>2848</v>
      </c>
      <c r="G237" s="13">
        <v>5254633</v>
      </c>
      <c r="H237" s="13">
        <v>81</v>
      </c>
      <c r="I237" s="13">
        <v>2912</v>
      </c>
      <c r="J237" s="13">
        <v>2901</v>
      </c>
      <c r="K237" s="13">
        <v>224</v>
      </c>
    </row>
    <row r="238" spans="1:11">
      <c r="A238" s="11">
        <v>280030</v>
      </c>
      <c r="B238" s="12" t="s">
        <v>320</v>
      </c>
      <c r="C238" s="13">
        <v>2022</v>
      </c>
      <c r="D238" s="13">
        <v>602757</v>
      </c>
      <c r="E238" s="13">
        <v>160</v>
      </c>
      <c r="F238" s="13">
        <v>8294</v>
      </c>
      <c r="G238" s="13">
        <v>4849448</v>
      </c>
      <c r="H238" s="13">
        <v>81</v>
      </c>
      <c r="I238" s="13">
        <v>5183</v>
      </c>
      <c r="J238" s="13">
        <v>2026</v>
      </c>
      <c r="K238" s="13">
        <v>3646</v>
      </c>
    </row>
    <row r="239" spans="1:11">
      <c r="A239" s="11">
        <v>280030</v>
      </c>
      <c r="B239" s="12" t="s">
        <v>320</v>
      </c>
      <c r="C239" s="13">
        <v>2023</v>
      </c>
      <c r="D239" s="13"/>
      <c r="E239" s="13">
        <v>162</v>
      </c>
      <c r="F239" s="13">
        <v>12929</v>
      </c>
      <c r="G239" s="13">
        <v>6445795</v>
      </c>
      <c r="H239" s="13">
        <v>140</v>
      </c>
      <c r="I239" s="13">
        <v>6524</v>
      </c>
      <c r="J239" s="13">
        <v>2678</v>
      </c>
      <c r="K239" s="13">
        <v>1474</v>
      </c>
    </row>
    <row r="240" spans="1:11">
      <c r="A240" s="11">
        <v>280030</v>
      </c>
      <c r="B240" s="12" t="s">
        <v>320</v>
      </c>
      <c r="C240" s="13">
        <v>2024</v>
      </c>
      <c r="D240" s="13"/>
      <c r="E240" s="13">
        <v>248</v>
      </c>
      <c r="F240" s="13">
        <v>12713</v>
      </c>
      <c r="G240" s="13">
        <v>5841654</v>
      </c>
      <c r="H240" s="13">
        <v>190</v>
      </c>
      <c r="I240" s="13">
        <v>6911</v>
      </c>
      <c r="J240" s="13">
        <v>2837</v>
      </c>
      <c r="K240" s="13">
        <v>868</v>
      </c>
    </row>
    <row r="241" spans="1:11">
      <c r="A241" s="11">
        <v>280030</v>
      </c>
      <c r="B241" s="12" t="s">
        <v>320</v>
      </c>
      <c r="C241" s="13">
        <v>2025</v>
      </c>
      <c r="D241" s="13"/>
      <c r="E241" s="13">
        <v>180</v>
      </c>
      <c r="F241" s="13">
        <v>4488</v>
      </c>
      <c r="G241" s="13">
        <v>5253336</v>
      </c>
      <c r="H241" s="13">
        <v>55</v>
      </c>
      <c r="I241" s="13">
        <v>7132</v>
      </c>
      <c r="J241" s="13">
        <v>2738</v>
      </c>
      <c r="K241" s="13">
        <v>678</v>
      </c>
    </row>
    <row r="242" spans="1:11">
      <c r="A242" s="11">
        <v>291080</v>
      </c>
      <c r="B242" s="12" t="s">
        <v>321</v>
      </c>
      <c r="C242" s="13">
        <v>2014</v>
      </c>
      <c r="D242" s="13">
        <v>606139</v>
      </c>
      <c r="E242" s="13">
        <v>133</v>
      </c>
      <c r="F242" s="13">
        <v>14768</v>
      </c>
      <c r="G242" s="13">
        <v>2583281</v>
      </c>
      <c r="H242" s="13">
        <v>133</v>
      </c>
      <c r="I242" s="13">
        <v>21087</v>
      </c>
      <c r="J242" s="13">
        <v>402894</v>
      </c>
      <c r="K242" s="13">
        <v>933</v>
      </c>
    </row>
    <row r="243" spans="1:11">
      <c r="A243" s="11">
        <v>291080</v>
      </c>
      <c r="B243" s="12" t="s">
        <v>321</v>
      </c>
      <c r="C243" s="13">
        <v>2015</v>
      </c>
      <c r="D243" s="13">
        <v>617528</v>
      </c>
      <c r="E243" s="13">
        <v>130</v>
      </c>
      <c r="F243" s="13">
        <v>5205</v>
      </c>
      <c r="G243" s="13">
        <v>2881442</v>
      </c>
      <c r="H243" s="13">
        <v>96</v>
      </c>
      <c r="I243" s="13">
        <v>1869</v>
      </c>
      <c r="J243" s="13">
        <v>53940</v>
      </c>
      <c r="K243" s="13">
        <v>1938</v>
      </c>
    </row>
    <row r="244" spans="1:11">
      <c r="A244" s="11">
        <v>291080</v>
      </c>
      <c r="B244" s="12" t="s">
        <v>321</v>
      </c>
      <c r="C244" s="13">
        <v>2016</v>
      </c>
      <c r="D244" s="13"/>
      <c r="E244" s="13">
        <v>121</v>
      </c>
      <c r="F244" s="13">
        <v>6005</v>
      </c>
      <c r="G244" s="13">
        <v>2828168</v>
      </c>
      <c r="H244" s="13">
        <v>104</v>
      </c>
      <c r="I244" s="13">
        <v>6630</v>
      </c>
      <c r="J244" s="13">
        <v>110239</v>
      </c>
      <c r="K244" s="13">
        <v>315</v>
      </c>
    </row>
    <row r="245" spans="1:11">
      <c r="A245" s="11">
        <v>291080</v>
      </c>
      <c r="B245" s="12" t="s">
        <v>321</v>
      </c>
      <c r="C245" s="13">
        <v>2017</v>
      </c>
      <c r="D245" s="13"/>
      <c r="E245" s="13">
        <v>101</v>
      </c>
      <c r="F245" s="13">
        <v>5310</v>
      </c>
      <c r="G245" s="13">
        <v>3007187</v>
      </c>
      <c r="H245" s="13">
        <v>55</v>
      </c>
      <c r="I245" s="13">
        <v>13023</v>
      </c>
      <c r="J245" s="13">
        <v>78796</v>
      </c>
      <c r="K245" s="13">
        <v>169</v>
      </c>
    </row>
    <row r="246" spans="1:11">
      <c r="A246" s="11">
        <v>291080</v>
      </c>
      <c r="B246" s="12" t="s">
        <v>321</v>
      </c>
      <c r="C246" s="13">
        <v>2018</v>
      </c>
      <c r="D246" s="13"/>
      <c r="E246" s="13">
        <v>93</v>
      </c>
      <c r="F246" s="13">
        <v>8865</v>
      </c>
      <c r="G246" s="13">
        <v>3289450</v>
      </c>
      <c r="H246" s="13">
        <v>48</v>
      </c>
      <c r="I246" s="13">
        <v>649</v>
      </c>
      <c r="J246" s="13">
        <v>15456</v>
      </c>
      <c r="K246" s="13">
        <v>650</v>
      </c>
    </row>
    <row r="247" spans="1:11">
      <c r="A247" s="11">
        <v>291080</v>
      </c>
      <c r="B247" s="12" t="s">
        <v>321</v>
      </c>
      <c r="C247" s="13">
        <v>2019</v>
      </c>
      <c r="D247" s="13"/>
      <c r="E247" s="13">
        <v>112</v>
      </c>
      <c r="F247" s="13">
        <v>7313</v>
      </c>
      <c r="G247" s="13">
        <v>4619306</v>
      </c>
      <c r="H247" s="13">
        <v>47</v>
      </c>
      <c r="I247" s="13">
        <v>1204</v>
      </c>
      <c r="J247" s="13">
        <v>12428</v>
      </c>
      <c r="K247" s="13">
        <v>12551</v>
      </c>
    </row>
    <row r="248" spans="1:11">
      <c r="A248" s="11">
        <v>291080</v>
      </c>
      <c r="B248" s="12" t="s">
        <v>321</v>
      </c>
      <c r="C248" s="13">
        <v>2020</v>
      </c>
      <c r="D248" s="13"/>
      <c r="E248" s="13">
        <v>93</v>
      </c>
      <c r="F248" s="13">
        <v>6313</v>
      </c>
      <c r="G248" s="13">
        <v>3639863</v>
      </c>
      <c r="H248" s="13">
        <v>32</v>
      </c>
      <c r="I248" s="13">
        <v>1133</v>
      </c>
      <c r="J248" s="13">
        <v>11883</v>
      </c>
      <c r="K248" s="13">
        <v>3375</v>
      </c>
    </row>
    <row r="249" spans="1:11">
      <c r="A249" s="11">
        <v>291080</v>
      </c>
      <c r="B249" s="12" t="s">
        <v>321</v>
      </c>
      <c r="C249" s="13">
        <v>2021</v>
      </c>
      <c r="D249" s="13"/>
      <c r="E249" s="13">
        <v>111</v>
      </c>
      <c r="F249" s="13">
        <v>7174</v>
      </c>
      <c r="G249" s="13">
        <v>4322226</v>
      </c>
      <c r="H249" s="13">
        <v>22</v>
      </c>
      <c r="I249" s="13">
        <v>1182</v>
      </c>
      <c r="J249" s="13">
        <v>5786</v>
      </c>
      <c r="K249" s="13">
        <v>180</v>
      </c>
    </row>
    <row r="250" spans="1:11">
      <c r="A250" s="11">
        <v>291080</v>
      </c>
      <c r="B250" s="12" t="s">
        <v>321</v>
      </c>
      <c r="C250" s="13">
        <v>2022</v>
      </c>
      <c r="D250" s="13">
        <v>616272</v>
      </c>
      <c r="E250" s="13">
        <v>124</v>
      </c>
      <c r="F250" s="13">
        <v>9667</v>
      </c>
      <c r="G250" s="13">
        <v>4056742</v>
      </c>
      <c r="H250" s="13">
        <v>26</v>
      </c>
      <c r="I250" s="13">
        <v>833</v>
      </c>
      <c r="J250" s="13">
        <v>10066</v>
      </c>
      <c r="K250" s="13">
        <v>438</v>
      </c>
    </row>
    <row r="251" spans="1:11">
      <c r="A251" s="11">
        <v>291080</v>
      </c>
      <c r="B251" s="12" t="s">
        <v>321</v>
      </c>
      <c r="C251" s="13">
        <v>2023</v>
      </c>
      <c r="D251" s="13"/>
      <c r="E251" s="13">
        <v>129</v>
      </c>
      <c r="F251" s="13">
        <v>18085</v>
      </c>
      <c r="G251" s="13">
        <v>5505625</v>
      </c>
      <c r="H251" s="13">
        <v>34</v>
      </c>
      <c r="I251" s="13">
        <v>111</v>
      </c>
      <c r="J251" s="13">
        <v>5786</v>
      </c>
      <c r="K251" s="13">
        <v>3133</v>
      </c>
    </row>
    <row r="252" spans="1:11">
      <c r="A252" s="11">
        <v>291080</v>
      </c>
      <c r="B252" s="12" t="s">
        <v>321</v>
      </c>
      <c r="C252" s="13">
        <v>2024</v>
      </c>
      <c r="D252" s="13"/>
      <c r="E252" s="13">
        <v>164</v>
      </c>
      <c r="F252" s="13">
        <v>18632</v>
      </c>
      <c r="G252" s="13">
        <v>7365716</v>
      </c>
      <c r="H252" s="13">
        <v>39</v>
      </c>
      <c r="I252" s="13">
        <v>630</v>
      </c>
      <c r="J252" s="13">
        <v>28152</v>
      </c>
      <c r="K252" s="13">
        <v>8477</v>
      </c>
    </row>
    <row r="253" spans="1:11">
      <c r="A253" s="11">
        <v>291080</v>
      </c>
      <c r="B253" s="12" t="s">
        <v>321</v>
      </c>
      <c r="C253" s="13">
        <v>2025</v>
      </c>
      <c r="D253" s="13"/>
      <c r="E253" s="13">
        <v>113</v>
      </c>
      <c r="F253" s="13">
        <v>10107</v>
      </c>
      <c r="G253" s="13">
        <v>4184112</v>
      </c>
      <c r="H253" s="13">
        <v>31</v>
      </c>
      <c r="I253" s="13">
        <v>722</v>
      </c>
      <c r="J253" s="13">
        <v>26793</v>
      </c>
      <c r="K253" s="13">
        <v>544</v>
      </c>
    </row>
    <row r="254" spans="1:11">
      <c r="A254" s="11">
        <v>292740</v>
      </c>
      <c r="B254" s="12" t="s">
        <v>322</v>
      </c>
      <c r="C254" s="13">
        <v>2014</v>
      </c>
      <c r="D254" s="13">
        <v>2883682</v>
      </c>
      <c r="E254" s="13">
        <v>962</v>
      </c>
      <c r="F254" s="13">
        <v>34969</v>
      </c>
      <c r="G254" s="13">
        <v>16346345</v>
      </c>
      <c r="H254" s="13">
        <v>850</v>
      </c>
      <c r="I254" s="13">
        <v>113616</v>
      </c>
      <c r="J254" s="13">
        <v>752787</v>
      </c>
      <c r="K254" s="13">
        <v>3716</v>
      </c>
    </row>
    <row r="255" spans="1:11">
      <c r="A255" s="11">
        <v>292740</v>
      </c>
      <c r="B255" s="12" t="s">
        <v>322</v>
      </c>
      <c r="C255" s="13">
        <v>2015</v>
      </c>
      <c r="D255" s="13">
        <v>2921087</v>
      </c>
      <c r="E255" s="13">
        <v>919</v>
      </c>
      <c r="F255" s="13">
        <v>21082</v>
      </c>
      <c r="G255" s="13">
        <v>18235648</v>
      </c>
      <c r="H255" s="13">
        <v>826</v>
      </c>
      <c r="I255" s="13">
        <v>116887</v>
      </c>
      <c r="J255" s="13">
        <v>695158</v>
      </c>
      <c r="K255" s="13">
        <v>5775</v>
      </c>
    </row>
    <row r="256" spans="1:11">
      <c r="A256" s="11">
        <v>292740</v>
      </c>
      <c r="B256" s="12" t="s">
        <v>322</v>
      </c>
      <c r="C256" s="13">
        <v>2016</v>
      </c>
      <c r="D256" s="13"/>
      <c r="E256" s="13">
        <v>902</v>
      </c>
      <c r="F256" s="13">
        <v>24160</v>
      </c>
      <c r="G256" s="13">
        <v>17962630</v>
      </c>
      <c r="H256" s="13">
        <v>576</v>
      </c>
      <c r="I256" s="13">
        <v>112009</v>
      </c>
      <c r="J256" s="13">
        <v>635072</v>
      </c>
      <c r="K256" s="13">
        <v>3401</v>
      </c>
    </row>
    <row r="257" spans="1:11">
      <c r="A257" s="11">
        <v>292740</v>
      </c>
      <c r="B257" s="12" t="s">
        <v>322</v>
      </c>
      <c r="C257" s="13">
        <v>2017</v>
      </c>
      <c r="D257" s="13"/>
      <c r="E257" s="13">
        <v>961</v>
      </c>
      <c r="F257" s="13">
        <v>22417</v>
      </c>
      <c r="G257" s="13">
        <v>19801099</v>
      </c>
      <c r="H257" s="13">
        <v>585</v>
      </c>
      <c r="I257" s="13">
        <v>140884</v>
      </c>
      <c r="J257" s="13">
        <v>667264</v>
      </c>
      <c r="K257" s="13">
        <v>2128</v>
      </c>
    </row>
    <row r="258" spans="1:11">
      <c r="A258" s="11">
        <v>292740</v>
      </c>
      <c r="B258" s="12" t="s">
        <v>322</v>
      </c>
      <c r="C258" s="13">
        <v>2018</v>
      </c>
      <c r="D258" s="13"/>
      <c r="E258" s="13">
        <v>802</v>
      </c>
      <c r="F258" s="13">
        <v>24558</v>
      </c>
      <c r="G258" s="13">
        <v>19838525</v>
      </c>
      <c r="H258" s="13">
        <v>547</v>
      </c>
      <c r="I258" s="13">
        <v>114564</v>
      </c>
      <c r="J258" s="13">
        <v>606288</v>
      </c>
      <c r="K258" s="13">
        <v>1287</v>
      </c>
    </row>
    <row r="259" spans="1:11">
      <c r="A259" s="11">
        <v>292740</v>
      </c>
      <c r="B259" s="12" t="s">
        <v>322</v>
      </c>
      <c r="C259" s="13">
        <v>2019</v>
      </c>
      <c r="D259" s="13"/>
      <c r="E259" s="13">
        <v>737</v>
      </c>
      <c r="F259" s="13">
        <v>36557</v>
      </c>
      <c r="G259" s="13">
        <v>20566095</v>
      </c>
      <c r="H259" s="13">
        <v>576</v>
      </c>
      <c r="I259" s="13">
        <v>41483</v>
      </c>
      <c r="J259" s="13">
        <v>197706</v>
      </c>
      <c r="K259" s="13">
        <v>9571</v>
      </c>
    </row>
    <row r="260" spans="1:11">
      <c r="A260" s="11">
        <v>292740</v>
      </c>
      <c r="B260" s="12" t="s">
        <v>322</v>
      </c>
      <c r="C260" s="13">
        <v>2020</v>
      </c>
      <c r="D260" s="13"/>
      <c r="E260" s="13">
        <v>676</v>
      </c>
      <c r="F260" s="13">
        <v>26000</v>
      </c>
      <c r="G260" s="13">
        <v>15986668</v>
      </c>
      <c r="H260" s="13">
        <v>309</v>
      </c>
      <c r="I260" s="13">
        <v>5299</v>
      </c>
      <c r="J260" s="13">
        <v>2713</v>
      </c>
      <c r="K260" s="13">
        <v>10925</v>
      </c>
    </row>
    <row r="261" spans="1:11">
      <c r="A261" s="11">
        <v>292740</v>
      </c>
      <c r="B261" s="12" t="s">
        <v>322</v>
      </c>
      <c r="C261" s="13">
        <v>2021</v>
      </c>
      <c r="D261" s="13"/>
      <c r="E261" s="13">
        <v>699</v>
      </c>
      <c r="F261" s="13">
        <v>41481</v>
      </c>
      <c r="G261" s="13">
        <v>20296518</v>
      </c>
      <c r="H261" s="13">
        <v>334</v>
      </c>
      <c r="I261" s="13">
        <v>5192</v>
      </c>
      <c r="J261" s="13">
        <v>12390</v>
      </c>
      <c r="K261" s="13">
        <v>792</v>
      </c>
    </row>
    <row r="262" spans="1:11">
      <c r="A262" s="11">
        <v>292740</v>
      </c>
      <c r="B262" s="12" t="s">
        <v>322</v>
      </c>
      <c r="C262" s="13">
        <v>2022</v>
      </c>
      <c r="D262" s="13">
        <v>2417678</v>
      </c>
      <c r="E262" s="13">
        <v>768</v>
      </c>
      <c r="F262" s="13">
        <v>44524</v>
      </c>
      <c r="G262" s="13">
        <v>21933007</v>
      </c>
      <c r="H262" s="13">
        <v>587</v>
      </c>
      <c r="I262" s="13">
        <v>5232</v>
      </c>
      <c r="J262" s="13">
        <v>12980</v>
      </c>
      <c r="K262" s="13">
        <v>2650</v>
      </c>
    </row>
    <row r="263" spans="1:11">
      <c r="A263" s="11">
        <v>292740</v>
      </c>
      <c r="B263" s="12" t="s">
        <v>322</v>
      </c>
      <c r="C263" s="13">
        <v>2023</v>
      </c>
      <c r="D263" s="13"/>
      <c r="E263" s="13">
        <v>755</v>
      </c>
      <c r="F263" s="13">
        <v>53048</v>
      </c>
      <c r="G263" s="13">
        <v>24033715</v>
      </c>
      <c r="H263" s="13">
        <v>468</v>
      </c>
      <c r="I263" s="13">
        <v>5027</v>
      </c>
      <c r="J263" s="13">
        <v>17319</v>
      </c>
      <c r="K263" s="13">
        <v>13219</v>
      </c>
    </row>
    <row r="264" spans="1:11">
      <c r="A264" s="11">
        <v>292740</v>
      </c>
      <c r="B264" s="12" t="s">
        <v>322</v>
      </c>
      <c r="C264" s="13">
        <v>2024</v>
      </c>
      <c r="D264" s="13"/>
      <c r="E264" s="13">
        <v>761</v>
      </c>
      <c r="F264" s="13">
        <v>54147</v>
      </c>
      <c r="G264" s="13">
        <v>26417955</v>
      </c>
      <c r="H264" s="13">
        <v>449</v>
      </c>
      <c r="I264" s="13">
        <v>6735</v>
      </c>
      <c r="J264" s="13">
        <v>17321</v>
      </c>
      <c r="K264" s="13">
        <v>11202</v>
      </c>
    </row>
    <row r="265" spans="1:11">
      <c r="A265" s="11">
        <v>292740</v>
      </c>
      <c r="B265" s="12" t="s">
        <v>322</v>
      </c>
      <c r="C265" s="13">
        <v>2025</v>
      </c>
      <c r="D265" s="13"/>
      <c r="E265" s="13">
        <v>820</v>
      </c>
      <c r="F265" s="13">
        <v>45928</v>
      </c>
      <c r="G265" s="13">
        <v>21411799</v>
      </c>
      <c r="H265" s="13">
        <v>365</v>
      </c>
      <c r="I265" s="13">
        <v>6904</v>
      </c>
      <c r="J265" s="13">
        <v>14389</v>
      </c>
      <c r="K265" s="13">
        <v>3872</v>
      </c>
    </row>
    <row r="266" spans="1:11">
      <c r="A266" s="11">
        <v>310620</v>
      </c>
      <c r="B266" s="12" t="s">
        <v>323</v>
      </c>
      <c r="C266" s="13">
        <v>2014</v>
      </c>
      <c r="D266" s="13">
        <v>2479165</v>
      </c>
      <c r="E266" s="13">
        <v>1102</v>
      </c>
      <c r="F266" s="13">
        <v>35804</v>
      </c>
      <c r="G266" s="13">
        <v>16582331</v>
      </c>
      <c r="H266" s="13">
        <v>230</v>
      </c>
      <c r="I266" s="13">
        <v>122095</v>
      </c>
      <c r="J266" s="13">
        <v>2155080</v>
      </c>
      <c r="K266" s="13">
        <v>3575</v>
      </c>
    </row>
    <row r="267" spans="1:11">
      <c r="A267" s="11">
        <v>310620</v>
      </c>
      <c r="B267" s="12" t="s">
        <v>323</v>
      </c>
      <c r="C267" s="13">
        <v>2015</v>
      </c>
      <c r="D267" s="13">
        <v>2502557</v>
      </c>
      <c r="E267" s="13">
        <v>1107</v>
      </c>
      <c r="F267" s="13">
        <v>35429</v>
      </c>
      <c r="G267" s="13">
        <v>16827223</v>
      </c>
      <c r="H267" s="13">
        <v>207</v>
      </c>
      <c r="I267" s="13">
        <v>123770</v>
      </c>
      <c r="J267" s="13">
        <v>2250321</v>
      </c>
      <c r="K267" s="13">
        <v>19162</v>
      </c>
    </row>
    <row r="268" spans="1:11">
      <c r="A268" s="11">
        <v>310620</v>
      </c>
      <c r="B268" s="12" t="s">
        <v>323</v>
      </c>
      <c r="C268" s="13">
        <v>2016</v>
      </c>
      <c r="D268" s="13"/>
      <c r="E268" s="13">
        <v>1220</v>
      </c>
      <c r="F268" s="13">
        <v>32770</v>
      </c>
      <c r="G268" s="13">
        <v>19209820</v>
      </c>
      <c r="H268" s="13">
        <v>209</v>
      </c>
      <c r="I268" s="13">
        <v>14477</v>
      </c>
      <c r="J268" s="13">
        <v>2326909</v>
      </c>
      <c r="K268" s="13">
        <v>161820</v>
      </c>
    </row>
    <row r="269" spans="1:11">
      <c r="A269" s="11">
        <v>310620</v>
      </c>
      <c r="B269" s="12" t="s">
        <v>323</v>
      </c>
      <c r="C269" s="13">
        <v>2017</v>
      </c>
      <c r="D269" s="13"/>
      <c r="E269" s="13">
        <v>1226</v>
      </c>
      <c r="F269" s="13">
        <v>32640</v>
      </c>
      <c r="G269" s="13">
        <v>23547663</v>
      </c>
      <c r="H269" s="13">
        <v>205</v>
      </c>
      <c r="I269" s="13">
        <v>112530</v>
      </c>
      <c r="J269" s="13">
        <v>2451408</v>
      </c>
      <c r="K269" s="13">
        <v>1590</v>
      </c>
    </row>
    <row r="270" spans="1:11">
      <c r="A270" s="11">
        <v>310620</v>
      </c>
      <c r="B270" s="12" t="s">
        <v>323</v>
      </c>
      <c r="C270" s="13">
        <v>2018</v>
      </c>
      <c r="D270" s="13"/>
      <c r="E270" s="13">
        <v>1489</v>
      </c>
      <c r="F270" s="13">
        <v>33338</v>
      </c>
      <c r="G270" s="13">
        <v>18427067</v>
      </c>
      <c r="H270" s="13">
        <v>227</v>
      </c>
      <c r="I270" s="13">
        <v>15778</v>
      </c>
      <c r="J270" s="13">
        <v>63919</v>
      </c>
      <c r="K270" s="13">
        <v>1010</v>
      </c>
    </row>
    <row r="271" spans="1:11">
      <c r="A271" s="11">
        <v>310620</v>
      </c>
      <c r="B271" s="12" t="s">
        <v>323</v>
      </c>
      <c r="C271" s="13">
        <v>2019</v>
      </c>
      <c r="D271" s="13"/>
      <c r="E271" s="13">
        <v>1365</v>
      </c>
      <c r="F271" s="13">
        <v>36601</v>
      </c>
      <c r="G271" s="13">
        <v>20070251</v>
      </c>
      <c r="H271" s="13">
        <v>213</v>
      </c>
      <c r="I271" s="13">
        <v>15969</v>
      </c>
      <c r="J271" s="13">
        <v>62582</v>
      </c>
      <c r="K271" s="13">
        <v>124704</v>
      </c>
    </row>
    <row r="272" spans="1:11">
      <c r="A272" s="11">
        <v>310620</v>
      </c>
      <c r="B272" s="12" t="s">
        <v>323</v>
      </c>
      <c r="C272" s="13">
        <v>2020</v>
      </c>
      <c r="D272" s="13"/>
      <c r="E272" s="13">
        <v>1405</v>
      </c>
      <c r="F272" s="13">
        <v>22177</v>
      </c>
      <c r="G272" s="13">
        <v>15366698</v>
      </c>
      <c r="H272" s="13">
        <v>198</v>
      </c>
      <c r="I272" s="13">
        <v>14322</v>
      </c>
      <c r="J272" s="13">
        <v>28353</v>
      </c>
      <c r="K272" s="13">
        <v>6197</v>
      </c>
    </row>
    <row r="273" spans="1:11">
      <c r="A273" s="11">
        <v>310620</v>
      </c>
      <c r="B273" s="12" t="s">
        <v>323</v>
      </c>
      <c r="C273" s="13">
        <v>2021</v>
      </c>
      <c r="D273" s="13"/>
      <c r="E273" s="13">
        <v>1414</v>
      </c>
      <c r="F273" s="13">
        <v>30867</v>
      </c>
      <c r="G273" s="13">
        <v>17410232</v>
      </c>
      <c r="H273" s="13">
        <v>152</v>
      </c>
      <c r="I273" s="13">
        <v>16372</v>
      </c>
      <c r="J273" s="13">
        <v>35034</v>
      </c>
      <c r="K273" s="13">
        <v>1631</v>
      </c>
    </row>
    <row r="274" spans="1:11">
      <c r="A274" s="11">
        <v>310620</v>
      </c>
      <c r="B274" s="12" t="s">
        <v>323</v>
      </c>
      <c r="C274" s="13">
        <v>2022</v>
      </c>
      <c r="D274" s="13">
        <v>2315560</v>
      </c>
      <c r="E274" s="13">
        <v>1592</v>
      </c>
      <c r="F274" s="13">
        <v>36677</v>
      </c>
      <c r="G274" s="13">
        <v>18350492</v>
      </c>
      <c r="H274" s="13">
        <v>203</v>
      </c>
      <c r="I274" s="13">
        <v>6986</v>
      </c>
      <c r="J274" s="13">
        <v>37853</v>
      </c>
      <c r="K274" s="13">
        <v>2305</v>
      </c>
    </row>
    <row r="275" spans="1:11">
      <c r="A275" s="11">
        <v>310620</v>
      </c>
      <c r="B275" s="12" t="s">
        <v>323</v>
      </c>
      <c r="C275" s="13">
        <v>2023</v>
      </c>
      <c r="D275" s="13"/>
      <c r="E275" s="13">
        <v>1563</v>
      </c>
      <c r="F275" s="13">
        <v>39218</v>
      </c>
      <c r="G275" s="13">
        <v>19175162</v>
      </c>
      <c r="H275" s="13">
        <v>200</v>
      </c>
      <c r="I275" s="13">
        <v>4497</v>
      </c>
      <c r="J275" s="13">
        <v>34569</v>
      </c>
      <c r="K275" s="13">
        <v>21410</v>
      </c>
    </row>
    <row r="276" spans="1:11">
      <c r="A276" s="11">
        <v>310620</v>
      </c>
      <c r="B276" s="12" t="s">
        <v>323</v>
      </c>
      <c r="C276" s="13">
        <v>2024</v>
      </c>
      <c r="D276" s="13"/>
      <c r="E276" s="13">
        <v>1815</v>
      </c>
      <c r="F276" s="13">
        <v>51826</v>
      </c>
      <c r="G276" s="13">
        <v>18827603</v>
      </c>
      <c r="H276" s="13">
        <v>222</v>
      </c>
      <c r="I276" s="13">
        <v>4098</v>
      </c>
      <c r="J276" s="13">
        <v>5090</v>
      </c>
      <c r="K276" s="13">
        <v>251472</v>
      </c>
    </row>
    <row r="277" spans="1:11">
      <c r="A277" s="11">
        <v>310620</v>
      </c>
      <c r="B277" s="12" t="s">
        <v>323</v>
      </c>
      <c r="C277" s="13">
        <v>2025</v>
      </c>
      <c r="D277" s="13"/>
      <c r="E277" s="13">
        <v>1524</v>
      </c>
      <c r="F277" s="13">
        <v>44862</v>
      </c>
      <c r="G277" s="13">
        <v>18964762</v>
      </c>
      <c r="H277" s="13">
        <v>170</v>
      </c>
      <c r="I277" s="13">
        <v>3553</v>
      </c>
      <c r="J277" s="13">
        <v>1518</v>
      </c>
      <c r="K277" s="13">
        <v>5161</v>
      </c>
    </row>
    <row r="278" spans="1:11">
      <c r="A278" s="11">
        <v>310670</v>
      </c>
      <c r="B278" s="12" t="s">
        <v>324</v>
      </c>
      <c r="C278" s="13">
        <v>2014</v>
      </c>
      <c r="D278" s="13">
        <v>406474</v>
      </c>
      <c r="E278" s="13">
        <v>47</v>
      </c>
      <c r="F278" s="13">
        <v>333</v>
      </c>
      <c r="G278" s="13">
        <v>1934530</v>
      </c>
      <c r="H278" s="13">
        <v>10</v>
      </c>
      <c r="I278" s="13">
        <v>24216</v>
      </c>
      <c r="J278" s="13">
        <v>322788</v>
      </c>
      <c r="K278" s="13">
        <v>418</v>
      </c>
    </row>
    <row r="279" spans="1:11">
      <c r="A279" s="11">
        <v>310670</v>
      </c>
      <c r="B279" s="12" t="s">
        <v>324</v>
      </c>
      <c r="C279" s="13">
        <v>2015</v>
      </c>
      <c r="D279" s="13">
        <v>417307</v>
      </c>
      <c r="E279" s="13">
        <v>52</v>
      </c>
      <c r="F279" s="13">
        <v>1185</v>
      </c>
      <c r="G279" s="13">
        <v>2124412</v>
      </c>
      <c r="H279" s="13">
        <v>9</v>
      </c>
      <c r="I279" s="13">
        <v>27572</v>
      </c>
      <c r="J279" s="13">
        <v>304778</v>
      </c>
      <c r="K279" s="13">
        <v>22814</v>
      </c>
    </row>
    <row r="280" spans="1:11">
      <c r="A280" s="11">
        <v>310670</v>
      </c>
      <c r="B280" s="12" t="s">
        <v>324</v>
      </c>
      <c r="C280" s="13">
        <v>2016</v>
      </c>
      <c r="D280" s="13"/>
      <c r="E280" s="13">
        <v>67</v>
      </c>
      <c r="F280" s="13">
        <v>960</v>
      </c>
      <c r="G280" s="13">
        <v>1845651</v>
      </c>
      <c r="H280" s="13">
        <v>12</v>
      </c>
      <c r="I280" s="13">
        <v>22367</v>
      </c>
      <c r="J280" s="13">
        <v>290434</v>
      </c>
      <c r="K280" s="13">
        <v>15990</v>
      </c>
    </row>
    <row r="281" spans="1:11">
      <c r="A281" s="11">
        <v>310670</v>
      </c>
      <c r="B281" s="12" t="s">
        <v>324</v>
      </c>
      <c r="C281" s="13">
        <v>2017</v>
      </c>
      <c r="D281" s="13"/>
      <c r="E281" s="13">
        <v>81</v>
      </c>
      <c r="F281" s="13">
        <v>1200</v>
      </c>
      <c r="G281" s="13">
        <v>1799884</v>
      </c>
      <c r="H281" s="13">
        <v>13</v>
      </c>
      <c r="I281" s="13">
        <v>24179</v>
      </c>
      <c r="J281" s="13">
        <v>245046</v>
      </c>
      <c r="K281" s="13">
        <v>785</v>
      </c>
    </row>
    <row r="282" spans="1:11">
      <c r="A282" s="11">
        <v>310670</v>
      </c>
      <c r="B282" s="12" t="s">
        <v>324</v>
      </c>
      <c r="C282" s="13">
        <v>2018</v>
      </c>
      <c r="D282" s="13"/>
      <c r="E282" s="13">
        <v>85</v>
      </c>
      <c r="F282" s="13">
        <v>2005</v>
      </c>
      <c r="G282" s="13">
        <v>2012682</v>
      </c>
      <c r="H282" s="13">
        <v>12</v>
      </c>
      <c r="I282" s="13">
        <v>22926</v>
      </c>
      <c r="J282" s="13">
        <v>266717</v>
      </c>
      <c r="K282" s="13">
        <v>325</v>
      </c>
    </row>
    <row r="283" spans="1:11">
      <c r="A283" s="11">
        <v>310670</v>
      </c>
      <c r="B283" s="12" t="s">
        <v>324</v>
      </c>
      <c r="C283" s="13">
        <v>2019</v>
      </c>
      <c r="D283" s="13"/>
      <c r="E283" s="13">
        <v>80</v>
      </c>
      <c r="F283" s="13">
        <v>3305</v>
      </c>
      <c r="G283" s="13">
        <v>2258921</v>
      </c>
      <c r="H283" s="13">
        <v>16</v>
      </c>
      <c r="I283" s="13">
        <v>21096</v>
      </c>
      <c r="J283" s="13">
        <v>259473</v>
      </c>
      <c r="K283" s="13">
        <v>50154</v>
      </c>
    </row>
    <row r="284" spans="1:11">
      <c r="A284" s="11">
        <v>310670</v>
      </c>
      <c r="B284" s="12" t="s">
        <v>324</v>
      </c>
      <c r="C284" s="13">
        <v>2020</v>
      </c>
      <c r="D284" s="13"/>
      <c r="E284" s="13">
        <v>85</v>
      </c>
      <c r="F284" s="13">
        <v>3627</v>
      </c>
      <c r="G284" s="13">
        <v>1683460</v>
      </c>
      <c r="H284" s="13">
        <v>17</v>
      </c>
      <c r="I284" s="13">
        <v>26974</v>
      </c>
      <c r="J284" s="13">
        <v>203308</v>
      </c>
      <c r="K284" s="13">
        <v>339</v>
      </c>
    </row>
    <row r="285" spans="1:11">
      <c r="A285" s="11">
        <v>310670</v>
      </c>
      <c r="B285" s="12" t="s">
        <v>324</v>
      </c>
      <c r="C285" s="13">
        <v>2021</v>
      </c>
      <c r="D285" s="13"/>
      <c r="E285" s="13">
        <v>80</v>
      </c>
      <c r="F285" s="13">
        <v>4580</v>
      </c>
      <c r="G285" s="13">
        <v>1934572</v>
      </c>
      <c r="H285" s="13">
        <v>10</v>
      </c>
      <c r="I285" s="13">
        <v>27425</v>
      </c>
      <c r="J285" s="13">
        <v>249881</v>
      </c>
      <c r="K285" s="13">
        <v>230</v>
      </c>
    </row>
    <row r="286" spans="1:11">
      <c r="A286" s="11">
        <v>310670</v>
      </c>
      <c r="B286" s="12" t="s">
        <v>324</v>
      </c>
      <c r="C286" s="13">
        <v>2022</v>
      </c>
      <c r="D286" s="13">
        <v>411846</v>
      </c>
      <c r="E286" s="13">
        <v>55</v>
      </c>
      <c r="F286" s="13">
        <v>4543</v>
      </c>
      <c r="G286" s="13">
        <v>2217257</v>
      </c>
      <c r="H286" s="13">
        <v>18</v>
      </c>
      <c r="I286" s="13">
        <v>27281</v>
      </c>
      <c r="J286" s="13">
        <v>324494</v>
      </c>
      <c r="K286" s="13">
        <v>306</v>
      </c>
    </row>
    <row r="287" spans="1:11">
      <c r="A287" s="11">
        <v>310670</v>
      </c>
      <c r="B287" s="12" t="s">
        <v>324</v>
      </c>
      <c r="C287" s="13">
        <v>2023</v>
      </c>
      <c r="D287" s="13"/>
      <c r="E287" s="13">
        <v>49</v>
      </c>
      <c r="F287" s="13">
        <v>4987</v>
      </c>
      <c r="G287" s="13">
        <v>2564002</v>
      </c>
      <c r="H287" s="13">
        <v>17</v>
      </c>
      <c r="I287" s="13">
        <v>24739</v>
      </c>
      <c r="J287" s="13">
        <v>380112</v>
      </c>
      <c r="K287" s="13">
        <v>9972</v>
      </c>
    </row>
    <row r="288" spans="1:11">
      <c r="A288" s="11">
        <v>310670</v>
      </c>
      <c r="B288" s="12" t="s">
        <v>324</v>
      </c>
      <c r="C288" s="13">
        <v>2024</v>
      </c>
      <c r="D288" s="13"/>
      <c r="E288" s="13">
        <v>54</v>
      </c>
      <c r="F288" s="13">
        <v>5852</v>
      </c>
      <c r="G288" s="13">
        <v>2784676</v>
      </c>
      <c r="H288" s="13">
        <v>6</v>
      </c>
      <c r="I288" s="13">
        <v>20395</v>
      </c>
      <c r="J288" s="13">
        <v>407443</v>
      </c>
      <c r="K288" s="13">
        <v>56696</v>
      </c>
    </row>
    <row r="289" spans="1:11">
      <c r="A289" s="11">
        <v>310670</v>
      </c>
      <c r="B289" s="12" t="s">
        <v>324</v>
      </c>
      <c r="C289" s="13">
        <v>2025</v>
      </c>
      <c r="D289" s="13"/>
      <c r="E289" s="13">
        <v>56</v>
      </c>
      <c r="F289" s="13">
        <v>5475</v>
      </c>
      <c r="G289" s="13">
        <v>2750479</v>
      </c>
      <c r="H289" s="13">
        <v>8</v>
      </c>
      <c r="I289" s="13">
        <v>18367</v>
      </c>
      <c r="J289" s="13">
        <v>339366</v>
      </c>
      <c r="K289" s="13">
        <v>878</v>
      </c>
    </row>
    <row r="290" spans="1:11">
      <c r="A290" s="11">
        <v>311860</v>
      </c>
      <c r="B290" s="12" t="s">
        <v>325</v>
      </c>
      <c r="C290" s="13">
        <v>2014</v>
      </c>
      <c r="D290" s="13">
        <v>637961</v>
      </c>
      <c r="E290" s="13">
        <v>134</v>
      </c>
      <c r="F290" s="13">
        <v>4925</v>
      </c>
      <c r="G290" s="13">
        <v>2820864</v>
      </c>
      <c r="H290" s="13">
        <v>9</v>
      </c>
      <c r="I290" s="13">
        <v>30052</v>
      </c>
      <c r="J290" s="13">
        <v>389356</v>
      </c>
      <c r="K290" s="13">
        <v>650</v>
      </c>
    </row>
    <row r="291" spans="1:11">
      <c r="A291" s="11">
        <v>311860</v>
      </c>
      <c r="B291" s="12" t="s">
        <v>325</v>
      </c>
      <c r="C291" s="13">
        <v>2015</v>
      </c>
      <c r="D291" s="13">
        <v>648766</v>
      </c>
      <c r="E291" s="13">
        <v>91</v>
      </c>
      <c r="F291" s="13">
        <v>4535</v>
      </c>
      <c r="G291" s="13">
        <v>2516603</v>
      </c>
      <c r="H291" s="13">
        <v>17</v>
      </c>
      <c r="I291" s="13">
        <v>36765</v>
      </c>
      <c r="J291" s="13">
        <v>402437</v>
      </c>
      <c r="K291" s="13">
        <v>10111</v>
      </c>
    </row>
    <row r="292" spans="1:11">
      <c r="A292" s="11">
        <v>311860</v>
      </c>
      <c r="B292" s="12" t="s">
        <v>325</v>
      </c>
      <c r="C292" s="13">
        <v>2016</v>
      </c>
      <c r="D292" s="13"/>
      <c r="E292" s="13">
        <v>58</v>
      </c>
      <c r="F292" s="13">
        <v>3851</v>
      </c>
      <c r="G292" s="13">
        <v>2458312</v>
      </c>
      <c r="H292" s="13">
        <v>12</v>
      </c>
      <c r="I292" s="13">
        <v>12542</v>
      </c>
      <c r="J292" s="13">
        <v>219613</v>
      </c>
      <c r="K292" s="13">
        <v>36590</v>
      </c>
    </row>
    <row r="293" spans="1:11">
      <c r="A293" s="11">
        <v>311860</v>
      </c>
      <c r="B293" s="12" t="s">
        <v>325</v>
      </c>
      <c r="C293" s="13">
        <v>2017</v>
      </c>
      <c r="D293" s="13"/>
      <c r="E293" s="13">
        <v>93</v>
      </c>
      <c r="F293" s="13">
        <v>6519</v>
      </c>
      <c r="G293" s="13">
        <v>2293869</v>
      </c>
      <c r="H293" s="13">
        <v>14</v>
      </c>
      <c r="I293" s="13">
        <v>15896</v>
      </c>
      <c r="J293" s="13">
        <v>342653</v>
      </c>
      <c r="K293" s="13">
        <v>527</v>
      </c>
    </row>
    <row r="294" spans="1:11">
      <c r="A294" s="11">
        <v>311860</v>
      </c>
      <c r="B294" s="12" t="s">
        <v>325</v>
      </c>
      <c r="C294" s="13">
        <v>2018</v>
      </c>
      <c r="D294" s="13"/>
      <c r="E294" s="13">
        <v>108</v>
      </c>
      <c r="F294" s="13">
        <v>6791</v>
      </c>
      <c r="G294" s="13">
        <v>2900678</v>
      </c>
      <c r="H294" s="13">
        <v>21</v>
      </c>
      <c r="I294" s="13">
        <v>5927</v>
      </c>
      <c r="J294" s="13">
        <v>73216</v>
      </c>
      <c r="K294" s="13">
        <v>633</v>
      </c>
    </row>
    <row r="295" spans="1:11">
      <c r="A295" s="11">
        <v>311860</v>
      </c>
      <c r="B295" s="12" t="s">
        <v>325</v>
      </c>
      <c r="C295" s="13">
        <v>2019</v>
      </c>
      <c r="D295" s="13"/>
      <c r="E295" s="13">
        <v>120</v>
      </c>
      <c r="F295" s="13">
        <v>5821</v>
      </c>
      <c r="G295" s="13">
        <v>2700512</v>
      </c>
      <c r="H295" s="13">
        <v>36</v>
      </c>
      <c r="I295" s="13">
        <v>2301</v>
      </c>
      <c r="J295" s="13">
        <v>424</v>
      </c>
      <c r="K295" s="13">
        <v>45068</v>
      </c>
    </row>
    <row r="296" spans="1:11">
      <c r="A296" s="11">
        <v>311860</v>
      </c>
      <c r="B296" s="12" t="s">
        <v>325</v>
      </c>
      <c r="C296" s="13">
        <v>2020</v>
      </c>
      <c r="D296" s="13"/>
      <c r="E296" s="13">
        <v>129</v>
      </c>
      <c r="F296" s="13">
        <v>2590</v>
      </c>
      <c r="G296" s="13">
        <v>2104146</v>
      </c>
      <c r="H296" s="13">
        <v>36</v>
      </c>
      <c r="I296" s="13">
        <v>1053</v>
      </c>
      <c r="J296" s="13">
        <v>9</v>
      </c>
      <c r="K296" s="13">
        <v>1603</v>
      </c>
    </row>
    <row r="297" spans="1:11">
      <c r="A297" s="11">
        <v>311860</v>
      </c>
      <c r="B297" s="12" t="s">
        <v>325</v>
      </c>
      <c r="C297" s="13">
        <v>2021</v>
      </c>
      <c r="D297" s="13"/>
      <c r="E297" s="13">
        <v>121</v>
      </c>
      <c r="F297" s="13">
        <v>5195</v>
      </c>
      <c r="G297" s="13">
        <v>2446553</v>
      </c>
      <c r="H297" s="13">
        <v>24</v>
      </c>
      <c r="I297" s="13">
        <v>1192</v>
      </c>
      <c r="J297" s="13">
        <v>0</v>
      </c>
      <c r="K297" s="13">
        <v>333</v>
      </c>
    </row>
    <row r="298" spans="1:11">
      <c r="A298" s="11">
        <v>311860</v>
      </c>
      <c r="B298" s="12" t="s">
        <v>325</v>
      </c>
      <c r="C298" s="13">
        <v>2022</v>
      </c>
      <c r="D298" s="13">
        <v>621863</v>
      </c>
      <c r="E298" s="13">
        <v>156</v>
      </c>
      <c r="F298" s="13">
        <v>5894</v>
      </c>
      <c r="G298" s="13">
        <v>2929048</v>
      </c>
      <c r="H298" s="13">
        <v>20</v>
      </c>
      <c r="I298" s="13">
        <v>1314</v>
      </c>
      <c r="J298" s="13">
        <v>1090</v>
      </c>
      <c r="K298" s="13">
        <v>436</v>
      </c>
    </row>
    <row r="299" spans="1:11">
      <c r="A299" s="11">
        <v>311860</v>
      </c>
      <c r="B299" s="12" t="s">
        <v>325</v>
      </c>
      <c r="C299" s="13">
        <v>2023</v>
      </c>
      <c r="D299" s="13"/>
      <c r="E299" s="13">
        <v>119</v>
      </c>
      <c r="F299" s="13">
        <v>5770</v>
      </c>
      <c r="G299" s="13">
        <v>2729537</v>
      </c>
      <c r="H299" s="13">
        <v>23</v>
      </c>
      <c r="I299" s="13">
        <v>0</v>
      </c>
      <c r="J299" s="13">
        <v>125</v>
      </c>
      <c r="K299" s="13">
        <v>6516</v>
      </c>
    </row>
    <row r="300" spans="1:11">
      <c r="A300" s="11">
        <v>311860</v>
      </c>
      <c r="B300" s="12" t="s">
        <v>325</v>
      </c>
      <c r="C300" s="13">
        <v>2024</v>
      </c>
      <c r="D300" s="13"/>
      <c r="E300" s="13">
        <v>111</v>
      </c>
      <c r="F300" s="13">
        <v>7205</v>
      </c>
      <c r="G300" s="13">
        <v>3171042</v>
      </c>
      <c r="H300" s="13">
        <v>24</v>
      </c>
      <c r="I300" s="13">
        <v>0</v>
      </c>
      <c r="J300" s="13">
        <v>7</v>
      </c>
      <c r="K300" s="13">
        <v>70965</v>
      </c>
    </row>
    <row r="301" spans="1:11">
      <c r="A301" s="11">
        <v>311860</v>
      </c>
      <c r="B301" s="12" t="s">
        <v>325</v>
      </c>
      <c r="C301" s="13">
        <v>2025</v>
      </c>
      <c r="D301" s="13"/>
      <c r="E301" s="13">
        <v>97</v>
      </c>
      <c r="F301" s="13">
        <v>5001</v>
      </c>
      <c r="G301" s="13">
        <v>2037944</v>
      </c>
      <c r="H301" s="13">
        <v>11</v>
      </c>
      <c r="I301" s="13">
        <v>4</v>
      </c>
      <c r="J301" s="13">
        <v>16</v>
      </c>
      <c r="K301" s="13">
        <v>2180</v>
      </c>
    </row>
    <row r="302" spans="1:11">
      <c r="A302" s="11">
        <v>313670</v>
      </c>
      <c r="B302" s="12" t="s">
        <v>326</v>
      </c>
      <c r="C302" s="13">
        <v>2014</v>
      </c>
      <c r="D302" s="13">
        <v>545942</v>
      </c>
      <c r="E302" s="13">
        <v>370</v>
      </c>
      <c r="F302" s="13">
        <v>4861</v>
      </c>
      <c r="G302" s="13">
        <v>2922863</v>
      </c>
      <c r="H302" s="13">
        <v>118</v>
      </c>
      <c r="I302" s="13">
        <v>16934</v>
      </c>
      <c r="J302" s="13">
        <v>314334</v>
      </c>
      <c r="K302" s="13">
        <v>838</v>
      </c>
    </row>
    <row r="303" spans="1:11">
      <c r="A303" s="11">
        <v>313670</v>
      </c>
      <c r="B303" s="12" t="s">
        <v>326</v>
      </c>
      <c r="C303" s="13">
        <v>2015</v>
      </c>
      <c r="D303" s="13">
        <v>555284</v>
      </c>
      <c r="E303" s="13">
        <v>296</v>
      </c>
      <c r="F303" s="13">
        <v>8536</v>
      </c>
      <c r="G303" s="13">
        <v>3133438</v>
      </c>
      <c r="H303" s="13">
        <v>69</v>
      </c>
      <c r="I303" s="13">
        <v>15771</v>
      </c>
      <c r="J303" s="13">
        <v>297183</v>
      </c>
      <c r="K303" s="13">
        <v>4678</v>
      </c>
    </row>
    <row r="304" spans="1:11">
      <c r="A304" s="11">
        <v>313670</v>
      </c>
      <c r="B304" s="12" t="s">
        <v>326</v>
      </c>
      <c r="C304" s="13">
        <v>2016</v>
      </c>
      <c r="D304" s="13"/>
      <c r="E304" s="13">
        <v>302</v>
      </c>
      <c r="F304" s="13">
        <v>8075</v>
      </c>
      <c r="G304" s="13">
        <v>3386042</v>
      </c>
      <c r="H304" s="13">
        <v>87</v>
      </c>
      <c r="I304" s="13">
        <v>7693</v>
      </c>
      <c r="J304" s="13">
        <v>73928</v>
      </c>
      <c r="K304" s="13">
        <v>35013</v>
      </c>
    </row>
    <row r="305" spans="1:11">
      <c r="A305" s="11">
        <v>313670</v>
      </c>
      <c r="B305" s="12" t="s">
        <v>326</v>
      </c>
      <c r="C305" s="13">
        <v>2017</v>
      </c>
      <c r="D305" s="13"/>
      <c r="E305" s="13">
        <v>271</v>
      </c>
      <c r="F305" s="13">
        <v>6486</v>
      </c>
      <c r="G305" s="13">
        <v>3678317</v>
      </c>
      <c r="H305" s="13">
        <v>71</v>
      </c>
      <c r="I305" s="13">
        <v>9796</v>
      </c>
      <c r="J305" s="13">
        <v>80377</v>
      </c>
      <c r="K305" s="13">
        <v>102</v>
      </c>
    </row>
    <row r="306" spans="1:11">
      <c r="A306" s="11">
        <v>313670</v>
      </c>
      <c r="B306" s="12" t="s">
        <v>326</v>
      </c>
      <c r="C306" s="13">
        <v>2018</v>
      </c>
      <c r="D306" s="13"/>
      <c r="E306" s="13">
        <v>321</v>
      </c>
      <c r="F306" s="13">
        <v>3596</v>
      </c>
      <c r="G306" s="13">
        <v>4086137</v>
      </c>
      <c r="H306" s="13">
        <v>98</v>
      </c>
      <c r="I306" s="13">
        <v>2400</v>
      </c>
      <c r="J306" s="13">
        <v>1166</v>
      </c>
      <c r="K306" s="13">
        <v>162</v>
      </c>
    </row>
    <row r="307" spans="1:11">
      <c r="A307" s="11">
        <v>313670</v>
      </c>
      <c r="B307" s="12" t="s">
        <v>326</v>
      </c>
      <c r="C307" s="13">
        <v>2019</v>
      </c>
      <c r="D307" s="13"/>
      <c r="E307" s="13">
        <v>287</v>
      </c>
      <c r="F307" s="13">
        <v>3375</v>
      </c>
      <c r="G307" s="13">
        <v>3283442</v>
      </c>
      <c r="H307" s="13">
        <v>85</v>
      </c>
      <c r="I307" s="13">
        <v>837</v>
      </c>
      <c r="J307" s="13">
        <v>119</v>
      </c>
      <c r="K307" s="13">
        <v>7605</v>
      </c>
    </row>
    <row r="308" spans="1:11">
      <c r="A308" s="11">
        <v>313670</v>
      </c>
      <c r="B308" s="12" t="s">
        <v>326</v>
      </c>
      <c r="C308" s="13">
        <v>2020</v>
      </c>
      <c r="D308" s="13"/>
      <c r="E308" s="13">
        <v>263</v>
      </c>
      <c r="F308" s="13">
        <v>3545</v>
      </c>
      <c r="G308" s="13">
        <v>2542130</v>
      </c>
      <c r="H308" s="13">
        <v>84</v>
      </c>
      <c r="I308" s="13">
        <v>3216</v>
      </c>
      <c r="J308" s="13">
        <v>0</v>
      </c>
      <c r="K308" s="13">
        <v>173</v>
      </c>
    </row>
    <row r="309" spans="1:11">
      <c r="A309" s="11">
        <v>313670</v>
      </c>
      <c r="B309" s="12" t="s">
        <v>326</v>
      </c>
      <c r="C309" s="13">
        <v>2021</v>
      </c>
      <c r="D309" s="13"/>
      <c r="E309" s="13">
        <v>211</v>
      </c>
      <c r="F309" s="13">
        <v>3529</v>
      </c>
      <c r="G309" s="13">
        <v>3824341</v>
      </c>
      <c r="H309" s="13">
        <v>55</v>
      </c>
      <c r="I309" s="13">
        <v>2386</v>
      </c>
      <c r="J309" s="13">
        <v>0</v>
      </c>
      <c r="K309" s="13">
        <v>43</v>
      </c>
    </row>
    <row r="310" spans="1:11">
      <c r="A310" s="11">
        <v>313670</v>
      </c>
      <c r="B310" s="12" t="s">
        <v>326</v>
      </c>
      <c r="C310" s="13">
        <v>2022</v>
      </c>
      <c r="D310" s="13">
        <v>540756</v>
      </c>
      <c r="E310" s="13">
        <v>246</v>
      </c>
      <c r="F310" s="13">
        <v>4609</v>
      </c>
      <c r="G310" s="13">
        <v>4159929</v>
      </c>
      <c r="H310" s="13">
        <v>65</v>
      </c>
      <c r="I310" s="13">
        <v>3465</v>
      </c>
      <c r="J310" s="13">
        <v>3990</v>
      </c>
      <c r="K310" s="13">
        <v>117</v>
      </c>
    </row>
    <row r="311" spans="1:11">
      <c r="A311" s="11">
        <v>313670</v>
      </c>
      <c r="B311" s="12" t="s">
        <v>326</v>
      </c>
      <c r="C311" s="13">
        <v>2023</v>
      </c>
      <c r="D311" s="13"/>
      <c r="E311" s="13">
        <v>326</v>
      </c>
      <c r="F311" s="13">
        <v>6388</v>
      </c>
      <c r="G311" s="13">
        <v>3676045</v>
      </c>
      <c r="H311" s="13">
        <v>103</v>
      </c>
      <c r="I311" s="13">
        <v>2233</v>
      </c>
      <c r="J311" s="13">
        <v>0</v>
      </c>
      <c r="K311" s="13">
        <v>1630</v>
      </c>
    </row>
    <row r="312" spans="1:11">
      <c r="A312" s="11">
        <v>313670</v>
      </c>
      <c r="B312" s="12" t="s">
        <v>326</v>
      </c>
      <c r="C312" s="13">
        <v>2024</v>
      </c>
      <c r="D312" s="13"/>
      <c r="E312" s="13">
        <v>277</v>
      </c>
      <c r="F312" s="13">
        <v>7662</v>
      </c>
      <c r="G312" s="13">
        <v>4184797</v>
      </c>
      <c r="H312" s="13">
        <v>67</v>
      </c>
      <c r="I312" s="13">
        <v>2168</v>
      </c>
      <c r="J312" s="13">
        <v>0</v>
      </c>
      <c r="K312" s="13">
        <v>24025</v>
      </c>
    </row>
    <row r="313" spans="1:11">
      <c r="A313" s="11">
        <v>313670</v>
      </c>
      <c r="B313" s="12" t="s">
        <v>326</v>
      </c>
      <c r="C313" s="13">
        <v>2025</v>
      </c>
      <c r="D313" s="13"/>
      <c r="E313" s="13">
        <v>248</v>
      </c>
      <c r="F313" s="13">
        <v>7857</v>
      </c>
      <c r="G313" s="13">
        <v>3621131</v>
      </c>
      <c r="H313" s="13">
        <v>30</v>
      </c>
      <c r="I313" s="13">
        <v>2675</v>
      </c>
      <c r="J313" s="13">
        <v>32090</v>
      </c>
      <c r="K313" s="13">
        <v>4221</v>
      </c>
    </row>
    <row r="314" spans="1:11">
      <c r="A314" s="11">
        <v>314330</v>
      </c>
      <c r="B314" s="12" t="s">
        <v>327</v>
      </c>
      <c r="C314" s="13">
        <v>2014</v>
      </c>
      <c r="D314" s="13">
        <v>385898</v>
      </c>
      <c r="E314" s="13">
        <v>238</v>
      </c>
      <c r="F314" s="13">
        <v>2770</v>
      </c>
      <c r="G314" s="13">
        <v>1734007</v>
      </c>
      <c r="H314" s="13">
        <v>212</v>
      </c>
      <c r="I314" s="13">
        <v>2668</v>
      </c>
      <c r="J314" s="13">
        <v>216881</v>
      </c>
      <c r="K314" s="13">
        <v>157</v>
      </c>
    </row>
    <row r="315" spans="1:11">
      <c r="A315" s="11">
        <v>314330</v>
      </c>
      <c r="B315" s="12" t="s">
        <v>327</v>
      </c>
      <c r="C315" s="13">
        <v>2015</v>
      </c>
      <c r="D315" s="13">
        <v>394350</v>
      </c>
      <c r="E315" s="13">
        <v>215</v>
      </c>
      <c r="F315" s="13">
        <v>2047</v>
      </c>
      <c r="G315" s="13">
        <v>1731510</v>
      </c>
      <c r="H315" s="13">
        <v>116</v>
      </c>
      <c r="I315" s="13">
        <v>4509</v>
      </c>
      <c r="J315" s="13">
        <v>295314</v>
      </c>
      <c r="K315" s="13">
        <v>1270</v>
      </c>
    </row>
    <row r="316" spans="1:11">
      <c r="A316" s="11">
        <v>314330</v>
      </c>
      <c r="B316" s="12" t="s">
        <v>327</v>
      </c>
      <c r="C316" s="13">
        <v>2016</v>
      </c>
      <c r="D316" s="13"/>
      <c r="E316" s="13">
        <v>178</v>
      </c>
      <c r="F316" s="13">
        <v>842</v>
      </c>
      <c r="G316" s="13">
        <v>1458670</v>
      </c>
      <c r="H316" s="13">
        <v>171</v>
      </c>
      <c r="I316" s="13">
        <v>7994</v>
      </c>
      <c r="J316" s="13">
        <v>223442</v>
      </c>
      <c r="K316" s="13">
        <v>2214</v>
      </c>
    </row>
    <row r="317" spans="1:11">
      <c r="A317" s="11">
        <v>314330</v>
      </c>
      <c r="B317" s="12" t="s">
        <v>327</v>
      </c>
      <c r="C317" s="13">
        <v>2017</v>
      </c>
      <c r="D317" s="13"/>
      <c r="E317" s="13">
        <v>214</v>
      </c>
      <c r="F317" s="13">
        <v>1067</v>
      </c>
      <c r="G317" s="13">
        <v>1525997</v>
      </c>
      <c r="H317" s="13">
        <v>188</v>
      </c>
      <c r="I317" s="13">
        <v>19424</v>
      </c>
      <c r="J317" s="13">
        <v>164420</v>
      </c>
      <c r="K317" s="13">
        <v>105</v>
      </c>
    </row>
    <row r="318" spans="1:11">
      <c r="A318" s="11">
        <v>314330</v>
      </c>
      <c r="B318" s="12" t="s">
        <v>327</v>
      </c>
      <c r="C318" s="13">
        <v>2018</v>
      </c>
      <c r="D318" s="13"/>
      <c r="E318" s="13">
        <v>175</v>
      </c>
      <c r="F318" s="13">
        <v>920</v>
      </c>
      <c r="G318" s="13">
        <v>1526775</v>
      </c>
      <c r="H318" s="13">
        <v>94</v>
      </c>
      <c r="I318" s="13">
        <v>2900</v>
      </c>
      <c r="J318" s="13">
        <v>11916</v>
      </c>
      <c r="K318" s="13">
        <v>246</v>
      </c>
    </row>
    <row r="319" spans="1:11">
      <c r="A319" s="11">
        <v>314330</v>
      </c>
      <c r="B319" s="12" t="s">
        <v>327</v>
      </c>
      <c r="C319" s="13">
        <v>2019</v>
      </c>
      <c r="D319" s="13"/>
      <c r="E319" s="13">
        <v>209</v>
      </c>
      <c r="F319" s="13">
        <v>1540</v>
      </c>
      <c r="G319" s="13">
        <v>1862904</v>
      </c>
      <c r="H319" s="13">
        <v>161</v>
      </c>
      <c r="I319" s="13">
        <v>1680</v>
      </c>
      <c r="J319" s="13">
        <v>50780</v>
      </c>
      <c r="K319" s="13">
        <v>8422</v>
      </c>
    </row>
    <row r="320" spans="1:11">
      <c r="A320" s="11">
        <v>314330</v>
      </c>
      <c r="B320" s="12" t="s">
        <v>327</v>
      </c>
      <c r="C320" s="13">
        <v>2020</v>
      </c>
      <c r="D320" s="13"/>
      <c r="E320" s="13">
        <v>219</v>
      </c>
      <c r="F320" s="13">
        <v>2110</v>
      </c>
      <c r="G320" s="13">
        <v>1525262</v>
      </c>
      <c r="H320" s="13">
        <v>93</v>
      </c>
      <c r="I320" s="13">
        <v>3523</v>
      </c>
      <c r="J320" s="13">
        <v>47978</v>
      </c>
      <c r="K320" s="13">
        <v>81</v>
      </c>
    </row>
    <row r="321" spans="1:11">
      <c r="A321" s="11">
        <v>314330</v>
      </c>
      <c r="B321" s="12" t="s">
        <v>327</v>
      </c>
      <c r="C321" s="13">
        <v>2021</v>
      </c>
      <c r="D321" s="13"/>
      <c r="E321" s="13">
        <v>206</v>
      </c>
      <c r="F321" s="13">
        <v>2791</v>
      </c>
      <c r="G321" s="13">
        <v>2062474</v>
      </c>
      <c r="H321" s="13">
        <v>50</v>
      </c>
      <c r="I321" s="13">
        <v>4662</v>
      </c>
      <c r="J321" s="13">
        <v>78485</v>
      </c>
      <c r="K321" s="13">
        <v>31</v>
      </c>
    </row>
    <row r="322" spans="1:11">
      <c r="A322" s="11">
        <v>314330</v>
      </c>
      <c r="B322" s="12" t="s">
        <v>327</v>
      </c>
      <c r="C322" s="13">
        <v>2022</v>
      </c>
      <c r="D322" s="13">
        <v>414240</v>
      </c>
      <c r="E322" s="13">
        <v>236</v>
      </c>
      <c r="F322" s="13">
        <v>4733</v>
      </c>
      <c r="G322" s="13">
        <v>2445111</v>
      </c>
      <c r="H322" s="13">
        <v>32</v>
      </c>
      <c r="I322" s="13">
        <v>1</v>
      </c>
      <c r="J322" s="13">
        <v>45</v>
      </c>
      <c r="K322" s="13">
        <v>300</v>
      </c>
    </row>
    <row r="323" spans="1:11">
      <c r="A323" s="11">
        <v>314330</v>
      </c>
      <c r="B323" s="12" t="s">
        <v>327</v>
      </c>
      <c r="C323" s="13">
        <v>2023</v>
      </c>
      <c r="D323" s="13"/>
      <c r="E323" s="13">
        <v>214</v>
      </c>
      <c r="F323" s="13">
        <v>8771</v>
      </c>
      <c r="G323" s="13">
        <v>2779769</v>
      </c>
      <c r="H323" s="13">
        <v>57</v>
      </c>
      <c r="I323" s="13">
        <v>4</v>
      </c>
      <c r="J323" s="13">
        <v>53</v>
      </c>
      <c r="K323" s="13">
        <v>8526</v>
      </c>
    </row>
    <row r="324" spans="1:11">
      <c r="A324" s="11">
        <v>314330</v>
      </c>
      <c r="B324" s="12" t="s">
        <v>327</v>
      </c>
      <c r="C324" s="13">
        <v>2024</v>
      </c>
      <c r="D324" s="13"/>
      <c r="E324" s="13">
        <v>229</v>
      </c>
      <c r="F324" s="13">
        <v>11723</v>
      </c>
      <c r="G324" s="13">
        <v>3037569</v>
      </c>
      <c r="H324" s="13">
        <v>35</v>
      </c>
      <c r="I324" s="13">
        <v>119</v>
      </c>
      <c r="J324" s="13">
        <v>34</v>
      </c>
      <c r="K324" s="13">
        <v>17417</v>
      </c>
    </row>
    <row r="325" spans="1:11">
      <c r="A325" s="11">
        <v>314330</v>
      </c>
      <c r="B325" s="12" t="s">
        <v>327</v>
      </c>
      <c r="C325" s="13">
        <v>2025</v>
      </c>
      <c r="D325" s="13"/>
      <c r="E325" s="13">
        <v>262</v>
      </c>
      <c r="F325" s="13">
        <v>6648</v>
      </c>
      <c r="G325" s="13">
        <v>2438232</v>
      </c>
      <c r="H325" s="13">
        <v>29</v>
      </c>
      <c r="I325" s="13">
        <v>45</v>
      </c>
      <c r="J325" s="13">
        <v>312</v>
      </c>
      <c r="K325" s="13">
        <v>570</v>
      </c>
    </row>
    <row r="326" spans="1:11">
      <c r="A326" s="11">
        <v>317020</v>
      </c>
      <c r="B326" s="12" t="s">
        <v>328</v>
      </c>
      <c r="C326" s="13">
        <v>2014</v>
      </c>
      <c r="D326" s="13">
        <v>646673</v>
      </c>
      <c r="E326" s="13">
        <v>177</v>
      </c>
      <c r="F326" s="13">
        <v>5645</v>
      </c>
      <c r="G326" s="13">
        <v>4986011</v>
      </c>
      <c r="H326" s="13">
        <v>104</v>
      </c>
      <c r="I326" s="13">
        <v>54012</v>
      </c>
      <c r="J326" s="13">
        <v>849844</v>
      </c>
      <c r="K326" s="13">
        <v>4466</v>
      </c>
    </row>
    <row r="327" spans="1:11">
      <c r="A327" s="11">
        <v>317020</v>
      </c>
      <c r="B327" s="12" t="s">
        <v>328</v>
      </c>
      <c r="C327" s="13">
        <v>2015</v>
      </c>
      <c r="D327" s="13">
        <v>662362</v>
      </c>
      <c r="E327" s="13">
        <v>191</v>
      </c>
      <c r="F327" s="13">
        <v>6948</v>
      </c>
      <c r="G327" s="13">
        <v>5242114</v>
      </c>
      <c r="H327" s="13">
        <v>105</v>
      </c>
      <c r="I327" s="13">
        <v>59223</v>
      </c>
      <c r="J327" s="13">
        <v>751785</v>
      </c>
      <c r="K327" s="13">
        <v>16768</v>
      </c>
    </row>
    <row r="328" spans="1:11">
      <c r="A328" s="11">
        <v>317020</v>
      </c>
      <c r="B328" s="12" t="s">
        <v>328</v>
      </c>
      <c r="C328" s="13">
        <v>2016</v>
      </c>
      <c r="D328" s="13"/>
      <c r="E328" s="13">
        <v>209</v>
      </c>
      <c r="F328" s="13">
        <v>5808</v>
      </c>
      <c r="G328" s="13">
        <v>5389436</v>
      </c>
      <c r="H328" s="13">
        <v>112</v>
      </c>
      <c r="I328" s="13">
        <v>67874</v>
      </c>
      <c r="J328" s="13">
        <v>694925</v>
      </c>
      <c r="K328" s="13">
        <v>9465</v>
      </c>
    </row>
    <row r="329" spans="1:11">
      <c r="A329" s="11">
        <v>317020</v>
      </c>
      <c r="B329" s="12" t="s">
        <v>328</v>
      </c>
      <c r="C329" s="13">
        <v>2017</v>
      </c>
      <c r="D329" s="13"/>
      <c r="E329" s="13">
        <v>302</v>
      </c>
      <c r="F329" s="13">
        <v>6705</v>
      </c>
      <c r="G329" s="13">
        <v>6105181</v>
      </c>
      <c r="H329" s="13">
        <v>89</v>
      </c>
      <c r="I329" s="13">
        <v>56552</v>
      </c>
      <c r="J329" s="13">
        <v>551366</v>
      </c>
      <c r="K329" s="13">
        <v>1767</v>
      </c>
    </row>
    <row r="330" spans="1:11">
      <c r="A330" s="11">
        <v>317020</v>
      </c>
      <c r="B330" s="12" t="s">
        <v>328</v>
      </c>
      <c r="C330" s="13">
        <v>2018</v>
      </c>
      <c r="D330" s="13"/>
      <c r="E330" s="13">
        <v>202</v>
      </c>
      <c r="F330" s="13">
        <v>7050</v>
      </c>
      <c r="G330" s="13">
        <v>6694153</v>
      </c>
      <c r="H330" s="13">
        <v>82</v>
      </c>
      <c r="I330" s="13">
        <v>21066</v>
      </c>
      <c r="J330" s="13">
        <v>178351</v>
      </c>
      <c r="K330" s="13">
        <v>1969</v>
      </c>
    </row>
    <row r="331" spans="1:11">
      <c r="A331" s="11">
        <v>317020</v>
      </c>
      <c r="B331" s="12" t="s">
        <v>328</v>
      </c>
      <c r="C331" s="13">
        <v>2019</v>
      </c>
      <c r="D331" s="13"/>
      <c r="E331" s="13">
        <v>199</v>
      </c>
      <c r="F331" s="13">
        <v>7929</v>
      </c>
      <c r="G331" s="13">
        <v>7243878</v>
      </c>
      <c r="H331" s="13">
        <v>72</v>
      </c>
      <c r="I331" s="13">
        <v>1956</v>
      </c>
      <c r="J331" s="13">
        <v>42607</v>
      </c>
      <c r="K331" s="13">
        <v>30950</v>
      </c>
    </row>
    <row r="332" spans="1:11">
      <c r="A332" s="11">
        <v>317020</v>
      </c>
      <c r="B332" s="12" t="s">
        <v>328</v>
      </c>
      <c r="C332" s="13">
        <v>2020</v>
      </c>
      <c r="D332" s="13"/>
      <c r="E332" s="13">
        <v>293</v>
      </c>
      <c r="F332" s="13">
        <v>7510</v>
      </c>
      <c r="G332" s="13">
        <v>5183104</v>
      </c>
      <c r="H332" s="13">
        <v>88</v>
      </c>
      <c r="I332" s="13">
        <v>2208</v>
      </c>
      <c r="J332" s="13">
        <v>11789</v>
      </c>
      <c r="K332" s="13">
        <v>1986</v>
      </c>
    </row>
    <row r="333" spans="1:11">
      <c r="A333" s="11">
        <v>317020</v>
      </c>
      <c r="B333" s="12" t="s">
        <v>328</v>
      </c>
      <c r="C333" s="13">
        <v>2021</v>
      </c>
      <c r="D333" s="13"/>
      <c r="E333" s="13">
        <v>198</v>
      </c>
      <c r="F333" s="13">
        <v>9246</v>
      </c>
      <c r="G333" s="13">
        <v>6481228</v>
      </c>
      <c r="H333" s="13">
        <v>62</v>
      </c>
      <c r="I333" s="13">
        <v>2334</v>
      </c>
      <c r="J333" s="13">
        <v>8364</v>
      </c>
      <c r="K333" s="13">
        <v>686</v>
      </c>
    </row>
    <row r="334" spans="1:11">
      <c r="A334" s="11">
        <v>317020</v>
      </c>
      <c r="B334" s="12" t="s">
        <v>328</v>
      </c>
      <c r="C334" s="13">
        <v>2022</v>
      </c>
      <c r="D334" s="13">
        <v>713224</v>
      </c>
      <c r="E334" s="13">
        <v>238</v>
      </c>
      <c r="F334" s="13">
        <v>13591</v>
      </c>
      <c r="G334" s="13">
        <v>7660227</v>
      </c>
      <c r="H334" s="13">
        <v>89</v>
      </c>
      <c r="I334" s="13">
        <v>0</v>
      </c>
      <c r="J334" s="13">
        <v>1497</v>
      </c>
      <c r="K334" s="13">
        <v>5196</v>
      </c>
    </row>
    <row r="335" spans="1:11">
      <c r="A335" s="11">
        <v>317020</v>
      </c>
      <c r="B335" s="12" t="s">
        <v>328</v>
      </c>
      <c r="C335" s="13">
        <v>2023</v>
      </c>
      <c r="D335" s="13"/>
      <c r="E335" s="13">
        <v>326</v>
      </c>
      <c r="F335" s="13">
        <v>15566</v>
      </c>
      <c r="G335" s="13">
        <v>9209773</v>
      </c>
      <c r="H335" s="13">
        <v>109</v>
      </c>
      <c r="I335" s="13">
        <v>2</v>
      </c>
      <c r="J335" s="13">
        <v>880</v>
      </c>
      <c r="K335" s="13">
        <v>28106</v>
      </c>
    </row>
    <row r="336" spans="1:11">
      <c r="A336" s="11">
        <v>317020</v>
      </c>
      <c r="B336" s="12" t="s">
        <v>328</v>
      </c>
      <c r="C336" s="13">
        <v>2024</v>
      </c>
      <c r="D336" s="13"/>
      <c r="E336" s="13">
        <v>421</v>
      </c>
      <c r="F336" s="13">
        <v>15462</v>
      </c>
      <c r="G336" s="13">
        <v>9893718</v>
      </c>
      <c r="H336" s="13">
        <v>76</v>
      </c>
      <c r="I336" s="13">
        <v>4</v>
      </c>
      <c r="J336" s="13">
        <v>701</v>
      </c>
      <c r="K336" s="13">
        <v>27118</v>
      </c>
    </row>
    <row r="337" spans="1:11">
      <c r="A337" s="11">
        <v>317020</v>
      </c>
      <c r="B337" s="12" t="s">
        <v>328</v>
      </c>
      <c r="C337" s="13">
        <v>2025</v>
      </c>
      <c r="D337" s="13"/>
      <c r="E337" s="13">
        <v>377</v>
      </c>
      <c r="F337" s="13">
        <v>14475</v>
      </c>
      <c r="G337" s="13">
        <v>9672252</v>
      </c>
      <c r="H337" s="13">
        <v>57</v>
      </c>
      <c r="I337" s="13">
        <v>8</v>
      </c>
      <c r="J337" s="13">
        <v>701</v>
      </c>
      <c r="K337" s="13">
        <v>27007</v>
      </c>
    </row>
    <row r="338" spans="1:11">
      <c r="A338" s="11">
        <v>320500</v>
      </c>
      <c r="B338" s="12" t="s">
        <v>329</v>
      </c>
      <c r="C338" s="13">
        <v>2014</v>
      </c>
      <c r="D338" s="13">
        <v>467318</v>
      </c>
      <c r="E338" s="13">
        <v>35</v>
      </c>
      <c r="F338" s="13">
        <v>941</v>
      </c>
      <c r="G338" s="13">
        <v>2811157</v>
      </c>
      <c r="H338" s="13">
        <v>12</v>
      </c>
      <c r="I338" s="13">
        <v>138283</v>
      </c>
      <c r="J338" s="13">
        <v>536090</v>
      </c>
      <c r="K338" s="13">
        <v>4613</v>
      </c>
    </row>
    <row r="339" spans="1:11">
      <c r="A339" s="11">
        <v>320500</v>
      </c>
      <c r="B339" s="12" t="s">
        <v>329</v>
      </c>
      <c r="C339" s="13">
        <v>2015</v>
      </c>
      <c r="D339" s="13">
        <v>485376</v>
      </c>
      <c r="E339" s="13">
        <v>39</v>
      </c>
      <c r="F339" s="13">
        <v>483</v>
      </c>
      <c r="G339" s="13">
        <v>2611856</v>
      </c>
      <c r="H339" s="13">
        <v>28</v>
      </c>
      <c r="I339" s="13">
        <v>44787</v>
      </c>
      <c r="J339" s="13">
        <v>547265</v>
      </c>
      <c r="K339" s="13">
        <v>4218</v>
      </c>
    </row>
    <row r="340" spans="1:11">
      <c r="A340" s="11">
        <v>320500</v>
      </c>
      <c r="B340" s="12" t="s">
        <v>329</v>
      </c>
      <c r="C340" s="13">
        <v>2016</v>
      </c>
      <c r="D340" s="13"/>
      <c r="E340" s="13">
        <v>59</v>
      </c>
      <c r="F340" s="13">
        <v>467</v>
      </c>
      <c r="G340" s="13">
        <v>3695873</v>
      </c>
      <c r="H340" s="13">
        <v>49</v>
      </c>
      <c r="I340" s="13">
        <v>48654</v>
      </c>
      <c r="J340" s="13">
        <v>559104</v>
      </c>
      <c r="K340" s="13">
        <v>4694</v>
      </c>
    </row>
    <row r="341" spans="1:11">
      <c r="A341" s="11">
        <v>320500</v>
      </c>
      <c r="B341" s="12" t="s">
        <v>329</v>
      </c>
      <c r="C341" s="13">
        <v>2017</v>
      </c>
      <c r="D341" s="13"/>
      <c r="E341" s="13">
        <v>60</v>
      </c>
      <c r="F341" s="13">
        <v>566</v>
      </c>
      <c r="G341" s="13">
        <v>2392321</v>
      </c>
      <c r="H341" s="13">
        <v>40</v>
      </c>
      <c r="I341" s="13">
        <v>43872</v>
      </c>
      <c r="J341" s="13">
        <v>456710</v>
      </c>
      <c r="K341" s="13">
        <v>702</v>
      </c>
    </row>
    <row r="342" spans="1:11">
      <c r="A342" s="11">
        <v>320500</v>
      </c>
      <c r="B342" s="12" t="s">
        <v>329</v>
      </c>
      <c r="C342" s="13">
        <v>2018</v>
      </c>
      <c r="D342" s="13"/>
      <c r="E342" s="13">
        <v>46</v>
      </c>
      <c r="F342" s="13">
        <v>832</v>
      </c>
      <c r="G342" s="13">
        <v>2791110</v>
      </c>
      <c r="H342" s="13">
        <v>28</v>
      </c>
      <c r="I342" s="13">
        <v>52891</v>
      </c>
      <c r="J342" s="13">
        <v>459502</v>
      </c>
      <c r="K342" s="13">
        <v>1176</v>
      </c>
    </row>
    <row r="343" spans="1:11">
      <c r="A343" s="11">
        <v>320500</v>
      </c>
      <c r="B343" s="12" t="s">
        <v>329</v>
      </c>
      <c r="C343" s="13">
        <v>2019</v>
      </c>
      <c r="D343" s="13"/>
      <c r="E343" s="13">
        <v>36</v>
      </c>
      <c r="F343" s="13">
        <v>945</v>
      </c>
      <c r="G343" s="13">
        <v>3087157</v>
      </c>
      <c r="H343" s="13">
        <v>14</v>
      </c>
      <c r="I343" s="13">
        <v>32367</v>
      </c>
      <c r="J343" s="13">
        <v>1072345</v>
      </c>
      <c r="K343" s="13">
        <v>16645</v>
      </c>
    </row>
    <row r="344" spans="1:11">
      <c r="A344" s="11">
        <v>320500</v>
      </c>
      <c r="B344" s="12" t="s">
        <v>329</v>
      </c>
      <c r="C344" s="13">
        <v>2020</v>
      </c>
      <c r="D344" s="13"/>
      <c r="E344" s="13">
        <v>51</v>
      </c>
      <c r="F344" s="13">
        <v>548</v>
      </c>
      <c r="G344" s="13">
        <v>1776182</v>
      </c>
      <c r="H344" s="13">
        <v>17</v>
      </c>
      <c r="I344" s="13">
        <v>119205</v>
      </c>
      <c r="J344" s="13">
        <v>173907</v>
      </c>
      <c r="K344" s="13">
        <v>38</v>
      </c>
    </row>
    <row r="345" spans="1:11">
      <c r="A345" s="11">
        <v>320500</v>
      </c>
      <c r="B345" s="12" t="s">
        <v>329</v>
      </c>
      <c r="C345" s="13">
        <v>2021</v>
      </c>
      <c r="D345" s="13"/>
      <c r="E345" s="13">
        <v>39</v>
      </c>
      <c r="F345" s="13">
        <v>642</v>
      </c>
      <c r="G345" s="13">
        <v>2138620</v>
      </c>
      <c r="H345" s="13">
        <v>38</v>
      </c>
      <c r="I345" s="13">
        <v>1185</v>
      </c>
      <c r="J345" s="13">
        <v>4629</v>
      </c>
      <c r="K345" s="13" t="s">
        <v>225</v>
      </c>
    </row>
    <row r="346" spans="1:11">
      <c r="A346" s="11">
        <v>320500</v>
      </c>
      <c r="B346" s="12" t="s">
        <v>329</v>
      </c>
      <c r="C346" s="13">
        <v>2022</v>
      </c>
      <c r="D346" s="13">
        <v>520653</v>
      </c>
      <c r="E346" s="13">
        <v>61</v>
      </c>
      <c r="F346" s="13">
        <v>612</v>
      </c>
      <c r="G346" s="13">
        <v>2792051</v>
      </c>
      <c r="H346" s="13">
        <v>38</v>
      </c>
      <c r="I346" s="13">
        <v>1158</v>
      </c>
      <c r="J346" s="13">
        <v>34</v>
      </c>
      <c r="K346" s="13" t="s">
        <v>225</v>
      </c>
    </row>
    <row r="347" spans="1:11">
      <c r="A347" s="11">
        <v>320500</v>
      </c>
      <c r="B347" s="12" t="s">
        <v>329</v>
      </c>
      <c r="C347" s="13">
        <v>2023</v>
      </c>
      <c r="D347" s="13"/>
      <c r="E347" s="13">
        <v>37</v>
      </c>
      <c r="F347" s="13">
        <v>747</v>
      </c>
      <c r="G347" s="13">
        <v>3199656</v>
      </c>
      <c r="H347" s="13">
        <v>41</v>
      </c>
      <c r="I347" s="13">
        <v>1835</v>
      </c>
      <c r="J347" s="13">
        <v>0</v>
      </c>
      <c r="K347" s="13">
        <v>25194</v>
      </c>
    </row>
    <row r="348" spans="1:11">
      <c r="A348" s="11">
        <v>320500</v>
      </c>
      <c r="B348" s="12" t="s">
        <v>329</v>
      </c>
      <c r="C348" s="13">
        <v>2024</v>
      </c>
      <c r="D348" s="13"/>
      <c r="E348" s="13">
        <v>35</v>
      </c>
      <c r="F348" s="13">
        <v>1046</v>
      </c>
      <c r="G348" s="13">
        <v>3119985</v>
      </c>
      <c r="H348" s="13">
        <v>31</v>
      </c>
      <c r="I348" s="13">
        <v>558</v>
      </c>
      <c r="J348" s="13">
        <v>0</v>
      </c>
      <c r="K348" s="13">
        <v>20168</v>
      </c>
    </row>
    <row r="349" spans="1:11">
      <c r="A349" s="11">
        <v>320500</v>
      </c>
      <c r="B349" s="12" t="s">
        <v>329</v>
      </c>
      <c r="C349" s="13">
        <v>2025</v>
      </c>
      <c r="D349" s="13"/>
      <c r="E349" s="13">
        <v>54</v>
      </c>
      <c r="F349" s="13">
        <v>824</v>
      </c>
      <c r="G349" s="13">
        <v>2732619</v>
      </c>
      <c r="H349" s="13">
        <v>33</v>
      </c>
      <c r="I349" s="13">
        <v>979</v>
      </c>
      <c r="J349" s="13">
        <v>0</v>
      </c>
      <c r="K349" s="13">
        <v>8345</v>
      </c>
    </row>
    <row r="350" spans="1:11">
      <c r="A350" s="11">
        <v>320520</v>
      </c>
      <c r="B350" s="12" t="s">
        <v>330</v>
      </c>
      <c r="C350" s="13">
        <v>2014</v>
      </c>
      <c r="D350" s="13">
        <v>458489</v>
      </c>
      <c r="E350" s="13">
        <v>114</v>
      </c>
      <c r="F350" s="13">
        <v>10486</v>
      </c>
      <c r="G350" s="13">
        <v>1685804</v>
      </c>
      <c r="H350" s="13">
        <v>113</v>
      </c>
      <c r="I350" s="13">
        <v>18896</v>
      </c>
      <c r="J350" s="13">
        <v>216128</v>
      </c>
      <c r="K350" s="13">
        <v>1363</v>
      </c>
    </row>
    <row r="351" spans="1:11">
      <c r="A351" s="11">
        <v>320520</v>
      </c>
      <c r="B351" s="12" t="s">
        <v>330</v>
      </c>
      <c r="C351" s="13">
        <v>2015</v>
      </c>
      <c r="D351" s="13">
        <v>472762</v>
      </c>
      <c r="E351" s="13">
        <v>119</v>
      </c>
      <c r="F351" s="13">
        <v>10707</v>
      </c>
      <c r="G351" s="13">
        <v>1793667</v>
      </c>
      <c r="H351" s="13">
        <v>67</v>
      </c>
      <c r="I351" s="13">
        <v>19994</v>
      </c>
      <c r="J351" s="13">
        <v>204970</v>
      </c>
      <c r="K351" s="13">
        <v>3152</v>
      </c>
    </row>
    <row r="352" spans="1:11">
      <c r="A352" s="11">
        <v>320520</v>
      </c>
      <c r="B352" s="12" t="s">
        <v>330</v>
      </c>
      <c r="C352" s="13">
        <v>2016</v>
      </c>
      <c r="D352" s="13"/>
      <c r="E352" s="13">
        <v>95</v>
      </c>
      <c r="F352" s="13">
        <v>10553</v>
      </c>
      <c r="G352" s="13">
        <v>1953643</v>
      </c>
      <c r="H352" s="13">
        <v>39</v>
      </c>
      <c r="I352" s="13">
        <v>23571</v>
      </c>
      <c r="J352" s="13">
        <v>217989</v>
      </c>
      <c r="K352" s="13">
        <v>2721</v>
      </c>
    </row>
    <row r="353" spans="1:11">
      <c r="A353" s="11">
        <v>320520</v>
      </c>
      <c r="B353" s="12" t="s">
        <v>330</v>
      </c>
      <c r="C353" s="13">
        <v>2017</v>
      </c>
      <c r="D353" s="13"/>
      <c r="E353" s="13">
        <v>90</v>
      </c>
      <c r="F353" s="13">
        <v>12490</v>
      </c>
      <c r="G353" s="13">
        <v>1907521</v>
      </c>
      <c r="H353" s="13">
        <v>47</v>
      </c>
      <c r="I353" s="13">
        <v>23203</v>
      </c>
      <c r="J353" s="13">
        <v>228477</v>
      </c>
      <c r="K353" s="13">
        <v>1628</v>
      </c>
    </row>
    <row r="354" spans="1:11">
      <c r="A354" s="11">
        <v>320520</v>
      </c>
      <c r="B354" s="12" t="s">
        <v>330</v>
      </c>
      <c r="C354" s="13">
        <v>2018</v>
      </c>
      <c r="D354" s="13"/>
      <c r="E354" s="13">
        <v>89</v>
      </c>
      <c r="F354" s="13">
        <v>15761</v>
      </c>
      <c r="G354" s="13">
        <v>2128736</v>
      </c>
      <c r="H354" s="13">
        <v>40</v>
      </c>
      <c r="I354" s="13">
        <v>22460</v>
      </c>
      <c r="J354" s="13">
        <v>243501</v>
      </c>
      <c r="K354" s="13">
        <v>1307</v>
      </c>
    </row>
    <row r="355" spans="1:11">
      <c r="A355" s="11">
        <v>320520</v>
      </c>
      <c r="B355" s="12" t="s">
        <v>330</v>
      </c>
      <c r="C355" s="13">
        <v>2019</v>
      </c>
      <c r="D355" s="13"/>
      <c r="E355" s="13">
        <v>79</v>
      </c>
      <c r="F355" s="13">
        <v>14592</v>
      </c>
      <c r="G355" s="13">
        <v>2335024</v>
      </c>
      <c r="H355" s="13">
        <v>50</v>
      </c>
      <c r="I355" s="13">
        <v>20814</v>
      </c>
      <c r="J355" s="13">
        <v>231517</v>
      </c>
      <c r="K355" s="13">
        <v>6951</v>
      </c>
    </row>
    <row r="356" spans="1:11">
      <c r="A356" s="11">
        <v>320520</v>
      </c>
      <c r="B356" s="12" t="s">
        <v>330</v>
      </c>
      <c r="C356" s="13">
        <v>2020</v>
      </c>
      <c r="D356" s="13"/>
      <c r="E356" s="13">
        <v>94</v>
      </c>
      <c r="F356" s="13">
        <v>5571</v>
      </c>
      <c r="G356" s="13">
        <v>1697315</v>
      </c>
      <c r="H356" s="13">
        <v>36</v>
      </c>
      <c r="I356" s="13">
        <v>1997</v>
      </c>
      <c r="J356" s="13">
        <v>4933</v>
      </c>
      <c r="K356" s="13" t="s">
        <v>225</v>
      </c>
    </row>
    <row r="357" spans="1:11">
      <c r="A357" s="11">
        <v>320520</v>
      </c>
      <c r="B357" s="12" t="s">
        <v>330</v>
      </c>
      <c r="C357" s="13">
        <v>2021</v>
      </c>
      <c r="D357" s="13"/>
      <c r="E357" s="13">
        <v>106</v>
      </c>
      <c r="F357" s="13">
        <v>10930</v>
      </c>
      <c r="G357" s="13">
        <v>2200525</v>
      </c>
      <c r="H357" s="13">
        <v>41</v>
      </c>
      <c r="I357" s="13">
        <v>876</v>
      </c>
      <c r="J357" s="13">
        <v>532</v>
      </c>
      <c r="K357" s="13" t="s">
        <v>225</v>
      </c>
    </row>
    <row r="358" spans="1:11">
      <c r="A358" s="11">
        <v>320520</v>
      </c>
      <c r="B358" s="12" t="s">
        <v>330</v>
      </c>
      <c r="C358" s="13">
        <v>2022</v>
      </c>
      <c r="D358" s="13">
        <v>467722</v>
      </c>
      <c r="E358" s="13">
        <v>112</v>
      </c>
      <c r="F358" s="13">
        <v>15575</v>
      </c>
      <c r="G358" s="13">
        <v>2784011</v>
      </c>
      <c r="H358" s="13">
        <v>50</v>
      </c>
      <c r="I358" s="13">
        <v>1214</v>
      </c>
      <c r="J358" s="13">
        <v>332</v>
      </c>
      <c r="K358" s="13" t="s">
        <v>225</v>
      </c>
    </row>
    <row r="359" spans="1:11">
      <c r="A359" s="11">
        <v>320520</v>
      </c>
      <c r="B359" s="12" t="s">
        <v>330</v>
      </c>
      <c r="C359" s="13">
        <v>2023</v>
      </c>
      <c r="D359" s="13"/>
      <c r="E359" s="13">
        <v>119</v>
      </c>
      <c r="F359" s="13">
        <v>21292</v>
      </c>
      <c r="G359" s="13">
        <v>3026815</v>
      </c>
      <c r="H359" s="13">
        <v>34</v>
      </c>
      <c r="I359" s="13">
        <v>1186</v>
      </c>
      <c r="J359" s="13">
        <v>148</v>
      </c>
      <c r="K359" s="13">
        <v>16549</v>
      </c>
    </row>
    <row r="360" spans="1:11">
      <c r="A360" s="11">
        <v>320520</v>
      </c>
      <c r="B360" s="12" t="s">
        <v>330</v>
      </c>
      <c r="C360" s="13">
        <v>2024</v>
      </c>
      <c r="D360" s="13"/>
      <c r="E360" s="13">
        <v>118</v>
      </c>
      <c r="F360" s="13">
        <v>25670</v>
      </c>
      <c r="G360" s="13">
        <v>3702722</v>
      </c>
      <c r="H360" s="13">
        <v>39</v>
      </c>
      <c r="I360" s="13">
        <v>2215</v>
      </c>
      <c r="J360" s="13">
        <v>951</v>
      </c>
      <c r="K360" s="13">
        <v>16623</v>
      </c>
    </row>
    <row r="361" spans="1:11">
      <c r="A361" s="11">
        <v>320520</v>
      </c>
      <c r="B361" s="12" t="s">
        <v>330</v>
      </c>
      <c r="C361" s="13">
        <v>2025</v>
      </c>
      <c r="D361" s="13"/>
      <c r="E361" s="13">
        <v>120</v>
      </c>
      <c r="F361" s="13">
        <v>22677</v>
      </c>
      <c r="G361" s="13">
        <v>2978591</v>
      </c>
      <c r="H361" s="13">
        <v>50</v>
      </c>
      <c r="I361" s="13">
        <v>428</v>
      </c>
      <c r="J361" s="13">
        <v>1563</v>
      </c>
      <c r="K361" s="13">
        <v>4181</v>
      </c>
    </row>
    <row r="362" spans="1:11">
      <c r="A362" s="11">
        <v>330045</v>
      </c>
      <c r="B362" s="12" t="s">
        <v>331</v>
      </c>
      <c r="C362" s="13">
        <v>2014</v>
      </c>
      <c r="D362" s="13">
        <v>477583</v>
      </c>
      <c r="E362" s="13">
        <v>30</v>
      </c>
      <c r="F362" s="13">
        <v>2590</v>
      </c>
      <c r="G362" s="13">
        <v>2319644</v>
      </c>
      <c r="H362" s="13">
        <v>45</v>
      </c>
      <c r="I362" s="13">
        <v>82856</v>
      </c>
      <c r="J362" s="13">
        <v>713950</v>
      </c>
      <c r="K362" s="13">
        <v>27</v>
      </c>
    </row>
    <row r="363" spans="1:11">
      <c r="A363" s="11">
        <v>330045</v>
      </c>
      <c r="B363" s="12" t="s">
        <v>331</v>
      </c>
      <c r="C363" s="13">
        <v>2015</v>
      </c>
      <c r="D363" s="13">
        <v>481127</v>
      </c>
      <c r="E363" s="13">
        <v>0</v>
      </c>
      <c r="F363" s="13">
        <v>1993</v>
      </c>
      <c r="G363" s="13">
        <v>1912375</v>
      </c>
      <c r="H363" s="13">
        <v>0</v>
      </c>
      <c r="I363" s="13">
        <v>21130</v>
      </c>
      <c r="J363" s="13">
        <v>484354</v>
      </c>
      <c r="K363" s="13">
        <v>83</v>
      </c>
    </row>
    <row r="364" spans="1:11">
      <c r="A364" s="11">
        <v>330045</v>
      </c>
      <c r="B364" s="12" t="s">
        <v>331</v>
      </c>
      <c r="C364" s="13">
        <v>2016</v>
      </c>
      <c r="D364" s="13"/>
      <c r="E364" s="13">
        <v>42</v>
      </c>
      <c r="F364" s="13">
        <v>726</v>
      </c>
      <c r="G364" s="13">
        <v>1139534</v>
      </c>
      <c r="H364" s="13">
        <v>16</v>
      </c>
      <c r="I364" s="13">
        <v>18221</v>
      </c>
      <c r="J364" s="13">
        <v>173567</v>
      </c>
      <c r="K364" s="13">
        <v>31</v>
      </c>
    </row>
    <row r="365" spans="1:11">
      <c r="A365" s="11">
        <v>330045</v>
      </c>
      <c r="B365" s="12" t="s">
        <v>331</v>
      </c>
      <c r="C365" s="13">
        <v>2017</v>
      </c>
      <c r="D365" s="13"/>
      <c r="E365" s="13">
        <v>3</v>
      </c>
      <c r="F365" s="13">
        <v>126</v>
      </c>
      <c r="G365" s="13">
        <v>1292231</v>
      </c>
      <c r="H365" s="13">
        <v>0</v>
      </c>
      <c r="I365" s="13">
        <v>15473</v>
      </c>
      <c r="J365" s="13">
        <v>114128</v>
      </c>
      <c r="K365" s="13">
        <v>1</v>
      </c>
    </row>
    <row r="366" spans="1:11">
      <c r="A366" s="11">
        <v>330045</v>
      </c>
      <c r="B366" s="12" t="s">
        <v>331</v>
      </c>
      <c r="C366" s="13">
        <v>2018</v>
      </c>
      <c r="D366" s="13"/>
      <c r="E366" s="13">
        <v>45</v>
      </c>
      <c r="F366" s="13">
        <v>144</v>
      </c>
      <c r="G366" s="13">
        <v>4630829</v>
      </c>
      <c r="H366" s="13">
        <v>89</v>
      </c>
      <c r="I366" s="13">
        <v>7897</v>
      </c>
      <c r="J366" s="13">
        <v>48230</v>
      </c>
      <c r="K366" s="13">
        <v>49</v>
      </c>
    </row>
    <row r="367" spans="1:11">
      <c r="A367" s="11">
        <v>330045</v>
      </c>
      <c r="B367" s="12" t="s">
        <v>331</v>
      </c>
      <c r="C367" s="13">
        <v>2019</v>
      </c>
      <c r="D367" s="13"/>
      <c r="E367" s="13">
        <v>45</v>
      </c>
      <c r="F367" s="13">
        <v>162</v>
      </c>
      <c r="G367" s="13">
        <v>3731015</v>
      </c>
      <c r="H367" s="13">
        <v>80</v>
      </c>
      <c r="I367" s="13">
        <v>8174</v>
      </c>
      <c r="J367" s="13">
        <v>51390</v>
      </c>
      <c r="K367" s="13">
        <v>353</v>
      </c>
    </row>
    <row r="368" spans="1:11">
      <c r="A368" s="11">
        <v>330045</v>
      </c>
      <c r="B368" s="12" t="s">
        <v>331</v>
      </c>
      <c r="C368" s="13">
        <v>2020</v>
      </c>
      <c r="D368" s="13"/>
      <c r="E368" s="13">
        <v>67</v>
      </c>
      <c r="F368" s="13">
        <v>1745</v>
      </c>
      <c r="G368" s="13">
        <v>4649855</v>
      </c>
      <c r="H368" s="13">
        <v>74</v>
      </c>
      <c r="I368" s="13">
        <v>12040</v>
      </c>
      <c r="J368" s="13">
        <v>57711</v>
      </c>
      <c r="K368" s="13">
        <v>35</v>
      </c>
    </row>
    <row r="369" spans="1:11">
      <c r="A369" s="11">
        <v>330045</v>
      </c>
      <c r="B369" s="12" t="s">
        <v>331</v>
      </c>
      <c r="C369" s="13">
        <v>2021</v>
      </c>
      <c r="D369" s="13"/>
      <c r="E369" s="13">
        <v>135</v>
      </c>
      <c r="F369" s="13">
        <v>7063</v>
      </c>
      <c r="G369" s="13">
        <v>6202124</v>
      </c>
      <c r="H369" s="13">
        <v>137</v>
      </c>
      <c r="I369" s="13">
        <v>12651</v>
      </c>
      <c r="J369" s="13">
        <v>4040</v>
      </c>
      <c r="K369" s="13">
        <v>7</v>
      </c>
    </row>
    <row r="370" spans="1:11">
      <c r="A370" s="11">
        <v>330045</v>
      </c>
      <c r="B370" s="12" t="s">
        <v>331</v>
      </c>
      <c r="C370" s="13">
        <v>2022</v>
      </c>
      <c r="D370" s="13">
        <v>483087</v>
      </c>
      <c r="E370" s="13">
        <v>248</v>
      </c>
      <c r="F370" s="13">
        <v>13309</v>
      </c>
      <c r="G370" s="13">
        <v>12625900</v>
      </c>
      <c r="H370" s="13">
        <v>228</v>
      </c>
      <c r="I370" s="13">
        <v>14098</v>
      </c>
      <c r="J370" s="13">
        <v>457</v>
      </c>
      <c r="K370" s="13">
        <v>166</v>
      </c>
    </row>
    <row r="371" spans="1:11">
      <c r="A371" s="11">
        <v>330045</v>
      </c>
      <c r="B371" s="12" t="s">
        <v>331</v>
      </c>
      <c r="C371" s="13">
        <v>2023</v>
      </c>
      <c r="D371" s="13"/>
      <c r="E371" s="13">
        <v>123</v>
      </c>
      <c r="F371" s="13">
        <v>10678</v>
      </c>
      <c r="G371" s="13">
        <v>43914514</v>
      </c>
      <c r="H371" s="13">
        <v>82</v>
      </c>
      <c r="I371" s="13">
        <v>11726</v>
      </c>
      <c r="J371" s="13">
        <v>8</v>
      </c>
      <c r="K371" s="13">
        <v>172</v>
      </c>
    </row>
    <row r="372" spans="1:11">
      <c r="A372" s="11">
        <v>330045</v>
      </c>
      <c r="B372" s="12" t="s">
        <v>331</v>
      </c>
      <c r="C372" s="13">
        <v>2024</v>
      </c>
      <c r="D372" s="13"/>
      <c r="E372" s="13">
        <v>85</v>
      </c>
      <c r="F372" s="13">
        <v>7972</v>
      </c>
      <c r="G372" s="13">
        <v>39168288</v>
      </c>
      <c r="H372" s="13">
        <v>79</v>
      </c>
      <c r="I372" s="13">
        <v>22233</v>
      </c>
      <c r="J372" s="13">
        <v>0</v>
      </c>
      <c r="K372" s="13">
        <v>175</v>
      </c>
    </row>
    <row r="373" spans="1:11">
      <c r="A373" s="11">
        <v>330045</v>
      </c>
      <c r="B373" s="12" t="s">
        <v>331</v>
      </c>
      <c r="C373" s="13">
        <v>2025</v>
      </c>
      <c r="D373" s="13"/>
      <c r="E373" s="13">
        <v>22</v>
      </c>
      <c r="F373" s="13">
        <v>1639</v>
      </c>
      <c r="G373" s="13">
        <v>6279946</v>
      </c>
      <c r="H373" s="13">
        <v>32</v>
      </c>
      <c r="I373" s="13">
        <v>3505</v>
      </c>
      <c r="J373" s="13">
        <v>0</v>
      </c>
      <c r="K373" s="13">
        <v>33</v>
      </c>
    </row>
    <row r="374" spans="1:11">
      <c r="A374" s="11">
        <v>330100</v>
      </c>
      <c r="B374" s="12" t="s">
        <v>332</v>
      </c>
      <c r="C374" s="13">
        <v>2014</v>
      </c>
      <c r="D374" s="13">
        <v>477208</v>
      </c>
      <c r="E374" s="13">
        <v>276</v>
      </c>
      <c r="F374" s="13">
        <v>5206</v>
      </c>
      <c r="G374" s="13">
        <v>3009428</v>
      </c>
      <c r="H374" s="13">
        <v>106</v>
      </c>
      <c r="I374" s="13">
        <v>26819</v>
      </c>
      <c r="J374" s="13">
        <v>385389</v>
      </c>
      <c r="K374" s="13">
        <v>115</v>
      </c>
    </row>
    <row r="375" spans="1:11">
      <c r="A375" s="11">
        <v>330100</v>
      </c>
      <c r="B375" s="12" t="s">
        <v>332</v>
      </c>
      <c r="C375" s="13">
        <v>2015</v>
      </c>
      <c r="D375" s="13">
        <v>483970</v>
      </c>
      <c r="E375" s="13">
        <v>206</v>
      </c>
      <c r="F375" s="13">
        <v>3968</v>
      </c>
      <c r="G375" s="13">
        <v>2920876</v>
      </c>
      <c r="H375" s="13">
        <v>80</v>
      </c>
      <c r="I375" s="13">
        <v>21251</v>
      </c>
      <c r="J375" s="13">
        <v>288044</v>
      </c>
      <c r="K375" s="13">
        <v>4672</v>
      </c>
    </row>
    <row r="376" spans="1:11">
      <c r="A376" s="11">
        <v>330100</v>
      </c>
      <c r="B376" s="12" t="s">
        <v>332</v>
      </c>
      <c r="C376" s="13">
        <v>2016</v>
      </c>
      <c r="D376" s="13"/>
      <c r="E376" s="13">
        <v>149</v>
      </c>
      <c r="F376" s="13">
        <v>1354</v>
      </c>
      <c r="G376" s="13">
        <v>2407925</v>
      </c>
      <c r="H376" s="13">
        <v>74</v>
      </c>
      <c r="I376" s="13">
        <v>15797</v>
      </c>
      <c r="J376" s="13">
        <v>343455</v>
      </c>
      <c r="K376" s="13">
        <v>1705</v>
      </c>
    </row>
    <row r="377" spans="1:11">
      <c r="A377" s="11">
        <v>330100</v>
      </c>
      <c r="B377" s="12" t="s">
        <v>332</v>
      </c>
      <c r="C377" s="13">
        <v>2017</v>
      </c>
      <c r="D377" s="13"/>
      <c r="E377" s="13">
        <v>141</v>
      </c>
      <c r="F377" s="13">
        <v>1355</v>
      </c>
      <c r="G377" s="13">
        <v>2476974</v>
      </c>
      <c r="H377" s="13">
        <v>44</v>
      </c>
      <c r="I377" s="13">
        <v>25563</v>
      </c>
      <c r="J377" s="13">
        <v>268253</v>
      </c>
      <c r="K377" s="13">
        <v>63</v>
      </c>
    </row>
    <row r="378" spans="1:11">
      <c r="A378" s="11">
        <v>330100</v>
      </c>
      <c r="B378" s="12" t="s">
        <v>332</v>
      </c>
      <c r="C378" s="13">
        <v>2018</v>
      </c>
      <c r="D378" s="13"/>
      <c r="E378" s="13">
        <v>128</v>
      </c>
      <c r="F378" s="13">
        <v>1975</v>
      </c>
      <c r="G378" s="13">
        <v>4348778</v>
      </c>
      <c r="H378" s="13">
        <v>42</v>
      </c>
      <c r="I378" s="13">
        <v>23002</v>
      </c>
      <c r="J378" s="13">
        <v>357900</v>
      </c>
      <c r="K378" s="13">
        <v>150</v>
      </c>
    </row>
    <row r="379" spans="1:11">
      <c r="A379" s="11">
        <v>330100</v>
      </c>
      <c r="B379" s="12" t="s">
        <v>332</v>
      </c>
      <c r="C379" s="13">
        <v>2019</v>
      </c>
      <c r="D379" s="13"/>
      <c r="E379" s="13">
        <v>126</v>
      </c>
      <c r="F379" s="13">
        <v>3462</v>
      </c>
      <c r="G379" s="13">
        <v>3936706</v>
      </c>
      <c r="H379" s="13">
        <v>58</v>
      </c>
      <c r="I379" s="13">
        <v>26351</v>
      </c>
      <c r="J379" s="13">
        <v>223102</v>
      </c>
      <c r="K379" s="13">
        <v>77</v>
      </c>
    </row>
    <row r="380" spans="1:11">
      <c r="A380" s="11">
        <v>330100</v>
      </c>
      <c r="B380" s="12" t="s">
        <v>332</v>
      </c>
      <c r="C380" s="13">
        <v>2020</v>
      </c>
      <c r="D380" s="13"/>
      <c r="E380" s="13">
        <v>92</v>
      </c>
      <c r="F380" s="13">
        <v>1808</v>
      </c>
      <c r="G380" s="13">
        <v>1549868</v>
      </c>
      <c r="H380" s="13">
        <v>53</v>
      </c>
      <c r="I380" s="13">
        <v>7863</v>
      </c>
      <c r="J380" s="13">
        <v>39670</v>
      </c>
      <c r="K380" s="13">
        <v>8</v>
      </c>
    </row>
    <row r="381" spans="1:11">
      <c r="A381" s="11">
        <v>330100</v>
      </c>
      <c r="B381" s="12" t="s">
        <v>332</v>
      </c>
      <c r="C381" s="13">
        <v>2021</v>
      </c>
      <c r="D381" s="13"/>
      <c r="E381" s="13">
        <v>135</v>
      </c>
      <c r="F381" s="13">
        <v>3186</v>
      </c>
      <c r="G381" s="13">
        <v>2768104</v>
      </c>
      <c r="H381" s="13">
        <v>72</v>
      </c>
      <c r="I381" s="13">
        <v>12128</v>
      </c>
      <c r="J381" s="13">
        <v>56488</v>
      </c>
      <c r="K381" s="13">
        <v>34</v>
      </c>
    </row>
    <row r="382" spans="1:11">
      <c r="A382" s="11">
        <v>330100</v>
      </c>
      <c r="B382" s="12" t="s">
        <v>332</v>
      </c>
      <c r="C382" s="13">
        <v>2022</v>
      </c>
      <c r="D382" s="13">
        <v>483540</v>
      </c>
      <c r="E382" s="13">
        <v>216</v>
      </c>
      <c r="F382" s="13">
        <v>4279</v>
      </c>
      <c r="G382" s="13">
        <v>3228896</v>
      </c>
      <c r="H382" s="13">
        <v>95</v>
      </c>
      <c r="I382" s="13">
        <v>8235</v>
      </c>
      <c r="J382" s="13">
        <v>45099</v>
      </c>
      <c r="K382" s="13">
        <v>224</v>
      </c>
    </row>
    <row r="383" spans="1:11">
      <c r="A383" s="11">
        <v>330100</v>
      </c>
      <c r="B383" s="12" t="s">
        <v>332</v>
      </c>
      <c r="C383" s="13">
        <v>2023</v>
      </c>
      <c r="D383" s="13"/>
      <c r="E383" s="13">
        <v>182</v>
      </c>
      <c r="F383" s="13">
        <v>6672</v>
      </c>
      <c r="G383" s="13">
        <v>3827236</v>
      </c>
      <c r="H383" s="13">
        <v>116</v>
      </c>
      <c r="I383" s="13">
        <v>4861</v>
      </c>
      <c r="J383" s="13">
        <v>53196</v>
      </c>
      <c r="K383" s="13">
        <v>3644</v>
      </c>
    </row>
    <row r="384" spans="1:11">
      <c r="A384" s="11">
        <v>330100</v>
      </c>
      <c r="B384" s="12" t="s">
        <v>332</v>
      </c>
      <c r="C384" s="13">
        <v>2024</v>
      </c>
      <c r="D384" s="13"/>
      <c r="E384" s="13">
        <v>185</v>
      </c>
      <c r="F384" s="13">
        <v>6756</v>
      </c>
      <c r="G384" s="13">
        <v>4770492</v>
      </c>
      <c r="H384" s="13">
        <v>135</v>
      </c>
      <c r="I384" s="13">
        <v>4510</v>
      </c>
      <c r="J384" s="13">
        <v>93597</v>
      </c>
      <c r="K384" s="13">
        <v>19797</v>
      </c>
    </row>
    <row r="385" spans="1:11">
      <c r="A385" s="11">
        <v>330100</v>
      </c>
      <c r="B385" s="12" t="s">
        <v>332</v>
      </c>
      <c r="C385" s="13">
        <v>2025</v>
      </c>
      <c r="D385" s="13"/>
      <c r="E385" s="13">
        <v>136</v>
      </c>
      <c r="F385" s="13">
        <v>4978</v>
      </c>
      <c r="G385" s="13">
        <v>3904019</v>
      </c>
      <c r="H385" s="13">
        <v>85</v>
      </c>
      <c r="I385" s="13">
        <v>7099</v>
      </c>
      <c r="J385" s="13">
        <v>148574</v>
      </c>
      <c r="K385" s="13">
        <v>318</v>
      </c>
    </row>
    <row r="386" spans="1:11">
      <c r="A386" s="11">
        <v>330170</v>
      </c>
      <c r="B386" s="12" t="s">
        <v>333</v>
      </c>
      <c r="C386" s="13">
        <v>2014</v>
      </c>
      <c r="D386" s="13">
        <v>873921</v>
      </c>
      <c r="E386" s="13">
        <v>227</v>
      </c>
      <c r="F386" s="13">
        <v>1076</v>
      </c>
      <c r="G386" s="13">
        <v>4977785</v>
      </c>
      <c r="H386" s="13">
        <v>186</v>
      </c>
      <c r="I386" s="13">
        <v>69257</v>
      </c>
      <c r="J386" s="13">
        <v>233862</v>
      </c>
      <c r="K386" s="13">
        <v>271</v>
      </c>
    </row>
    <row r="387" spans="1:11">
      <c r="A387" s="11">
        <v>330170</v>
      </c>
      <c r="B387" s="12" t="s">
        <v>333</v>
      </c>
      <c r="C387" s="13">
        <v>2015</v>
      </c>
      <c r="D387" s="13">
        <v>882729</v>
      </c>
      <c r="E387" s="13">
        <v>130</v>
      </c>
      <c r="F387" s="13">
        <v>1157</v>
      </c>
      <c r="G387" s="13">
        <v>5083766</v>
      </c>
      <c r="H387" s="13">
        <v>67</v>
      </c>
      <c r="I387" s="13">
        <v>56979</v>
      </c>
      <c r="J387" s="13">
        <v>237206</v>
      </c>
      <c r="K387" s="13">
        <v>295</v>
      </c>
    </row>
    <row r="388" spans="1:11">
      <c r="A388" s="11">
        <v>330170</v>
      </c>
      <c r="B388" s="12" t="s">
        <v>333</v>
      </c>
      <c r="C388" s="13">
        <v>2016</v>
      </c>
      <c r="D388" s="13"/>
      <c r="E388" s="13">
        <v>225</v>
      </c>
      <c r="F388" s="13">
        <v>687</v>
      </c>
      <c r="G388" s="13">
        <v>4570164</v>
      </c>
      <c r="H388" s="13">
        <v>394</v>
      </c>
      <c r="I388" s="13">
        <v>51069</v>
      </c>
      <c r="J388" s="13">
        <v>216951</v>
      </c>
      <c r="K388" s="13">
        <v>1764</v>
      </c>
    </row>
    <row r="389" spans="1:11">
      <c r="A389" s="11">
        <v>330170</v>
      </c>
      <c r="B389" s="12" t="s">
        <v>333</v>
      </c>
      <c r="C389" s="13">
        <v>2017</v>
      </c>
      <c r="D389" s="13"/>
      <c r="E389" s="13">
        <v>205</v>
      </c>
      <c r="F389" s="13">
        <v>347</v>
      </c>
      <c r="G389" s="13">
        <v>4019423</v>
      </c>
      <c r="H389" s="13">
        <v>523</v>
      </c>
      <c r="I389" s="13">
        <v>45711</v>
      </c>
      <c r="J389" s="13">
        <v>149050</v>
      </c>
      <c r="K389" s="13">
        <v>400</v>
      </c>
    </row>
    <row r="390" spans="1:11">
      <c r="A390" s="11">
        <v>330170</v>
      </c>
      <c r="B390" s="12" t="s">
        <v>333</v>
      </c>
      <c r="C390" s="13">
        <v>2018</v>
      </c>
      <c r="D390" s="13"/>
      <c r="E390" s="13">
        <v>243</v>
      </c>
      <c r="F390" s="13">
        <v>14451</v>
      </c>
      <c r="G390" s="13">
        <v>6084685</v>
      </c>
      <c r="H390" s="13">
        <v>786</v>
      </c>
      <c r="I390" s="13">
        <v>37597</v>
      </c>
      <c r="J390" s="13">
        <v>59005</v>
      </c>
      <c r="K390" s="13">
        <v>309</v>
      </c>
    </row>
    <row r="391" spans="1:11">
      <c r="A391" s="11">
        <v>330170</v>
      </c>
      <c r="B391" s="12" t="s">
        <v>333</v>
      </c>
      <c r="C391" s="13">
        <v>2019</v>
      </c>
      <c r="D391" s="13"/>
      <c r="E391" s="13">
        <v>309</v>
      </c>
      <c r="F391" s="13">
        <v>28393</v>
      </c>
      <c r="G391" s="13">
        <v>7698733</v>
      </c>
      <c r="H391" s="13">
        <v>1201</v>
      </c>
      <c r="I391" s="13">
        <v>38800</v>
      </c>
      <c r="J391" s="13">
        <v>90823</v>
      </c>
      <c r="K391" s="13">
        <v>736</v>
      </c>
    </row>
    <row r="392" spans="1:11">
      <c r="A392" s="11">
        <v>330170</v>
      </c>
      <c r="B392" s="12" t="s">
        <v>333</v>
      </c>
      <c r="C392" s="13">
        <v>2020</v>
      </c>
      <c r="D392" s="13"/>
      <c r="E392" s="13">
        <v>294</v>
      </c>
      <c r="F392" s="13">
        <v>17062</v>
      </c>
      <c r="G392" s="13">
        <v>6183386</v>
      </c>
      <c r="H392" s="13">
        <v>647</v>
      </c>
      <c r="I392" s="13">
        <v>38625</v>
      </c>
      <c r="J392" s="13">
        <v>49260</v>
      </c>
      <c r="K392" s="13">
        <v>49</v>
      </c>
    </row>
    <row r="393" spans="1:11">
      <c r="A393" s="11">
        <v>330170</v>
      </c>
      <c r="B393" s="12" t="s">
        <v>333</v>
      </c>
      <c r="C393" s="13">
        <v>2021</v>
      </c>
      <c r="D393" s="13"/>
      <c r="E393" s="13">
        <v>217</v>
      </c>
      <c r="F393" s="13">
        <v>24371</v>
      </c>
      <c r="G393" s="13">
        <v>7271394</v>
      </c>
      <c r="H393" s="13">
        <v>425</v>
      </c>
      <c r="I393" s="13">
        <v>21495</v>
      </c>
      <c r="J393" s="13">
        <v>63025</v>
      </c>
      <c r="K393" s="13">
        <v>83</v>
      </c>
    </row>
    <row r="394" spans="1:11">
      <c r="A394" s="11">
        <v>330170</v>
      </c>
      <c r="B394" s="12" t="s">
        <v>333</v>
      </c>
      <c r="C394" s="13">
        <v>2022</v>
      </c>
      <c r="D394" s="13">
        <v>808161</v>
      </c>
      <c r="E394" s="13">
        <v>293</v>
      </c>
      <c r="F394" s="13">
        <v>27655</v>
      </c>
      <c r="G394" s="13">
        <v>10513143</v>
      </c>
      <c r="H394" s="13">
        <v>1060</v>
      </c>
      <c r="I394" s="13">
        <v>23681</v>
      </c>
      <c r="J394" s="13">
        <v>58887</v>
      </c>
      <c r="K394" s="13">
        <v>479</v>
      </c>
    </row>
    <row r="395" spans="1:11">
      <c r="A395" s="11">
        <v>330170</v>
      </c>
      <c r="B395" s="12" t="s">
        <v>333</v>
      </c>
      <c r="C395" s="13">
        <v>2023</v>
      </c>
      <c r="D395" s="13"/>
      <c r="E395" s="13">
        <v>465</v>
      </c>
      <c r="F395" s="13">
        <v>31563</v>
      </c>
      <c r="G395" s="13">
        <v>13859935</v>
      </c>
      <c r="H395" s="13">
        <v>1040</v>
      </c>
      <c r="I395" s="13">
        <v>31305</v>
      </c>
      <c r="J395" s="13">
        <v>73188</v>
      </c>
      <c r="K395" s="13">
        <v>1720</v>
      </c>
    </row>
    <row r="396" spans="1:11">
      <c r="A396" s="11">
        <v>330170</v>
      </c>
      <c r="B396" s="12" t="s">
        <v>333</v>
      </c>
      <c r="C396" s="13">
        <v>2024</v>
      </c>
      <c r="D396" s="13"/>
      <c r="E396" s="13">
        <v>464</v>
      </c>
      <c r="F396" s="13">
        <v>33808</v>
      </c>
      <c r="G396" s="13">
        <v>11574548</v>
      </c>
      <c r="H396" s="13">
        <v>1022</v>
      </c>
      <c r="I396" s="13">
        <v>29473</v>
      </c>
      <c r="J396" s="13">
        <v>75969</v>
      </c>
      <c r="K396" s="13">
        <v>7169</v>
      </c>
    </row>
    <row r="397" spans="1:11">
      <c r="A397" s="11">
        <v>330170</v>
      </c>
      <c r="B397" s="12" t="s">
        <v>333</v>
      </c>
      <c r="C397" s="13">
        <v>2025</v>
      </c>
      <c r="D397" s="13"/>
      <c r="E397" s="13">
        <v>261</v>
      </c>
      <c r="F397" s="13">
        <v>21255</v>
      </c>
      <c r="G397" s="13">
        <v>10155332</v>
      </c>
      <c r="H397" s="13">
        <v>471</v>
      </c>
      <c r="I397" s="13">
        <v>22410</v>
      </c>
      <c r="J397" s="13">
        <v>48505</v>
      </c>
      <c r="K397" s="13">
        <v>775</v>
      </c>
    </row>
    <row r="398" spans="1:11">
      <c r="A398" s="11">
        <v>330330</v>
      </c>
      <c r="B398" s="12" t="s">
        <v>334</v>
      </c>
      <c r="C398" s="13">
        <v>2014</v>
      </c>
      <c r="D398" s="13">
        <v>494200</v>
      </c>
      <c r="E398" s="13">
        <v>142</v>
      </c>
      <c r="F398" s="13">
        <v>13307</v>
      </c>
      <c r="G398" s="13">
        <v>2837323</v>
      </c>
      <c r="H398" s="13">
        <v>52</v>
      </c>
      <c r="I398" s="13">
        <v>11700</v>
      </c>
      <c r="J398" s="13">
        <v>165097</v>
      </c>
      <c r="K398" s="13">
        <v>420</v>
      </c>
    </row>
    <row r="399" spans="1:11">
      <c r="A399" s="11">
        <v>330330</v>
      </c>
      <c r="B399" s="12" t="s">
        <v>334</v>
      </c>
      <c r="C399" s="13">
        <v>2015</v>
      </c>
      <c r="D399" s="13">
        <v>496696</v>
      </c>
      <c r="E399" s="13">
        <v>193</v>
      </c>
      <c r="F399" s="13">
        <v>14133</v>
      </c>
      <c r="G399" s="13">
        <v>3113134</v>
      </c>
      <c r="H399" s="13">
        <v>45</v>
      </c>
      <c r="I399" s="13">
        <v>6297</v>
      </c>
      <c r="J399" s="13">
        <v>182851</v>
      </c>
      <c r="K399" s="13">
        <v>846</v>
      </c>
    </row>
    <row r="400" spans="1:11">
      <c r="A400" s="11">
        <v>330330</v>
      </c>
      <c r="B400" s="12" t="s">
        <v>334</v>
      </c>
      <c r="C400" s="13">
        <v>2016</v>
      </c>
      <c r="D400" s="13"/>
      <c r="E400" s="13">
        <v>185</v>
      </c>
      <c r="F400" s="13">
        <v>14775</v>
      </c>
      <c r="G400" s="13">
        <v>3057835</v>
      </c>
      <c r="H400" s="13">
        <v>39</v>
      </c>
      <c r="I400" s="13">
        <v>8577</v>
      </c>
      <c r="J400" s="13">
        <v>271039</v>
      </c>
      <c r="K400" s="13">
        <v>3908</v>
      </c>
    </row>
    <row r="401" spans="1:11">
      <c r="A401" s="11">
        <v>330330</v>
      </c>
      <c r="B401" s="12" t="s">
        <v>334</v>
      </c>
      <c r="C401" s="13">
        <v>2017</v>
      </c>
      <c r="D401" s="13"/>
      <c r="E401" s="13">
        <v>182</v>
      </c>
      <c r="F401" s="13">
        <v>12729</v>
      </c>
      <c r="G401" s="13">
        <v>3175512</v>
      </c>
      <c r="H401" s="13">
        <v>58</v>
      </c>
      <c r="I401" s="13">
        <v>29328</v>
      </c>
      <c r="J401" s="13">
        <v>288427</v>
      </c>
      <c r="K401" s="13">
        <v>985</v>
      </c>
    </row>
    <row r="402" spans="1:11">
      <c r="A402" s="11">
        <v>330330</v>
      </c>
      <c r="B402" s="12" t="s">
        <v>334</v>
      </c>
      <c r="C402" s="13">
        <v>2018</v>
      </c>
      <c r="D402" s="13"/>
      <c r="E402" s="13">
        <v>160</v>
      </c>
      <c r="F402" s="13">
        <v>7265</v>
      </c>
      <c r="G402" s="13">
        <v>3137822</v>
      </c>
      <c r="H402" s="13">
        <v>56</v>
      </c>
      <c r="I402" s="13">
        <v>9430</v>
      </c>
      <c r="J402" s="13">
        <v>80440</v>
      </c>
      <c r="K402" s="13">
        <v>1907</v>
      </c>
    </row>
    <row r="403" spans="1:11">
      <c r="A403" s="11">
        <v>330330</v>
      </c>
      <c r="B403" s="12" t="s">
        <v>334</v>
      </c>
      <c r="C403" s="13">
        <v>2019</v>
      </c>
      <c r="D403" s="13"/>
      <c r="E403" s="13">
        <v>116</v>
      </c>
      <c r="F403" s="13">
        <v>8487</v>
      </c>
      <c r="G403" s="13">
        <v>3407226</v>
      </c>
      <c r="H403" s="13">
        <v>47</v>
      </c>
      <c r="I403" s="13">
        <v>8722</v>
      </c>
      <c r="J403" s="13">
        <v>58663</v>
      </c>
      <c r="K403" s="13">
        <v>374</v>
      </c>
    </row>
    <row r="404" spans="1:11">
      <c r="A404" s="11">
        <v>330330</v>
      </c>
      <c r="B404" s="12" t="s">
        <v>334</v>
      </c>
      <c r="C404" s="13">
        <v>2020</v>
      </c>
      <c r="D404" s="13"/>
      <c r="E404" s="13">
        <v>136</v>
      </c>
      <c r="F404" s="13">
        <v>2411</v>
      </c>
      <c r="G404" s="13">
        <v>2376955</v>
      </c>
      <c r="H404" s="13">
        <v>42</v>
      </c>
      <c r="I404" s="13">
        <v>6754</v>
      </c>
      <c r="J404" s="13">
        <v>36172</v>
      </c>
      <c r="K404" s="13">
        <v>78</v>
      </c>
    </row>
    <row r="405" spans="1:11">
      <c r="A405" s="11">
        <v>330330</v>
      </c>
      <c r="B405" s="12" t="s">
        <v>334</v>
      </c>
      <c r="C405" s="13">
        <v>2021</v>
      </c>
      <c r="D405" s="13"/>
      <c r="E405" s="13">
        <v>123</v>
      </c>
      <c r="F405" s="13">
        <v>3718</v>
      </c>
      <c r="G405" s="13">
        <v>2979846</v>
      </c>
      <c r="H405" s="13">
        <v>38</v>
      </c>
      <c r="I405" s="13">
        <v>5134</v>
      </c>
      <c r="J405" s="13">
        <v>37011</v>
      </c>
      <c r="K405" s="13">
        <v>23</v>
      </c>
    </row>
    <row r="406" spans="1:11">
      <c r="A406" s="11">
        <v>330330</v>
      </c>
      <c r="B406" s="12" t="s">
        <v>334</v>
      </c>
      <c r="C406" s="13">
        <v>2022</v>
      </c>
      <c r="D406" s="13">
        <v>481749</v>
      </c>
      <c r="E406" s="13">
        <v>145</v>
      </c>
      <c r="F406" s="13">
        <v>5075</v>
      </c>
      <c r="G406" s="13">
        <v>3477262</v>
      </c>
      <c r="H406" s="13">
        <v>87</v>
      </c>
      <c r="I406" s="13">
        <v>4861</v>
      </c>
      <c r="J406" s="13">
        <v>40364</v>
      </c>
      <c r="K406" s="13">
        <v>49</v>
      </c>
    </row>
    <row r="407" spans="1:11">
      <c r="A407" s="11">
        <v>330330</v>
      </c>
      <c r="B407" s="12" t="s">
        <v>334</v>
      </c>
      <c r="C407" s="13">
        <v>2023</v>
      </c>
      <c r="D407" s="13"/>
      <c r="E407" s="13">
        <v>131</v>
      </c>
      <c r="F407" s="13">
        <v>6154</v>
      </c>
      <c r="G407" s="13">
        <v>3235467</v>
      </c>
      <c r="H407" s="13">
        <v>84</v>
      </c>
      <c r="I407" s="13">
        <v>2533</v>
      </c>
      <c r="J407" s="13">
        <v>7919</v>
      </c>
      <c r="K407" s="13">
        <v>187</v>
      </c>
    </row>
    <row r="408" spans="1:11">
      <c r="A408" s="11">
        <v>330330</v>
      </c>
      <c r="B408" s="12" t="s">
        <v>334</v>
      </c>
      <c r="C408" s="13">
        <v>2024</v>
      </c>
      <c r="D408" s="13"/>
      <c r="E408" s="13">
        <v>120</v>
      </c>
      <c r="F408" s="13">
        <v>7466</v>
      </c>
      <c r="G408" s="13">
        <v>3209164</v>
      </c>
      <c r="H408" s="13">
        <v>87</v>
      </c>
      <c r="I408" s="13">
        <v>1102</v>
      </c>
      <c r="J408" s="13">
        <v>80</v>
      </c>
      <c r="K408" s="13">
        <v>2517</v>
      </c>
    </row>
    <row r="409" spans="1:11">
      <c r="A409" s="11">
        <v>330330</v>
      </c>
      <c r="B409" s="12" t="s">
        <v>334</v>
      </c>
      <c r="C409" s="13">
        <v>2025</v>
      </c>
      <c r="D409" s="13"/>
      <c r="E409" s="13">
        <v>101</v>
      </c>
      <c r="F409" s="13">
        <v>5298</v>
      </c>
      <c r="G409" s="13">
        <v>2717730</v>
      </c>
      <c r="H409" s="13">
        <v>83</v>
      </c>
      <c r="I409" s="13">
        <v>1285</v>
      </c>
      <c r="J409" s="13">
        <v>112</v>
      </c>
      <c r="K409" s="13">
        <v>306</v>
      </c>
    </row>
    <row r="410" spans="1:11">
      <c r="A410" s="11">
        <v>330350</v>
      </c>
      <c r="B410" s="12" t="s">
        <v>335</v>
      </c>
      <c r="C410" s="13">
        <v>2014</v>
      </c>
      <c r="D410" s="13">
        <v>804815</v>
      </c>
      <c r="E410" s="13">
        <v>136</v>
      </c>
      <c r="F410" s="13">
        <v>3696</v>
      </c>
      <c r="G410" s="13">
        <v>2588467</v>
      </c>
      <c r="H410" s="13">
        <v>12</v>
      </c>
      <c r="I410" s="13">
        <v>76704</v>
      </c>
      <c r="J410" s="13">
        <v>627134</v>
      </c>
      <c r="K410" s="13">
        <v>92</v>
      </c>
    </row>
    <row r="411" spans="1:11">
      <c r="A411" s="11">
        <v>330350</v>
      </c>
      <c r="B411" s="12" t="s">
        <v>335</v>
      </c>
      <c r="C411" s="13">
        <v>2015</v>
      </c>
      <c r="D411" s="13">
        <v>807492</v>
      </c>
      <c r="E411" s="13">
        <v>167</v>
      </c>
      <c r="F411" s="13">
        <v>3706</v>
      </c>
      <c r="G411" s="13">
        <v>3129158</v>
      </c>
      <c r="H411" s="13">
        <v>33</v>
      </c>
      <c r="I411" s="13">
        <v>122285</v>
      </c>
      <c r="J411" s="13">
        <v>1006296</v>
      </c>
      <c r="K411" s="13">
        <v>259</v>
      </c>
    </row>
    <row r="412" spans="1:11">
      <c r="A412" s="11">
        <v>330350</v>
      </c>
      <c r="B412" s="12" t="s">
        <v>335</v>
      </c>
      <c r="C412" s="13">
        <v>2016</v>
      </c>
      <c r="D412" s="13"/>
      <c r="E412" s="13">
        <v>134</v>
      </c>
      <c r="F412" s="13">
        <v>2476</v>
      </c>
      <c r="G412" s="13">
        <v>2958288</v>
      </c>
      <c r="H412" s="13">
        <v>58</v>
      </c>
      <c r="I412" s="13">
        <v>92866</v>
      </c>
      <c r="J412" s="13">
        <v>616019</v>
      </c>
      <c r="K412" s="13">
        <v>342</v>
      </c>
    </row>
    <row r="413" spans="1:11">
      <c r="A413" s="11">
        <v>330350</v>
      </c>
      <c r="B413" s="12" t="s">
        <v>335</v>
      </c>
      <c r="C413" s="13">
        <v>2017</v>
      </c>
      <c r="D413" s="13"/>
      <c r="E413" s="13">
        <v>104</v>
      </c>
      <c r="F413" s="13">
        <v>2083</v>
      </c>
      <c r="G413" s="13">
        <v>1902996</v>
      </c>
      <c r="H413" s="13">
        <v>27</v>
      </c>
      <c r="I413" s="13">
        <v>69165</v>
      </c>
      <c r="J413" s="13">
        <v>436693</v>
      </c>
      <c r="K413" s="13">
        <v>11</v>
      </c>
    </row>
    <row r="414" spans="1:11">
      <c r="A414" s="11">
        <v>330350</v>
      </c>
      <c r="B414" s="12" t="s">
        <v>335</v>
      </c>
      <c r="C414" s="13">
        <v>2018</v>
      </c>
      <c r="D414" s="13"/>
      <c r="E414" s="13">
        <v>76</v>
      </c>
      <c r="F414" s="13">
        <v>1013</v>
      </c>
      <c r="G414" s="13">
        <v>2886587</v>
      </c>
      <c r="H414" s="13">
        <v>12</v>
      </c>
      <c r="I414" s="13">
        <v>135431</v>
      </c>
      <c r="J414" s="13">
        <v>39570</v>
      </c>
      <c r="K414" s="13">
        <v>13</v>
      </c>
    </row>
    <row r="415" spans="1:11">
      <c r="A415" s="11">
        <v>330350</v>
      </c>
      <c r="B415" s="12" t="s">
        <v>335</v>
      </c>
      <c r="C415" s="13">
        <v>2019</v>
      </c>
      <c r="D415" s="13"/>
      <c r="E415" s="13">
        <v>82</v>
      </c>
      <c r="F415" s="13">
        <v>1065</v>
      </c>
      <c r="G415" s="13">
        <v>2881664</v>
      </c>
      <c r="H415" s="13">
        <v>55</v>
      </c>
      <c r="I415" s="13">
        <v>17251</v>
      </c>
      <c r="J415" s="13">
        <v>30524</v>
      </c>
      <c r="K415" s="13">
        <v>78</v>
      </c>
    </row>
    <row r="416" spans="1:11">
      <c r="A416" s="11">
        <v>330350</v>
      </c>
      <c r="B416" s="12" t="s">
        <v>335</v>
      </c>
      <c r="C416" s="13">
        <v>2020</v>
      </c>
      <c r="D416" s="13"/>
      <c r="E416" s="13">
        <v>107</v>
      </c>
      <c r="F416" s="13">
        <v>1533</v>
      </c>
      <c r="G416" s="13">
        <v>2320426</v>
      </c>
      <c r="H416" s="13">
        <v>11</v>
      </c>
      <c r="I416" s="13">
        <v>118021</v>
      </c>
      <c r="J416" s="13">
        <v>15573</v>
      </c>
      <c r="K416" s="13">
        <v>11</v>
      </c>
    </row>
    <row r="417" spans="1:11">
      <c r="A417" s="11">
        <v>330350</v>
      </c>
      <c r="B417" s="12" t="s">
        <v>335</v>
      </c>
      <c r="C417" s="13">
        <v>2021</v>
      </c>
      <c r="D417" s="13"/>
      <c r="E417" s="13">
        <v>111</v>
      </c>
      <c r="F417" s="13">
        <v>2485</v>
      </c>
      <c r="G417" s="13">
        <v>3029106</v>
      </c>
      <c r="H417" s="13">
        <v>25</v>
      </c>
      <c r="I417" s="13">
        <v>5197</v>
      </c>
      <c r="J417" s="13">
        <v>16690</v>
      </c>
      <c r="K417" s="13">
        <v>26</v>
      </c>
    </row>
    <row r="418" spans="1:11">
      <c r="A418" s="11">
        <v>330350</v>
      </c>
      <c r="B418" s="12" t="s">
        <v>335</v>
      </c>
      <c r="C418" s="13">
        <v>2022</v>
      </c>
      <c r="D418" s="13">
        <v>785867</v>
      </c>
      <c r="E418" s="13">
        <v>168</v>
      </c>
      <c r="F418" s="13">
        <v>2596</v>
      </c>
      <c r="G418" s="13">
        <v>2780830</v>
      </c>
      <c r="H418" s="13">
        <v>73</v>
      </c>
      <c r="I418" s="13">
        <v>3839</v>
      </c>
      <c r="J418" s="13">
        <v>19670</v>
      </c>
      <c r="K418" s="13">
        <v>38</v>
      </c>
    </row>
    <row r="419" spans="1:11">
      <c r="A419" s="11">
        <v>330350</v>
      </c>
      <c r="B419" s="12" t="s">
        <v>335</v>
      </c>
      <c r="C419" s="13">
        <v>2023</v>
      </c>
      <c r="D419" s="13"/>
      <c r="E419" s="13">
        <v>211</v>
      </c>
      <c r="F419" s="13">
        <v>2934</v>
      </c>
      <c r="G419" s="13">
        <v>3069743</v>
      </c>
      <c r="H419" s="13">
        <v>53</v>
      </c>
      <c r="I419" s="13">
        <v>4967</v>
      </c>
      <c r="J419" s="13">
        <v>248051</v>
      </c>
      <c r="K419" s="13">
        <v>657</v>
      </c>
    </row>
    <row r="420" spans="1:11">
      <c r="A420" s="11">
        <v>330350</v>
      </c>
      <c r="B420" s="12" t="s">
        <v>335</v>
      </c>
      <c r="C420" s="13">
        <v>2024</v>
      </c>
      <c r="D420" s="13"/>
      <c r="E420" s="13">
        <v>195</v>
      </c>
      <c r="F420" s="13">
        <v>3762</v>
      </c>
      <c r="G420" s="13">
        <v>2196300</v>
      </c>
      <c r="H420" s="13">
        <v>45</v>
      </c>
      <c r="I420" s="13">
        <v>1280</v>
      </c>
      <c r="J420" s="13">
        <v>14909</v>
      </c>
      <c r="K420" s="13">
        <v>1643</v>
      </c>
    </row>
    <row r="421" spans="1:11">
      <c r="A421" s="11">
        <v>330350</v>
      </c>
      <c r="B421" s="12" t="s">
        <v>335</v>
      </c>
      <c r="C421" s="13">
        <v>2025</v>
      </c>
      <c r="D421" s="13"/>
      <c r="E421" s="13">
        <v>171</v>
      </c>
      <c r="F421" s="13">
        <v>3216</v>
      </c>
      <c r="G421" s="13">
        <v>1814600</v>
      </c>
      <c r="H421" s="13">
        <v>51</v>
      </c>
      <c r="I421" s="13">
        <v>926</v>
      </c>
      <c r="J421" s="13">
        <v>4506</v>
      </c>
      <c r="K421" s="13">
        <v>101</v>
      </c>
    </row>
    <row r="422" spans="1:11">
      <c r="A422" s="11">
        <v>330455</v>
      </c>
      <c r="B422" s="12" t="s">
        <v>336</v>
      </c>
      <c r="C422" s="13">
        <v>2014</v>
      </c>
      <c r="D422" s="13">
        <v>6429923</v>
      </c>
      <c r="E422" s="13">
        <v>1133</v>
      </c>
      <c r="F422" s="13">
        <v>17480</v>
      </c>
      <c r="G422" s="13">
        <v>25739370</v>
      </c>
      <c r="H422" s="13">
        <v>691</v>
      </c>
      <c r="I422" s="13">
        <v>364304</v>
      </c>
      <c r="J422" s="13">
        <v>3132139</v>
      </c>
      <c r="K422" s="13">
        <v>2855</v>
      </c>
    </row>
    <row r="423" spans="1:11">
      <c r="A423" s="11">
        <v>330455</v>
      </c>
      <c r="B423" s="12" t="s">
        <v>336</v>
      </c>
      <c r="C423" s="13">
        <v>2015</v>
      </c>
      <c r="D423" s="13">
        <v>6476631</v>
      </c>
      <c r="E423" s="13">
        <v>1378</v>
      </c>
      <c r="F423" s="13">
        <v>14826</v>
      </c>
      <c r="G423" s="13">
        <v>27035310</v>
      </c>
      <c r="H423" s="13">
        <v>888</v>
      </c>
      <c r="I423" s="13">
        <v>504278</v>
      </c>
      <c r="J423" s="13">
        <v>3648912</v>
      </c>
      <c r="K423" s="13">
        <v>18302</v>
      </c>
    </row>
    <row r="424" spans="1:11">
      <c r="A424" s="11">
        <v>330455</v>
      </c>
      <c r="B424" s="12" t="s">
        <v>336</v>
      </c>
      <c r="C424" s="13">
        <v>2016</v>
      </c>
      <c r="D424" s="13"/>
      <c r="E424" s="13">
        <v>1150</v>
      </c>
      <c r="F424" s="13">
        <v>13563</v>
      </c>
      <c r="G424" s="13">
        <v>24438390</v>
      </c>
      <c r="H424" s="13">
        <v>615</v>
      </c>
      <c r="I424" s="13">
        <v>476021</v>
      </c>
      <c r="J424" s="13">
        <v>4013605</v>
      </c>
      <c r="K424" s="13">
        <v>26402</v>
      </c>
    </row>
    <row r="425" spans="1:11">
      <c r="A425" s="11">
        <v>330455</v>
      </c>
      <c r="B425" s="12" t="s">
        <v>336</v>
      </c>
      <c r="C425" s="13">
        <v>2017</v>
      </c>
      <c r="D425" s="13"/>
      <c r="E425" s="13">
        <v>1103</v>
      </c>
      <c r="F425" s="13">
        <v>16700</v>
      </c>
      <c r="G425" s="13">
        <v>21027655</v>
      </c>
      <c r="H425" s="13">
        <v>485</v>
      </c>
      <c r="I425" s="13">
        <v>514098</v>
      </c>
      <c r="J425" s="13">
        <v>4271588</v>
      </c>
      <c r="K425" s="13">
        <v>3767</v>
      </c>
    </row>
    <row r="426" spans="1:11">
      <c r="A426" s="11">
        <v>330455</v>
      </c>
      <c r="B426" s="12" t="s">
        <v>336</v>
      </c>
      <c r="C426" s="13">
        <v>2018</v>
      </c>
      <c r="D426" s="13"/>
      <c r="E426" s="13">
        <v>1249</v>
      </c>
      <c r="F426" s="13">
        <v>24776</v>
      </c>
      <c r="G426" s="13">
        <v>25385063</v>
      </c>
      <c r="H426" s="13">
        <v>1129</v>
      </c>
      <c r="I426" s="13">
        <v>206971</v>
      </c>
      <c r="J426" s="13">
        <v>1692682</v>
      </c>
      <c r="K426" s="13">
        <v>5591</v>
      </c>
    </row>
    <row r="427" spans="1:11">
      <c r="A427" s="11">
        <v>330455</v>
      </c>
      <c r="B427" s="12" t="s">
        <v>336</v>
      </c>
      <c r="C427" s="13">
        <v>2019</v>
      </c>
      <c r="D427" s="13"/>
      <c r="E427" s="13">
        <v>1358</v>
      </c>
      <c r="F427" s="13">
        <v>15800</v>
      </c>
      <c r="G427" s="13">
        <v>26535229</v>
      </c>
      <c r="H427" s="13">
        <v>866</v>
      </c>
      <c r="I427" s="13">
        <v>20938</v>
      </c>
      <c r="J427" s="13">
        <v>31404</v>
      </c>
      <c r="K427" s="13">
        <v>18070</v>
      </c>
    </row>
    <row r="428" spans="1:11">
      <c r="A428" s="11">
        <v>330455</v>
      </c>
      <c r="B428" s="12" t="s">
        <v>336</v>
      </c>
      <c r="C428" s="13">
        <v>2020</v>
      </c>
      <c r="D428" s="13"/>
      <c r="E428" s="13">
        <v>1234</v>
      </c>
      <c r="F428" s="13">
        <v>9956</v>
      </c>
      <c r="G428" s="13">
        <v>20402289</v>
      </c>
      <c r="H428" s="13">
        <v>554</v>
      </c>
      <c r="I428" s="13">
        <v>13836</v>
      </c>
      <c r="J428" s="13">
        <v>17068</v>
      </c>
      <c r="K428" s="13">
        <v>1196</v>
      </c>
    </row>
    <row r="429" spans="1:11">
      <c r="A429" s="11">
        <v>330455</v>
      </c>
      <c r="B429" s="12" t="s">
        <v>336</v>
      </c>
      <c r="C429" s="13">
        <v>2021</v>
      </c>
      <c r="D429" s="13"/>
      <c r="E429" s="13">
        <v>1067</v>
      </c>
      <c r="F429" s="13">
        <v>25410</v>
      </c>
      <c r="G429" s="13">
        <v>25302409</v>
      </c>
      <c r="H429" s="13">
        <v>537</v>
      </c>
      <c r="I429" s="13">
        <v>117216</v>
      </c>
      <c r="J429" s="13">
        <v>64476</v>
      </c>
      <c r="K429" s="13">
        <v>858</v>
      </c>
    </row>
    <row r="430" spans="1:11">
      <c r="A430" s="11">
        <v>330455</v>
      </c>
      <c r="B430" s="12" t="s">
        <v>336</v>
      </c>
      <c r="C430" s="13">
        <v>2022</v>
      </c>
      <c r="D430" s="13">
        <v>6211223</v>
      </c>
      <c r="E430" s="13">
        <v>1145</v>
      </c>
      <c r="F430" s="13">
        <v>30962</v>
      </c>
      <c r="G430" s="13">
        <v>33146746</v>
      </c>
      <c r="H430" s="13">
        <v>814</v>
      </c>
      <c r="I430" s="13">
        <v>233606</v>
      </c>
      <c r="J430" s="13">
        <v>2691466</v>
      </c>
      <c r="K430" s="13">
        <v>4577</v>
      </c>
    </row>
    <row r="431" spans="1:11">
      <c r="A431" s="11">
        <v>330455</v>
      </c>
      <c r="B431" s="12" t="s">
        <v>336</v>
      </c>
      <c r="C431" s="13">
        <v>2023</v>
      </c>
      <c r="D431" s="13"/>
      <c r="E431" s="13">
        <v>1085</v>
      </c>
      <c r="F431" s="13">
        <v>44374</v>
      </c>
      <c r="G431" s="13">
        <v>42632146</v>
      </c>
      <c r="H431" s="13">
        <v>780</v>
      </c>
      <c r="I431" s="13">
        <v>421272</v>
      </c>
      <c r="J431" s="13">
        <v>6561957</v>
      </c>
      <c r="K431" s="13">
        <v>22617</v>
      </c>
    </row>
    <row r="432" spans="1:11">
      <c r="A432" s="11">
        <v>330455</v>
      </c>
      <c r="B432" s="12" t="s">
        <v>336</v>
      </c>
      <c r="C432" s="13">
        <v>2024</v>
      </c>
      <c r="D432" s="13"/>
      <c r="E432" s="13">
        <v>1081</v>
      </c>
      <c r="F432" s="13">
        <v>44954</v>
      </c>
      <c r="G432" s="13">
        <v>46194587</v>
      </c>
      <c r="H432" s="13">
        <v>661</v>
      </c>
      <c r="I432" s="13">
        <v>1666009</v>
      </c>
      <c r="J432" s="13">
        <v>8155230</v>
      </c>
      <c r="K432" s="13">
        <v>111760</v>
      </c>
    </row>
    <row r="433" spans="1:11">
      <c r="A433" s="11">
        <v>330455</v>
      </c>
      <c r="B433" s="12" t="s">
        <v>336</v>
      </c>
      <c r="C433" s="13">
        <v>2025</v>
      </c>
      <c r="D433" s="13"/>
      <c r="E433" s="13">
        <v>886</v>
      </c>
      <c r="F433" s="13">
        <v>30798</v>
      </c>
      <c r="G433" s="13">
        <v>38730059</v>
      </c>
      <c r="H433" s="13">
        <v>441</v>
      </c>
      <c r="I433" s="13">
        <v>370054</v>
      </c>
      <c r="J433" s="13">
        <v>6496040</v>
      </c>
      <c r="K433" s="13">
        <v>9427</v>
      </c>
    </row>
    <row r="434" spans="1:11">
      <c r="A434" s="11">
        <v>330490</v>
      </c>
      <c r="B434" s="12" t="s">
        <v>337</v>
      </c>
      <c r="C434" s="13">
        <v>2014</v>
      </c>
      <c r="D434" s="13">
        <v>1025507</v>
      </c>
      <c r="E434" s="13">
        <v>654</v>
      </c>
      <c r="F434" s="13">
        <v>4370</v>
      </c>
      <c r="G434" s="13">
        <v>3805143</v>
      </c>
      <c r="H434" s="13">
        <v>243</v>
      </c>
      <c r="I434" s="13">
        <v>30719</v>
      </c>
      <c r="J434" s="13">
        <v>260367</v>
      </c>
      <c r="K434" s="13">
        <v>944</v>
      </c>
    </row>
    <row r="435" spans="1:11">
      <c r="A435" s="11">
        <v>330490</v>
      </c>
      <c r="B435" s="12" t="s">
        <v>337</v>
      </c>
      <c r="C435" s="13">
        <v>2015</v>
      </c>
      <c r="D435" s="13">
        <v>1038081</v>
      </c>
      <c r="E435" s="13">
        <v>540</v>
      </c>
      <c r="F435" s="13">
        <v>4151</v>
      </c>
      <c r="G435" s="13">
        <v>4132289</v>
      </c>
      <c r="H435" s="13">
        <v>242</v>
      </c>
      <c r="I435" s="13">
        <v>41355</v>
      </c>
      <c r="J435" s="13">
        <v>307534</v>
      </c>
      <c r="K435" s="13">
        <v>2313</v>
      </c>
    </row>
    <row r="436" spans="1:11">
      <c r="A436" s="11">
        <v>330490</v>
      </c>
      <c r="B436" s="12" t="s">
        <v>337</v>
      </c>
      <c r="C436" s="13">
        <v>2016</v>
      </c>
      <c r="D436" s="13"/>
      <c r="E436" s="13">
        <v>413</v>
      </c>
      <c r="F436" s="13">
        <v>1926</v>
      </c>
      <c r="G436" s="13">
        <v>2911222</v>
      </c>
      <c r="H436" s="13">
        <v>164</v>
      </c>
      <c r="I436" s="13">
        <v>27353</v>
      </c>
      <c r="J436" s="13">
        <v>278606</v>
      </c>
      <c r="K436" s="13">
        <v>8004</v>
      </c>
    </row>
    <row r="437" spans="1:11">
      <c r="A437" s="11">
        <v>330490</v>
      </c>
      <c r="B437" s="12" t="s">
        <v>337</v>
      </c>
      <c r="C437" s="13">
        <v>2017</v>
      </c>
      <c r="D437" s="13"/>
      <c r="E437" s="13">
        <v>136</v>
      </c>
      <c r="F437" s="13">
        <v>1218</v>
      </c>
      <c r="G437" s="13">
        <v>2509849</v>
      </c>
      <c r="H437" s="13">
        <v>90</v>
      </c>
      <c r="I437" s="13">
        <v>39104</v>
      </c>
      <c r="J437" s="13">
        <v>426523</v>
      </c>
      <c r="K437" s="13">
        <v>1742</v>
      </c>
    </row>
    <row r="438" spans="1:11">
      <c r="A438" s="11">
        <v>330490</v>
      </c>
      <c r="B438" s="12" t="s">
        <v>337</v>
      </c>
      <c r="C438" s="13">
        <v>2018</v>
      </c>
      <c r="D438" s="13"/>
      <c r="E438" s="13">
        <v>145</v>
      </c>
      <c r="F438" s="13">
        <v>3463</v>
      </c>
      <c r="G438" s="13">
        <v>3389443</v>
      </c>
      <c r="H438" s="13">
        <v>155</v>
      </c>
      <c r="I438" s="13">
        <v>34344</v>
      </c>
      <c r="J438" s="13">
        <v>331057</v>
      </c>
      <c r="K438" s="13">
        <v>1200</v>
      </c>
    </row>
    <row r="439" spans="1:11">
      <c r="A439" s="11">
        <v>330490</v>
      </c>
      <c r="B439" s="12" t="s">
        <v>337</v>
      </c>
      <c r="C439" s="13">
        <v>2019</v>
      </c>
      <c r="D439" s="13"/>
      <c r="E439" s="13">
        <v>218</v>
      </c>
      <c r="F439" s="13">
        <v>2905</v>
      </c>
      <c r="G439" s="13">
        <v>3543686</v>
      </c>
      <c r="H439" s="13">
        <v>173</v>
      </c>
      <c r="I439" s="13">
        <v>34810</v>
      </c>
      <c r="J439" s="13">
        <v>330220</v>
      </c>
      <c r="K439" s="13">
        <v>768</v>
      </c>
    </row>
    <row r="440" spans="1:11">
      <c r="A440" s="11">
        <v>330490</v>
      </c>
      <c r="B440" s="12" t="s">
        <v>337</v>
      </c>
      <c r="C440" s="13">
        <v>2020</v>
      </c>
      <c r="D440" s="13"/>
      <c r="E440" s="13">
        <v>159</v>
      </c>
      <c r="F440" s="13">
        <v>2171</v>
      </c>
      <c r="G440" s="13">
        <v>3527521</v>
      </c>
      <c r="H440" s="13">
        <v>64</v>
      </c>
      <c r="I440" s="13">
        <v>31358</v>
      </c>
      <c r="J440" s="13">
        <v>296975</v>
      </c>
      <c r="K440" s="13">
        <v>27</v>
      </c>
    </row>
    <row r="441" spans="1:11">
      <c r="A441" s="11">
        <v>330490</v>
      </c>
      <c r="B441" s="12" t="s">
        <v>337</v>
      </c>
      <c r="C441" s="13">
        <v>2021</v>
      </c>
      <c r="D441" s="13"/>
      <c r="E441" s="13">
        <v>145</v>
      </c>
      <c r="F441" s="13">
        <v>4251</v>
      </c>
      <c r="G441" s="13">
        <v>3609625</v>
      </c>
      <c r="H441" s="13">
        <v>44</v>
      </c>
      <c r="I441" s="13">
        <v>28754</v>
      </c>
      <c r="J441" s="13">
        <v>404985</v>
      </c>
      <c r="K441" s="13">
        <v>27</v>
      </c>
    </row>
    <row r="442" spans="1:11">
      <c r="A442" s="11">
        <v>330490</v>
      </c>
      <c r="B442" s="12" t="s">
        <v>337</v>
      </c>
      <c r="C442" s="13">
        <v>2022</v>
      </c>
      <c r="D442" s="13">
        <v>896744</v>
      </c>
      <c r="E442" s="13">
        <v>116</v>
      </c>
      <c r="F442" s="13">
        <v>3950</v>
      </c>
      <c r="G442" s="13">
        <v>4214274</v>
      </c>
      <c r="H442" s="13">
        <v>140</v>
      </c>
      <c r="I442" s="13">
        <v>30303</v>
      </c>
      <c r="J442" s="13">
        <v>550785</v>
      </c>
      <c r="K442" s="13">
        <v>22</v>
      </c>
    </row>
    <row r="443" spans="1:11">
      <c r="A443" s="11">
        <v>330490</v>
      </c>
      <c r="B443" s="12" t="s">
        <v>337</v>
      </c>
      <c r="C443" s="13">
        <v>2023</v>
      </c>
      <c r="D443" s="13"/>
      <c r="E443" s="13">
        <v>133</v>
      </c>
      <c r="F443" s="13">
        <v>4663</v>
      </c>
      <c r="G443" s="13">
        <v>5300307</v>
      </c>
      <c r="H443" s="13">
        <v>81</v>
      </c>
      <c r="I443" s="13">
        <v>33869</v>
      </c>
      <c r="J443" s="13">
        <v>546125</v>
      </c>
      <c r="K443" s="13">
        <v>111</v>
      </c>
    </row>
    <row r="444" spans="1:11">
      <c r="A444" s="11">
        <v>330490</v>
      </c>
      <c r="B444" s="12" t="s">
        <v>337</v>
      </c>
      <c r="C444" s="13">
        <v>2024</v>
      </c>
      <c r="D444" s="13"/>
      <c r="E444" s="13">
        <v>123</v>
      </c>
      <c r="F444" s="13">
        <v>4069</v>
      </c>
      <c r="G444" s="13">
        <v>6104935</v>
      </c>
      <c r="H444" s="13">
        <v>61</v>
      </c>
      <c r="I444" s="13">
        <v>10029</v>
      </c>
      <c r="J444" s="13">
        <v>3635</v>
      </c>
      <c r="K444" s="13">
        <v>2592</v>
      </c>
    </row>
    <row r="445" spans="1:11">
      <c r="A445" s="11">
        <v>330490</v>
      </c>
      <c r="B445" s="12" t="s">
        <v>337</v>
      </c>
      <c r="C445" s="13">
        <v>2025</v>
      </c>
      <c r="D445" s="13"/>
      <c r="E445" s="13">
        <v>66</v>
      </c>
      <c r="F445" s="13">
        <v>3644</v>
      </c>
      <c r="G445" s="13">
        <v>4936150</v>
      </c>
      <c r="H445" s="13">
        <v>22</v>
      </c>
      <c r="I445" s="13">
        <v>5611</v>
      </c>
      <c r="J445" s="13">
        <v>35873</v>
      </c>
      <c r="K445" s="13">
        <v>471</v>
      </c>
    </row>
    <row r="446" spans="1:11">
      <c r="A446" s="11">
        <v>330510</v>
      </c>
      <c r="B446" s="12" t="s">
        <v>338</v>
      </c>
      <c r="C446" s="13">
        <v>2014</v>
      </c>
      <c r="D446" s="13">
        <v>460799</v>
      </c>
      <c r="E446" s="13">
        <v>18</v>
      </c>
      <c r="F446" s="13">
        <v>802</v>
      </c>
      <c r="G446" s="13">
        <v>2128681</v>
      </c>
      <c r="H446" s="13">
        <v>5</v>
      </c>
      <c r="I446" s="13">
        <v>30499</v>
      </c>
      <c r="J446" s="13">
        <v>256247</v>
      </c>
      <c r="K446" s="13">
        <v>66</v>
      </c>
    </row>
    <row r="447" spans="1:11">
      <c r="A447" s="11">
        <v>330510</v>
      </c>
      <c r="B447" s="12" t="s">
        <v>338</v>
      </c>
      <c r="C447" s="13">
        <v>2015</v>
      </c>
      <c r="D447" s="13">
        <v>460625</v>
      </c>
      <c r="E447" s="13">
        <v>44</v>
      </c>
      <c r="F447" s="13">
        <v>668</v>
      </c>
      <c r="G447" s="13">
        <v>2175930</v>
      </c>
      <c r="H447" s="13">
        <v>10</v>
      </c>
      <c r="I447" s="13">
        <v>220034</v>
      </c>
      <c r="J447" s="13">
        <v>243482</v>
      </c>
      <c r="K447" s="13">
        <v>46</v>
      </c>
    </row>
    <row r="448" spans="1:11">
      <c r="A448" s="11">
        <v>330510</v>
      </c>
      <c r="B448" s="12" t="s">
        <v>338</v>
      </c>
      <c r="C448" s="13">
        <v>2016</v>
      </c>
      <c r="D448" s="13"/>
      <c r="E448" s="13">
        <v>21</v>
      </c>
      <c r="F448" s="13">
        <v>756</v>
      </c>
      <c r="G448" s="13">
        <v>2244320</v>
      </c>
      <c r="H448" s="13">
        <v>12</v>
      </c>
      <c r="I448" s="13">
        <v>14683</v>
      </c>
      <c r="J448" s="13">
        <v>165931</v>
      </c>
      <c r="K448" s="13">
        <v>14</v>
      </c>
    </row>
    <row r="449" spans="1:11">
      <c r="A449" s="11">
        <v>330510</v>
      </c>
      <c r="B449" s="12" t="s">
        <v>338</v>
      </c>
      <c r="C449" s="13">
        <v>2017</v>
      </c>
      <c r="D449" s="13"/>
      <c r="E449" s="13">
        <v>22</v>
      </c>
      <c r="F449" s="13">
        <v>952</v>
      </c>
      <c r="G449" s="13">
        <v>2246118</v>
      </c>
      <c r="H449" s="13">
        <v>4</v>
      </c>
      <c r="I449" s="13">
        <v>20982</v>
      </c>
      <c r="J449" s="13">
        <v>175602</v>
      </c>
      <c r="K449" s="13" t="s">
        <v>225</v>
      </c>
    </row>
    <row r="450" spans="1:11">
      <c r="A450" s="11">
        <v>330510</v>
      </c>
      <c r="B450" s="12" t="s">
        <v>338</v>
      </c>
      <c r="C450" s="13">
        <v>2018</v>
      </c>
      <c r="D450" s="13"/>
      <c r="E450" s="13">
        <v>14</v>
      </c>
      <c r="F450" s="13">
        <v>1109</v>
      </c>
      <c r="G450" s="13">
        <v>2544971</v>
      </c>
      <c r="H450" s="13">
        <v>9</v>
      </c>
      <c r="I450" s="13">
        <v>4340</v>
      </c>
      <c r="J450" s="13">
        <v>17191</v>
      </c>
      <c r="K450" s="13">
        <v>2</v>
      </c>
    </row>
    <row r="451" spans="1:11">
      <c r="A451" s="11">
        <v>330510</v>
      </c>
      <c r="B451" s="12" t="s">
        <v>338</v>
      </c>
      <c r="C451" s="13">
        <v>2019</v>
      </c>
      <c r="D451" s="13"/>
      <c r="E451" s="13">
        <v>18</v>
      </c>
      <c r="F451" s="13">
        <v>1241</v>
      </c>
      <c r="G451" s="13">
        <v>2665137</v>
      </c>
      <c r="H451" s="13">
        <v>3</v>
      </c>
      <c r="I451" s="13">
        <v>3968</v>
      </c>
      <c r="J451" s="13">
        <v>17578</v>
      </c>
      <c r="K451" s="13">
        <v>145</v>
      </c>
    </row>
    <row r="452" spans="1:11">
      <c r="A452" s="11">
        <v>330510</v>
      </c>
      <c r="B452" s="12" t="s">
        <v>338</v>
      </c>
      <c r="C452" s="13">
        <v>2020</v>
      </c>
      <c r="D452" s="13"/>
      <c r="E452" s="13">
        <v>66</v>
      </c>
      <c r="F452" s="13">
        <v>772</v>
      </c>
      <c r="G452" s="13">
        <v>2885828</v>
      </c>
      <c r="H452" s="13">
        <v>5</v>
      </c>
      <c r="I452" s="13">
        <v>2940</v>
      </c>
      <c r="J452" s="13">
        <v>10728</v>
      </c>
      <c r="K452" s="13">
        <v>11</v>
      </c>
    </row>
    <row r="453" spans="1:11">
      <c r="A453" s="11">
        <v>330510</v>
      </c>
      <c r="B453" s="12" t="s">
        <v>338</v>
      </c>
      <c r="C453" s="13">
        <v>2021</v>
      </c>
      <c r="D453" s="13"/>
      <c r="E453" s="13">
        <v>24</v>
      </c>
      <c r="F453" s="13">
        <v>814</v>
      </c>
      <c r="G453" s="13">
        <v>2393013</v>
      </c>
      <c r="H453" s="13">
        <v>27</v>
      </c>
      <c r="I453" s="13">
        <v>4752</v>
      </c>
      <c r="J453" s="13">
        <v>12499</v>
      </c>
      <c r="K453" s="13">
        <v>1</v>
      </c>
    </row>
    <row r="454" spans="1:11">
      <c r="A454" s="11">
        <v>330510</v>
      </c>
      <c r="B454" s="12" t="s">
        <v>338</v>
      </c>
      <c r="C454" s="13">
        <v>2022</v>
      </c>
      <c r="D454" s="13">
        <v>440962</v>
      </c>
      <c r="E454" s="13">
        <v>30</v>
      </c>
      <c r="F454" s="13">
        <v>1118</v>
      </c>
      <c r="G454" s="13">
        <v>2753369</v>
      </c>
      <c r="H454" s="13">
        <v>12</v>
      </c>
      <c r="I454" s="13">
        <v>4142</v>
      </c>
      <c r="J454" s="13">
        <v>4431</v>
      </c>
      <c r="K454" s="13">
        <v>18</v>
      </c>
    </row>
    <row r="455" spans="1:11">
      <c r="A455" s="11">
        <v>330510</v>
      </c>
      <c r="B455" s="12" t="s">
        <v>338</v>
      </c>
      <c r="C455" s="13">
        <v>2023</v>
      </c>
      <c r="D455" s="13"/>
      <c r="E455" s="13">
        <v>27</v>
      </c>
      <c r="F455" s="13">
        <v>990</v>
      </c>
      <c r="G455" s="13">
        <v>2941345</v>
      </c>
      <c r="H455" s="13">
        <v>13</v>
      </c>
      <c r="I455" s="13">
        <v>1613</v>
      </c>
      <c r="J455" s="13">
        <v>3411</v>
      </c>
      <c r="K455" s="13">
        <v>339</v>
      </c>
    </row>
    <row r="456" spans="1:11">
      <c r="A456" s="11">
        <v>330510</v>
      </c>
      <c r="B456" s="12" t="s">
        <v>338</v>
      </c>
      <c r="C456" s="13">
        <v>2024</v>
      </c>
      <c r="D456" s="13"/>
      <c r="E456" s="13">
        <v>22</v>
      </c>
      <c r="F456" s="13">
        <v>1170</v>
      </c>
      <c r="G456" s="13">
        <v>2908809</v>
      </c>
      <c r="H456" s="13">
        <v>16</v>
      </c>
      <c r="I456" s="13">
        <v>937</v>
      </c>
      <c r="J456" s="13">
        <v>1912</v>
      </c>
      <c r="K456" s="13">
        <v>2768</v>
      </c>
    </row>
    <row r="457" spans="1:11">
      <c r="A457" s="11">
        <v>330510</v>
      </c>
      <c r="B457" s="12" t="s">
        <v>338</v>
      </c>
      <c r="C457" s="13">
        <v>2025</v>
      </c>
      <c r="D457" s="13"/>
      <c r="E457" s="13">
        <v>74</v>
      </c>
      <c r="F457" s="13">
        <v>643</v>
      </c>
      <c r="G457" s="13">
        <v>2819004</v>
      </c>
      <c r="H457" s="13">
        <v>9</v>
      </c>
      <c r="I457" s="13">
        <v>82</v>
      </c>
      <c r="J457" s="13">
        <v>3</v>
      </c>
      <c r="K457" s="13">
        <v>16</v>
      </c>
    </row>
    <row r="458" spans="1:11">
      <c r="A458" s="11">
        <v>350950</v>
      </c>
      <c r="B458" s="12" t="s">
        <v>339</v>
      </c>
      <c r="C458" s="13">
        <v>2014</v>
      </c>
      <c r="D458" s="13">
        <v>1144862</v>
      </c>
      <c r="E458" s="13">
        <v>321</v>
      </c>
      <c r="F458" s="13">
        <v>13226</v>
      </c>
      <c r="G458" s="13">
        <v>10473383</v>
      </c>
      <c r="H458" s="13">
        <v>155</v>
      </c>
      <c r="I458" s="13">
        <v>50844</v>
      </c>
      <c r="J458" s="13">
        <v>663021</v>
      </c>
      <c r="K458" s="13">
        <v>43798</v>
      </c>
    </row>
    <row r="459" spans="1:11">
      <c r="A459" s="11">
        <v>350950</v>
      </c>
      <c r="B459" s="12" t="s">
        <v>339</v>
      </c>
      <c r="C459" s="13">
        <v>2015</v>
      </c>
      <c r="D459" s="13">
        <v>1164098</v>
      </c>
      <c r="E459" s="13">
        <v>332</v>
      </c>
      <c r="F459" s="13">
        <v>13685</v>
      </c>
      <c r="G459" s="13">
        <v>10498825</v>
      </c>
      <c r="H459" s="13">
        <v>215</v>
      </c>
      <c r="I459" s="13">
        <v>24642</v>
      </c>
      <c r="J459" s="13">
        <v>647635</v>
      </c>
      <c r="K459" s="13">
        <v>69902</v>
      </c>
    </row>
    <row r="460" spans="1:11">
      <c r="A460" s="11">
        <v>350950</v>
      </c>
      <c r="B460" s="12" t="s">
        <v>339</v>
      </c>
      <c r="C460" s="13">
        <v>2016</v>
      </c>
      <c r="D460" s="13"/>
      <c r="E460" s="13">
        <v>338</v>
      </c>
      <c r="F460" s="13">
        <v>13250</v>
      </c>
      <c r="G460" s="13">
        <v>10607702</v>
      </c>
      <c r="H460" s="13">
        <v>346</v>
      </c>
      <c r="I460" s="13">
        <v>5155</v>
      </c>
      <c r="J460" s="13">
        <v>530644</v>
      </c>
      <c r="K460" s="13">
        <v>4051</v>
      </c>
    </row>
    <row r="461" spans="1:11">
      <c r="A461" s="11">
        <v>350950</v>
      </c>
      <c r="B461" s="12" t="s">
        <v>339</v>
      </c>
      <c r="C461" s="13">
        <v>2017</v>
      </c>
      <c r="D461" s="13"/>
      <c r="E461" s="13">
        <v>297</v>
      </c>
      <c r="F461" s="13">
        <v>13698</v>
      </c>
      <c r="G461" s="13">
        <v>8768670</v>
      </c>
      <c r="H461" s="13">
        <v>222</v>
      </c>
      <c r="I461" s="13">
        <v>15118</v>
      </c>
      <c r="J461" s="13">
        <v>258886</v>
      </c>
      <c r="K461" s="13">
        <v>392</v>
      </c>
    </row>
    <row r="462" spans="1:11">
      <c r="A462" s="11">
        <v>350950</v>
      </c>
      <c r="B462" s="12" t="s">
        <v>339</v>
      </c>
      <c r="C462" s="13">
        <v>2018</v>
      </c>
      <c r="D462" s="13"/>
      <c r="E462" s="13">
        <v>351</v>
      </c>
      <c r="F462" s="13">
        <v>10124</v>
      </c>
      <c r="G462" s="13">
        <v>8070201</v>
      </c>
      <c r="H462" s="13">
        <v>183</v>
      </c>
      <c r="I462" s="13">
        <v>612</v>
      </c>
      <c r="J462" s="13">
        <v>14848</v>
      </c>
      <c r="K462" s="13">
        <v>483</v>
      </c>
    </row>
    <row r="463" spans="1:11">
      <c r="A463" s="11">
        <v>350950</v>
      </c>
      <c r="B463" s="12" t="s">
        <v>339</v>
      </c>
      <c r="C463" s="13">
        <v>2019</v>
      </c>
      <c r="D463" s="13"/>
      <c r="E463" s="13">
        <v>357</v>
      </c>
      <c r="F463" s="13">
        <v>12733</v>
      </c>
      <c r="G463" s="13">
        <v>8001623</v>
      </c>
      <c r="H463" s="13">
        <v>156</v>
      </c>
      <c r="I463" s="13">
        <v>97</v>
      </c>
      <c r="J463" s="13">
        <v>1851</v>
      </c>
      <c r="K463" s="13">
        <v>27413</v>
      </c>
    </row>
    <row r="464" spans="1:11">
      <c r="A464" s="11">
        <v>350950</v>
      </c>
      <c r="B464" s="12" t="s">
        <v>339</v>
      </c>
      <c r="C464" s="13">
        <v>2020</v>
      </c>
      <c r="D464" s="13"/>
      <c r="E464" s="13">
        <v>332</v>
      </c>
      <c r="F464" s="13">
        <v>6780</v>
      </c>
      <c r="G464" s="13">
        <v>5855521</v>
      </c>
      <c r="H464" s="13">
        <v>136</v>
      </c>
      <c r="I464" s="13">
        <v>156</v>
      </c>
      <c r="J464" s="13">
        <v>13</v>
      </c>
      <c r="K464" s="13">
        <v>4348</v>
      </c>
    </row>
    <row r="465" spans="1:11">
      <c r="A465" s="11">
        <v>350950</v>
      </c>
      <c r="B465" s="12" t="s">
        <v>339</v>
      </c>
      <c r="C465" s="13">
        <v>2021</v>
      </c>
      <c r="D465" s="13"/>
      <c r="E465" s="13">
        <v>376</v>
      </c>
      <c r="F465" s="13">
        <v>10159</v>
      </c>
      <c r="G465" s="13">
        <v>7375393</v>
      </c>
      <c r="H465" s="13">
        <v>169</v>
      </c>
      <c r="I465" s="13">
        <v>166</v>
      </c>
      <c r="J465" s="13">
        <v>22</v>
      </c>
      <c r="K465" s="13">
        <v>2619</v>
      </c>
    </row>
    <row r="466" spans="1:11">
      <c r="A466" s="11">
        <v>350950</v>
      </c>
      <c r="B466" s="12" t="s">
        <v>339</v>
      </c>
      <c r="C466" s="13">
        <v>2022</v>
      </c>
      <c r="D466" s="13">
        <v>1139047</v>
      </c>
      <c r="E466" s="13">
        <v>326</v>
      </c>
      <c r="F466" s="13">
        <v>13155</v>
      </c>
      <c r="G466" s="13">
        <v>9060505</v>
      </c>
      <c r="H466" s="13">
        <v>227</v>
      </c>
      <c r="I466" s="13">
        <v>169</v>
      </c>
      <c r="J466" s="13">
        <v>0</v>
      </c>
      <c r="K466" s="13">
        <v>12446</v>
      </c>
    </row>
    <row r="467" spans="1:11">
      <c r="A467" s="11">
        <v>350950</v>
      </c>
      <c r="B467" s="12" t="s">
        <v>339</v>
      </c>
      <c r="C467" s="13">
        <v>2023</v>
      </c>
      <c r="D467" s="13"/>
      <c r="E467" s="13">
        <v>348</v>
      </c>
      <c r="F467" s="13">
        <v>15014</v>
      </c>
      <c r="G467" s="13">
        <v>10502081</v>
      </c>
      <c r="H467" s="13">
        <v>170</v>
      </c>
      <c r="I467" s="13">
        <v>199</v>
      </c>
      <c r="J467" s="13">
        <v>10279</v>
      </c>
      <c r="K467" s="13">
        <v>12081</v>
      </c>
    </row>
    <row r="468" spans="1:11">
      <c r="A468" s="11">
        <v>350950</v>
      </c>
      <c r="B468" s="12" t="s">
        <v>339</v>
      </c>
      <c r="C468" s="13">
        <v>2024</v>
      </c>
      <c r="D468" s="13"/>
      <c r="E468" s="13">
        <v>319</v>
      </c>
      <c r="F468" s="13">
        <v>20806</v>
      </c>
      <c r="G468" s="13">
        <v>11623812</v>
      </c>
      <c r="H468" s="13">
        <v>115</v>
      </c>
      <c r="I468" s="13">
        <v>174</v>
      </c>
      <c r="J468" s="13">
        <v>21</v>
      </c>
      <c r="K468" s="13">
        <v>128619</v>
      </c>
    </row>
    <row r="469" spans="1:11">
      <c r="A469" s="11">
        <v>350950</v>
      </c>
      <c r="B469" s="12" t="s">
        <v>339</v>
      </c>
      <c r="C469" s="13">
        <v>2025</v>
      </c>
      <c r="D469" s="13"/>
      <c r="E469" s="13">
        <v>242</v>
      </c>
      <c r="F469" s="13">
        <v>18701</v>
      </c>
      <c r="G469" s="13">
        <v>8173593</v>
      </c>
      <c r="H469" s="13">
        <v>127</v>
      </c>
      <c r="I469" s="13">
        <v>0</v>
      </c>
      <c r="J469" s="13">
        <v>0</v>
      </c>
      <c r="K469" s="13">
        <v>50498</v>
      </c>
    </row>
    <row r="470" spans="1:11">
      <c r="A470" s="11">
        <v>351380</v>
      </c>
      <c r="B470" s="12" t="s">
        <v>340</v>
      </c>
      <c r="C470" s="13">
        <v>2014</v>
      </c>
      <c r="D470" s="13">
        <v>406718</v>
      </c>
      <c r="E470" s="13">
        <v>153</v>
      </c>
      <c r="F470" s="13">
        <v>636</v>
      </c>
      <c r="G470" s="13">
        <v>2510836</v>
      </c>
      <c r="H470" s="13">
        <v>326</v>
      </c>
      <c r="I470" s="13">
        <v>19331</v>
      </c>
      <c r="J470" s="13">
        <v>115559</v>
      </c>
      <c r="K470" s="13">
        <v>387</v>
      </c>
    </row>
    <row r="471" spans="1:11">
      <c r="A471" s="11">
        <v>351380</v>
      </c>
      <c r="B471" s="12" t="s">
        <v>340</v>
      </c>
      <c r="C471" s="13">
        <v>2015</v>
      </c>
      <c r="D471" s="13">
        <v>412428</v>
      </c>
      <c r="E471" s="13">
        <v>202</v>
      </c>
      <c r="F471" s="13">
        <v>467</v>
      </c>
      <c r="G471" s="13">
        <v>2465763</v>
      </c>
      <c r="H471" s="13">
        <v>257</v>
      </c>
      <c r="I471" s="13">
        <v>2998</v>
      </c>
      <c r="J471" s="13">
        <v>151223</v>
      </c>
      <c r="K471" s="13">
        <v>3587</v>
      </c>
    </row>
    <row r="472" spans="1:11">
      <c r="A472" s="11">
        <v>351380</v>
      </c>
      <c r="B472" s="12" t="s">
        <v>340</v>
      </c>
      <c r="C472" s="13">
        <v>2016</v>
      </c>
      <c r="D472" s="13"/>
      <c r="E472" s="13">
        <v>168</v>
      </c>
      <c r="F472" s="13">
        <v>450</v>
      </c>
      <c r="G472" s="13">
        <v>2577858</v>
      </c>
      <c r="H472" s="13">
        <v>315</v>
      </c>
      <c r="I472" s="13">
        <v>1526</v>
      </c>
      <c r="J472" s="13">
        <v>204841</v>
      </c>
      <c r="K472" s="13">
        <v>489</v>
      </c>
    </row>
    <row r="473" spans="1:11">
      <c r="A473" s="11">
        <v>351380</v>
      </c>
      <c r="B473" s="12" t="s">
        <v>340</v>
      </c>
      <c r="C473" s="13">
        <v>2017</v>
      </c>
      <c r="D473" s="13"/>
      <c r="E473" s="13">
        <v>198</v>
      </c>
      <c r="F473" s="13">
        <v>379</v>
      </c>
      <c r="G473" s="13">
        <v>2799096</v>
      </c>
      <c r="H473" s="13">
        <v>343</v>
      </c>
      <c r="I473" s="13">
        <v>11929</v>
      </c>
      <c r="J473" s="13">
        <v>111529</v>
      </c>
      <c r="K473" s="13">
        <v>21</v>
      </c>
    </row>
    <row r="474" spans="1:11">
      <c r="A474" s="11">
        <v>351380</v>
      </c>
      <c r="B474" s="12" t="s">
        <v>340</v>
      </c>
      <c r="C474" s="13">
        <v>2018</v>
      </c>
      <c r="D474" s="13"/>
      <c r="E474" s="13">
        <v>223</v>
      </c>
      <c r="F474" s="13">
        <v>405</v>
      </c>
      <c r="G474" s="13">
        <v>2391821</v>
      </c>
      <c r="H474" s="13">
        <v>330</v>
      </c>
      <c r="I474" s="13">
        <v>0</v>
      </c>
      <c r="J474" s="13">
        <v>0</v>
      </c>
      <c r="K474" s="13">
        <v>27</v>
      </c>
    </row>
    <row r="475" spans="1:11">
      <c r="A475" s="11">
        <v>351380</v>
      </c>
      <c r="B475" s="12" t="s">
        <v>340</v>
      </c>
      <c r="C475" s="13">
        <v>2019</v>
      </c>
      <c r="D475" s="13"/>
      <c r="E475" s="13">
        <v>205</v>
      </c>
      <c r="F475" s="13">
        <v>416</v>
      </c>
      <c r="G475" s="13">
        <v>2495010</v>
      </c>
      <c r="H475" s="13">
        <v>284</v>
      </c>
      <c r="I475" s="13">
        <v>0</v>
      </c>
      <c r="J475" s="13">
        <v>0</v>
      </c>
      <c r="K475" s="13">
        <v>496</v>
      </c>
    </row>
    <row r="476" spans="1:11">
      <c r="A476" s="11">
        <v>351380</v>
      </c>
      <c r="B476" s="12" t="s">
        <v>340</v>
      </c>
      <c r="C476" s="13">
        <v>2020</v>
      </c>
      <c r="D476" s="13"/>
      <c r="E476" s="13">
        <v>205</v>
      </c>
      <c r="F476" s="13">
        <v>252</v>
      </c>
      <c r="G476" s="13">
        <v>1728636</v>
      </c>
      <c r="H476" s="13">
        <v>203</v>
      </c>
      <c r="I476" s="13">
        <v>0</v>
      </c>
      <c r="J476" s="13">
        <v>0</v>
      </c>
      <c r="K476" s="13">
        <v>30</v>
      </c>
    </row>
    <row r="477" spans="1:11">
      <c r="A477" s="11">
        <v>351380</v>
      </c>
      <c r="B477" s="12" t="s">
        <v>340</v>
      </c>
      <c r="C477" s="13">
        <v>2021</v>
      </c>
      <c r="D477" s="13"/>
      <c r="E477" s="13">
        <v>137</v>
      </c>
      <c r="F477" s="13">
        <v>538</v>
      </c>
      <c r="G477" s="13">
        <v>1890301</v>
      </c>
      <c r="H477" s="13">
        <v>135</v>
      </c>
      <c r="I477" s="13">
        <v>0</v>
      </c>
      <c r="J477" s="13">
        <v>0</v>
      </c>
      <c r="K477" s="13">
        <v>188</v>
      </c>
    </row>
    <row r="478" spans="1:11">
      <c r="A478" s="11">
        <v>351380</v>
      </c>
      <c r="B478" s="12" t="s">
        <v>340</v>
      </c>
      <c r="C478" s="13">
        <v>2022</v>
      </c>
      <c r="D478" s="13">
        <v>393237</v>
      </c>
      <c r="E478" s="13">
        <v>160</v>
      </c>
      <c r="F478" s="13">
        <v>705</v>
      </c>
      <c r="G478" s="13">
        <v>2588163</v>
      </c>
      <c r="H478" s="13">
        <v>189</v>
      </c>
      <c r="I478" s="13">
        <v>0</v>
      </c>
      <c r="J478" s="13">
        <v>0</v>
      </c>
      <c r="K478" s="13">
        <v>179</v>
      </c>
    </row>
    <row r="479" spans="1:11">
      <c r="A479" s="11">
        <v>351380</v>
      </c>
      <c r="B479" s="12" t="s">
        <v>340</v>
      </c>
      <c r="C479" s="13">
        <v>2023</v>
      </c>
      <c r="D479" s="13"/>
      <c r="E479" s="13">
        <v>124</v>
      </c>
      <c r="F479" s="13">
        <v>817</v>
      </c>
      <c r="G479" s="13">
        <v>2869372</v>
      </c>
      <c r="H479" s="13">
        <v>134</v>
      </c>
      <c r="I479" s="13">
        <v>0</v>
      </c>
      <c r="J479" s="13">
        <v>0</v>
      </c>
      <c r="K479" s="13">
        <v>192</v>
      </c>
    </row>
    <row r="480" spans="1:11">
      <c r="A480" s="11">
        <v>351380</v>
      </c>
      <c r="B480" s="12" t="s">
        <v>340</v>
      </c>
      <c r="C480" s="13">
        <v>2024</v>
      </c>
      <c r="D480" s="13"/>
      <c r="E480" s="13">
        <v>137</v>
      </c>
      <c r="F480" s="13">
        <v>920</v>
      </c>
      <c r="G480" s="13">
        <v>3064613</v>
      </c>
      <c r="H480" s="13">
        <v>78</v>
      </c>
      <c r="I480" s="13">
        <v>0</v>
      </c>
      <c r="J480" s="13">
        <v>0</v>
      </c>
      <c r="K480" s="13">
        <v>10248</v>
      </c>
    </row>
    <row r="481" spans="1:11">
      <c r="A481" s="11">
        <v>351380</v>
      </c>
      <c r="B481" s="12" t="s">
        <v>340</v>
      </c>
      <c r="C481" s="13">
        <v>2025</v>
      </c>
      <c r="D481" s="13"/>
      <c r="E481" s="13">
        <v>102</v>
      </c>
      <c r="F481" s="13">
        <v>617</v>
      </c>
      <c r="G481" s="13">
        <v>3213694</v>
      </c>
      <c r="H481" s="13">
        <v>62</v>
      </c>
      <c r="I481" s="13">
        <v>0</v>
      </c>
      <c r="J481" s="13">
        <v>0</v>
      </c>
      <c r="K481" s="13">
        <v>4482</v>
      </c>
    </row>
    <row r="482" spans="1:11">
      <c r="A482" s="11">
        <v>351880</v>
      </c>
      <c r="B482" s="12" t="s">
        <v>341</v>
      </c>
      <c r="C482" s="13">
        <v>2014</v>
      </c>
      <c r="D482" s="13">
        <v>1299249</v>
      </c>
      <c r="E482" s="13">
        <v>324</v>
      </c>
      <c r="F482" s="13">
        <v>1667</v>
      </c>
      <c r="G482" s="13">
        <v>6183099</v>
      </c>
      <c r="H482" s="13">
        <v>246</v>
      </c>
      <c r="I482" s="13">
        <v>94564</v>
      </c>
      <c r="J482" s="13">
        <v>761095</v>
      </c>
      <c r="K482" s="13">
        <v>5285</v>
      </c>
    </row>
    <row r="483" spans="1:11">
      <c r="A483" s="11">
        <v>351880</v>
      </c>
      <c r="B483" s="12" t="s">
        <v>341</v>
      </c>
      <c r="C483" s="13">
        <v>2015</v>
      </c>
      <c r="D483" s="13">
        <v>1324781</v>
      </c>
      <c r="E483" s="13">
        <v>298</v>
      </c>
      <c r="F483" s="13">
        <v>2039</v>
      </c>
      <c r="G483" s="13">
        <v>5335373</v>
      </c>
      <c r="H483" s="13">
        <v>275</v>
      </c>
      <c r="I483" s="13">
        <v>78045</v>
      </c>
      <c r="J483" s="13">
        <v>665710</v>
      </c>
      <c r="K483" s="13">
        <v>22424</v>
      </c>
    </row>
    <row r="484" spans="1:11">
      <c r="A484" s="11">
        <v>351880</v>
      </c>
      <c r="B484" s="12" t="s">
        <v>341</v>
      </c>
      <c r="C484" s="13">
        <v>2016</v>
      </c>
      <c r="D484" s="13"/>
      <c r="E484" s="13">
        <v>286</v>
      </c>
      <c r="F484" s="13">
        <v>1628</v>
      </c>
      <c r="G484" s="13">
        <v>6121502</v>
      </c>
      <c r="H484" s="13">
        <v>395</v>
      </c>
      <c r="I484" s="13">
        <v>44204</v>
      </c>
      <c r="J484" s="13">
        <v>495692</v>
      </c>
      <c r="K484" s="13">
        <v>1153</v>
      </c>
    </row>
    <row r="485" spans="1:11">
      <c r="A485" s="11">
        <v>351880</v>
      </c>
      <c r="B485" s="12" t="s">
        <v>341</v>
      </c>
      <c r="C485" s="13">
        <v>2017</v>
      </c>
      <c r="D485" s="13"/>
      <c r="E485" s="13">
        <v>515</v>
      </c>
      <c r="F485" s="13">
        <v>1291</v>
      </c>
      <c r="G485" s="13">
        <v>6798525</v>
      </c>
      <c r="H485" s="13">
        <v>559</v>
      </c>
      <c r="I485" s="13">
        <v>70976</v>
      </c>
      <c r="J485" s="13">
        <v>426436</v>
      </c>
      <c r="K485" s="13">
        <v>364</v>
      </c>
    </row>
    <row r="486" spans="1:11">
      <c r="A486" s="11">
        <v>351880</v>
      </c>
      <c r="B486" s="12" t="s">
        <v>341</v>
      </c>
      <c r="C486" s="13">
        <v>2018</v>
      </c>
      <c r="D486" s="13"/>
      <c r="E486" s="13">
        <v>610</v>
      </c>
      <c r="F486" s="13">
        <v>1083</v>
      </c>
      <c r="G486" s="13">
        <v>6205007</v>
      </c>
      <c r="H486" s="13">
        <v>674</v>
      </c>
      <c r="I486" s="13">
        <v>176</v>
      </c>
      <c r="J486" s="13">
        <v>268</v>
      </c>
      <c r="K486" s="13">
        <v>93</v>
      </c>
    </row>
    <row r="487" spans="1:11">
      <c r="A487" s="11">
        <v>351880</v>
      </c>
      <c r="B487" s="12" t="s">
        <v>341</v>
      </c>
      <c r="C487" s="13">
        <v>2019</v>
      </c>
      <c r="D487" s="13"/>
      <c r="E487" s="13">
        <v>507</v>
      </c>
      <c r="F487" s="13">
        <v>1508</v>
      </c>
      <c r="G487" s="13">
        <v>6302322</v>
      </c>
      <c r="H487" s="13">
        <v>542</v>
      </c>
      <c r="I487" s="13">
        <v>171</v>
      </c>
      <c r="J487" s="13">
        <v>236</v>
      </c>
      <c r="K487" s="13">
        <v>5733</v>
      </c>
    </row>
    <row r="488" spans="1:11">
      <c r="A488" s="11">
        <v>351880</v>
      </c>
      <c r="B488" s="12" t="s">
        <v>341</v>
      </c>
      <c r="C488" s="13">
        <v>2020</v>
      </c>
      <c r="D488" s="13"/>
      <c r="E488" s="13">
        <v>395</v>
      </c>
      <c r="F488" s="13">
        <v>1662</v>
      </c>
      <c r="G488" s="13">
        <v>4897228</v>
      </c>
      <c r="H488" s="13">
        <v>453</v>
      </c>
      <c r="I488" s="13">
        <v>174</v>
      </c>
      <c r="J488" s="13">
        <v>3</v>
      </c>
      <c r="K488" s="13">
        <v>227</v>
      </c>
    </row>
    <row r="489" spans="1:11">
      <c r="A489" s="11">
        <v>351880</v>
      </c>
      <c r="B489" s="12" t="s">
        <v>341</v>
      </c>
      <c r="C489" s="13">
        <v>2021</v>
      </c>
      <c r="D489" s="13"/>
      <c r="E489" s="13">
        <v>379</v>
      </c>
      <c r="F489" s="13">
        <v>1979</v>
      </c>
      <c r="G489" s="13">
        <v>5619975</v>
      </c>
      <c r="H489" s="13">
        <v>321</v>
      </c>
      <c r="I489" s="13">
        <v>96</v>
      </c>
      <c r="J489" s="13">
        <v>16</v>
      </c>
      <c r="K489" s="13">
        <v>805</v>
      </c>
    </row>
    <row r="490" spans="1:11">
      <c r="A490" s="11">
        <v>351880</v>
      </c>
      <c r="B490" s="12" t="s">
        <v>341</v>
      </c>
      <c r="C490" s="13">
        <v>2022</v>
      </c>
      <c r="D490" s="13"/>
      <c r="E490" s="13">
        <v>300</v>
      </c>
      <c r="F490" s="13">
        <v>2596</v>
      </c>
      <c r="G490" s="13">
        <v>6198358</v>
      </c>
      <c r="H490" s="13">
        <v>328</v>
      </c>
      <c r="I490" s="13">
        <v>134</v>
      </c>
      <c r="J490" s="13">
        <v>8</v>
      </c>
      <c r="K490" s="13">
        <v>896</v>
      </c>
    </row>
    <row r="491" spans="1:11">
      <c r="A491" s="11">
        <v>351880</v>
      </c>
      <c r="B491" s="12" t="s">
        <v>341</v>
      </c>
      <c r="C491" s="13">
        <v>2023</v>
      </c>
      <c r="D491" s="13"/>
      <c r="E491" s="13">
        <v>336</v>
      </c>
      <c r="F491" s="13">
        <v>3233</v>
      </c>
      <c r="G491" s="13">
        <v>7519587</v>
      </c>
      <c r="H491" s="13">
        <v>327</v>
      </c>
      <c r="I491" s="13">
        <v>210</v>
      </c>
      <c r="J491" s="13">
        <v>48</v>
      </c>
      <c r="K491" s="13">
        <v>1505</v>
      </c>
    </row>
    <row r="492" spans="1:11">
      <c r="A492" s="11">
        <v>351880</v>
      </c>
      <c r="B492" s="12" t="s">
        <v>341</v>
      </c>
      <c r="C492" s="13">
        <v>2024</v>
      </c>
      <c r="D492" s="13"/>
      <c r="E492" s="13">
        <v>367</v>
      </c>
      <c r="F492" s="13">
        <v>3175</v>
      </c>
      <c r="G492" s="13">
        <v>8863284</v>
      </c>
      <c r="H492" s="13">
        <v>310</v>
      </c>
      <c r="I492" s="13">
        <v>49</v>
      </c>
      <c r="J492" s="13">
        <v>10</v>
      </c>
      <c r="K492" s="13">
        <v>68385</v>
      </c>
    </row>
    <row r="493" spans="1:11">
      <c r="A493" s="11">
        <v>351880</v>
      </c>
      <c r="B493" s="12" t="s">
        <v>341</v>
      </c>
      <c r="C493" s="13">
        <v>2025</v>
      </c>
      <c r="D493" s="13"/>
      <c r="E493" s="13">
        <v>366</v>
      </c>
      <c r="F493" s="13">
        <v>2287</v>
      </c>
      <c r="G493" s="13">
        <v>8053049</v>
      </c>
      <c r="H493" s="13">
        <v>232</v>
      </c>
      <c r="I493" s="13">
        <v>114</v>
      </c>
      <c r="J493" s="13">
        <v>7</v>
      </c>
      <c r="K493" s="13">
        <v>4857</v>
      </c>
    </row>
    <row r="494" spans="1:11">
      <c r="A494" s="11">
        <v>352590</v>
      </c>
      <c r="B494" s="12" t="s">
        <v>342</v>
      </c>
      <c r="C494" s="13">
        <v>2014</v>
      </c>
      <c r="D494" s="13">
        <v>393920</v>
      </c>
      <c r="E494" s="13">
        <v>99</v>
      </c>
      <c r="F494" s="13">
        <v>5695</v>
      </c>
      <c r="G494" s="13">
        <v>2320418</v>
      </c>
      <c r="H494" s="13">
        <v>48</v>
      </c>
      <c r="I494" s="13">
        <v>23062</v>
      </c>
      <c r="J494" s="13">
        <v>317632</v>
      </c>
      <c r="K494" s="13">
        <v>1825</v>
      </c>
    </row>
    <row r="495" spans="1:11">
      <c r="A495" s="11">
        <v>352590</v>
      </c>
      <c r="B495" s="12" t="s">
        <v>342</v>
      </c>
      <c r="C495" s="13">
        <v>2015</v>
      </c>
      <c r="D495" s="13">
        <v>401896</v>
      </c>
      <c r="E495" s="13">
        <v>121</v>
      </c>
      <c r="F495" s="13">
        <v>5407</v>
      </c>
      <c r="G495" s="13">
        <v>2252236</v>
      </c>
      <c r="H495" s="13">
        <v>45</v>
      </c>
      <c r="I495" s="13">
        <v>29116</v>
      </c>
      <c r="J495" s="13">
        <v>327067</v>
      </c>
      <c r="K495" s="13">
        <v>6209</v>
      </c>
    </row>
    <row r="496" spans="1:11">
      <c r="A496" s="11">
        <v>352590</v>
      </c>
      <c r="B496" s="12" t="s">
        <v>342</v>
      </c>
      <c r="C496" s="13">
        <v>2016</v>
      </c>
      <c r="D496" s="13"/>
      <c r="E496" s="13">
        <v>164</v>
      </c>
      <c r="F496" s="13">
        <v>4642</v>
      </c>
      <c r="G496" s="13">
        <v>2266179</v>
      </c>
      <c r="H496" s="13">
        <v>26</v>
      </c>
      <c r="I496" s="13">
        <v>35276</v>
      </c>
      <c r="J496" s="13">
        <v>316266</v>
      </c>
      <c r="K496" s="13">
        <v>710</v>
      </c>
    </row>
    <row r="497" spans="1:11">
      <c r="A497" s="11">
        <v>352590</v>
      </c>
      <c r="B497" s="12" t="s">
        <v>342</v>
      </c>
      <c r="C497" s="13">
        <v>2017</v>
      </c>
      <c r="D497" s="13"/>
      <c r="E497" s="13">
        <v>191</v>
      </c>
      <c r="F497" s="13">
        <v>4908</v>
      </c>
      <c r="G497" s="13">
        <v>2371489</v>
      </c>
      <c r="H497" s="13">
        <v>34</v>
      </c>
      <c r="I497" s="13">
        <v>32647</v>
      </c>
      <c r="J497" s="13">
        <v>297247</v>
      </c>
      <c r="K497" s="13">
        <v>61</v>
      </c>
    </row>
    <row r="498" spans="1:11">
      <c r="A498" s="11">
        <v>352590</v>
      </c>
      <c r="B498" s="12" t="s">
        <v>342</v>
      </c>
      <c r="C498" s="13">
        <v>2018</v>
      </c>
      <c r="D498" s="13"/>
      <c r="E498" s="13">
        <v>159</v>
      </c>
      <c r="F498" s="13">
        <v>4526</v>
      </c>
      <c r="G498" s="13">
        <v>2449508</v>
      </c>
      <c r="H498" s="13">
        <v>42</v>
      </c>
      <c r="I498" s="13">
        <v>19390</v>
      </c>
      <c r="J498" s="13">
        <v>279038</v>
      </c>
      <c r="K498" s="13">
        <v>57</v>
      </c>
    </row>
    <row r="499" spans="1:11">
      <c r="A499" s="11">
        <v>352590</v>
      </c>
      <c r="B499" s="12" t="s">
        <v>342</v>
      </c>
      <c r="C499" s="13">
        <v>2019</v>
      </c>
      <c r="D499" s="13"/>
      <c r="E499" s="13">
        <v>168</v>
      </c>
      <c r="F499" s="13">
        <v>4616</v>
      </c>
      <c r="G499" s="13">
        <v>2805045</v>
      </c>
      <c r="H499" s="13">
        <v>32</v>
      </c>
      <c r="I499" s="13">
        <v>0</v>
      </c>
      <c r="J499" s="13">
        <v>280561</v>
      </c>
      <c r="K499" s="13">
        <v>3231</v>
      </c>
    </row>
    <row r="500" spans="1:11">
      <c r="A500" s="11">
        <v>352590</v>
      </c>
      <c r="B500" s="12" t="s">
        <v>342</v>
      </c>
      <c r="C500" s="13">
        <v>2020</v>
      </c>
      <c r="D500" s="13"/>
      <c r="E500" s="13">
        <v>157</v>
      </c>
      <c r="F500" s="13">
        <v>4525</v>
      </c>
      <c r="G500" s="13">
        <v>2160926</v>
      </c>
      <c r="H500" s="13">
        <v>51</v>
      </c>
      <c r="I500" s="13">
        <v>0</v>
      </c>
      <c r="J500" s="13">
        <v>201183</v>
      </c>
      <c r="K500" s="13">
        <v>180</v>
      </c>
    </row>
    <row r="501" spans="1:11">
      <c r="A501" s="11">
        <v>352590</v>
      </c>
      <c r="B501" s="12" t="s">
        <v>342</v>
      </c>
      <c r="C501" s="13">
        <v>2021</v>
      </c>
      <c r="D501" s="13"/>
      <c r="E501" s="13">
        <v>113</v>
      </c>
      <c r="F501" s="13">
        <v>4898</v>
      </c>
      <c r="G501" s="13">
        <v>2937570</v>
      </c>
      <c r="H501" s="13">
        <v>35</v>
      </c>
      <c r="I501" s="13">
        <v>0</v>
      </c>
      <c r="J501" s="13">
        <v>283830</v>
      </c>
      <c r="K501" s="13">
        <v>568</v>
      </c>
    </row>
    <row r="502" spans="1:11">
      <c r="A502" s="11">
        <v>352590</v>
      </c>
      <c r="B502" s="12" t="s">
        <v>342</v>
      </c>
      <c r="C502" s="13">
        <v>2022</v>
      </c>
      <c r="D502" s="13">
        <v>443221</v>
      </c>
      <c r="E502" s="13">
        <v>90</v>
      </c>
      <c r="F502" s="13">
        <v>4904</v>
      </c>
      <c r="G502" s="13">
        <v>3467548</v>
      </c>
      <c r="H502" s="13">
        <v>22</v>
      </c>
      <c r="I502" s="13">
        <v>963</v>
      </c>
      <c r="J502" s="13">
        <v>298784</v>
      </c>
      <c r="K502" s="13">
        <v>859</v>
      </c>
    </row>
    <row r="503" spans="1:11">
      <c r="A503" s="11">
        <v>352590</v>
      </c>
      <c r="B503" s="12" t="s">
        <v>342</v>
      </c>
      <c r="C503" s="13">
        <v>2023</v>
      </c>
      <c r="D503" s="13"/>
      <c r="E503" s="13">
        <v>118</v>
      </c>
      <c r="F503" s="13">
        <v>5836</v>
      </c>
      <c r="G503" s="13">
        <v>3965400</v>
      </c>
      <c r="H503" s="13">
        <v>31</v>
      </c>
      <c r="I503" s="13">
        <v>11001</v>
      </c>
      <c r="J503" s="13">
        <v>374295</v>
      </c>
      <c r="K503" s="13">
        <v>1399</v>
      </c>
    </row>
    <row r="504" spans="1:11">
      <c r="A504" s="11">
        <v>352590</v>
      </c>
      <c r="B504" s="12" t="s">
        <v>342</v>
      </c>
      <c r="C504" s="13">
        <v>2024</v>
      </c>
      <c r="D504" s="13"/>
      <c r="E504" s="13">
        <v>83</v>
      </c>
      <c r="F504" s="13">
        <v>6426</v>
      </c>
      <c r="G504" s="13">
        <v>4703749</v>
      </c>
      <c r="H504" s="13">
        <v>27</v>
      </c>
      <c r="I504" s="13">
        <v>13396</v>
      </c>
      <c r="J504" s="13">
        <v>558798</v>
      </c>
      <c r="K504" s="13">
        <v>23718</v>
      </c>
    </row>
    <row r="505" spans="1:11">
      <c r="A505" s="11">
        <v>352590</v>
      </c>
      <c r="B505" s="12" t="s">
        <v>342</v>
      </c>
      <c r="C505" s="13">
        <v>2025</v>
      </c>
      <c r="D505" s="13"/>
      <c r="E505" s="13">
        <v>64</v>
      </c>
      <c r="F505" s="13">
        <v>5743</v>
      </c>
      <c r="G505" s="13">
        <v>4212114</v>
      </c>
      <c r="H505" s="13">
        <v>20</v>
      </c>
      <c r="I505" s="13">
        <v>9942</v>
      </c>
      <c r="J505" s="13">
        <v>377760</v>
      </c>
      <c r="K505" s="13">
        <v>8344</v>
      </c>
    </row>
    <row r="506" spans="1:11">
      <c r="A506" s="11">
        <v>352940</v>
      </c>
      <c r="B506" s="12" t="s">
        <v>343</v>
      </c>
      <c r="C506" s="13">
        <v>2014</v>
      </c>
      <c r="D506" s="13">
        <v>444136</v>
      </c>
      <c r="E506" s="13">
        <v>73</v>
      </c>
      <c r="F506" s="13">
        <v>328</v>
      </c>
      <c r="G506" s="13">
        <v>1882280</v>
      </c>
      <c r="H506" s="13">
        <v>81</v>
      </c>
      <c r="I506" s="13">
        <v>28571</v>
      </c>
      <c r="J506" s="13">
        <v>291816</v>
      </c>
      <c r="K506" s="13">
        <v>52</v>
      </c>
    </row>
    <row r="507" spans="1:11">
      <c r="A507" s="11">
        <v>352940</v>
      </c>
      <c r="B507" s="12" t="s">
        <v>343</v>
      </c>
      <c r="C507" s="13">
        <v>2015</v>
      </c>
      <c r="D507" s="13">
        <v>453286</v>
      </c>
      <c r="E507" s="13">
        <v>83</v>
      </c>
      <c r="F507" s="13">
        <v>879</v>
      </c>
      <c r="G507" s="13">
        <v>2001978</v>
      </c>
      <c r="H507" s="13">
        <v>33</v>
      </c>
      <c r="I507" s="13">
        <v>32843</v>
      </c>
      <c r="J507" s="13">
        <v>313485</v>
      </c>
      <c r="K507" s="13">
        <v>757</v>
      </c>
    </row>
    <row r="508" spans="1:11">
      <c r="A508" s="11">
        <v>352940</v>
      </c>
      <c r="B508" s="12" t="s">
        <v>343</v>
      </c>
      <c r="C508" s="13">
        <v>2016</v>
      </c>
      <c r="D508" s="13"/>
      <c r="E508" s="13">
        <v>70</v>
      </c>
      <c r="F508" s="13">
        <v>1691</v>
      </c>
      <c r="G508" s="13">
        <v>1923985</v>
      </c>
      <c r="H508" s="13">
        <v>45</v>
      </c>
      <c r="I508" s="13">
        <v>34941</v>
      </c>
      <c r="J508" s="13">
        <v>420656</v>
      </c>
      <c r="K508" s="13">
        <v>414</v>
      </c>
    </row>
    <row r="509" spans="1:11">
      <c r="A509" s="11">
        <v>352940</v>
      </c>
      <c r="B509" s="12" t="s">
        <v>343</v>
      </c>
      <c r="C509" s="13">
        <v>2017</v>
      </c>
      <c r="D509" s="13"/>
      <c r="E509" s="13">
        <v>51</v>
      </c>
      <c r="F509" s="13">
        <v>1991</v>
      </c>
      <c r="G509" s="13">
        <v>2024849</v>
      </c>
      <c r="H509" s="13">
        <v>15</v>
      </c>
      <c r="I509" s="13">
        <v>32354</v>
      </c>
      <c r="J509" s="13">
        <v>284047</v>
      </c>
      <c r="K509" s="13">
        <v>17</v>
      </c>
    </row>
    <row r="510" spans="1:11">
      <c r="A510" s="11">
        <v>352940</v>
      </c>
      <c r="B510" s="12" t="s">
        <v>343</v>
      </c>
      <c r="C510" s="13">
        <v>2018</v>
      </c>
      <c r="D510" s="13"/>
      <c r="E510" s="13">
        <v>41</v>
      </c>
      <c r="F510" s="13">
        <v>2257</v>
      </c>
      <c r="G510" s="13">
        <v>1224783</v>
      </c>
      <c r="H510" s="13">
        <v>14</v>
      </c>
      <c r="I510" s="13">
        <v>129750</v>
      </c>
      <c r="J510" s="13">
        <v>247865</v>
      </c>
      <c r="K510" s="13">
        <v>8</v>
      </c>
    </row>
    <row r="511" spans="1:11">
      <c r="A511" s="11">
        <v>352940</v>
      </c>
      <c r="B511" s="12" t="s">
        <v>343</v>
      </c>
      <c r="C511" s="13">
        <v>2019</v>
      </c>
      <c r="D511" s="13"/>
      <c r="E511" s="13">
        <v>39</v>
      </c>
      <c r="F511" s="13">
        <v>1631</v>
      </c>
      <c r="G511" s="13">
        <v>1630074</v>
      </c>
      <c r="H511" s="13">
        <v>9</v>
      </c>
      <c r="I511" s="13">
        <v>25388</v>
      </c>
      <c r="J511" s="13">
        <v>197106</v>
      </c>
      <c r="K511" s="13">
        <v>456</v>
      </c>
    </row>
    <row r="512" spans="1:11">
      <c r="A512" s="11">
        <v>352940</v>
      </c>
      <c r="B512" s="12" t="s">
        <v>343</v>
      </c>
      <c r="C512" s="13">
        <v>2020</v>
      </c>
      <c r="D512" s="13"/>
      <c r="E512" s="13">
        <v>39</v>
      </c>
      <c r="F512" s="13">
        <v>2008</v>
      </c>
      <c r="G512" s="13">
        <v>1378724</v>
      </c>
      <c r="H512" s="13">
        <v>14</v>
      </c>
      <c r="I512" s="13">
        <v>16733</v>
      </c>
      <c r="J512" s="13">
        <v>85497</v>
      </c>
      <c r="K512" s="13">
        <v>34</v>
      </c>
    </row>
    <row r="513" spans="1:11">
      <c r="A513" s="11">
        <v>352940</v>
      </c>
      <c r="B513" s="12" t="s">
        <v>343</v>
      </c>
      <c r="C513" s="13">
        <v>2021</v>
      </c>
      <c r="D513" s="13"/>
      <c r="E513" s="13">
        <v>37</v>
      </c>
      <c r="F513" s="13">
        <v>2532</v>
      </c>
      <c r="G513" s="13">
        <v>1552056</v>
      </c>
      <c r="H513" s="13">
        <v>12</v>
      </c>
      <c r="I513" s="13">
        <v>2744</v>
      </c>
      <c r="J513" s="13">
        <v>1663</v>
      </c>
      <c r="K513" s="13">
        <v>64</v>
      </c>
    </row>
    <row r="514" spans="1:11">
      <c r="A514" s="11">
        <v>352940</v>
      </c>
      <c r="B514" s="12" t="s">
        <v>343</v>
      </c>
      <c r="C514" s="13">
        <v>2022</v>
      </c>
      <c r="D514" s="13">
        <v>418261</v>
      </c>
      <c r="E514" s="13">
        <v>42</v>
      </c>
      <c r="F514" s="13">
        <v>2354</v>
      </c>
      <c r="G514" s="13">
        <v>1940577</v>
      </c>
      <c r="H514" s="13">
        <v>11</v>
      </c>
      <c r="I514" s="13">
        <v>1969</v>
      </c>
      <c r="J514" s="13">
        <v>658</v>
      </c>
      <c r="K514" s="13">
        <v>92</v>
      </c>
    </row>
    <row r="515" spans="1:11">
      <c r="A515" s="11">
        <v>352940</v>
      </c>
      <c r="B515" s="12" t="s">
        <v>343</v>
      </c>
      <c r="C515" s="13">
        <v>2023</v>
      </c>
      <c r="D515" s="13"/>
      <c r="E515" s="13">
        <v>69</v>
      </c>
      <c r="F515" s="13">
        <v>2517</v>
      </c>
      <c r="G515" s="13">
        <v>2194503</v>
      </c>
      <c r="H515" s="13">
        <v>15</v>
      </c>
      <c r="I515" s="13">
        <v>0</v>
      </c>
      <c r="J515" s="13">
        <v>65</v>
      </c>
      <c r="K515" s="13">
        <v>107</v>
      </c>
    </row>
    <row r="516" spans="1:11">
      <c r="A516" s="11">
        <v>352940</v>
      </c>
      <c r="B516" s="12" t="s">
        <v>343</v>
      </c>
      <c r="C516" s="13">
        <v>2024</v>
      </c>
      <c r="D516" s="13"/>
      <c r="E516" s="13">
        <v>76</v>
      </c>
      <c r="F516" s="13">
        <v>2221</v>
      </c>
      <c r="G516" s="13">
        <v>2577467</v>
      </c>
      <c r="H516" s="13">
        <v>25</v>
      </c>
      <c r="I516" s="13">
        <v>0</v>
      </c>
      <c r="J516" s="13">
        <v>1</v>
      </c>
      <c r="K516" s="13">
        <v>10890</v>
      </c>
    </row>
    <row r="517" spans="1:11">
      <c r="A517" s="11">
        <v>352940</v>
      </c>
      <c r="B517" s="12" t="s">
        <v>343</v>
      </c>
      <c r="C517" s="13">
        <v>2025</v>
      </c>
      <c r="D517" s="13"/>
      <c r="E517" s="13">
        <v>85</v>
      </c>
      <c r="F517" s="13">
        <v>1634</v>
      </c>
      <c r="G517" s="13">
        <v>2062136</v>
      </c>
      <c r="H517" s="13">
        <v>12</v>
      </c>
      <c r="I517" s="13">
        <v>0</v>
      </c>
      <c r="J517" s="13">
        <v>1</v>
      </c>
      <c r="K517" s="13">
        <v>1866</v>
      </c>
    </row>
    <row r="518" spans="1:11">
      <c r="A518" s="11">
        <v>353060</v>
      </c>
      <c r="B518" s="12" t="s">
        <v>344</v>
      </c>
      <c r="C518" s="13">
        <v>2014</v>
      </c>
      <c r="D518" s="13">
        <v>414907</v>
      </c>
      <c r="E518" s="13">
        <v>175</v>
      </c>
      <c r="F518" s="13">
        <v>1314</v>
      </c>
      <c r="G518" s="13">
        <v>2260716</v>
      </c>
      <c r="H518" s="13">
        <v>172</v>
      </c>
      <c r="I518" s="13">
        <v>28915</v>
      </c>
      <c r="J518" s="13">
        <v>185161</v>
      </c>
      <c r="K518" s="13">
        <v>132</v>
      </c>
    </row>
    <row r="519" spans="1:11">
      <c r="A519" s="11">
        <v>353060</v>
      </c>
      <c r="B519" s="12" t="s">
        <v>344</v>
      </c>
      <c r="C519" s="13">
        <v>2015</v>
      </c>
      <c r="D519" s="13">
        <v>424633</v>
      </c>
      <c r="E519" s="13">
        <v>184</v>
      </c>
      <c r="F519" s="13">
        <v>988</v>
      </c>
      <c r="G519" s="13">
        <v>2514033</v>
      </c>
      <c r="H519" s="13">
        <v>268</v>
      </c>
      <c r="I519" s="13">
        <v>30512</v>
      </c>
      <c r="J519" s="13">
        <v>199843</v>
      </c>
      <c r="K519" s="13">
        <v>1498</v>
      </c>
    </row>
    <row r="520" spans="1:11">
      <c r="A520" s="11">
        <v>353060</v>
      </c>
      <c r="B520" s="12" t="s">
        <v>344</v>
      </c>
      <c r="C520" s="13">
        <v>2016</v>
      </c>
      <c r="D520" s="13"/>
      <c r="E520" s="13">
        <v>193</v>
      </c>
      <c r="F520" s="13">
        <v>878</v>
      </c>
      <c r="G520" s="13">
        <v>2473199</v>
      </c>
      <c r="H520" s="13">
        <v>405</v>
      </c>
      <c r="I520" s="13">
        <v>32135</v>
      </c>
      <c r="J520" s="13">
        <v>217339</v>
      </c>
      <c r="K520" s="13">
        <v>557</v>
      </c>
    </row>
    <row r="521" spans="1:11">
      <c r="A521" s="11">
        <v>353060</v>
      </c>
      <c r="B521" s="12" t="s">
        <v>344</v>
      </c>
      <c r="C521" s="13">
        <v>2017</v>
      </c>
      <c r="D521" s="13"/>
      <c r="E521" s="13">
        <v>198</v>
      </c>
      <c r="F521" s="13">
        <v>1441</v>
      </c>
      <c r="G521" s="13">
        <v>2585224</v>
      </c>
      <c r="H521" s="13">
        <v>301</v>
      </c>
      <c r="I521" s="13">
        <v>28355</v>
      </c>
      <c r="J521" s="13">
        <v>190749</v>
      </c>
      <c r="K521" s="13">
        <v>43</v>
      </c>
    </row>
    <row r="522" spans="1:11">
      <c r="A522" s="11">
        <v>353060</v>
      </c>
      <c r="B522" s="12" t="s">
        <v>344</v>
      </c>
      <c r="C522" s="13">
        <v>2018</v>
      </c>
      <c r="D522" s="13"/>
      <c r="E522" s="13">
        <v>194</v>
      </c>
      <c r="F522" s="13">
        <v>915</v>
      </c>
      <c r="G522" s="13">
        <v>2753921</v>
      </c>
      <c r="H522" s="13">
        <v>300</v>
      </c>
      <c r="I522" s="13">
        <v>29042</v>
      </c>
      <c r="J522" s="13">
        <v>207468</v>
      </c>
      <c r="K522" s="13">
        <v>27</v>
      </c>
    </row>
    <row r="523" spans="1:11">
      <c r="A523" s="11">
        <v>353060</v>
      </c>
      <c r="B523" s="12" t="s">
        <v>344</v>
      </c>
      <c r="C523" s="13">
        <v>2019</v>
      </c>
      <c r="D523" s="13"/>
      <c r="E523" s="13">
        <v>152</v>
      </c>
      <c r="F523" s="13">
        <v>1450</v>
      </c>
      <c r="G523" s="13">
        <v>2865840</v>
      </c>
      <c r="H523" s="13">
        <v>242</v>
      </c>
      <c r="I523" s="13">
        <v>27375</v>
      </c>
      <c r="J523" s="13">
        <v>205687</v>
      </c>
      <c r="K523" s="13">
        <v>362</v>
      </c>
    </row>
    <row r="524" spans="1:11">
      <c r="A524" s="11">
        <v>353060</v>
      </c>
      <c r="B524" s="12" t="s">
        <v>344</v>
      </c>
      <c r="C524" s="13">
        <v>2020</v>
      </c>
      <c r="D524" s="13"/>
      <c r="E524" s="13">
        <v>145</v>
      </c>
      <c r="F524" s="13">
        <v>2632</v>
      </c>
      <c r="G524" s="13">
        <v>2155053</v>
      </c>
      <c r="H524" s="13">
        <v>295</v>
      </c>
      <c r="I524" s="13">
        <v>16046</v>
      </c>
      <c r="J524" s="13">
        <v>62546</v>
      </c>
      <c r="K524" s="13">
        <v>49</v>
      </c>
    </row>
    <row r="525" spans="1:11">
      <c r="A525" s="11">
        <v>353060</v>
      </c>
      <c r="B525" s="12" t="s">
        <v>344</v>
      </c>
      <c r="C525" s="13">
        <v>2021</v>
      </c>
      <c r="D525" s="13"/>
      <c r="E525" s="13">
        <v>147</v>
      </c>
      <c r="F525" s="13">
        <v>1366</v>
      </c>
      <c r="G525" s="13">
        <v>2840748</v>
      </c>
      <c r="H525" s="13">
        <v>228</v>
      </c>
      <c r="I525" s="13">
        <v>7646</v>
      </c>
      <c r="J525" s="13">
        <v>10362</v>
      </c>
      <c r="K525" s="13">
        <v>121</v>
      </c>
    </row>
    <row r="526" spans="1:11">
      <c r="A526" s="11">
        <v>353060</v>
      </c>
      <c r="B526" s="12" t="s">
        <v>344</v>
      </c>
      <c r="C526" s="13">
        <v>2022</v>
      </c>
      <c r="D526" s="13">
        <v>451505</v>
      </c>
      <c r="E526" s="13">
        <v>114</v>
      </c>
      <c r="F526" s="13">
        <v>986</v>
      </c>
      <c r="G526" s="13">
        <v>3040487</v>
      </c>
      <c r="H526" s="13">
        <v>250</v>
      </c>
      <c r="I526" s="13">
        <v>5345</v>
      </c>
      <c r="J526" s="13">
        <v>53742</v>
      </c>
      <c r="K526" s="13">
        <v>190</v>
      </c>
    </row>
    <row r="527" spans="1:11">
      <c r="A527" s="11">
        <v>353060</v>
      </c>
      <c r="B527" s="12" t="s">
        <v>344</v>
      </c>
      <c r="C527" s="13">
        <v>2023</v>
      </c>
      <c r="D527" s="13"/>
      <c r="E527" s="13">
        <v>131</v>
      </c>
      <c r="F527" s="13">
        <v>1187</v>
      </c>
      <c r="G527" s="13">
        <v>3190142</v>
      </c>
      <c r="H527" s="13">
        <v>304</v>
      </c>
      <c r="I527" s="13">
        <v>12871</v>
      </c>
      <c r="J527" s="13">
        <v>97078</v>
      </c>
      <c r="K527" s="13">
        <v>84</v>
      </c>
    </row>
    <row r="528" spans="1:11">
      <c r="A528" s="11">
        <v>353060</v>
      </c>
      <c r="B528" s="12" t="s">
        <v>344</v>
      </c>
      <c r="C528" s="13">
        <v>2024</v>
      </c>
      <c r="D528" s="13"/>
      <c r="E528" s="13">
        <v>137</v>
      </c>
      <c r="F528" s="13">
        <v>1266</v>
      </c>
      <c r="G528" s="13">
        <v>3680801</v>
      </c>
      <c r="H528" s="13">
        <v>265</v>
      </c>
      <c r="I528" s="13">
        <v>13984</v>
      </c>
      <c r="J528" s="13">
        <v>114879</v>
      </c>
      <c r="K528" s="13">
        <v>20888</v>
      </c>
    </row>
    <row r="529" spans="1:11">
      <c r="A529" s="11">
        <v>353060</v>
      </c>
      <c r="B529" s="12" t="s">
        <v>344</v>
      </c>
      <c r="C529" s="13">
        <v>2025</v>
      </c>
      <c r="D529" s="13"/>
      <c r="E529" s="13">
        <v>101</v>
      </c>
      <c r="F529" s="13">
        <v>1621</v>
      </c>
      <c r="G529" s="13">
        <v>3290882</v>
      </c>
      <c r="H529" s="13">
        <v>354</v>
      </c>
      <c r="I529" s="13">
        <v>22239</v>
      </c>
      <c r="J529" s="13">
        <v>386345</v>
      </c>
      <c r="K529" s="13">
        <v>717</v>
      </c>
    </row>
    <row r="530" spans="1:11">
      <c r="A530" s="11">
        <v>353440</v>
      </c>
      <c r="B530" s="12" t="s">
        <v>345</v>
      </c>
      <c r="C530" s="13">
        <v>2014</v>
      </c>
      <c r="D530" s="13">
        <v>691652</v>
      </c>
      <c r="E530" s="13">
        <v>224</v>
      </c>
      <c r="F530" s="13">
        <v>400</v>
      </c>
      <c r="G530" s="13">
        <v>5117360</v>
      </c>
      <c r="H530" s="13">
        <v>311</v>
      </c>
      <c r="I530" s="13">
        <v>41447</v>
      </c>
      <c r="J530" s="13">
        <v>472493</v>
      </c>
      <c r="K530" s="13">
        <v>4929</v>
      </c>
    </row>
    <row r="531" spans="1:11">
      <c r="A531" s="11">
        <v>353440</v>
      </c>
      <c r="B531" s="12" t="s">
        <v>345</v>
      </c>
      <c r="C531" s="13">
        <v>2015</v>
      </c>
      <c r="D531" s="13">
        <v>694844</v>
      </c>
      <c r="E531" s="13">
        <v>180</v>
      </c>
      <c r="F531" s="13">
        <v>324</v>
      </c>
      <c r="G531" s="13">
        <v>4787486</v>
      </c>
      <c r="H531" s="13">
        <v>322</v>
      </c>
      <c r="I531" s="13">
        <v>70540</v>
      </c>
      <c r="J531" s="13">
        <v>471184</v>
      </c>
      <c r="K531" s="13">
        <v>2046</v>
      </c>
    </row>
    <row r="532" spans="1:11">
      <c r="A532" s="11">
        <v>353440</v>
      </c>
      <c r="B532" s="12" t="s">
        <v>345</v>
      </c>
      <c r="C532" s="13">
        <v>2016</v>
      </c>
      <c r="D532" s="13"/>
      <c r="E532" s="13">
        <v>141</v>
      </c>
      <c r="F532" s="13">
        <v>309</v>
      </c>
      <c r="G532" s="13">
        <v>4805787</v>
      </c>
      <c r="H532" s="13">
        <v>151</v>
      </c>
      <c r="I532" s="13">
        <v>70113</v>
      </c>
      <c r="J532" s="13">
        <v>604007</v>
      </c>
      <c r="K532" s="13">
        <v>572</v>
      </c>
    </row>
    <row r="533" spans="1:11">
      <c r="A533" s="11">
        <v>353440</v>
      </c>
      <c r="B533" s="12" t="s">
        <v>345</v>
      </c>
      <c r="C533" s="13">
        <v>2017</v>
      </c>
      <c r="D533" s="13"/>
      <c r="E533" s="13">
        <v>117</v>
      </c>
      <c r="F533" s="13">
        <v>211</v>
      </c>
      <c r="G533" s="13">
        <v>4430686</v>
      </c>
      <c r="H533" s="13">
        <v>149</v>
      </c>
      <c r="I533" s="13">
        <v>40895</v>
      </c>
      <c r="J533" s="13">
        <v>436064</v>
      </c>
      <c r="K533" s="13">
        <v>14</v>
      </c>
    </row>
    <row r="534" spans="1:11">
      <c r="A534" s="11">
        <v>353440</v>
      </c>
      <c r="B534" s="12" t="s">
        <v>345</v>
      </c>
      <c r="C534" s="13">
        <v>2018</v>
      </c>
      <c r="D534" s="13"/>
      <c r="E534" s="13">
        <v>149</v>
      </c>
      <c r="F534" s="13">
        <v>217</v>
      </c>
      <c r="G534" s="13">
        <v>5416829</v>
      </c>
      <c r="H534" s="13">
        <v>126</v>
      </c>
      <c r="I534" s="13">
        <v>39621</v>
      </c>
      <c r="J534" s="13">
        <v>456988</v>
      </c>
      <c r="K534" s="13">
        <v>21</v>
      </c>
    </row>
    <row r="535" spans="1:11">
      <c r="A535" s="11">
        <v>353440</v>
      </c>
      <c r="B535" s="12" t="s">
        <v>345</v>
      </c>
      <c r="C535" s="13">
        <v>2019</v>
      </c>
      <c r="D535" s="13"/>
      <c r="E535" s="13">
        <v>154</v>
      </c>
      <c r="F535" s="13">
        <v>223</v>
      </c>
      <c r="G535" s="13">
        <v>4162384</v>
      </c>
      <c r="H535" s="13">
        <v>119</v>
      </c>
      <c r="I535" s="13">
        <v>42521</v>
      </c>
      <c r="J535" s="13">
        <v>440179</v>
      </c>
      <c r="K535" s="13">
        <v>634</v>
      </c>
    </row>
    <row r="536" spans="1:11">
      <c r="A536" s="11">
        <v>353440</v>
      </c>
      <c r="B536" s="12" t="s">
        <v>345</v>
      </c>
      <c r="C536" s="13">
        <v>2020</v>
      </c>
      <c r="D536" s="13"/>
      <c r="E536" s="13">
        <v>122</v>
      </c>
      <c r="F536" s="13">
        <v>156</v>
      </c>
      <c r="G536" s="13">
        <v>4760170</v>
      </c>
      <c r="H536" s="13">
        <v>64</v>
      </c>
      <c r="I536" s="13">
        <v>39816</v>
      </c>
      <c r="J536" s="13">
        <v>375087</v>
      </c>
      <c r="K536" s="13">
        <v>210</v>
      </c>
    </row>
    <row r="537" spans="1:11">
      <c r="A537" s="11">
        <v>353440</v>
      </c>
      <c r="B537" s="12" t="s">
        <v>345</v>
      </c>
      <c r="C537" s="13">
        <v>2021</v>
      </c>
      <c r="D537" s="13"/>
      <c r="E537" s="13">
        <v>108</v>
      </c>
      <c r="F537" s="13">
        <v>429</v>
      </c>
      <c r="G537" s="13">
        <v>5407889</v>
      </c>
      <c r="H537" s="13">
        <v>72</v>
      </c>
      <c r="I537" s="13">
        <v>29718</v>
      </c>
      <c r="J537" s="13">
        <v>304542</v>
      </c>
      <c r="K537" s="13">
        <v>162</v>
      </c>
    </row>
    <row r="538" spans="1:11">
      <c r="A538" s="11">
        <v>353440</v>
      </c>
      <c r="B538" s="12" t="s">
        <v>345</v>
      </c>
      <c r="C538" s="13">
        <v>2022</v>
      </c>
      <c r="D538" s="13">
        <v>728615</v>
      </c>
      <c r="E538" s="13">
        <v>154</v>
      </c>
      <c r="F538" s="13">
        <v>396</v>
      </c>
      <c r="G538" s="13">
        <v>4621920</v>
      </c>
      <c r="H538" s="13">
        <v>81</v>
      </c>
      <c r="I538" s="13">
        <v>38866</v>
      </c>
      <c r="J538" s="13">
        <v>624943</v>
      </c>
      <c r="K538" s="13">
        <v>406</v>
      </c>
    </row>
    <row r="539" spans="1:11">
      <c r="A539" s="11">
        <v>353440</v>
      </c>
      <c r="B539" s="12" t="s">
        <v>345</v>
      </c>
      <c r="C539" s="13">
        <v>2023</v>
      </c>
      <c r="D539" s="13"/>
      <c r="E539" s="13">
        <v>143</v>
      </c>
      <c r="F539" s="13">
        <v>708</v>
      </c>
      <c r="G539" s="13">
        <v>5935969</v>
      </c>
      <c r="H539" s="13">
        <v>84</v>
      </c>
      <c r="I539" s="13">
        <v>35511</v>
      </c>
      <c r="J539" s="13">
        <v>627061</v>
      </c>
      <c r="K539" s="13">
        <v>1163</v>
      </c>
    </row>
    <row r="540" spans="1:11">
      <c r="A540" s="11">
        <v>353440</v>
      </c>
      <c r="B540" s="12" t="s">
        <v>345</v>
      </c>
      <c r="C540" s="13">
        <v>2024</v>
      </c>
      <c r="D540" s="13"/>
      <c r="E540" s="13">
        <v>195</v>
      </c>
      <c r="F540" s="13">
        <v>978</v>
      </c>
      <c r="G540" s="13">
        <v>6142537</v>
      </c>
      <c r="H540" s="13">
        <v>102</v>
      </c>
      <c r="I540" s="13">
        <v>33498</v>
      </c>
      <c r="J540" s="13">
        <v>644720</v>
      </c>
      <c r="K540" s="13">
        <v>20653</v>
      </c>
    </row>
    <row r="541" spans="1:11">
      <c r="A541" s="11">
        <v>353440</v>
      </c>
      <c r="B541" s="12" t="s">
        <v>345</v>
      </c>
      <c r="C541" s="13">
        <v>2025</v>
      </c>
      <c r="D541" s="13"/>
      <c r="E541" s="13">
        <v>217</v>
      </c>
      <c r="F541" s="13">
        <v>729</v>
      </c>
      <c r="G541" s="13">
        <v>5160807</v>
      </c>
      <c r="H541" s="13">
        <v>56</v>
      </c>
      <c r="I541" s="13">
        <v>28749</v>
      </c>
      <c r="J541" s="13">
        <v>492164</v>
      </c>
      <c r="K541" s="13">
        <v>10452</v>
      </c>
    </row>
    <row r="542" spans="1:11">
      <c r="A542" s="11">
        <v>353870</v>
      </c>
      <c r="B542" s="12" t="s">
        <v>346</v>
      </c>
      <c r="C542" s="13">
        <v>2014</v>
      </c>
      <c r="D542" s="13">
        <v>385287</v>
      </c>
      <c r="E542" s="13">
        <v>84</v>
      </c>
      <c r="F542" s="13">
        <v>2272</v>
      </c>
      <c r="G542" s="13">
        <v>1210004</v>
      </c>
      <c r="H542" s="13">
        <v>70</v>
      </c>
      <c r="I542" s="13">
        <v>27501</v>
      </c>
      <c r="J542" s="13">
        <v>163025</v>
      </c>
      <c r="K542" s="13">
        <v>940</v>
      </c>
    </row>
    <row r="543" spans="1:11">
      <c r="A543" s="11">
        <v>353870</v>
      </c>
      <c r="B543" s="12" t="s">
        <v>346</v>
      </c>
      <c r="C543" s="13">
        <v>2015</v>
      </c>
      <c r="D543" s="13">
        <v>391449</v>
      </c>
      <c r="E543" s="13">
        <v>78</v>
      </c>
      <c r="F543" s="13">
        <v>2227</v>
      </c>
      <c r="G543" s="13">
        <v>1411878</v>
      </c>
      <c r="H543" s="13">
        <v>60</v>
      </c>
      <c r="I543" s="13">
        <v>26675</v>
      </c>
      <c r="J543" s="13">
        <v>337735</v>
      </c>
      <c r="K543" s="13">
        <v>3770</v>
      </c>
    </row>
    <row r="544" spans="1:11">
      <c r="A544" s="11">
        <v>353870</v>
      </c>
      <c r="B544" s="12" t="s">
        <v>346</v>
      </c>
      <c r="C544" s="13">
        <v>2016</v>
      </c>
      <c r="D544" s="13"/>
      <c r="E544" s="13">
        <v>87</v>
      </c>
      <c r="F544" s="13">
        <v>2402</v>
      </c>
      <c r="G544" s="13">
        <v>2420891</v>
      </c>
      <c r="H544" s="13">
        <v>65</v>
      </c>
      <c r="I544" s="13">
        <v>37790</v>
      </c>
      <c r="J544" s="13">
        <v>456488</v>
      </c>
      <c r="K544" s="13">
        <v>2379</v>
      </c>
    </row>
    <row r="545" spans="1:11">
      <c r="A545" s="11">
        <v>353870</v>
      </c>
      <c r="B545" s="12" t="s">
        <v>346</v>
      </c>
      <c r="C545" s="13">
        <v>2017</v>
      </c>
      <c r="D545" s="13"/>
      <c r="E545" s="13">
        <v>83</v>
      </c>
      <c r="F545" s="13">
        <v>1735</v>
      </c>
      <c r="G545" s="13">
        <v>2276852</v>
      </c>
      <c r="H545" s="13">
        <v>45</v>
      </c>
      <c r="I545" s="13">
        <v>45899</v>
      </c>
      <c r="J545" s="13">
        <v>255807</v>
      </c>
      <c r="K545" s="13">
        <v>68</v>
      </c>
    </row>
    <row r="546" spans="1:11">
      <c r="A546" s="11">
        <v>353870</v>
      </c>
      <c r="B546" s="12" t="s">
        <v>346</v>
      </c>
      <c r="C546" s="13">
        <v>2018</v>
      </c>
      <c r="D546" s="13"/>
      <c r="E546" s="13">
        <v>102</v>
      </c>
      <c r="F546" s="13">
        <v>1863</v>
      </c>
      <c r="G546" s="13">
        <v>1907379</v>
      </c>
      <c r="H546" s="13">
        <v>50</v>
      </c>
      <c r="I546" s="13">
        <v>33060</v>
      </c>
      <c r="J546" s="13">
        <v>233303</v>
      </c>
      <c r="K546" s="13">
        <v>14</v>
      </c>
    </row>
    <row r="547" spans="1:11">
      <c r="A547" s="11">
        <v>353870</v>
      </c>
      <c r="B547" s="12" t="s">
        <v>346</v>
      </c>
      <c r="C547" s="13">
        <v>2019</v>
      </c>
      <c r="D547" s="13"/>
      <c r="E547" s="13">
        <v>64</v>
      </c>
      <c r="F547" s="13">
        <v>1735</v>
      </c>
      <c r="G547" s="13">
        <v>2546450</v>
      </c>
      <c r="H547" s="13">
        <v>73</v>
      </c>
      <c r="I547" s="13">
        <v>19024</v>
      </c>
      <c r="J547" s="13">
        <v>187462</v>
      </c>
      <c r="K547" s="13">
        <v>4126</v>
      </c>
    </row>
    <row r="548" spans="1:11">
      <c r="A548" s="11">
        <v>353870</v>
      </c>
      <c r="B548" s="12" t="s">
        <v>346</v>
      </c>
      <c r="C548" s="13">
        <v>2020</v>
      </c>
      <c r="D548" s="13"/>
      <c r="E548" s="13">
        <v>56</v>
      </c>
      <c r="F548" s="13">
        <v>1775</v>
      </c>
      <c r="G548" s="13">
        <v>1801979</v>
      </c>
      <c r="H548" s="13">
        <v>54</v>
      </c>
      <c r="I548" s="13">
        <v>23889</v>
      </c>
      <c r="J548" s="13">
        <v>186248</v>
      </c>
      <c r="K548" s="13">
        <v>1453</v>
      </c>
    </row>
    <row r="549" spans="1:11">
      <c r="A549" s="11">
        <v>353870</v>
      </c>
      <c r="B549" s="12" t="s">
        <v>346</v>
      </c>
      <c r="C549" s="13">
        <v>2021</v>
      </c>
      <c r="D549" s="13"/>
      <c r="E549" s="13">
        <v>59</v>
      </c>
      <c r="F549" s="13">
        <v>2349</v>
      </c>
      <c r="G549" s="13">
        <v>1585858</v>
      </c>
      <c r="H549" s="13">
        <v>53</v>
      </c>
      <c r="I549" s="13">
        <v>28675</v>
      </c>
      <c r="J549" s="13">
        <v>250526</v>
      </c>
      <c r="K549" s="13">
        <v>5430</v>
      </c>
    </row>
    <row r="550" spans="1:11">
      <c r="A550" s="11">
        <v>353870</v>
      </c>
      <c r="B550" s="12" t="s">
        <v>346</v>
      </c>
      <c r="C550" s="13">
        <v>2022</v>
      </c>
      <c r="D550" s="13">
        <v>423323</v>
      </c>
      <c r="E550" s="13">
        <v>70</v>
      </c>
      <c r="F550" s="13">
        <v>2687</v>
      </c>
      <c r="G550" s="13">
        <v>2519177</v>
      </c>
      <c r="H550" s="13">
        <v>87</v>
      </c>
      <c r="I550" s="13">
        <v>14118</v>
      </c>
      <c r="J550" s="13">
        <v>110791</v>
      </c>
      <c r="K550" s="13">
        <v>1513</v>
      </c>
    </row>
    <row r="551" spans="1:11">
      <c r="A551" s="11">
        <v>353870</v>
      </c>
      <c r="B551" s="12" t="s">
        <v>346</v>
      </c>
      <c r="C551" s="13">
        <v>2023</v>
      </c>
      <c r="D551" s="13"/>
      <c r="E551" s="13">
        <v>99</v>
      </c>
      <c r="F551" s="13">
        <v>2635</v>
      </c>
      <c r="G551" s="13">
        <v>2427371</v>
      </c>
      <c r="H551" s="13">
        <v>123</v>
      </c>
      <c r="I551" s="13">
        <v>5026</v>
      </c>
      <c r="J551" s="13">
        <v>15347</v>
      </c>
      <c r="K551" s="13">
        <v>3330</v>
      </c>
    </row>
    <row r="552" spans="1:11">
      <c r="A552" s="11">
        <v>353870</v>
      </c>
      <c r="B552" s="12" t="s">
        <v>346</v>
      </c>
      <c r="C552" s="13">
        <v>2024</v>
      </c>
      <c r="D552" s="13"/>
      <c r="E552" s="13">
        <v>97</v>
      </c>
      <c r="F552" s="13">
        <v>9359</v>
      </c>
      <c r="G552" s="13">
        <v>3404885</v>
      </c>
      <c r="H552" s="13">
        <v>162</v>
      </c>
      <c r="I552" s="13">
        <v>4311</v>
      </c>
      <c r="J552" s="13">
        <v>3971</v>
      </c>
      <c r="K552" s="13">
        <v>30136</v>
      </c>
    </row>
    <row r="553" spans="1:11">
      <c r="A553" s="11">
        <v>353870</v>
      </c>
      <c r="B553" s="12" t="s">
        <v>346</v>
      </c>
      <c r="C553" s="13">
        <v>2025</v>
      </c>
      <c r="D553" s="13"/>
      <c r="E553" s="13">
        <v>83</v>
      </c>
      <c r="F553" s="13">
        <v>3339</v>
      </c>
      <c r="G553" s="13">
        <v>3050463</v>
      </c>
      <c r="H553" s="13">
        <v>154</v>
      </c>
      <c r="I553" s="13">
        <v>5194</v>
      </c>
      <c r="J553" s="13">
        <v>24836</v>
      </c>
      <c r="K553" s="13">
        <v>6189</v>
      </c>
    </row>
    <row r="554" spans="1:11">
      <c r="A554" s="11">
        <v>354340</v>
      </c>
      <c r="B554" s="12" t="s">
        <v>347</v>
      </c>
      <c r="C554" s="13">
        <v>2014</v>
      </c>
      <c r="D554" s="13">
        <v>649556</v>
      </c>
      <c r="E554" s="13">
        <v>364</v>
      </c>
      <c r="F554" s="13">
        <v>6015</v>
      </c>
      <c r="G554" s="13">
        <v>5349965</v>
      </c>
      <c r="H554" s="13">
        <v>142</v>
      </c>
      <c r="I554" s="13">
        <v>35637</v>
      </c>
      <c r="J554" s="13">
        <v>411103</v>
      </c>
      <c r="K554" s="13">
        <v>467</v>
      </c>
    </row>
    <row r="555" spans="1:11">
      <c r="A555" s="11">
        <v>354340</v>
      </c>
      <c r="B555" s="12" t="s">
        <v>347</v>
      </c>
      <c r="C555" s="13">
        <v>2015</v>
      </c>
      <c r="D555" s="13">
        <v>666323</v>
      </c>
      <c r="E555" s="13">
        <v>441</v>
      </c>
      <c r="F555" s="13">
        <v>9874</v>
      </c>
      <c r="G555" s="13">
        <v>5807582</v>
      </c>
      <c r="H555" s="13">
        <v>170</v>
      </c>
      <c r="I555" s="13">
        <v>42701</v>
      </c>
      <c r="J555" s="13">
        <v>419211</v>
      </c>
      <c r="K555" s="13">
        <v>5585</v>
      </c>
    </row>
    <row r="556" spans="1:11">
      <c r="A556" s="11">
        <v>354340</v>
      </c>
      <c r="B556" s="12" t="s">
        <v>347</v>
      </c>
      <c r="C556" s="13">
        <v>2016</v>
      </c>
      <c r="D556" s="13"/>
      <c r="E556" s="13">
        <v>426</v>
      </c>
      <c r="F556" s="13">
        <v>8808</v>
      </c>
      <c r="G556" s="13">
        <v>6600071</v>
      </c>
      <c r="H556" s="13">
        <v>187</v>
      </c>
      <c r="I556" s="13">
        <v>39785</v>
      </c>
      <c r="J556" s="13">
        <v>479828</v>
      </c>
      <c r="K556" s="13">
        <v>36251</v>
      </c>
    </row>
    <row r="557" spans="1:11">
      <c r="A557" s="11">
        <v>354340</v>
      </c>
      <c r="B557" s="12" t="s">
        <v>347</v>
      </c>
      <c r="C557" s="13">
        <v>2017</v>
      </c>
      <c r="D557" s="13"/>
      <c r="E557" s="13">
        <v>423</v>
      </c>
      <c r="F557" s="13">
        <v>9284</v>
      </c>
      <c r="G557" s="13">
        <v>6794748</v>
      </c>
      <c r="H557" s="13">
        <v>156</v>
      </c>
      <c r="I557" s="13">
        <v>36837</v>
      </c>
      <c r="J557" s="13">
        <v>463917</v>
      </c>
      <c r="K557" s="13">
        <v>288</v>
      </c>
    </row>
    <row r="558" spans="1:11">
      <c r="A558" s="11">
        <v>354340</v>
      </c>
      <c r="B558" s="12" t="s">
        <v>347</v>
      </c>
      <c r="C558" s="13">
        <v>2018</v>
      </c>
      <c r="D558" s="13"/>
      <c r="E558" s="13">
        <v>341</v>
      </c>
      <c r="F558" s="13">
        <v>8471</v>
      </c>
      <c r="G558" s="13">
        <v>6858031</v>
      </c>
      <c r="H558" s="13">
        <v>141</v>
      </c>
      <c r="I558" s="13">
        <v>24928</v>
      </c>
      <c r="J558" s="13">
        <v>478766</v>
      </c>
      <c r="K558" s="13">
        <v>285</v>
      </c>
    </row>
    <row r="559" spans="1:11">
      <c r="A559" s="11">
        <v>354340</v>
      </c>
      <c r="B559" s="12" t="s">
        <v>347</v>
      </c>
      <c r="C559" s="13">
        <v>2019</v>
      </c>
      <c r="D559" s="13"/>
      <c r="E559" s="13">
        <v>453</v>
      </c>
      <c r="F559" s="13">
        <v>8116</v>
      </c>
      <c r="G559" s="13">
        <v>6927693</v>
      </c>
      <c r="H559" s="13">
        <v>124</v>
      </c>
      <c r="I559" s="13">
        <v>24481</v>
      </c>
      <c r="J559" s="13">
        <v>495624</v>
      </c>
      <c r="K559" s="13">
        <v>15367</v>
      </c>
    </row>
    <row r="560" spans="1:11">
      <c r="A560" s="11">
        <v>354340</v>
      </c>
      <c r="B560" s="12" t="s">
        <v>347</v>
      </c>
      <c r="C560" s="13">
        <v>2020</v>
      </c>
      <c r="D560" s="13"/>
      <c r="E560" s="13">
        <v>316</v>
      </c>
      <c r="F560" s="13">
        <v>4505</v>
      </c>
      <c r="G560" s="13">
        <v>5254554</v>
      </c>
      <c r="H560" s="13">
        <v>121</v>
      </c>
      <c r="I560" s="13">
        <v>23479</v>
      </c>
      <c r="J560" s="13">
        <v>328323</v>
      </c>
      <c r="K560" s="13">
        <v>18303</v>
      </c>
    </row>
    <row r="561" spans="1:11">
      <c r="A561" s="11">
        <v>354340</v>
      </c>
      <c r="B561" s="12" t="s">
        <v>347</v>
      </c>
      <c r="C561" s="13">
        <v>2021</v>
      </c>
      <c r="D561" s="13"/>
      <c r="E561" s="13">
        <v>256</v>
      </c>
      <c r="F561" s="13">
        <v>5301</v>
      </c>
      <c r="G561" s="13">
        <v>5880511</v>
      </c>
      <c r="H561" s="13">
        <v>126</v>
      </c>
      <c r="I561" s="13">
        <v>22790</v>
      </c>
      <c r="J561" s="13">
        <v>339166</v>
      </c>
      <c r="K561" s="13">
        <v>481</v>
      </c>
    </row>
    <row r="562" spans="1:11">
      <c r="A562" s="11">
        <v>354340</v>
      </c>
      <c r="B562" s="12" t="s">
        <v>347</v>
      </c>
      <c r="C562" s="13">
        <v>2022</v>
      </c>
      <c r="D562" s="13">
        <v>698642</v>
      </c>
      <c r="E562" s="13">
        <v>281</v>
      </c>
      <c r="F562" s="13">
        <v>6297</v>
      </c>
      <c r="G562" s="13">
        <v>6359244</v>
      </c>
      <c r="H562" s="13">
        <v>127</v>
      </c>
      <c r="I562" s="13">
        <v>24062</v>
      </c>
      <c r="J562" s="13">
        <v>419122</v>
      </c>
      <c r="K562" s="13">
        <v>8284</v>
      </c>
    </row>
    <row r="563" spans="1:11">
      <c r="A563" s="11">
        <v>354340</v>
      </c>
      <c r="B563" s="12" t="s">
        <v>347</v>
      </c>
      <c r="C563" s="13">
        <v>2023</v>
      </c>
      <c r="D563" s="13"/>
      <c r="E563" s="13">
        <v>303</v>
      </c>
      <c r="F563" s="13">
        <v>6416</v>
      </c>
      <c r="G563" s="13">
        <v>7204981</v>
      </c>
      <c r="H563" s="13">
        <v>159</v>
      </c>
      <c r="I563" s="13">
        <v>22244</v>
      </c>
      <c r="J563" s="13">
        <v>410703</v>
      </c>
      <c r="K563" s="13">
        <v>13261</v>
      </c>
    </row>
    <row r="564" spans="1:11">
      <c r="A564" s="11">
        <v>354340</v>
      </c>
      <c r="B564" s="12" t="s">
        <v>347</v>
      </c>
      <c r="C564" s="13">
        <v>2024</v>
      </c>
      <c r="D564" s="13"/>
      <c r="E564" s="13">
        <v>367</v>
      </c>
      <c r="F564" s="13">
        <v>10007</v>
      </c>
      <c r="G564" s="13">
        <v>7485900</v>
      </c>
      <c r="H564" s="13">
        <v>156</v>
      </c>
      <c r="I564" s="13">
        <v>18852</v>
      </c>
      <c r="J564" s="13">
        <v>396084</v>
      </c>
      <c r="K564" s="13">
        <v>46607</v>
      </c>
    </row>
    <row r="565" spans="1:11">
      <c r="A565" s="11">
        <v>354340</v>
      </c>
      <c r="B565" s="12" t="s">
        <v>347</v>
      </c>
      <c r="C565" s="13">
        <v>2025</v>
      </c>
      <c r="D565" s="13"/>
      <c r="E565" s="13">
        <v>366</v>
      </c>
      <c r="F565" s="13">
        <v>8226</v>
      </c>
      <c r="G565" s="13">
        <v>6885564</v>
      </c>
      <c r="H565" s="13">
        <v>117</v>
      </c>
      <c r="I565" s="13">
        <v>18105</v>
      </c>
      <c r="J565" s="13">
        <v>419302</v>
      </c>
      <c r="K565" s="13">
        <v>23919</v>
      </c>
    </row>
    <row r="566" spans="1:11">
      <c r="A566" s="11">
        <v>354780</v>
      </c>
      <c r="B566" s="12" t="s">
        <v>348</v>
      </c>
      <c r="C566" s="13">
        <v>2014</v>
      </c>
      <c r="D566" s="13">
        <v>704942</v>
      </c>
      <c r="E566" s="13">
        <v>232</v>
      </c>
      <c r="F566" s="13">
        <v>2622</v>
      </c>
      <c r="G566" s="13">
        <v>4014626</v>
      </c>
      <c r="H566" s="13">
        <v>580</v>
      </c>
      <c r="I566" s="13">
        <v>41859</v>
      </c>
      <c r="J566" s="13">
        <v>328289</v>
      </c>
      <c r="K566" s="13">
        <v>496</v>
      </c>
    </row>
    <row r="567" spans="1:11">
      <c r="A567" s="11">
        <v>354780</v>
      </c>
      <c r="B567" s="12" t="s">
        <v>348</v>
      </c>
      <c r="C567" s="13">
        <v>2015</v>
      </c>
      <c r="D567" s="13">
        <v>710210</v>
      </c>
      <c r="E567" s="13">
        <v>221</v>
      </c>
      <c r="F567" s="13">
        <v>2621</v>
      </c>
      <c r="G567" s="13">
        <v>4357075</v>
      </c>
      <c r="H567" s="13">
        <v>467</v>
      </c>
      <c r="I567" s="13">
        <v>45080</v>
      </c>
      <c r="J567" s="13">
        <v>418079</v>
      </c>
      <c r="K567" s="13">
        <v>2356</v>
      </c>
    </row>
    <row r="568" spans="1:11">
      <c r="A568" s="11">
        <v>354780</v>
      </c>
      <c r="B568" s="12" t="s">
        <v>348</v>
      </c>
      <c r="C568" s="13">
        <v>2016</v>
      </c>
      <c r="D568" s="13"/>
      <c r="E568" s="13">
        <v>198</v>
      </c>
      <c r="F568" s="13">
        <v>2397</v>
      </c>
      <c r="G568" s="13">
        <v>4315232</v>
      </c>
      <c r="H568" s="13">
        <v>402</v>
      </c>
      <c r="I568" s="13">
        <v>50386</v>
      </c>
      <c r="J568" s="13">
        <v>423823</v>
      </c>
      <c r="K568" s="13">
        <v>471</v>
      </c>
    </row>
    <row r="569" spans="1:11">
      <c r="A569" s="11">
        <v>354780</v>
      </c>
      <c r="B569" s="12" t="s">
        <v>348</v>
      </c>
      <c r="C569" s="13">
        <v>2017</v>
      </c>
      <c r="D569" s="13"/>
      <c r="E569" s="13">
        <v>192</v>
      </c>
      <c r="F569" s="13">
        <v>1810</v>
      </c>
      <c r="G569" s="13">
        <v>3600958</v>
      </c>
      <c r="H569" s="13">
        <v>409</v>
      </c>
      <c r="I569" s="13">
        <v>53847</v>
      </c>
      <c r="J569" s="13">
        <v>377585</v>
      </c>
      <c r="K569" s="13">
        <v>38</v>
      </c>
    </row>
    <row r="570" spans="1:11">
      <c r="A570" s="11">
        <v>354780</v>
      </c>
      <c r="B570" s="12" t="s">
        <v>348</v>
      </c>
      <c r="C570" s="13">
        <v>2018</v>
      </c>
      <c r="D570" s="13"/>
      <c r="E570" s="13">
        <v>413</v>
      </c>
      <c r="F570" s="13">
        <v>1431</v>
      </c>
      <c r="G570" s="13">
        <v>3360265</v>
      </c>
      <c r="H570" s="13">
        <v>495</v>
      </c>
      <c r="I570" s="13">
        <v>35045</v>
      </c>
      <c r="J570" s="13">
        <v>297776</v>
      </c>
      <c r="K570" s="13">
        <v>33</v>
      </c>
    </row>
    <row r="571" spans="1:11">
      <c r="A571" s="11">
        <v>354780</v>
      </c>
      <c r="B571" s="12" t="s">
        <v>348</v>
      </c>
      <c r="C571" s="13">
        <v>2019</v>
      </c>
      <c r="D571" s="13"/>
      <c r="E571" s="13">
        <v>296</v>
      </c>
      <c r="F571" s="13">
        <v>3362</v>
      </c>
      <c r="G571" s="13">
        <v>4379048</v>
      </c>
      <c r="H571" s="13">
        <v>432</v>
      </c>
      <c r="I571" s="13">
        <v>29820</v>
      </c>
      <c r="J571" s="13">
        <v>305928</v>
      </c>
      <c r="K571" s="13">
        <v>422</v>
      </c>
    </row>
    <row r="572" spans="1:11">
      <c r="A572" s="11">
        <v>354780</v>
      </c>
      <c r="B572" s="12" t="s">
        <v>348</v>
      </c>
      <c r="C572" s="13">
        <v>2020</v>
      </c>
      <c r="D572" s="13"/>
      <c r="E572" s="13">
        <v>267</v>
      </c>
      <c r="F572" s="13">
        <v>4042</v>
      </c>
      <c r="G572" s="13">
        <v>4308533</v>
      </c>
      <c r="H572" s="13">
        <v>433</v>
      </c>
      <c r="I572" s="13">
        <v>27394</v>
      </c>
      <c r="J572" s="13">
        <v>238362</v>
      </c>
      <c r="K572" s="13">
        <v>39</v>
      </c>
    </row>
    <row r="573" spans="1:11">
      <c r="A573" s="11">
        <v>354780</v>
      </c>
      <c r="B573" s="12" t="s">
        <v>348</v>
      </c>
      <c r="C573" s="13">
        <v>2021</v>
      </c>
      <c r="D573" s="13"/>
      <c r="E573" s="13">
        <v>323</v>
      </c>
      <c r="F573" s="13">
        <v>4918</v>
      </c>
      <c r="G573" s="13">
        <v>4291057</v>
      </c>
      <c r="H573" s="13">
        <v>468</v>
      </c>
      <c r="I573" s="13">
        <v>26808</v>
      </c>
      <c r="J573" s="13">
        <v>235941</v>
      </c>
      <c r="K573" s="13">
        <v>124</v>
      </c>
    </row>
    <row r="574" spans="1:11">
      <c r="A574" s="11">
        <v>354780</v>
      </c>
      <c r="B574" s="12" t="s">
        <v>348</v>
      </c>
      <c r="C574" s="13">
        <v>2022</v>
      </c>
      <c r="D574" s="13">
        <v>748919</v>
      </c>
      <c r="E574" s="13">
        <v>249</v>
      </c>
      <c r="F574" s="13">
        <v>5179</v>
      </c>
      <c r="G574" s="13">
        <v>4814234</v>
      </c>
      <c r="H574" s="13">
        <v>524</v>
      </c>
      <c r="I574" s="13">
        <v>23501</v>
      </c>
      <c r="J574" s="13">
        <v>326016</v>
      </c>
      <c r="K574" s="13">
        <v>165</v>
      </c>
    </row>
    <row r="575" spans="1:11">
      <c r="A575" s="11">
        <v>354780</v>
      </c>
      <c r="B575" s="12" t="s">
        <v>348</v>
      </c>
      <c r="C575" s="13">
        <v>2023</v>
      </c>
      <c r="D575" s="13"/>
      <c r="E575" s="13">
        <v>220</v>
      </c>
      <c r="F575" s="13">
        <v>6130</v>
      </c>
      <c r="G575" s="13">
        <v>5374859</v>
      </c>
      <c r="H575" s="13">
        <v>477</v>
      </c>
      <c r="I575" s="13">
        <v>21313</v>
      </c>
      <c r="J575" s="13">
        <v>462694</v>
      </c>
      <c r="K575" s="13">
        <v>316</v>
      </c>
    </row>
    <row r="576" spans="1:11">
      <c r="A576" s="11">
        <v>354780</v>
      </c>
      <c r="B576" s="12" t="s">
        <v>348</v>
      </c>
      <c r="C576" s="13">
        <v>2024</v>
      </c>
      <c r="D576" s="13"/>
      <c r="E576" s="13">
        <v>222</v>
      </c>
      <c r="F576" s="13">
        <v>10479</v>
      </c>
      <c r="G576" s="13">
        <v>6158607</v>
      </c>
      <c r="H576" s="13">
        <v>259</v>
      </c>
      <c r="I576" s="13">
        <v>26123</v>
      </c>
      <c r="J576" s="13">
        <v>562357</v>
      </c>
      <c r="K576" s="13">
        <v>15375</v>
      </c>
    </row>
    <row r="577" spans="1:11">
      <c r="A577" s="11">
        <v>354780</v>
      </c>
      <c r="B577" s="12" t="s">
        <v>348</v>
      </c>
      <c r="C577" s="13">
        <v>2025</v>
      </c>
      <c r="D577" s="13"/>
      <c r="E577" s="13">
        <v>128</v>
      </c>
      <c r="F577" s="13">
        <v>10862</v>
      </c>
      <c r="G577" s="13">
        <v>5400257</v>
      </c>
      <c r="H577" s="13">
        <v>119</v>
      </c>
      <c r="I577" s="13">
        <v>24481</v>
      </c>
      <c r="J577" s="13">
        <v>514137</v>
      </c>
      <c r="K577" s="13">
        <v>2989</v>
      </c>
    </row>
    <row r="578" spans="1:11">
      <c r="A578" s="11">
        <v>354850</v>
      </c>
      <c r="B578" s="12" t="s">
        <v>349</v>
      </c>
      <c r="C578" s="13">
        <v>2014</v>
      </c>
      <c r="D578" s="13">
        <v>433153</v>
      </c>
      <c r="E578" s="13">
        <v>162</v>
      </c>
      <c r="F578" s="13">
        <v>4708</v>
      </c>
      <c r="G578" s="13">
        <v>2806648</v>
      </c>
      <c r="H578" s="13">
        <v>186</v>
      </c>
      <c r="I578" s="13">
        <v>29269</v>
      </c>
      <c r="J578" s="13">
        <v>278941</v>
      </c>
      <c r="K578" s="13">
        <v>4257</v>
      </c>
    </row>
    <row r="579" spans="1:11">
      <c r="A579" s="11">
        <v>354850</v>
      </c>
      <c r="B579" s="12" t="s">
        <v>349</v>
      </c>
      <c r="C579" s="13">
        <v>2015</v>
      </c>
      <c r="D579" s="13">
        <v>433966</v>
      </c>
      <c r="E579" s="13">
        <v>203</v>
      </c>
      <c r="F579" s="13">
        <v>4733</v>
      </c>
      <c r="G579" s="13">
        <v>3085686</v>
      </c>
      <c r="H579" s="13">
        <v>162</v>
      </c>
      <c r="I579" s="13">
        <v>23749</v>
      </c>
      <c r="J579" s="13">
        <v>285704</v>
      </c>
      <c r="K579" s="13">
        <v>7696</v>
      </c>
    </row>
    <row r="580" spans="1:11">
      <c r="A580" s="11">
        <v>354850</v>
      </c>
      <c r="B580" s="12" t="s">
        <v>349</v>
      </c>
      <c r="C580" s="13">
        <v>2016</v>
      </c>
      <c r="D580" s="13"/>
      <c r="E580" s="13">
        <v>179</v>
      </c>
      <c r="F580" s="13">
        <v>4140</v>
      </c>
      <c r="G580" s="13">
        <v>3054569</v>
      </c>
      <c r="H580" s="13">
        <v>118</v>
      </c>
      <c r="I580" s="13">
        <v>30067</v>
      </c>
      <c r="J580" s="13">
        <v>272698</v>
      </c>
      <c r="K580" s="13">
        <v>2991</v>
      </c>
    </row>
    <row r="581" spans="1:11">
      <c r="A581" s="11">
        <v>354850</v>
      </c>
      <c r="B581" s="12" t="s">
        <v>349</v>
      </c>
      <c r="C581" s="13">
        <v>2017</v>
      </c>
      <c r="D581" s="13"/>
      <c r="E581" s="13">
        <v>142</v>
      </c>
      <c r="F581" s="13">
        <v>4463</v>
      </c>
      <c r="G581" s="13">
        <v>3045028</v>
      </c>
      <c r="H581" s="13">
        <v>85</v>
      </c>
      <c r="I581" s="13">
        <v>34826</v>
      </c>
      <c r="J581" s="13">
        <v>318716</v>
      </c>
      <c r="K581" s="13">
        <v>420</v>
      </c>
    </row>
    <row r="582" spans="1:11">
      <c r="A582" s="11">
        <v>354850</v>
      </c>
      <c r="B582" s="12" t="s">
        <v>349</v>
      </c>
      <c r="C582" s="13">
        <v>2018</v>
      </c>
      <c r="D582" s="13"/>
      <c r="E582" s="13">
        <v>157</v>
      </c>
      <c r="F582" s="13">
        <v>4282</v>
      </c>
      <c r="G582" s="13">
        <v>3124522</v>
      </c>
      <c r="H582" s="13">
        <v>53</v>
      </c>
      <c r="I582" s="13">
        <v>30600</v>
      </c>
      <c r="J582" s="13">
        <v>290893</v>
      </c>
      <c r="K582" s="13">
        <v>224</v>
      </c>
    </row>
    <row r="583" spans="1:11">
      <c r="A583" s="11">
        <v>354850</v>
      </c>
      <c r="B583" s="12" t="s">
        <v>349</v>
      </c>
      <c r="C583" s="13">
        <v>2019</v>
      </c>
      <c r="D583" s="13"/>
      <c r="E583" s="13">
        <v>95</v>
      </c>
      <c r="F583" s="13">
        <v>4674</v>
      </c>
      <c r="G583" s="13">
        <v>3082382</v>
      </c>
      <c r="H583" s="13">
        <v>30</v>
      </c>
      <c r="I583" s="13">
        <v>21835</v>
      </c>
      <c r="J583" s="13">
        <v>306310</v>
      </c>
      <c r="K583" s="13">
        <v>766</v>
      </c>
    </row>
    <row r="584" spans="1:11">
      <c r="A584" s="11">
        <v>354850</v>
      </c>
      <c r="B584" s="12" t="s">
        <v>349</v>
      </c>
      <c r="C584" s="13">
        <v>2020</v>
      </c>
      <c r="D584" s="13"/>
      <c r="E584" s="13">
        <v>104</v>
      </c>
      <c r="F584" s="13">
        <v>4752</v>
      </c>
      <c r="G584" s="13">
        <v>2553673</v>
      </c>
      <c r="H584" s="13">
        <v>26</v>
      </c>
      <c r="I584" s="13">
        <v>17813</v>
      </c>
      <c r="J584" s="13">
        <v>209887</v>
      </c>
      <c r="K584" s="13">
        <v>487</v>
      </c>
    </row>
    <row r="585" spans="1:11">
      <c r="A585" s="11">
        <v>354850</v>
      </c>
      <c r="B585" s="12" t="s">
        <v>349</v>
      </c>
      <c r="C585" s="13">
        <v>2021</v>
      </c>
      <c r="D585" s="13"/>
      <c r="E585" s="13">
        <v>95</v>
      </c>
      <c r="F585" s="13">
        <v>7511</v>
      </c>
      <c r="G585" s="13">
        <v>3353951</v>
      </c>
      <c r="H585" s="13">
        <v>21</v>
      </c>
      <c r="I585" s="13">
        <v>14759</v>
      </c>
      <c r="J585" s="13">
        <v>269910</v>
      </c>
      <c r="K585" s="13">
        <v>8779</v>
      </c>
    </row>
    <row r="586" spans="1:11">
      <c r="A586" s="11">
        <v>354850</v>
      </c>
      <c r="B586" s="12" t="s">
        <v>349</v>
      </c>
      <c r="C586" s="13">
        <v>2022</v>
      </c>
      <c r="D586" s="13">
        <v>418608</v>
      </c>
      <c r="E586" s="13">
        <v>130</v>
      </c>
      <c r="F586" s="13">
        <v>5810</v>
      </c>
      <c r="G586" s="13">
        <v>3481975</v>
      </c>
      <c r="H586" s="13">
        <v>39</v>
      </c>
      <c r="I586" s="13">
        <v>13575</v>
      </c>
      <c r="J586" s="13">
        <v>285421</v>
      </c>
      <c r="K586" s="13">
        <v>791</v>
      </c>
    </row>
    <row r="587" spans="1:11">
      <c r="A587" s="11">
        <v>354850</v>
      </c>
      <c r="B587" s="12" t="s">
        <v>349</v>
      </c>
      <c r="C587" s="13">
        <v>2023</v>
      </c>
      <c r="D587" s="13"/>
      <c r="E587" s="13">
        <v>103</v>
      </c>
      <c r="F587" s="13">
        <v>6463</v>
      </c>
      <c r="G587" s="13">
        <v>3768271</v>
      </c>
      <c r="H587" s="13">
        <v>41</v>
      </c>
      <c r="I587" s="13">
        <v>12654</v>
      </c>
      <c r="J587" s="13">
        <v>293804</v>
      </c>
      <c r="K587" s="13">
        <v>1178</v>
      </c>
    </row>
    <row r="588" spans="1:11">
      <c r="A588" s="11">
        <v>354850</v>
      </c>
      <c r="B588" s="12" t="s">
        <v>349</v>
      </c>
      <c r="C588" s="13">
        <v>2024</v>
      </c>
      <c r="D588" s="13"/>
      <c r="E588" s="13">
        <v>119</v>
      </c>
      <c r="F588" s="13">
        <v>8532</v>
      </c>
      <c r="G588" s="13">
        <v>4185263</v>
      </c>
      <c r="H588" s="13">
        <v>29</v>
      </c>
      <c r="I588" s="13">
        <v>11762</v>
      </c>
      <c r="J588" s="13">
        <v>290123</v>
      </c>
      <c r="K588" s="13">
        <v>7022</v>
      </c>
    </row>
    <row r="589" spans="1:11">
      <c r="A589" s="11">
        <v>354850</v>
      </c>
      <c r="B589" s="12" t="s">
        <v>349</v>
      </c>
      <c r="C589" s="13">
        <v>2025</v>
      </c>
      <c r="D589" s="13"/>
      <c r="E589" s="13">
        <v>93</v>
      </c>
      <c r="F589" s="13">
        <v>6868</v>
      </c>
      <c r="G589" s="13">
        <v>3953773</v>
      </c>
      <c r="H589" s="13">
        <v>29</v>
      </c>
      <c r="I589" s="13">
        <v>10785</v>
      </c>
      <c r="J589" s="13">
        <v>257723</v>
      </c>
      <c r="K589" s="13">
        <v>6245</v>
      </c>
    </row>
    <row r="590" spans="1:11">
      <c r="A590" s="11">
        <v>354870</v>
      </c>
      <c r="B590" s="12" t="s">
        <v>350</v>
      </c>
      <c r="C590" s="13">
        <v>2014</v>
      </c>
      <c r="D590" s="13">
        <v>805895</v>
      </c>
      <c r="E590" s="13">
        <v>224</v>
      </c>
      <c r="F590" s="13">
        <v>900</v>
      </c>
      <c r="G590" s="13">
        <v>4488671</v>
      </c>
      <c r="H590" s="13">
        <v>264</v>
      </c>
      <c r="I590" s="13">
        <v>44615</v>
      </c>
      <c r="J590" s="13">
        <v>451076</v>
      </c>
      <c r="K590" s="13">
        <v>1196</v>
      </c>
    </row>
    <row r="591" spans="1:11">
      <c r="A591" s="11">
        <v>354870</v>
      </c>
      <c r="B591" s="12" t="s">
        <v>350</v>
      </c>
      <c r="C591" s="13">
        <v>2015</v>
      </c>
      <c r="D591" s="13">
        <v>816925</v>
      </c>
      <c r="E591" s="13">
        <v>115</v>
      </c>
      <c r="F591" s="13">
        <v>2249</v>
      </c>
      <c r="G591" s="13">
        <v>4445392</v>
      </c>
      <c r="H591" s="13">
        <v>175</v>
      </c>
      <c r="I591" s="13">
        <v>44550</v>
      </c>
      <c r="J591" s="13">
        <v>437571</v>
      </c>
      <c r="K591" s="13">
        <v>5277</v>
      </c>
    </row>
    <row r="592" spans="1:11">
      <c r="A592" s="11">
        <v>354870</v>
      </c>
      <c r="B592" s="12" t="s">
        <v>350</v>
      </c>
      <c r="C592" s="13">
        <v>2016</v>
      </c>
      <c r="D592" s="13"/>
      <c r="E592" s="13">
        <v>97</v>
      </c>
      <c r="F592" s="13">
        <v>1250</v>
      </c>
      <c r="G592" s="13">
        <v>4665159</v>
      </c>
      <c r="H592" s="13">
        <v>106</v>
      </c>
      <c r="I592" s="13">
        <v>42480</v>
      </c>
      <c r="J592" s="13">
        <v>419406</v>
      </c>
      <c r="K592" s="13">
        <v>1594</v>
      </c>
    </row>
    <row r="593" spans="1:11">
      <c r="A593" s="11">
        <v>354870</v>
      </c>
      <c r="B593" s="12" t="s">
        <v>350</v>
      </c>
      <c r="C593" s="13">
        <v>2017</v>
      </c>
      <c r="D593" s="13"/>
      <c r="E593" s="13">
        <v>121</v>
      </c>
      <c r="F593" s="13">
        <v>1786</v>
      </c>
      <c r="G593" s="13">
        <v>5048667</v>
      </c>
      <c r="H593" s="13">
        <v>62</v>
      </c>
      <c r="I593" s="13">
        <v>49450</v>
      </c>
      <c r="J593" s="13">
        <v>421631</v>
      </c>
      <c r="K593" s="13">
        <v>108</v>
      </c>
    </row>
    <row r="594" spans="1:11">
      <c r="A594" s="11">
        <v>354870</v>
      </c>
      <c r="B594" s="12" t="s">
        <v>350</v>
      </c>
      <c r="C594" s="13">
        <v>2018</v>
      </c>
      <c r="D594" s="13"/>
      <c r="E594" s="13">
        <v>112</v>
      </c>
      <c r="F594" s="13">
        <v>1524</v>
      </c>
      <c r="G594" s="13">
        <v>5339946</v>
      </c>
      <c r="H594" s="13">
        <v>32</v>
      </c>
      <c r="I594" s="13">
        <v>47466</v>
      </c>
      <c r="J594" s="13">
        <v>441381</v>
      </c>
      <c r="K594" s="13">
        <v>101</v>
      </c>
    </row>
    <row r="595" spans="1:11">
      <c r="A595" s="11">
        <v>354870</v>
      </c>
      <c r="B595" s="12" t="s">
        <v>350</v>
      </c>
      <c r="C595" s="13">
        <v>2019</v>
      </c>
      <c r="D595" s="13"/>
      <c r="E595" s="13">
        <v>132</v>
      </c>
      <c r="F595" s="13">
        <v>1539</v>
      </c>
      <c r="G595" s="13">
        <v>5545454</v>
      </c>
      <c r="H595" s="13">
        <v>52</v>
      </c>
      <c r="I595" s="13">
        <v>38923</v>
      </c>
      <c r="J595" s="13">
        <v>442534</v>
      </c>
      <c r="K595" s="13">
        <v>853</v>
      </c>
    </row>
    <row r="596" spans="1:11">
      <c r="A596" s="11">
        <v>354870</v>
      </c>
      <c r="B596" s="12" t="s">
        <v>350</v>
      </c>
      <c r="C596" s="13">
        <v>2020</v>
      </c>
      <c r="D596" s="13"/>
      <c r="E596" s="13">
        <v>105</v>
      </c>
      <c r="F596" s="13">
        <v>1576</v>
      </c>
      <c r="G596" s="13">
        <v>4629591</v>
      </c>
      <c r="H596" s="13">
        <v>22</v>
      </c>
      <c r="I596" s="13">
        <v>41649</v>
      </c>
      <c r="J596" s="13">
        <v>369727</v>
      </c>
      <c r="K596" s="13">
        <v>208</v>
      </c>
    </row>
    <row r="597" spans="1:11">
      <c r="A597" s="11">
        <v>354870</v>
      </c>
      <c r="B597" s="12" t="s">
        <v>350</v>
      </c>
      <c r="C597" s="13">
        <v>2021</v>
      </c>
      <c r="D597" s="13"/>
      <c r="E597" s="13">
        <v>93</v>
      </c>
      <c r="F597" s="13">
        <v>2299</v>
      </c>
      <c r="G597" s="13">
        <v>5772409</v>
      </c>
      <c r="H597" s="13">
        <v>26</v>
      </c>
      <c r="I597" s="13">
        <v>37192</v>
      </c>
      <c r="J597" s="13">
        <v>442474</v>
      </c>
      <c r="K597" s="13">
        <v>436</v>
      </c>
    </row>
    <row r="598" spans="1:11">
      <c r="A598" s="11">
        <v>354870</v>
      </c>
      <c r="B598" s="12" t="s">
        <v>350</v>
      </c>
      <c r="C598" s="13">
        <v>2022</v>
      </c>
      <c r="D598" s="13">
        <v>810729</v>
      </c>
      <c r="E598" s="13">
        <v>107</v>
      </c>
      <c r="F598" s="13">
        <v>2871</v>
      </c>
      <c r="G598" s="13">
        <v>5976758</v>
      </c>
      <c r="H598" s="13">
        <v>45</v>
      </c>
      <c r="I598" s="13">
        <v>40098</v>
      </c>
      <c r="J598" s="13">
        <v>516275</v>
      </c>
      <c r="K598" s="13">
        <v>335</v>
      </c>
    </row>
    <row r="599" spans="1:11">
      <c r="A599" s="11">
        <v>354870</v>
      </c>
      <c r="B599" s="12" t="s">
        <v>350</v>
      </c>
      <c r="C599" s="13">
        <v>2023</v>
      </c>
      <c r="D599" s="13"/>
      <c r="E599" s="13">
        <v>95</v>
      </c>
      <c r="F599" s="13">
        <v>2855</v>
      </c>
      <c r="G599" s="13">
        <v>6324953</v>
      </c>
      <c r="H599" s="13">
        <v>39</v>
      </c>
      <c r="I599" s="13">
        <v>41825</v>
      </c>
      <c r="J599" s="13">
        <v>540620</v>
      </c>
      <c r="K599" s="13">
        <v>169</v>
      </c>
    </row>
    <row r="600" spans="1:11">
      <c r="A600" s="11">
        <v>354870</v>
      </c>
      <c r="B600" s="12" t="s">
        <v>350</v>
      </c>
      <c r="C600" s="13">
        <v>2024</v>
      </c>
      <c r="D600" s="13"/>
      <c r="E600" s="13">
        <v>121</v>
      </c>
      <c r="F600" s="13">
        <v>2606</v>
      </c>
      <c r="G600" s="13">
        <v>6621523</v>
      </c>
      <c r="H600" s="13">
        <v>32</v>
      </c>
      <c r="I600" s="13">
        <v>41126</v>
      </c>
      <c r="J600" s="13">
        <v>529703</v>
      </c>
      <c r="K600" s="13">
        <v>16407</v>
      </c>
    </row>
    <row r="601" spans="1:11">
      <c r="A601" s="11">
        <v>354870</v>
      </c>
      <c r="B601" s="12" t="s">
        <v>350</v>
      </c>
      <c r="C601" s="13">
        <v>2025</v>
      </c>
      <c r="D601" s="13"/>
      <c r="E601" s="13">
        <v>127</v>
      </c>
      <c r="F601" s="13">
        <v>3422</v>
      </c>
      <c r="G601" s="13">
        <v>6219893</v>
      </c>
      <c r="H601" s="13">
        <v>33</v>
      </c>
      <c r="I601" s="13">
        <v>34869</v>
      </c>
      <c r="J601" s="13">
        <v>470925</v>
      </c>
      <c r="K601" s="13">
        <v>3754</v>
      </c>
    </row>
    <row r="602" spans="1:11">
      <c r="A602" s="11">
        <v>354980</v>
      </c>
      <c r="B602" s="12" t="s">
        <v>351</v>
      </c>
      <c r="C602" s="13">
        <v>2014</v>
      </c>
      <c r="D602" s="13">
        <v>434039</v>
      </c>
      <c r="E602" s="13">
        <v>138</v>
      </c>
      <c r="F602" s="13">
        <v>18501</v>
      </c>
      <c r="G602" s="13">
        <v>3595112</v>
      </c>
      <c r="H602" s="13">
        <v>82</v>
      </c>
      <c r="I602" s="13">
        <v>30122</v>
      </c>
      <c r="J602" s="13">
        <v>447899</v>
      </c>
      <c r="K602" s="13">
        <v>1521</v>
      </c>
    </row>
    <row r="603" spans="1:11">
      <c r="A603" s="11">
        <v>354980</v>
      </c>
      <c r="B603" s="12" t="s">
        <v>351</v>
      </c>
      <c r="C603" s="13">
        <v>2015</v>
      </c>
      <c r="D603" s="13">
        <v>442548</v>
      </c>
      <c r="E603" s="13">
        <v>163</v>
      </c>
      <c r="F603" s="13">
        <v>21191</v>
      </c>
      <c r="G603" s="13">
        <v>4007884</v>
      </c>
      <c r="H603" s="13">
        <v>177</v>
      </c>
      <c r="I603" s="13">
        <v>38122</v>
      </c>
      <c r="J603" s="13">
        <v>445484</v>
      </c>
      <c r="K603" s="13">
        <v>23747</v>
      </c>
    </row>
    <row r="604" spans="1:11">
      <c r="A604" s="11">
        <v>354980</v>
      </c>
      <c r="B604" s="12" t="s">
        <v>351</v>
      </c>
      <c r="C604" s="13">
        <v>2016</v>
      </c>
      <c r="D604" s="13"/>
      <c r="E604" s="13">
        <v>152</v>
      </c>
      <c r="F604" s="13">
        <v>21307</v>
      </c>
      <c r="G604" s="13">
        <v>4133247</v>
      </c>
      <c r="H604" s="13">
        <v>177</v>
      </c>
      <c r="I604" s="13">
        <v>38566</v>
      </c>
      <c r="J604" s="13">
        <v>454694</v>
      </c>
      <c r="K604" s="13">
        <v>17660</v>
      </c>
    </row>
    <row r="605" spans="1:11">
      <c r="A605" s="11">
        <v>354980</v>
      </c>
      <c r="B605" s="12" t="s">
        <v>351</v>
      </c>
      <c r="C605" s="13">
        <v>2017</v>
      </c>
      <c r="D605" s="13"/>
      <c r="E605" s="13">
        <v>126</v>
      </c>
      <c r="F605" s="13">
        <v>21454</v>
      </c>
      <c r="G605" s="13">
        <v>3958525</v>
      </c>
      <c r="H605" s="13">
        <v>135</v>
      </c>
      <c r="I605" s="13">
        <v>41123</v>
      </c>
      <c r="J605" s="13">
        <v>474962</v>
      </c>
      <c r="K605" s="13">
        <v>815</v>
      </c>
    </row>
    <row r="606" spans="1:11">
      <c r="A606" s="11">
        <v>354980</v>
      </c>
      <c r="B606" s="12" t="s">
        <v>351</v>
      </c>
      <c r="C606" s="13">
        <v>2018</v>
      </c>
      <c r="D606" s="13"/>
      <c r="E606" s="13">
        <v>150</v>
      </c>
      <c r="F606" s="13">
        <v>23634</v>
      </c>
      <c r="G606" s="13">
        <v>4431445</v>
      </c>
      <c r="H606" s="13">
        <v>129</v>
      </c>
      <c r="I606" s="13">
        <v>43233</v>
      </c>
      <c r="J606" s="13">
        <v>495399</v>
      </c>
      <c r="K606" s="13">
        <v>1546</v>
      </c>
    </row>
    <row r="607" spans="1:11">
      <c r="A607" s="11">
        <v>354980</v>
      </c>
      <c r="B607" s="12" t="s">
        <v>351</v>
      </c>
      <c r="C607" s="13">
        <v>2019</v>
      </c>
      <c r="D607" s="13"/>
      <c r="E607" s="13">
        <v>140</v>
      </c>
      <c r="F607" s="13">
        <v>22989</v>
      </c>
      <c r="G607" s="13">
        <v>4850162</v>
      </c>
      <c r="H607" s="13">
        <v>152</v>
      </c>
      <c r="I607" s="13">
        <v>27061</v>
      </c>
      <c r="J607" s="13">
        <v>507537</v>
      </c>
      <c r="K607" s="13">
        <v>38107</v>
      </c>
    </row>
    <row r="608" spans="1:11">
      <c r="A608" s="11">
        <v>354980</v>
      </c>
      <c r="B608" s="12" t="s">
        <v>351</v>
      </c>
      <c r="C608" s="13">
        <v>2020</v>
      </c>
      <c r="D608" s="13"/>
      <c r="E608" s="13">
        <v>129</v>
      </c>
      <c r="F608" s="13">
        <v>14678</v>
      </c>
      <c r="G608" s="13">
        <v>3864863</v>
      </c>
      <c r="H608" s="13">
        <v>144</v>
      </c>
      <c r="I608" s="13">
        <v>28260</v>
      </c>
      <c r="J608" s="13">
        <v>373785</v>
      </c>
      <c r="K608" s="13">
        <v>8142</v>
      </c>
    </row>
    <row r="609" spans="1:11">
      <c r="A609" s="11">
        <v>354980</v>
      </c>
      <c r="B609" s="12" t="s">
        <v>351</v>
      </c>
      <c r="C609" s="13">
        <v>2021</v>
      </c>
      <c r="D609" s="13"/>
      <c r="E609" s="13">
        <v>114</v>
      </c>
      <c r="F609" s="13">
        <v>15745</v>
      </c>
      <c r="G609" s="13">
        <v>4646108</v>
      </c>
      <c r="H609" s="13">
        <v>109</v>
      </c>
      <c r="I609" s="13">
        <v>26613</v>
      </c>
      <c r="J609" s="13">
        <v>435874</v>
      </c>
      <c r="K609" s="13">
        <v>23528</v>
      </c>
    </row>
    <row r="610" spans="1:11">
      <c r="A610" s="11">
        <v>354980</v>
      </c>
      <c r="B610" s="12" t="s">
        <v>351</v>
      </c>
      <c r="C610" s="13">
        <v>2022</v>
      </c>
      <c r="D610" s="13">
        <v>480393</v>
      </c>
      <c r="E610" s="13">
        <v>134</v>
      </c>
      <c r="F610" s="13">
        <v>20074</v>
      </c>
      <c r="G610" s="13">
        <v>5732402</v>
      </c>
      <c r="H610" s="13">
        <v>57</v>
      </c>
      <c r="I610" s="13">
        <v>28054</v>
      </c>
      <c r="J610" s="13">
        <v>567838</v>
      </c>
      <c r="K610" s="13">
        <v>25047</v>
      </c>
    </row>
    <row r="611" spans="1:11">
      <c r="A611" s="11">
        <v>354980</v>
      </c>
      <c r="B611" s="12" t="s">
        <v>351</v>
      </c>
      <c r="C611" s="13">
        <v>2023</v>
      </c>
      <c r="D611" s="13"/>
      <c r="E611" s="13">
        <v>144</v>
      </c>
      <c r="F611" s="13">
        <v>22770</v>
      </c>
      <c r="G611" s="13">
        <v>6111837</v>
      </c>
      <c r="H611" s="13">
        <v>103</v>
      </c>
      <c r="I611" s="13">
        <v>29110</v>
      </c>
      <c r="J611" s="13">
        <v>589265</v>
      </c>
      <c r="K611" s="13">
        <v>11004</v>
      </c>
    </row>
    <row r="612" spans="1:11">
      <c r="A612" s="11">
        <v>354980</v>
      </c>
      <c r="B612" s="12" t="s">
        <v>351</v>
      </c>
      <c r="C612" s="13">
        <v>2024</v>
      </c>
      <c r="D612" s="13"/>
      <c r="E612" s="13">
        <v>208</v>
      </c>
      <c r="F612" s="13">
        <v>23297</v>
      </c>
      <c r="G612" s="13">
        <v>6922325</v>
      </c>
      <c r="H612" s="13">
        <v>216</v>
      </c>
      <c r="I612" s="13">
        <v>26441</v>
      </c>
      <c r="J612" s="13">
        <v>595199</v>
      </c>
      <c r="K612" s="13">
        <v>42464</v>
      </c>
    </row>
    <row r="613" spans="1:11">
      <c r="A613" s="11">
        <v>354980</v>
      </c>
      <c r="B613" s="12" t="s">
        <v>351</v>
      </c>
      <c r="C613" s="13">
        <v>2025</v>
      </c>
      <c r="D613" s="13"/>
      <c r="E613" s="13">
        <v>177</v>
      </c>
      <c r="F613" s="13">
        <v>20841</v>
      </c>
      <c r="G613" s="13">
        <v>6493452</v>
      </c>
      <c r="H613" s="13">
        <v>151</v>
      </c>
      <c r="I613" s="13">
        <v>24244</v>
      </c>
      <c r="J613" s="13">
        <v>534829</v>
      </c>
      <c r="K613" s="13">
        <v>61596</v>
      </c>
    </row>
    <row r="614" spans="1:11">
      <c r="A614" s="11">
        <v>354990</v>
      </c>
      <c r="B614" s="12" t="s">
        <v>352</v>
      </c>
      <c r="C614" s="13">
        <v>2014</v>
      </c>
      <c r="D614" s="13">
        <v>673255</v>
      </c>
      <c r="E614" s="13">
        <v>150</v>
      </c>
      <c r="F614" s="13">
        <v>6494</v>
      </c>
      <c r="G614" s="13">
        <v>4253560</v>
      </c>
      <c r="H614" s="13">
        <v>46</v>
      </c>
      <c r="I614" s="13">
        <v>34313</v>
      </c>
      <c r="J614" s="13">
        <v>409743</v>
      </c>
      <c r="K614" s="13">
        <v>1089</v>
      </c>
    </row>
    <row r="615" spans="1:11">
      <c r="A615" s="11">
        <v>354990</v>
      </c>
      <c r="B615" s="12" t="s">
        <v>352</v>
      </c>
      <c r="C615" s="13">
        <v>2015</v>
      </c>
      <c r="D615" s="13">
        <v>688597</v>
      </c>
      <c r="E615" s="13">
        <v>154</v>
      </c>
      <c r="F615" s="13">
        <v>7922</v>
      </c>
      <c r="G615" s="13">
        <v>4116983</v>
      </c>
      <c r="H615" s="13">
        <v>44</v>
      </c>
      <c r="I615" s="13">
        <v>41318</v>
      </c>
      <c r="J615" s="13">
        <v>409007</v>
      </c>
      <c r="K615" s="13">
        <v>15165</v>
      </c>
    </row>
    <row r="616" spans="1:11">
      <c r="A616" s="11">
        <v>354990</v>
      </c>
      <c r="B616" s="12" t="s">
        <v>352</v>
      </c>
      <c r="C616" s="13">
        <v>2016</v>
      </c>
      <c r="D616" s="13"/>
      <c r="E616" s="13">
        <v>143</v>
      </c>
      <c r="F616" s="13">
        <v>4536</v>
      </c>
      <c r="G616" s="13">
        <v>4269999</v>
      </c>
      <c r="H616" s="13">
        <v>35</v>
      </c>
      <c r="I616" s="13">
        <v>57880</v>
      </c>
      <c r="J616" s="13">
        <v>389816</v>
      </c>
      <c r="K616" s="13">
        <v>1926</v>
      </c>
    </row>
    <row r="617" spans="1:11">
      <c r="A617" s="11">
        <v>354990</v>
      </c>
      <c r="B617" s="12" t="s">
        <v>352</v>
      </c>
      <c r="C617" s="13">
        <v>2017</v>
      </c>
      <c r="D617" s="13"/>
      <c r="E617" s="13">
        <v>168</v>
      </c>
      <c r="F617" s="13">
        <v>4824</v>
      </c>
      <c r="G617" s="13">
        <v>4518030</v>
      </c>
      <c r="H617" s="13">
        <v>30</v>
      </c>
      <c r="I617" s="13">
        <v>51840</v>
      </c>
      <c r="J617" s="13">
        <v>390705</v>
      </c>
      <c r="K617" s="13">
        <v>514</v>
      </c>
    </row>
    <row r="618" spans="1:11">
      <c r="A618" s="11">
        <v>354990</v>
      </c>
      <c r="B618" s="12" t="s">
        <v>352</v>
      </c>
      <c r="C618" s="13">
        <v>2018</v>
      </c>
      <c r="D618" s="13"/>
      <c r="E618" s="13">
        <v>143</v>
      </c>
      <c r="F618" s="13">
        <v>5136</v>
      </c>
      <c r="G618" s="13">
        <v>5292132</v>
      </c>
      <c r="H618" s="13">
        <v>44</v>
      </c>
      <c r="I618" s="13">
        <v>47820</v>
      </c>
      <c r="J618" s="13">
        <v>504439</v>
      </c>
      <c r="K618" s="13">
        <v>246</v>
      </c>
    </row>
    <row r="619" spans="1:11">
      <c r="A619" s="11">
        <v>354990</v>
      </c>
      <c r="B619" s="12" t="s">
        <v>352</v>
      </c>
      <c r="C619" s="13">
        <v>2019</v>
      </c>
      <c r="D619" s="13"/>
      <c r="E619" s="13">
        <v>144</v>
      </c>
      <c r="F619" s="13">
        <v>7907</v>
      </c>
      <c r="G619" s="13">
        <v>5885052</v>
      </c>
      <c r="H619" s="13">
        <v>54</v>
      </c>
      <c r="I619" s="13">
        <v>34921</v>
      </c>
      <c r="J619" s="13">
        <v>486638</v>
      </c>
      <c r="K619" s="13">
        <v>880</v>
      </c>
    </row>
    <row r="620" spans="1:11">
      <c r="A620" s="11">
        <v>354990</v>
      </c>
      <c r="B620" s="12" t="s">
        <v>352</v>
      </c>
      <c r="C620" s="13">
        <v>2020</v>
      </c>
      <c r="D620" s="13"/>
      <c r="E620" s="13">
        <v>135</v>
      </c>
      <c r="F620" s="13">
        <v>13213</v>
      </c>
      <c r="G620" s="13">
        <v>5530645</v>
      </c>
      <c r="H620" s="13">
        <v>29</v>
      </c>
      <c r="I620" s="13">
        <v>33819</v>
      </c>
      <c r="J620" s="13">
        <v>473990</v>
      </c>
      <c r="K620" s="13">
        <v>533</v>
      </c>
    </row>
    <row r="621" spans="1:11">
      <c r="A621" s="11">
        <v>354990</v>
      </c>
      <c r="B621" s="12" t="s">
        <v>352</v>
      </c>
      <c r="C621" s="13">
        <v>2021</v>
      </c>
      <c r="D621" s="13"/>
      <c r="E621" s="13">
        <v>161</v>
      </c>
      <c r="F621" s="13">
        <v>12181</v>
      </c>
      <c r="G621" s="13">
        <v>7274923</v>
      </c>
      <c r="H621" s="13">
        <v>26</v>
      </c>
      <c r="I621" s="13">
        <v>32953</v>
      </c>
      <c r="J621" s="13">
        <v>546869</v>
      </c>
      <c r="K621" s="13">
        <v>724</v>
      </c>
    </row>
    <row r="622" spans="1:11">
      <c r="A622" s="11">
        <v>354990</v>
      </c>
      <c r="B622" s="12" t="s">
        <v>352</v>
      </c>
      <c r="C622" s="13">
        <v>2022</v>
      </c>
      <c r="D622" s="13">
        <v>697054</v>
      </c>
      <c r="E622" s="13">
        <v>185</v>
      </c>
      <c r="F622" s="13">
        <v>17225</v>
      </c>
      <c r="G622" s="13">
        <v>7047627</v>
      </c>
      <c r="H622" s="13">
        <v>46</v>
      </c>
      <c r="I622" s="13">
        <v>30371</v>
      </c>
      <c r="J622" s="13">
        <v>513938</v>
      </c>
      <c r="K622" s="13">
        <v>2092</v>
      </c>
    </row>
    <row r="623" spans="1:11">
      <c r="A623" s="11">
        <v>354990</v>
      </c>
      <c r="B623" s="12" t="s">
        <v>352</v>
      </c>
      <c r="C623" s="13">
        <v>2023</v>
      </c>
      <c r="D623" s="13"/>
      <c r="E623" s="13">
        <v>194</v>
      </c>
      <c r="F623" s="13">
        <v>19676</v>
      </c>
      <c r="G623" s="13">
        <v>8003980</v>
      </c>
      <c r="H623" s="13">
        <v>47</v>
      </c>
      <c r="I623" s="13">
        <v>15479</v>
      </c>
      <c r="J623" s="13">
        <v>318188</v>
      </c>
      <c r="K623" s="13">
        <v>1288</v>
      </c>
    </row>
    <row r="624" spans="1:11">
      <c r="A624" s="11">
        <v>354990</v>
      </c>
      <c r="B624" s="12" t="s">
        <v>352</v>
      </c>
      <c r="C624" s="13">
        <v>2024</v>
      </c>
      <c r="D624" s="13"/>
      <c r="E624" s="13">
        <v>218</v>
      </c>
      <c r="F624" s="13">
        <v>21419</v>
      </c>
      <c r="G624" s="13">
        <v>8314201</v>
      </c>
      <c r="H624" s="13">
        <v>54</v>
      </c>
      <c r="I624" s="13">
        <v>2932</v>
      </c>
      <c r="J624" s="13">
        <v>15198</v>
      </c>
      <c r="K624" s="13">
        <v>101210</v>
      </c>
    </row>
    <row r="625" spans="1:11">
      <c r="A625" s="11">
        <v>354990</v>
      </c>
      <c r="B625" s="12" t="s">
        <v>352</v>
      </c>
      <c r="C625" s="13">
        <v>2025</v>
      </c>
      <c r="D625" s="13"/>
      <c r="E625" s="13">
        <v>199</v>
      </c>
      <c r="F625" s="13">
        <v>16640</v>
      </c>
      <c r="G625" s="13">
        <v>6333538</v>
      </c>
      <c r="H625" s="13">
        <v>30</v>
      </c>
      <c r="I625" s="13">
        <v>1619</v>
      </c>
      <c r="J625" s="13">
        <v>4135</v>
      </c>
      <c r="K625" s="13">
        <v>6752</v>
      </c>
    </row>
    <row r="626" spans="1:11">
      <c r="A626" s="11">
        <v>355030</v>
      </c>
      <c r="B626" s="12" t="s">
        <v>353</v>
      </c>
      <c r="C626" s="13">
        <v>2014</v>
      </c>
      <c r="D626" s="13">
        <v>11821873</v>
      </c>
      <c r="E626" s="13">
        <v>3296</v>
      </c>
      <c r="F626" s="13">
        <v>54578</v>
      </c>
      <c r="G626" s="13">
        <v>79666917</v>
      </c>
      <c r="H626" s="13">
        <v>3325</v>
      </c>
      <c r="I626" s="13">
        <v>739458</v>
      </c>
      <c r="J626" s="13">
        <v>6464971</v>
      </c>
      <c r="K626" s="13">
        <v>37383</v>
      </c>
    </row>
    <row r="627" spans="1:11">
      <c r="A627" s="11">
        <v>355030</v>
      </c>
      <c r="B627" s="12" t="s">
        <v>353</v>
      </c>
      <c r="C627" s="13">
        <v>2015</v>
      </c>
      <c r="D627" s="13">
        <v>11967825</v>
      </c>
      <c r="E627" s="13">
        <v>3215</v>
      </c>
      <c r="F627" s="13">
        <v>60188</v>
      </c>
      <c r="G627" s="13">
        <v>82035746</v>
      </c>
      <c r="H627" s="13">
        <v>2500</v>
      </c>
      <c r="I627" s="13">
        <v>757343</v>
      </c>
      <c r="J627" s="13">
        <v>6620872</v>
      </c>
      <c r="K627" s="13">
        <v>60427</v>
      </c>
    </row>
    <row r="628" spans="1:11">
      <c r="A628" s="11">
        <v>355030</v>
      </c>
      <c r="B628" s="12" t="s">
        <v>353</v>
      </c>
      <c r="C628" s="13">
        <v>2016</v>
      </c>
      <c r="D628" s="13"/>
      <c r="E628" s="13">
        <v>3176</v>
      </c>
      <c r="F628" s="13">
        <v>68590</v>
      </c>
      <c r="G628" s="13">
        <v>84086803</v>
      </c>
      <c r="H628" s="13">
        <v>2379</v>
      </c>
      <c r="I628" s="13">
        <v>801343</v>
      </c>
      <c r="J628" s="13">
        <v>7811065</v>
      </c>
      <c r="K628" s="13">
        <v>19791</v>
      </c>
    </row>
    <row r="629" spans="1:11">
      <c r="A629" s="11">
        <v>355030</v>
      </c>
      <c r="B629" s="12" t="s">
        <v>353</v>
      </c>
      <c r="C629" s="13">
        <v>2017</v>
      </c>
      <c r="D629" s="13"/>
      <c r="E629" s="13">
        <v>3367</v>
      </c>
      <c r="F629" s="13">
        <v>63395</v>
      </c>
      <c r="G629" s="13">
        <v>82320591</v>
      </c>
      <c r="H629" s="13">
        <v>2262</v>
      </c>
      <c r="I629" s="13">
        <v>872375</v>
      </c>
      <c r="J629" s="13">
        <v>8204898</v>
      </c>
      <c r="K629" s="13">
        <v>1071</v>
      </c>
    </row>
    <row r="630" spans="1:11">
      <c r="A630" s="11">
        <v>355030</v>
      </c>
      <c r="B630" s="12" t="s">
        <v>353</v>
      </c>
      <c r="C630" s="13">
        <v>2018</v>
      </c>
      <c r="D630" s="13"/>
      <c r="E630" s="13">
        <v>3266</v>
      </c>
      <c r="F630" s="13">
        <v>64043</v>
      </c>
      <c r="G630" s="13">
        <v>86208957</v>
      </c>
      <c r="H630" s="13">
        <v>1936</v>
      </c>
      <c r="I630" s="13">
        <v>839713</v>
      </c>
      <c r="J630" s="13">
        <v>8000108</v>
      </c>
      <c r="K630" s="13">
        <v>1281</v>
      </c>
    </row>
    <row r="631" spans="1:11">
      <c r="A631" s="11">
        <v>355030</v>
      </c>
      <c r="B631" s="12" t="s">
        <v>353</v>
      </c>
      <c r="C631" s="13">
        <v>2019</v>
      </c>
      <c r="D631" s="13"/>
      <c r="E631" s="13">
        <v>3009</v>
      </c>
      <c r="F631" s="13">
        <v>86657</v>
      </c>
      <c r="G631" s="13">
        <v>89321316</v>
      </c>
      <c r="H631" s="13">
        <v>1877</v>
      </c>
      <c r="I631" s="13">
        <v>863357</v>
      </c>
      <c r="J631" s="13">
        <v>8417700</v>
      </c>
      <c r="K631" s="13">
        <v>20899</v>
      </c>
    </row>
    <row r="632" spans="1:11">
      <c r="A632" s="11">
        <v>355030</v>
      </c>
      <c r="B632" s="12" t="s">
        <v>353</v>
      </c>
      <c r="C632" s="13">
        <v>2020</v>
      </c>
      <c r="D632" s="13"/>
      <c r="E632" s="13">
        <v>2554</v>
      </c>
      <c r="F632" s="13">
        <v>52623</v>
      </c>
      <c r="G632" s="13">
        <v>68990248</v>
      </c>
      <c r="H632" s="13">
        <v>1742</v>
      </c>
      <c r="I632" s="13">
        <v>839754</v>
      </c>
      <c r="J632" s="13">
        <v>6589841</v>
      </c>
      <c r="K632" s="13">
        <v>2507</v>
      </c>
    </row>
    <row r="633" spans="1:11">
      <c r="A633" s="11">
        <v>355030</v>
      </c>
      <c r="B633" s="12" t="s">
        <v>353</v>
      </c>
      <c r="C633" s="13">
        <v>2021</v>
      </c>
      <c r="D633" s="13"/>
      <c r="E633" s="13">
        <v>2416</v>
      </c>
      <c r="F633" s="13">
        <v>84350</v>
      </c>
      <c r="G633" s="13">
        <v>82500986</v>
      </c>
      <c r="H633" s="13">
        <v>1506</v>
      </c>
      <c r="I633" s="13">
        <v>768883</v>
      </c>
      <c r="J633" s="13">
        <v>8086209</v>
      </c>
      <c r="K633" s="13">
        <v>8803</v>
      </c>
    </row>
    <row r="634" spans="1:11">
      <c r="A634" s="11">
        <v>355030</v>
      </c>
      <c r="B634" s="12" t="s">
        <v>353</v>
      </c>
      <c r="C634" s="13">
        <v>2022</v>
      </c>
      <c r="D634" s="13">
        <v>11451999</v>
      </c>
      <c r="E634" s="13">
        <v>2352</v>
      </c>
      <c r="F634" s="13">
        <v>93044</v>
      </c>
      <c r="G634" s="13">
        <v>94638134</v>
      </c>
      <c r="H634" s="13">
        <v>1635</v>
      </c>
      <c r="I634" s="13">
        <v>739618</v>
      </c>
      <c r="J634" s="13">
        <v>9824929</v>
      </c>
      <c r="K634" s="13">
        <v>13191</v>
      </c>
    </row>
    <row r="635" spans="1:11">
      <c r="A635" s="11">
        <v>355030</v>
      </c>
      <c r="B635" s="12" t="s">
        <v>353</v>
      </c>
      <c r="C635" s="13">
        <v>2023</v>
      </c>
      <c r="D635" s="13"/>
      <c r="E635" s="13">
        <v>2468</v>
      </c>
      <c r="F635" s="13">
        <v>104477</v>
      </c>
      <c r="G635" s="13">
        <v>98844231</v>
      </c>
      <c r="H635" s="13">
        <v>1759</v>
      </c>
      <c r="I635" s="13">
        <v>775995</v>
      </c>
      <c r="J635" s="13">
        <v>10144582</v>
      </c>
      <c r="K635" s="13">
        <v>15421</v>
      </c>
    </row>
    <row r="636" spans="1:11">
      <c r="A636" s="11">
        <v>355030</v>
      </c>
      <c r="B636" s="12" t="s">
        <v>353</v>
      </c>
      <c r="C636" s="13">
        <v>2024</v>
      </c>
      <c r="D636" s="13"/>
      <c r="E636" s="13">
        <v>2825</v>
      </c>
      <c r="F636" s="13">
        <v>119994</v>
      </c>
      <c r="G636" s="13">
        <v>92912655</v>
      </c>
      <c r="H636" s="13">
        <v>1925</v>
      </c>
      <c r="I636" s="13">
        <v>705503</v>
      </c>
      <c r="J636" s="13">
        <v>10827294</v>
      </c>
      <c r="K636" s="13">
        <v>658285</v>
      </c>
    </row>
    <row r="637" spans="1:11">
      <c r="A637" s="11">
        <v>355030</v>
      </c>
      <c r="B637" s="12" t="s">
        <v>353</v>
      </c>
      <c r="C637" s="13">
        <v>2025</v>
      </c>
      <c r="D637" s="13"/>
      <c r="E637" s="13">
        <v>2375</v>
      </c>
      <c r="F637" s="13">
        <v>108119</v>
      </c>
      <c r="G637" s="13">
        <v>80864076</v>
      </c>
      <c r="H637" s="13">
        <v>1417</v>
      </c>
      <c r="I637" s="13">
        <v>623503</v>
      </c>
      <c r="J637" s="13">
        <v>9078313</v>
      </c>
      <c r="K637" s="13">
        <v>72585</v>
      </c>
    </row>
    <row r="638" spans="1:11">
      <c r="A638" s="11">
        <v>355220</v>
      </c>
      <c r="B638" s="12" t="s">
        <v>354</v>
      </c>
      <c r="C638" s="13">
        <v>2014</v>
      </c>
      <c r="D638" s="13">
        <v>629231</v>
      </c>
      <c r="E638" s="13">
        <v>87</v>
      </c>
      <c r="F638" s="13">
        <v>6450</v>
      </c>
      <c r="G638" s="13">
        <v>3657894</v>
      </c>
      <c r="H638" s="13">
        <v>36</v>
      </c>
      <c r="I638" s="13">
        <v>41368</v>
      </c>
      <c r="J638" s="13">
        <v>513512</v>
      </c>
      <c r="K638" s="13">
        <v>653</v>
      </c>
    </row>
    <row r="639" spans="1:11">
      <c r="A639" s="11">
        <v>355220</v>
      </c>
      <c r="B639" s="12" t="s">
        <v>354</v>
      </c>
      <c r="C639" s="13">
        <v>2015</v>
      </c>
      <c r="D639" s="13">
        <v>644919</v>
      </c>
      <c r="E639" s="13">
        <v>88</v>
      </c>
      <c r="F639" s="13">
        <v>6282</v>
      </c>
      <c r="G639" s="13">
        <v>4150589</v>
      </c>
      <c r="H639" s="13">
        <v>38</v>
      </c>
      <c r="I639" s="13">
        <v>44674</v>
      </c>
      <c r="J639" s="13">
        <v>500550</v>
      </c>
      <c r="K639" s="13">
        <v>58225</v>
      </c>
    </row>
    <row r="640" spans="1:11">
      <c r="A640" s="11">
        <v>355220</v>
      </c>
      <c r="B640" s="12" t="s">
        <v>354</v>
      </c>
      <c r="C640" s="13">
        <v>2016</v>
      </c>
      <c r="D640" s="13"/>
      <c r="E640" s="13">
        <v>82</v>
      </c>
      <c r="F640" s="13">
        <v>7820</v>
      </c>
      <c r="G640" s="13">
        <v>4842569</v>
      </c>
      <c r="H640" s="13">
        <v>63</v>
      </c>
      <c r="I640" s="13">
        <v>69979</v>
      </c>
      <c r="J640" s="13">
        <v>445771</v>
      </c>
      <c r="K640" s="13">
        <v>465</v>
      </c>
    </row>
    <row r="641" spans="1:11">
      <c r="A641" s="11">
        <v>355220</v>
      </c>
      <c r="B641" s="12" t="s">
        <v>354</v>
      </c>
      <c r="C641" s="13">
        <v>2017</v>
      </c>
      <c r="D641" s="13"/>
      <c r="E641" s="13">
        <v>90</v>
      </c>
      <c r="F641" s="13">
        <v>10482</v>
      </c>
      <c r="G641" s="13">
        <v>5127377</v>
      </c>
      <c r="H641" s="13">
        <v>59</v>
      </c>
      <c r="I641" s="13">
        <v>77303</v>
      </c>
      <c r="J641" s="13">
        <v>430265</v>
      </c>
      <c r="K641" s="13">
        <v>82</v>
      </c>
    </row>
    <row r="642" spans="1:11">
      <c r="A642" s="11">
        <v>355220</v>
      </c>
      <c r="B642" s="12" t="s">
        <v>354</v>
      </c>
      <c r="C642" s="13">
        <v>2018</v>
      </c>
      <c r="D642" s="13"/>
      <c r="E642" s="13">
        <v>120</v>
      </c>
      <c r="F642" s="13">
        <v>12894</v>
      </c>
      <c r="G642" s="13">
        <v>5056445</v>
      </c>
      <c r="H642" s="13">
        <v>76</v>
      </c>
      <c r="I642" s="13">
        <v>75136</v>
      </c>
      <c r="J642" s="13">
        <v>412410</v>
      </c>
      <c r="K642" s="13">
        <v>87</v>
      </c>
    </row>
    <row r="643" spans="1:11">
      <c r="A643" s="11">
        <v>355220</v>
      </c>
      <c r="B643" s="12" t="s">
        <v>354</v>
      </c>
      <c r="C643" s="13">
        <v>2019</v>
      </c>
      <c r="D643" s="13"/>
      <c r="E643" s="13">
        <v>137</v>
      </c>
      <c r="F643" s="13">
        <v>11544</v>
      </c>
      <c r="G643" s="13">
        <v>5885849</v>
      </c>
      <c r="H643" s="13">
        <v>77</v>
      </c>
      <c r="I643" s="13">
        <v>48601</v>
      </c>
      <c r="J643" s="13">
        <v>449664</v>
      </c>
      <c r="K643" s="13">
        <v>1372</v>
      </c>
    </row>
    <row r="644" spans="1:11">
      <c r="A644" s="11">
        <v>355220</v>
      </c>
      <c r="B644" s="12" t="s">
        <v>354</v>
      </c>
      <c r="C644" s="13">
        <v>2020</v>
      </c>
      <c r="D644" s="13"/>
      <c r="E644" s="13">
        <v>155</v>
      </c>
      <c r="F644" s="13">
        <v>7946</v>
      </c>
      <c r="G644" s="13">
        <v>4969128</v>
      </c>
      <c r="H644" s="13">
        <v>86</v>
      </c>
      <c r="I644" s="13">
        <v>44226</v>
      </c>
      <c r="J644" s="13">
        <v>325413</v>
      </c>
      <c r="K644" s="13">
        <v>2270</v>
      </c>
    </row>
    <row r="645" spans="1:11">
      <c r="A645" s="11">
        <v>355220</v>
      </c>
      <c r="B645" s="12" t="s">
        <v>354</v>
      </c>
      <c r="C645" s="13">
        <v>2021</v>
      </c>
      <c r="D645" s="13"/>
      <c r="E645" s="13">
        <v>169</v>
      </c>
      <c r="F645" s="13">
        <v>9969</v>
      </c>
      <c r="G645" s="13">
        <v>5623149</v>
      </c>
      <c r="H645" s="13">
        <v>95</v>
      </c>
      <c r="I645" s="13">
        <v>39628</v>
      </c>
      <c r="J645" s="13">
        <v>310571</v>
      </c>
      <c r="K645" s="13">
        <v>1555</v>
      </c>
    </row>
    <row r="646" spans="1:11">
      <c r="A646" s="11">
        <v>355220</v>
      </c>
      <c r="B646" s="12" t="s">
        <v>354</v>
      </c>
      <c r="C646" s="13">
        <v>2022</v>
      </c>
      <c r="D646" s="13">
        <v>723682</v>
      </c>
      <c r="E646" s="13">
        <v>152</v>
      </c>
      <c r="F646" s="13">
        <v>11832</v>
      </c>
      <c r="G646" s="13">
        <v>5238587</v>
      </c>
      <c r="H646" s="13">
        <v>95</v>
      </c>
      <c r="I646" s="13">
        <v>35056</v>
      </c>
      <c r="J646" s="13">
        <v>380518</v>
      </c>
      <c r="K646" s="13">
        <v>1530</v>
      </c>
    </row>
    <row r="647" spans="1:11">
      <c r="A647" s="11">
        <v>355220</v>
      </c>
      <c r="B647" s="12" t="s">
        <v>354</v>
      </c>
      <c r="C647" s="13">
        <v>2023</v>
      </c>
      <c r="D647" s="13"/>
      <c r="E647" s="13">
        <v>135</v>
      </c>
      <c r="F647" s="13">
        <v>12012</v>
      </c>
      <c r="G647" s="13">
        <v>5765269</v>
      </c>
      <c r="H647" s="13">
        <v>103</v>
      </c>
      <c r="I647" s="13">
        <v>42747</v>
      </c>
      <c r="J647" s="13">
        <v>480642</v>
      </c>
      <c r="K647" s="13">
        <v>5909</v>
      </c>
    </row>
    <row r="648" spans="1:11">
      <c r="A648" s="11">
        <v>355220</v>
      </c>
      <c r="B648" s="12" t="s">
        <v>354</v>
      </c>
      <c r="C648" s="13">
        <v>2024</v>
      </c>
      <c r="D648" s="13"/>
      <c r="E648" s="13">
        <v>208</v>
      </c>
      <c r="F648" s="13">
        <v>11615</v>
      </c>
      <c r="G648" s="13">
        <v>6132288</v>
      </c>
      <c r="H648" s="13">
        <v>106</v>
      </c>
      <c r="I648" s="13">
        <v>43611</v>
      </c>
      <c r="J648" s="13">
        <v>465306</v>
      </c>
      <c r="K648" s="13">
        <v>52051</v>
      </c>
    </row>
    <row r="649" spans="1:11">
      <c r="A649" s="11">
        <v>355220</v>
      </c>
      <c r="B649" s="12" t="s">
        <v>354</v>
      </c>
      <c r="C649" s="13">
        <v>2025</v>
      </c>
      <c r="D649" s="13"/>
      <c r="E649" s="13">
        <v>161</v>
      </c>
      <c r="F649" s="13">
        <v>10018</v>
      </c>
      <c r="G649" s="13">
        <v>5481509</v>
      </c>
      <c r="H649" s="13">
        <v>89</v>
      </c>
      <c r="I649" s="13">
        <v>36952</v>
      </c>
      <c r="J649" s="13">
        <v>398150</v>
      </c>
      <c r="K649" s="13">
        <v>15056</v>
      </c>
    </row>
    <row r="650" spans="1:11">
      <c r="A650" s="11">
        <v>410690</v>
      </c>
      <c r="B650" s="12" t="s">
        <v>355</v>
      </c>
      <c r="C650" s="13">
        <v>2014</v>
      </c>
      <c r="D650" s="13">
        <v>1848946</v>
      </c>
      <c r="E650" s="13">
        <v>420</v>
      </c>
      <c r="F650" s="13">
        <v>15330</v>
      </c>
      <c r="G650" s="13">
        <v>13428432</v>
      </c>
      <c r="H650" s="13">
        <v>118</v>
      </c>
      <c r="I650" s="13">
        <v>163591</v>
      </c>
      <c r="J650" s="13">
        <v>1860137</v>
      </c>
      <c r="K650" s="13">
        <v>86</v>
      </c>
    </row>
    <row r="651" spans="1:11">
      <c r="A651" s="11">
        <v>410690</v>
      </c>
      <c r="B651" s="12" t="s">
        <v>355</v>
      </c>
      <c r="C651" s="13">
        <v>2015</v>
      </c>
      <c r="D651" s="13">
        <v>1879355</v>
      </c>
      <c r="E651" s="13">
        <v>448</v>
      </c>
      <c r="F651" s="13">
        <v>18229</v>
      </c>
      <c r="G651" s="13">
        <v>13775379</v>
      </c>
      <c r="H651" s="13">
        <v>139</v>
      </c>
      <c r="I651" s="13">
        <v>161455</v>
      </c>
      <c r="J651" s="13">
        <v>1727119</v>
      </c>
      <c r="K651" s="13">
        <v>315</v>
      </c>
    </row>
    <row r="652" spans="1:11">
      <c r="A652" s="11">
        <v>410690</v>
      </c>
      <c r="B652" s="12" t="s">
        <v>355</v>
      </c>
      <c r="C652" s="13">
        <v>2016</v>
      </c>
      <c r="D652" s="13"/>
      <c r="E652" s="13">
        <v>444</v>
      </c>
      <c r="F652" s="13">
        <v>17063</v>
      </c>
      <c r="G652" s="13">
        <v>13567576</v>
      </c>
      <c r="H652" s="13">
        <v>170</v>
      </c>
      <c r="I652" s="13">
        <v>148097</v>
      </c>
      <c r="J652" s="13">
        <v>1691721</v>
      </c>
      <c r="K652" s="13">
        <v>1072</v>
      </c>
    </row>
    <row r="653" spans="1:11">
      <c r="A653" s="11">
        <v>410690</v>
      </c>
      <c r="B653" s="12" t="s">
        <v>355</v>
      </c>
      <c r="C653" s="13">
        <v>2017</v>
      </c>
      <c r="D653" s="13"/>
      <c r="E653" s="13">
        <v>414</v>
      </c>
      <c r="F653" s="13">
        <v>18170</v>
      </c>
      <c r="G653" s="13">
        <v>14223478</v>
      </c>
      <c r="H653" s="13">
        <v>180</v>
      </c>
      <c r="I653" s="13">
        <v>137032</v>
      </c>
      <c r="J653" s="13">
        <v>1646964</v>
      </c>
      <c r="K653" s="13">
        <v>90</v>
      </c>
    </row>
    <row r="654" spans="1:11">
      <c r="A654" s="11">
        <v>410690</v>
      </c>
      <c r="B654" s="12" t="s">
        <v>355</v>
      </c>
      <c r="C654" s="13">
        <v>2018</v>
      </c>
      <c r="D654" s="13"/>
      <c r="E654" s="13">
        <v>407</v>
      </c>
      <c r="F654" s="13">
        <v>17402</v>
      </c>
      <c r="G654" s="13">
        <v>15500170</v>
      </c>
      <c r="H654" s="13">
        <v>270</v>
      </c>
      <c r="I654" s="13">
        <v>128168</v>
      </c>
      <c r="J654" s="13">
        <v>1576851</v>
      </c>
      <c r="K654" s="13">
        <v>53</v>
      </c>
    </row>
    <row r="655" spans="1:11">
      <c r="A655" s="11">
        <v>410690</v>
      </c>
      <c r="B655" s="12" t="s">
        <v>355</v>
      </c>
      <c r="C655" s="13">
        <v>2019</v>
      </c>
      <c r="D655" s="13"/>
      <c r="E655" s="13">
        <v>365</v>
      </c>
      <c r="F655" s="13">
        <v>18363</v>
      </c>
      <c r="G655" s="13">
        <v>17742788</v>
      </c>
      <c r="H655" s="13">
        <v>251</v>
      </c>
      <c r="I655" s="13">
        <v>125290</v>
      </c>
      <c r="J655" s="13">
        <v>1602074</v>
      </c>
      <c r="K655" s="13">
        <v>176</v>
      </c>
    </row>
    <row r="656" spans="1:11">
      <c r="A656" s="11">
        <v>410690</v>
      </c>
      <c r="B656" s="12" t="s">
        <v>355</v>
      </c>
      <c r="C656" s="13">
        <v>2020</v>
      </c>
      <c r="D656" s="13"/>
      <c r="E656" s="13">
        <v>484</v>
      </c>
      <c r="F656" s="13">
        <v>12287</v>
      </c>
      <c r="G656" s="13">
        <v>12265240</v>
      </c>
      <c r="H656" s="13">
        <v>156</v>
      </c>
      <c r="I656" s="13">
        <v>109622</v>
      </c>
      <c r="J656" s="13">
        <v>1139435</v>
      </c>
      <c r="K656" s="13">
        <v>380</v>
      </c>
    </row>
    <row r="657" spans="1:11">
      <c r="A657" s="11">
        <v>410690</v>
      </c>
      <c r="B657" s="12" t="s">
        <v>355</v>
      </c>
      <c r="C657" s="13">
        <v>2021</v>
      </c>
      <c r="D657" s="13"/>
      <c r="E657" s="13">
        <v>621</v>
      </c>
      <c r="F657" s="13">
        <v>16173</v>
      </c>
      <c r="G657" s="13">
        <v>14128178</v>
      </c>
      <c r="H657" s="13">
        <v>277</v>
      </c>
      <c r="I657" s="13">
        <v>88771</v>
      </c>
      <c r="J657" s="13">
        <v>1430382</v>
      </c>
      <c r="K657" s="13">
        <v>60</v>
      </c>
    </row>
    <row r="658" spans="1:11">
      <c r="A658" s="11">
        <v>410690</v>
      </c>
      <c r="B658" s="12" t="s">
        <v>355</v>
      </c>
      <c r="C658" s="13">
        <v>2022</v>
      </c>
      <c r="D658" s="13">
        <v>1773718</v>
      </c>
      <c r="E658" s="13">
        <v>585</v>
      </c>
      <c r="F658" s="13">
        <v>18935</v>
      </c>
      <c r="G658" s="13">
        <v>17840264</v>
      </c>
      <c r="H658" s="13">
        <v>277</v>
      </c>
      <c r="I658" s="13">
        <v>106402</v>
      </c>
      <c r="J658" s="13">
        <v>1853419</v>
      </c>
      <c r="K658" s="13">
        <v>254</v>
      </c>
    </row>
    <row r="659" spans="1:11">
      <c r="A659" s="11">
        <v>410690</v>
      </c>
      <c r="B659" s="12" t="s">
        <v>355</v>
      </c>
      <c r="C659" s="13">
        <v>2023</v>
      </c>
      <c r="D659" s="13"/>
      <c r="E659" s="13">
        <v>561</v>
      </c>
      <c r="F659" s="13">
        <v>20607</v>
      </c>
      <c r="G659" s="13">
        <v>22153789</v>
      </c>
      <c r="H659" s="13">
        <v>361</v>
      </c>
      <c r="I659" s="13">
        <v>111214</v>
      </c>
      <c r="J659" s="13">
        <v>1924282</v>
      </c>
      <c r="K659" s="13">
        <v>809</v>
      </c>
    </row>
    <row r="660" spans="1:11">
      <c r="A660" s="11">
        <v>410690</v>
      </c>
      <c r="B660" s="12" t="s">
        <v>355</v>
      </c>
      <c r="C660" s="13">
        <v>2024</v>
      </c>
      <c r="D660" s="13"/>
      <c r="E660" s="13">
        <v>656</v>
      </c>
      <c r="F660" s="13">
        <v>21035</v>
      </c>
      <c r="G660" s="13">
        <v>24833615</v>
      </c>
      <c r="H660" s="13">
        <v>371</v>
      </c>
      <c r="I660" s="13">
        <v>113298</v>
      </c>
      <c r="J660" s="13">
        <v>1961400</v>
      </c>
      <c r="K660" s="13">
        <v>19730</v>
      </c>
    </row>
    <row r="661" spans="1:11">
      <c r="A661" s="11">
        <v>410690</v>
      </c>
      <c r="B661" s="12" t="s">
        <v>355</v>
      </c>
      <c r="C661" s="13">
        <v>2025</v>
      </c>
      <c r="D661" s="13"/>
      <c r="E661" s="13">
        <v>650</v>
      </c>
      <c r="F661" s="13">
        <v>19279</v>
      </c>
      <c r="G661" s="13">
        <v>21617394</v>
      </c>
      <c r="H661" s="13">
        <v>418</v>
      </c>
      <c r="I661" s="13">
        <v>111393</v>
      </c>
      <c r="J661" s="13">
        <v>1675704</v>
      </c>
      <c r="K661" s="13">
        <v>1869</v>
      </c>
    </row>
    <row r="662" spans="1:11">
      <c r="A662" s="11">
        <v>411370</v>
      </c>
      <c r="B662" s="12" t="s">
        <v>356</v>
      </c>
      <c r="C662" s="13">
        <v>2014</v>
      </c>
      <c r="D662" s="13">
        <v>537566</v>
      </c>
      <c r="E662" s="13">
        <v>154</v>
      </c>
      <c r="F662" s="13">
        <v>8455</v>
      </c>
      <c r="G662" s="13">
        <v>4517475</v>
      </c>
      <c r="H662" s="13">
        <v>67</v>
      </c>
      <c r="I662" s="13">
        <v>45408</v>
      </c>
      <c r="J662" s="13">
        <v>397181</v>
      </c>
      <c r="K662" s="13">
        <v>1724</v>
      </c>
    </row>
    <row r="663" spans="1:11">
      <c r="A663" s="11">
        <v>411370</v>
      </c>
      <c r="B663" s="12" t="s">
        <v>356</v>
      </c>
      <c r="C663" s="13">
        <v>2015</v>
      </c>
      <c r="D663" s="13">
        <v>548249</v>
      </c>
      <c r="E663" s="13">
        <v>138</v>
      </c>
      <c r="F663" s="13">
        <v>9962</v>
      </c>
      <c r="G663" s="13">
        <v>4647121</v>
      </c>
      <c r="H663" s="13">
        <v>97</v>
      </c>
      <c r="I663" s="13">
        <v>16060</v>
      </c>
      <c r="J663" s="13">
        <v>333955</v>
      </c>
      <c r="K663" s="13">
        <v>3289</v>
      </c>
    </row>
    <row r="664" spans="1:11">
      <c r="A664" s="11">
        <v>411370</v>
      </c>
      <c r="B664" s="12" t="s">
        <v>356</v>
      </c>
      <c r="C664" s="13">
        <v>2016</v>
      </c>
      <c r="D664" s="13"/>
      <c r="E664" s="13">
        <v>136</v>
      </c>
      <c r="F664" s="13">
        <v>8891</v>
      </c>
      <c r="G664" s="13">
        <v>4845388</v>
      </c>
      <c r="H664" s="13">
        <v>120</v>
      </c>
      <c r="I664" s="13">
        <v>24847</v>
      </c>
      <c r="J664" s="13">
        <v>315857</v>
      </c>
      <c r="K664" s="13">
        <v>5300</v>
      </c>
    </row>
    <row r="665" spans="1:11">
      <c r="A665" s="11">
        <v>411370</v>
      </c>
      <c r="B665" s="12" t="s">
        <v>356</v>
      </c>
      <c r="C665" s="13">
        <v>2017</v>
      </c>
      <c r="D665" s="13"/>
      <c r="E665" s="13">
        <v>155</v>
      </c>
      <c r="F665" s="13">
        <v>7143</v>
      </c>
      <c r="G665" s="13">
        <v>4877150</v>
      </c>
      <c r="H665" s="13">
        <v>69</v>
      </c>
      <c r="I665" s="13">
        <v>31365</v>
      </c>
      <c r="J665" s="13">
        <v>175170</v>
      </c>
      <c r="K665" s="13">
        <v>113</v>
      </c>
    </row>
    <row r="666" spans="1:11">
      <c r="A666" s="11">
        <v>411370</v>
      </c>
      <c r="B666" s="12" t="s">
        <v>356</v>
      </c>
      <c r="C666" s="13">
        <v>2018</v>
      </c>
      <c r="D666" s="13"/>
      <c r="E666" s="13">
        <v>164</v>
      </c>
      <c r="F666" s="13">
        <v>10209</v>
      </c>
      <c r="G666" s="13">
        <v>4903101</v>
      </c>
      <c r="H666" s="13">
        <v>94</v>
      </c>
      <c r="I666" s="13">
        <v>6595</v>
      </c>
      <c r="J666" s="13">
        <v>6770</v>
      </c>
      <c r="K666" s="13">
        <v>113</v>
      </c>
    </row>
    <row r="667" spans="1:11">
      <c r="A667" s="11">
        <v>411370</v>
      </c>
      <c r="B667" s="12" t="s">
        <v>356</v>
      </c>
      <c r="C667" s="13">
        <v>2019</v>
      </c>
      <c r="D667" s="13"/>
      <c r="E667" s="13">
        <v>204</v>
      </c>
      <c r="F667" s="13">
        <v>10753</v>
      </c>
      <c r="G667" s="13">
        <v>5341253</v>
      </c>
      <c r="H667" s="13">
        <v>89</v>
      </c>
      <c r="I667" s="13">
        <v>5376</v>
      </c>
      <c r="J667" s="13">
        <v>7187</v>
      </c>
      <c r="K667" s="13">
        <v>3948</v>
      </c>
    </row>
    <row r="668" spans="1:11">
      <c r="A668" s="11">
        <v>411370</v>
      </c>
      <c r="B668" s="12" t="s">
        <v>356</v>
      </c>
      <c r="C668" s="13">
        <v>2020</v>
      </c>
      <c r="D668" s="13"/>
      <c r="E668" s="13">
        <v>170</v>
      </c>
      <c r="F668" s="13">
        <v>4971</v>
      </c>
      <c r="G668" s="13">
        <v>3930739</v>
      </c>
      <c r="H668" s="13">
        <v>55</v>
      </c>
      <c r="I668" s="13">
        <v>4254</v>
      </c>
      <c r="J668" s="13">
        <v>3303</v>
      </c>
      <c r="K668" s="13">
        <v>43885</v>
      </c>
    </row>
    <row r="669" spans="1:11">
      <c r="A669" s="11">
        <v>411370</v>
      </c>
      <c r="B669" s="12" t="s">
        <v>356</v>
      </c>
      <c r="C669" s="13">
        <v>2021</v>
      </c>
      <c r="D669" s="13"/>
      <c r="E669" s="13">
        <v>155</v>
      </c>
      <c r="F669" s="13">
        <v>6039</v>
      </c>
      <c r="G669" s="13">
        <v>4518212</v>
      </c>
      <c r="H669" s="13">
        <v>28</v>
      </c>
      <c r="I669" s="13">
        <v>2754</v>
      </c>
      <c r="J669" s="13">
        <v>3270</v>
      </c>
      <c r="K669" s="13">
        <v>7493</v>
      </c>
    </row>
    <row r="670" spans="1:11">
      <c r="A670" s="11">
        <v>411370</v>
      </c>
      <c r="B670" s="12" t="s">
        <v>356</v>
      </c>
      <c r="C670" s="13">
        <v>2022</v>
      </c>
      <c r="D670" s="13">
        <v>555965</v>
      </c>
      <c r="E670" s="13">
        <v>217</v>
      </c>
      <c r="F670" s="13">
        <v>6602</v>
      </c>
      <c r="G670" s="13">
        <v>5317863</v>
      </c>
      <c r="H670" s="13">
        <v>51</v>
      </c>
      <c r="I670" s="13">
        <v>2346</v>
      </c>
      <c r="J670" s="13">
        <v>4774</v>
      </c>
      <c r="K670" s="13">
        <v>3676</v>
      </c>
    </row>
    <row r="671" spans="1:11">
      <c r="A671" s="11">
        <v>411370</v>
      </c>
      <c r="B671" s="12" t="s">
        <v>356</v>
      </c>
      <c r="C671" s="13">
        <v>2023</v>
      </c>
      <c r="D671" s="13"/>
      <c r="E671" s="13">
        <v>282</v>
      </c>
      <c r="F671" s="13">
        <v>10360</v>
      </c>
      <c r="G671" s="13">
        <v>6103113</v>
      </c>
      <c r="H671" s="13">
        <v>76</v>
      </c>
      <c r="I671" s="13">
        <v>2018</v>
      </c>
      <c r="J671" s="13">
        <v>4944</v>
      </c>
      <c r="K671" s="13">
        <v>47289</v>
      </c>
    </row>
    <row r="672" spans="1:11">
      <c r="A672" s="11">
        <v>411370</v>
      </c>
      <c r="B672" s="12" t="s">
        <v>356</v>
      </c>
      <c r="C672" s="13">
        <v>2024</v>
      </c>
      <c r="D672" s="13"/>
      <c r="E672" s="13">
        <v>357</v>
      </c>
      <c r="F672" s="13">
        <v>11666</v>
      </c>
      <c r="G672" s="13">
        <v>6394513</v>
      </c>
      <c r="H672" s="13">
        <v>78</v>
      </c>
      <c r="I672" s="13">
        <v>2021</v>
      </c>
      <c r="J672" s="13">
        <v>1853</v>
      </c>
      <c r="K672" s="13">
        <v>50300</v>
      </c>
    </row>
    <row r="673" spans="1:11">
      <c r="A673" s="11">
        <v>411370</v>
      </c>
      <c r="B673" s="12" t="s">
        <v>356</v>
      </c>
      <c r="C673" s="13">
        <v>2025</v>
      </c>
      <c r="D673" s="13"/>
      <c r="E673" s="13">
        <v>229</v>
      </c>
      <c r="F673" s="13">
        <v>9710</v>
      </c>
      <c r="G673" s="13">
        <v>5432005</v>
      </c>
      <c r="H673" s="13">
        <v>71</v>
      </c>
      <c r="I673" s="13">
        <v>1793</v>
      </c>
      <c r="J673" s="13">
        <v>1382</v>
      </c>
      <c r="K673" s="13">
        <v>7728</v>
      </c>
    </row>
    <row r="674" spans="1:11">
      <c r="A674" s="11">
        <v>411520</v>
      </c>
      <c r="B674" s="12" t="s">
        <v>357</v>
      </c>
      <c r="C674" s="13">
        <v>2014</v>
      </c>
      <c r="D674" s="13">
        <v>385753</v>
      </c>
      <c r="E674" s="13">
        <v>337</v>
      </c>
      <c r="F674" s="13">
        <v>5616</v>
      </c>
      <c r="G674" s="13">
        <v>2809258</v>
      </c>
      <c r="H674" s="13">
        <v>168</v>
      </c>
      <c r="I674" s="13">
        <v>24652</v>
      </c>
      <c r="J674" s="13">
        <v>440243</v>
      </c>
      <c r="K674" s="13">
        <v>3751</v>
      </c>
    </row>
    <row r="675" spans="1:11">
      <c r="A675" s="11">
        <v>411520</v>
      </c>
      <c r="B675" s="12" t="s">
        <v>357</v>
      </c>
      <c r="C675" s="13">
        <v>2015</v>
      </c>
      <c r="D675" s="13">
        <v>397437</v>
      </c>
      <c r="E675" s="13">
        <v>168</v>
      </c>
      <c r="F675" s="13">
        <v>4527</v>
      </c>
      <c r="G675" s="13">
        <v>2866917</v>
      </c>
      <c r="H675" s="13">
        <v>93</v>
      </c>
      <c r="I675" s="13">
        <v>25606</v>
      </c>
      <c r="J675" s="13">
        <v>453946</v>
      </c>
      <c r="K675" s="13">
        <v>1699</v>
      </c>
    </row>
    <row r="676" spans="1:11">
      <c r="A676" s="11">
        <v>411520</v>
      </c>
      <c r="B676" s="12" t="s">
        <v>357</v>
      </c>
      <c r="C676" s="13">
        <v>2016</v>
      </c>
      <c r="D676" s="13"/>
      <c r="E676" s="13">
        <v>113</v>
      </c>
      <c r="F676" s="13">
        <v>4228</v>
      </c>
      <c r="G676" s="13">
        <v>3042404</v>
      </c>
      <c r="H676" s="13">
        <v>102</v>
      </c>
      <c r="I676" s="13">
        <v>24714</v>
      </c>
      <c r="J676" s="13">
        <v>483884</v>
      </c>
      <c r="K676" s="13">
        <v>3523</v>
      </c>
    </row>
    <row r="677" spans="1:11">
      <c r="A677" s="11">
        <v>411520</v>
      </c>
      <c r="B677" s="12" t="s">
        <v>357</v>
      </c>
      <c r="C677" s="13">
        <v>2017</v>
      </c>
      <c r="D677" s="13"/>
      <c r="E677" s="13">
        <v>233</v>
      </c>
      <c r="F677" s="13">
        <v>4026</v>
      </c>
      <c r="G677" s="13">
        <v>3057616</v>
      </c>
      <c r="H677" s="13">
        <v>203</v>
      </c>
      <c r="I677" s="13">
        <v>27260</v>
      </c>
      <c r="J677" s="13">
        <v>496968</v>
      </c>
      <c r="K677" s="13">
        <v>249</v>
      </c>
    </row>
    <row r="678" spans="1:11">
      <c r="A678" s="11">
        <v>411520</v>
      </c>
      <c r="B678" s="12" t="s">
        <v>357</v>
      </c>
      <c r="C678" s="13">
        <v>2018</v>
      </c>
      <c r="D678" s="13"/>
      <c r="E678" s="13">
        <v>289</v>
      </c>
      <c r="F678" s="13">
        <v>5561</v>
      </c>
      <c r="G678" s="13">
        <v>3290363</v>
      </c>
      <c r="H678" s="13">
        <v>172</v>
      </c>
      <c r="I678" s="13">
        <v>23818</v>
      </c>
      <c r="J678" s="13">
        <v>510858</v>
      </c>
      <c r="K678" s="13">
        <v>27</v>
      </c>
    </row>
    <row r="679" spans="1:11">
      <c r="A679" s="11">
        <v>411520</v>
      </c>
      <c r="B679" s="12" t="s">
        <v>357</v>
      </c>
      <c r="C679" s="13">
        <v>2019</v>
      </c>
      <c r="D679" s="13"/>
      <c r="E679" s="13">
        <v>231</v>
      </c>
      <c r="F679" s="13">
        <v>4514</v>
      </c>
      <c r="G679" s="13">
        <v>3559811</v>
      </c>
      <c r="H679" s="13">
        <v>170</v>
      </c>
      <c r="I679" s="13">
        <v>25074</v>
      </c>
      <c r="J679" s="13">
        <v>523533</v>
      </c>
      <c r="K679" s="13">
        <v>1816</v>
      </c>
    </row>
    <row r="680" spans="1:11">
      <c r="A680" s="11">
        <v>411520</v>
      </c>
      <c r="B680" s="12" t="s">
        <v>357</v>
      </c>
      <c r="C680" s="13">
        <v>2020</v>
      </c>
      <c r="D680" s="13"/>
      <c r="E680" s="13">
        <v>266</v>
      </c>
      <c r="F680" s="13">
        <v>4497</v>
      </c>
      <c r="G680" s="13">
        <v>2756153</v>
      </c>
      <c r="H680" s="13">
        <v>203</v>
      </c>
      <c r="I680" s="13">
        <v>23200</v>
      </c>
      <c r="J680" s="13">
        <v>441296</v>
      </c>
      <c r="K680" s="13">
        <v>14188</v>
      </c>
    </row>
    <row r="681" spans="1:11">
      <c r="A681" s="11">
        <v>411520</v>
      </c>
      <c r="B681" s="12" t="s">
        <v>357</v>
      </c>
      <c r="C681" s="13">
        <v>2021</v>
      </c>
      <c r="D681" s="13"/>
      <c r="E681" s="13">
        <v>260</v>
      </c>
      <c r="F681" s="13">
        <v>4951</v>
      </c>
      <c r="G681" s="13">
        <v>3081003</v>
      </c>
      <c r="H681" s="13">
        <v>131</v>
      </c>
      <c r="I681" s="13">
        <v>21325</v>
      </c>
      <c r="J681" s="13">
        <v>434240</v>
      </c>
      <c r="K681" s="13">
        <v>894</v>
      </c>
    </row>
    <row r="682" spans="1:11">
      <c r="A682" s="11">
        <v>411520</v>
      </c>
      <c r="B682" s="12" t="s">
        <v>357</v>
      </c>
      <c r="C682" s="13">
        <v>2022</v>
      </c>
      <c r="D682" s="13">
        <v>409657</v>
      </c>
      <c r="E682" s="13">
        <v>114</v>
      </c>
      <c r="F682" s="13">
        <v>5011</v>
      </c>
      <c r="G682" s="13">
        <v>3420134</v>
      </c>
      <c r="H682" s="13">
        <v>227</v>
      </c>
      <c r="I682" s="13">
        <v>20671</v>
      </c>
      <c r="J682" s="13">
        <v>481172</v>
      </c>
      <c r="K682" s="13">
        <v>8036</v>
      </c>
    </row>
    <row r="683" spans="1:11">
      <c r="A683" s="11">
        <v>411520</v>
      </c>
      <c r="B683" s="12" t="s">
        <v>357</v>
      </c>
      <c r="C683" s="13">
        <v>2023</v>
      </c>
      <c r="D683" s="13"/>
      <c r="E683" s="13">
        <v>114</v>
      </c>
      <c r="F683" s="13">
        <v>6755</v>
      </c>
      <c r="G683" s="13">
        <v>3885149</v>
      </c>
      <c r="H683" s="13">
        <v>380</v>
      </c>
      <c r="I683" s="13">
        <v>20437</v>
      </c>
      <c r="J683" s="13">
        <v>565650</v>
      </c>
      <c r="K683" s="13">
        <v>4819</v>
      </c>
    </row>
    <row r="684" spans="1:11">
      <c r="A684" s="11">
        <v>411520</v>
      </c>
      <c r="B684" s="12" t="s">
        <v>357</v>
      </c>
      <c r="C684" s="13">
        <v>2024</v>
      </c>
      <c r="D684" s="13"/>
      <c r="E684" s="13">
        <v>106</v>
      </c>
      <c r="F684" s="13">
        <v>8191</v>
      </c>
      <c r="G684" s="13">
        <v>4321440</v>
      </c>
      <c r="H684" s="13">
        <v>192</v>
      </c>
      <c r="I684" s="13">
        <v>20281</v>
      </c>
      <c r="J684" s="13">
        <v>612563</v>
      </c>
      <c r="K684" s="13">
        <v>26159</v>
      </c>
    </row>
    <row r="685" spans="1:11">
      <c r="A685" s="11">
        <v>411520</v>
      </c>
      <c r="B685" s="12" t="s">
        <v>357</v>
      </c>
      <c r="C685" s="13">
        <v>2025</v>
      </c>
      <c r="D685" s="13"/>
      <c r="E685" s="13">
        <v>134</v>
      </c>
      <c r="F685" s="13">
        <v>6597</v>
      </c>
      <c r="G685" s="13">
        <v>3693965</v>
      </c>
      <c r="H685" s="13">
        <v>195</v>
      </c>
      <c r="I685" s="13">
        <v>18719</v>
      </c>
      <c r="J685" s="13">
        <v>508743</v>
      </c>
      <c r="K685" s="13">
        <v>5513</v>
      </c>
    </row>
    <row r="686" spans="1:11">
      <c r="A686" s="11">
        <v>420540</v>
      </c>
      <c r="B686" s="12" t="s">
        <v>358</v>
      </c>
      <c r="C686" s="13">
        <v>2014</v>
      </c>
      <c r="D686" s="13">
        <v>453285</v>
      </c>
      <c r="E686" s="13">
        <v>178</v>
      </c>
      <c r="F686" s="13">
        <v>3577</v>
      </c>
      <c r="G686" s="13">
        <v>3719013</v>
      </c>
      <c r="H686" s="13">
        <v>25</v>
      </c>
      <c r="I686" s="13">
        <v>36588</v>
      </c>
      <c r="J686" s="13">
        <v>369716</v>
      </c>
      <c r="K686" s="13">
        <v>23</v>
      </c>
    </row>
    <row r="687" spans="1:11">
      <c r="A687" s="11">
        <v>420540</v>
      </c>
      <c r="B687" s="12" t="s">
        <v>358</v>
      </c>
      <c r="C687" s="13">
        <v>2015</v>
      </c>
      <c r="D687" s="13">
        <v>469690</v>
      </c>
      <c r="E687" s="13">
        <v>170</v>
      </c>
      <c r="F687" s="13">
        <v>4054</v>
      </c>
      <c r="G687" s="13">
        <v>4339934</v>
      </c>
      <c r="H687" s="13">
        <v>11</v>
      </c>
      <c r="I687" s="13">
        <v>39417</v>
      </c>
      <c r="J687" s="13">
        <v>380869</v>
      </c>
      <c r="K687" s="13">
        <v>124</v>
      </c>
    </row>
    <row r="688" spans="1:11">
      <c r="A688" s="11">
        <v>420540</v>
      </c>
      <c r="B688" s="12" t="s">
        <v>358</v>
      </c>
      <c r="C688" s="13">
        <v>2016</v>
      </c>
      <c r="D688" s="13"/>
      <c r="E688" s="13">
        <v>179</v>
      </c>
      <c r="F688" s="13">
        <v>3336</v>
      </c>
      <c r="G688" s="13">
        <v>3990876</v>
      </c>
      <c r="H688" s="13">
        <v>23</v>
      </c>
      <c r="I688" s="13">
        <v>46177</v>
      </c>
      <c r="J688" s="13">
        <v>420586</v>
      </c>
      <c r="K688" s="13">
        <v>329</v>
      </c>
    </row>
    <row r="689" spans="1:11">
      <c r="A689" s="11">
        <v>420540</v>
      </c>
      <c r="B689" s="12" t="s">
        <v>358</v>
      </c>
      <c r="C689" s="13">
        <v>2017</v>
      </c>
      <c r="D689" s="13"/>
      <c r="E689" s="13">
        <v>146</v>
      </c>
      <c r="F689" s="13">
        <v>2209</v>
      </c>
      <c r="G689" s="13">
        <v>3840477</v>
      </c>
      <c r="H689" s="13">
        <v>21</v>
      </c>
      <c r="I689" s="13">
        <v>44117</v>
      </c>
      <c r="J689" s="13">
        <v>404525</v>
      </c>
      <c r="K689" s="13">
        <v>74</v>
      </c>
    </row>
    <row r="690" spans="1:11">
      <c r="A690" s="11">
        <v>420540</v>
      </c>
      <c r="B690" s="12" t="s">
        <v>358</v>
      </c>
      <c r="C690" s="13">
        <v>2018</v>
      </c>
      <c r="D690" s="13"/>
      <c r="E690" s="13">
        <v>214</v>
      </c>
      <c r="F690" s="13">
        <v>3192</v>
      </c>
      <c r="G690" s="13">
        <v>4154787</v>
      </c>
      <c r="H690" s="13">
        <v>27</v>
      </c>
      <c r="I690" s="13">
        <v>47647</v>
      </c>
      <c r="J690" s="13">
        <v>452432</v>
      </c>
      <c r="K690" s="13">
        <v>20</v>
      </c>
    </row>
    <row r="691" spans="1:11">
      <c r="A691" s="11">
        <v>420540</v>
      </c>
      <c r="B691" s="12" t="s">
        <v>358</v>
      </c>
      <c r="C691" s="13">
        <v>2019</v>
      </c>
      <c r="D691" s="13"/>
      <c r="E691" s="13">
        <v>203</v>
      </c>
      <c r="F691" s="13">
        <v>9060</v>
      </c>
      <c r="G691" s="13">
        <v>4595779</v>
      </c>
      <c r="H691" s="13">
        <v>36</v>
      </c>
      <c r="I691" s="13">
        <v>9730</v>
      </c>
      <c r="J691" s="13">
        <v>90051</v>
      </c>
      <c r="K691" s="13">
        <v>123</v>
      </c>
    </row>
    <row r="692" spans="1:11">
      <c r="A692" s="11">
        <v>420540</v>
      </c>
      <c r="B692" s="12" t="s">
        <v>358</v>
      </c>
      <c r="C692" s="13">
        <v>2020</v>
      </c>
      <c r="D692" s="13"/>
      <c r="E692" s="13">
        <v>157</v>
      </c>
      <c r="F692" s="13">
        <v>3914</v>
      </c>
      <c r="G692" s="13">
        <v>2872208</v>
      </c>
      <c r="H692" s="13">
        <v>20</v>
      </c>
      <c r="I692" s="13">
        <v>425</v>
      </c>
      <c r="J692" s="13">
        <v>441</v>
      </c>
      <c r="K692" s="13">
        <v>216</v>
      </c>
    </row>
    <row r="693" spans="1:11">
      <c r="A693" s="11">
        <v>420540</v>
      </c>
      <c r="B693" s="12" t="s">
        <v>358</v>
      </c>
      <c r="C693" s="13">
        <v>2021</v>
      </c>
      <c r="D693" s="13"/>
      <c r="E693" s="13">
        <v>168</v>
      </c>
      <c r="F693" s="13">
        <v>8038</v>
      </c>
      <c r="G693" s="13">
        <v>3413459</v>
      </c>
      <c r="H693" s="13">
        <v>20</v>
      </c>
      <c r="I693" s="13">
        <v>312</v>
      </c>
      <c r="J693" s="13">
        <v>17</v>
      </c>
      <c r="K693" s="13">
        <v>301</v>
      </c>
    </row>
    <row r="694" spans="1:11">
      <c r="A694" s="11">
        <v>420540</v>
      </c>
      <c r="B694" s="12" t="s">
        <v>358</v>
      </c>
      <c r="C694" s="13">
        <v>2022</v>
      </c>
      <c r="D694" s="13">
        <v>537211</v>
      </c>
      <c r="E694" s="13">
        <v>176</v>
      </c>
      <c r="F694" s="13">
        <v>8879</v>
      </c>
      <c r="G694" s="13">
        <v>4629610</v>
      </c>
      <c r="H694" s="13">
        <v>29</v>
      </c>
      <c r="I694" s="13">
        <v>320</v>
      </c>
      <c r="J694" s="13">
        <v>1</v>
      </c>
      <c r="K694" s="13">
        <v>4941</v>
      </c>
    </row>
    <row r="695" spans="1:11">
      <c r="A695" s="11">
        <v>420540</v>
      </c>
      <c r="B695" s="12" t="s">
        <v>358</v>
      </c>
      <c r="C695" s="13">
        <v>2023</v>
      </c>
      <c r="D695" s="13"/>
      <c r="E695" s="13">
        <v>199</v>
      </c>
      <c r="F695" s="13">
        <v>7520</v>
      </c>
      <c r="G695" s="13">
        <v>4548993</v>
      </c>
      <c r="H695" s="13">
        <v>41</v>
      </c>
      <c r="I695" s="13">
        <v>439</v>
      </c>
      <c r="J695" s="13">
        <v>51</v>
      </c>
      <c r="K695" s="13">
        <v>42126</v>
      </c>
    </row>
    <row r="696" spans="1:11">
      <c r="A696" s="11">
        <v>420540</v>
      </c>
      <c r="B696" s="12" t="s">
        <v>358</v>
      </c>
      <c r="C696" s="13">
        <v>2024</v>
      </c>
      <c r="D696" s="13"/>
      <c r="E696" s="13">
        <v>182</v>
      </c>
      <c r="F696" s="13">
        <v>3605</v>
      </c>
      <c r="G696" s="13">
        <v>4565604</v>
      </c>
      <c r="H696" s="13">
        <v>32</v>
      </c>
      <c r="I696" s="13">
        <v>439</v>
      </c>
      <c r="J696" s="13">
        <v>834</v>
      </c>
      <c r="K696" s="13">
        <v>15951</v>
      </c>
    </row>
    <row r="697" spans="1:11">
      <c r="A697" s="11">
        <v>420540</v>
      </c>
      <c r="B697" s="12" t="s">
        <v>358</v>
      </c>
      <c r="C697" s="13">
        <v>2025</v>
      </c>
      <c r="D697" s="13"/>
      <c r="E697" s="13">
        <v>175</v>
      </c>
      <c r="F697" s="13">
        <v>6291</v>
      </c>
      <c r="G697" s="13">
        <v>4534629</v>
      </c>
      <c r="H697" s="13">
        <v>22</v>
      </c>
      <c r="I697" s="13">
        <v>663</v>
      </c>
      <c r="J697" s="13">
        <v>825</v>
      </c>
      <c r="K697" s="13">
        <v>7121</v>
      </c>
    </row>
    <row r="698" spans="1:11">
      <c r="A698" s="11">
        <v>420910</v>
      </c>
      <c r="B698" s="12" t="s">
        <v>359</v>
      </c>
      <c r="C698" s="13">
        <v>2014</v>
      </c>
      <c r="D698" s="13">
        <v>546981</v>
      </c>
      <c r="E698" s="13">
        <v>109</v>
      </c>
      <c r="F698" s="13">
        <v>2665</v>
      </c>
      <c r="G698" s="13">
        <v>2950009</v>
      </c>
      <c r="H698" s="13">
        <v>16</v>
      </c>
      <c r="I698" s="13">
        <v>61329</v>
      </c>
      <c r="J698" s="13">
        <v>859619</v>
      </c>
      <c r="K698" s="13">
        <v>11</v>
      </c>
    </row>
    <row r="699" spans="1:11">
      <c r="A699" s="11">
        <v>420910</v>
      </c>
      <c r="B699" s="12" t="s">
        <v>359</v>
      </c>
      <c r="C699" s="13">
        <v>2015</v>
      </c>
      <c r="D699" s="13">
        <v>562151</v>
      </c>
      <c r="E699" s="13">
        <v>117</v>
      </c>
      <c r="F699" s="13">
        <v>3265</v>
      </c>
      <c r="G699" s="13">
        <v>3097952</v>
      </c>
      <c r="H699" s="13">
        <v>17</v>
      </c>
      <c r="I699" s="13">
        <v>55785</v>
      </c>
      <c r="J699" s="13">
        <v>535512</v>
      </c>
      <c r="K699" s="13">
        <v>57</v>
      </c>
    </row>
    <row r="700" spans="1:11">
      <c r="A700" s="11">
        <v>420910</v>
      </c>
      <c r="B700" s="12" t="s">
        <v>359</v>
      </c>
      <c r="C700" s="13">
        <v>2016</v>
      </c>
      <c r="D700" s="13"/>
      <c r="E700" s="13">
        <v>131</v>
      </c>
      <c r="F700" s="13">
        <v>2581</v>
      </c>
      <c r="G700" s="13">
        <v>2925607</v>
      </c>
      <c r="H700" s="13">
        <v>12</v>
      </c>
      <c r="I700" s="13">
        <v>50102</v>
      </c>
      <c r="J700" s="13">
        <v>362538</v>
      </c>
      <c r="K700" s="13">
        <v>32</v>
      </c>
    </row>
    <row r="701" spans="1:11">
      <c r="A701" s="11">
        <v>420910</v>
      </c>
      <c r="B701" s="12" t="s">
        <v>359</v>
      </c>
      <c r="C701" s="13">
        <v>2017</v>
      </c>
      <c r="D701" s="13"/>
      <c r="E701" s="13">
        <v>130</v>
      </c>
      <c r="F701" s="13">
        <v>7324</v>
      </c>
      <c r="G701" s="13">
        <v>3757101</v>
      </c>
      <c r="H701" s="13">
        <v>21</v>
      </c>
      <c r="I701" s="13">
        <v>45509</v>
      </c>
      <c r="J701" s="13">
        <v>353212</v>
      </c>
      <c r="K701" s="13">
        <v>2</v>
      </c>
    </row>
    <row r="702" spans="1:11">
      <c r="A702" s="11">
        <v>420910</v>
      </c>
      <c r="B702" s="12" t="s">
        <v>359</v>
      </c>
      <c r="C702" s="13">
        <v>2018</v>
      </c>
      <c r="D702" s="13"/>
      <c r="E702" s="13">
        <v>129</v>
      </c>
      <c r="F702" s="13">
        <v>9107</v>
      </c>
      <c r="G702" s="13">
        <v>3517319</v>
      </c>
      <c r="H702" s="13">
        <v>28</v>
      </c>
      <c r="I702" s="13">
        <v>56163</v>
      </c>
      <c r="J702" s="13">
        <v>507048</v>
      </c>
      <c r="K702" s="13">
        <v>4</v>
      </c>
    </row>
    <row r="703" spans="1:11">
      <c r="A703" s="11">
        <v>420910</v>
      </c>
      <c r="B703" s="12" t="s">
        <v>359</v>
      </c>
      <c r="C703" s="13">
        <v>2019</v>
      </c>
      <c r="D703" s="13"/>
      <c r="E703" s="13">
        <v>141</v>
      </c>
      <c r="F703" s="13">
        <v>10167</v>
      </c>
      <c r="G703" s="13">
        <v>4014717</v>
      </c>
      <c r="H703" s="13">
        <v>22</v>
      </c>
      <c r="I703" s="13">
        <v>36255</v>
      </c>
      <c r="J703" s="13">
        <v>551850</v>
      </c>
      <c r="K703" s="13">
        <v>21</v>
      </c>
    </row>
    <row r="704" spans="1:11">
      <c r="A704" s="11">
        <v>420910</v>
      </c>
      <c r="B704" s="12" t="s">
        <v>359</v>
      </c>
      <c r="C704" s="13">
        <v>2020</v>
      </c>
      <c r="D704" s="13"/>
      <c r="E704" s="13">
        <v>149</v>
      </c>
      <c r="F704" s="13">
        <v>8335</v>
      </c>
      <c r="G704" s="13">
        <v>3168076</v>
      </c>
      <c r="H704" s="13">
        <v>36</v>
      </c>
      <c r="I704" s="13">
        <v>34511</v>
      </c>
      <c r="J704" s="13">
        <v>520652</v>
      </c>
      <c r="K704" s="13">
        <v>8787</v>
      </c>
    </row>
    <row r="705" spans="1:11">
      <c r="A705" s="11">
        <v>420910</v>
      </c>
      <c r="B705" s="12" t="s">
        <v>359</v>
      </c>
      <c r="C705" s="13">
        <v>2021</v>
      </c>
      <c r="D705" s="13"/>
      <c r="E705" s="13">
        <v>154</v>
      </c>
      <c r="F705" s="13">
        <v>9154</v>
      </c>
      <c r="G705" s="13">
        <v>3971654</v>
      </c>
      <c r="H705" s="13">
        <v>18</v>
      </c>
      <c r="I705" s="13">
        <v>35634</v>
      </c>
      <c r="J705" s="13">
        <v>594046</v>
      </c>
      <c r="K705" s="13">
        <v>16472</v>
      </c>
    </row>
    <row r="706" spans="1:11">
      <c r="A706" s="11">
        <v>420910</v>
      </c>
      <c r="B706" s="12" t="s">
        <v>359</v>
      </c>
      <c r="C706" s="13">
        <v>2022</v>
      </c>
      <c r="D706" s="13">
        <v>616317</v>
      </c>
      <c r="E706" s="13">
        <v>176</v>
      </c>
      <c r="F706" s="13">
        <v>8124</v>
      </c>
      <c r="G706" s="13">
        <v>4316570</v>
      </c>
      <c r="H706" s="13">
        <v>28</v>
      </c>
      <c r="I706" s="13">
        <v>40571</v>
      </c>
      <c r="J706" s="13">
        <v>598510</v>
      </c>
      <c r="K706" s="13">
        <v>21499</v>
      </c>
    </row>
    <row r="707" spans="1:11">
      <c r="A707" s="11">
        <v>420910</v>
      </c>
      <c r="B707" s="12" t="s">
        <v>359</v>
      </c>
      <c r="C707" s="13">
        <v>2023</v>
      </c>
      <c r="D707" s="13"/>
      <c r="E707" s="13">
        <v>202</v>
      </c>
      <c r="F707" s="13">
        <v>6966</v>
      </c>
      <c r="G707" s="13">
        <v>4800758</v>
      </c>
      <c r="H707" s="13">
        <v>27</v>
      </c>
      <c r="I707" s="13">
        <v>38328</v>
      </c>
      <c r="J707" s="13">
        <v>632391</v>
      </c>
      <c r="K707" s="13">
        <v>46152</v>
      </c>
    </row>
    <row r="708" spans="1:11">
      <c r="A708" s="11">
        <v>420910</v>
      </c>
      <c r="B708" s="12" t="s">
        <v>359</v>
      </c>
      <c r="C708" s="13">
        <v>2024</v>
      </c>
      <c r="D708" s="13"/>
      <c r="E708" s="13">
        <v>200</v>
      </c>
      <c r="F708" s="13">
        <v>13218</v>
      </c>
      <c r="G708" s="13">
        <v>4765707</v>
      </c>
      <c r="H708" s="13">
        <v>67</v>
      </c>
      <c r="I708" s="13">
        <v>6739</v>
      </c>
      <c r="J708" s="13">
        <v>108990</v>
      </c>
      <c r="K708" s="13">
        <v>83097</v>
      </c>
    </row>
    <row r="709" spans="1:11">
      <c r="A709" s="11">
        <v>420910</v>
      </c>
      <c r="B709" s="12" t="s">
        <v>359</v>
      </c>
      <c r="C709" s="13">
        <v>2025</v>
      </c>
      <c r="D709" s="13"/>
      <c r="E709" s="13">
        <v>153</v>
      </c>
      <c r="F709" s="13">
        <v>11620</v>
      </c>
      <c r="G709" s="13">
        <v>4000467</v>
      </c>
      <c r="H709" s="13">
        <v>31</v>
      </c>
      <c r="I709" s="13">
        <v>0</v>
      </c>
      <c r="J709" s="13">
        <v>20</v>
      </c>
      <c r="K709" s="13">
        <v>1523</v>
      </c>
    </row>
    <row r="710" spans="1:11">
      <c r="A710" s="11">
        <v>430510</v>
      </c>
      <c r="B710" s="12" t="s">
        <v>360</v>
      </c>
      <c r="C710" s="13">
        <v>2014</v>
      </c>
      <c r="D710" s="13">
        <v>465304</v>
      </c>
      <c r="E710" s="13">
        <v>66</v>
      </c>
      <c r="F710" s="13">
        <v>1121</v>
      </c>
      <c r="G710" s="13">
        <v>2298375</v>
      </c>
      <c r="H710" s="13">
        <v>17</v>
      </c>
      <c r="I710" s="13">
        <v>6643</v>
      </c>
      <c r="J710" s="13">
        <v>270039</v>
      </c>
      <c r="K710" s="13">
        <v>1</v>
      </c>
    </row>
    <row r="711" spans="1:11">
      <c r="A711" s="11">
        <v>430510</v>
      </c>
      <c r="B711" s="12" t="s">
        <v>360</v>
      </c>
      <c r="C711" s="13">
        <v>2015</v>
      </c>
      <c r="D711" s="13">
        <v>474853</v>
      </c>
      <c r="E711" s="13">
        <v>89</v>
      </c>
      <c r="F711" s="13">
        <v>1534</v>
      </c>
      <c r="G711" s="13">
        <v>2389486</v>
      </c>
      <c r="H711" s="13">
        <v>13</v>
      </c>
      <c r="I711" s="13">
        <v>250</v>
      </c>
      <c r="J711" s="13">
        <v>240177</v>
      </c>
      <c r="K711" s="13">
        <v>21</v>
      </c>
    </row>
    <row r="712" spans="1:11">
      <c r="A712" s="11">
        <v>430510</v>
      </c>
      <c r="B712" s="12" t="s">
        <v>360</v>
      </c>
      <c r="C712" s="13">
        <v>2016</v>
      </c>
      <c r="D712" s="13"/>
      <c r="E712" s="13">
        <v>80</v>
      </c>
      <c r="F712" s="13">
        <v>1641</v>
      </c>
      <c r="G712" s="13">
        <v>2430269</v>
      </c>
      <c r="H712" s="13">
        <v>23</v>
      </c>
      <c r="I712" s="13">
        <v>3613</v>
      </c>
      <c r="J712" s="13">
        <v>272338</v>
      </c>
      <c r="K712" s="13">
        <v>25</v>
      </c>
    </row>
    <row r="713" spans="1:11">
      <c r="A713" s="11">
        <v>430510</v>
      </c>
      <c r="B713" s="12" t="s">
        <v>360</v>
      </c>
      <c r="C713" s="13">
        <v>2017</v>
      </c>
      <c r="D713" s="13"/>
      <c r="E713" s="13">
        <v>97</v>
      </c>
      <c r="F713" s="13">
        <v>1325</v>
      </c>
      <c r="G713" s="13">
        <v>2471766</v>
      </c>
      <c r="H713" s="13">
        <v>32</v>
      </c>
      <c r="I713" s="13">
        <v>3878</v>
      </c>
      <c r="J713" s="13">
        <v>65724</v>
      </c>
      <c r="K713" s="13">
        <v>1</v>
      </c>
    </row>
    <row r="714" spans="1:11">
      <c r="A714" s="11">
        <v>430510</v>
      </c>
      <c r="B714" s="12" t="s">
        <v>360</v>
      </c>
      <c r="C714" s="13">
        <v>2018</v>
      </c>
      <c r="D714" s="13"/>
      <c r="E714" s="13">
        <v>77</v>
      </c>
      <c r="F714" s="13">
        <v>1297</v>
      </c>
      <c r="G714" s="13">
        <v>2614355</v>
      </c>
      <c r="H714" s="13">
        <v>26</v>
      </c>
      <c r="I714" s="13">
        <v>0</v>
      </c>
      <c r="J714" s="13">
        <v>276</v>
      </c>
      <c r="K714" s="13">
        <v>5</v>
      </c>
    </row>
    <row r="715" spans="1:11">
      <c r="A715" s="11">
        <v>430510</v>
      </c>
      <c r="B715" s="12" t="s">
        <v>360</v>
      </c>
      <c r="C715" s="13">
        <v>2019</v>
      </c>
      <c r="D715" s="13"/>
      <c r="E715" s="13">
        <v>51</v>
      </c>
      <c r="F715" s="13">
        <v>1174</v>
      </c>
      <c r="G715" s="13">
        <v>2738494</v>
      </c>
      <c r="H715" s="13">
        <v>15</v>
      </c>
      <c r="I715" s="13">
        <v>0</v>
      </c>
      <c r="J715" s="13">
        <v>214</v>
      </c>
      <c r="K715" s="13">
        <v>11</v>
      </c>
    </row>
    <row r="716" spans="1:11">
      <c r="A716" s="11">
        <v>430510</v>
      </c>
      <c r="B716" s="12" t="s">
        <v>360</v>
      </c>
      <c r="C716" s="13">
        <v>2020</v>
      </c>
      <c r="D716" s="13"/>
      <c r="E716" s="13">
        <v>96</v>
      </c>
      <c r="F716" s="13">
        <v>860</v>
      </c>
      <c r="G716" s="13">
        <v>2134988</v>
      </c>
      <c r="H716" s="13">
        <v>32</v>
      </c>
      <c r="I716" s="13">
        <v>0</v>
      </c>
      <c r="J716" s="13">
        <v>28</v>
      </c>
      <c r="K716" s="13">
        <v>2</v>
      </c>
    </row>
    <row r="717" spans="1:11">
      <c r="A717" s="11">
        <v>430510</v>
      </c>
      <c r="B717" s="12" t="s">
        <v>360</v>
      </c>
      <c r="C717" s="13">
        <v>2021</v>
      </c>
      <c r="D717" s="13"/>
      <c r="E717" s="13">
        <v>53</v>
      </c>
      <c r="F717" s="13">
        <v>1187</v>
      </c>
      <c r="G717" s="13">
        <v>2429399</v>
      </c>
      <c r="H717" s="13">
        <v>13</v>
      </c>
      <c r="I717" s="13">
        <v>0</v>
      </c>
      <c r="J717" s="13">
        <v>62</v>
      </c>
      <c r="K717" s="13">
        <v>46</v>
      </c>
    </row>
    <row r="718" spans="1:11">
      <c r="A718" s="11">
        <v>430510</v>
      </c>
      <c r="B718" s="12" t="s">
        <v>360</v>
      </c>
      <c r="C718" s="13">
        <v>2022</v>
      </c>
      <c r="D718" s="13">
        <v>463501</v>
      </c>
      <c r="E718" s="13">
        <v>66</v>
      </c>
      <c r="F718" s="13">
        <v>1479</v>
      </c>
      <c r="G718" s="13">
        <v>2524577</v>
      </c>
      <c r="H718" s="13">
        <v>10</v>
      </c>
      <c r="I718" s="13">
        <v>2</v>
      </c>
      <c r="J718" s="13">
        <v>25</v>
      </c>
      <c r="K718" s="13">
        <v>45</v>
      </c>
    </row>
    <row r="719" spans="1:11">
      <c r="A719" s="11">
        <v>430510</v>
      </c>
      <c r="B719" s="12" t="s">
        <v>360</v>
      </c>
      <c r="C719" s="13">
        <v>2023</v>
      </c>
      <c r="D719" s="13"/>
      <c r="E719" s="13">
        <v>49</v>
      </c>
      <c r="F719" s="13">
        <v>1529</v>
      </c>
      <c r="G719" s="13">
        <v>2690617</v>
      </c>
      <c r="H719" s="13">
        <v>16</v>
      </c>
      <c r="I719" s="13">
        <v>0</v>
      </c>
      <c r="J719" s="13">
        <v>16</v>
      </c>
      <c r="K719" s="13">
        <v>267</v>
      </c>
    </row>
    <row r="720" spans="1:11">
      <c r="A720" s="11">
        <v>430510</v>
      </c>
      <c r="B720" s="12" t="s">
        <v>360</v>
      </c>
      <c r="C720" s="13">
        <v>2024</v>
      </c>
      <c r="D720" s="13"/>
      <c r="E720" s="13">
        <v>65</v>
      </c>
      <c r="F720" s="13">
        <v>1124</v>
      </c>
      <c r="G720" s="13">
        <v>3014106</v>
      </c>
      <c r="H720" s="13">
        <v>5</v>
      </c>
      <c r="I720" s="13">
        <v>0</v>
      </c>
      <c r="J720" s="13">
        <v>21</v>
      </c>
      <c r="K720" s="13">
        <v>94</v>
      </c>
    </row>
    <row r="721" spans="1:11">
      <c r="A721" s="11">
        <v>430510</v>
      </c>
      <c r="B721" s="12" t="s">
        <v>360</v>
      </c>
      <c r="C721" s="13">
        <v>2025</v>
      </c>
      <c r="D721" s="13"/>
      <c r="E721" s="13">
        <v>54</v>
      </c>
      <c r="F721" s="13">
        <v>1267</v>
      </c>
      <c r="G721" s="13">
        <v>2775427</v>
      </c>
      <c r="H721" s="13">
        <v>5</v>
      </c>
      <c r="I721" s="13">
        <v>0</v>
      </c>
      <c r="J721" s="13">
        <v>18</v>
      </c>
      <c r="K721" s="13"/>
    </row>
    <row r="722" spans="1:11">
      <c r="A722" s="11">
        <v>431490</v>
      </c>
      <c r="B722" s="12" t="s">
        <v>361</v>
      </c>
      <c r="C722" s="13">
        <v>2014</v>
      </c>
      <c r="D722" s="13">
        <v>1467816</v>
      </c>
      <c r="E722" s="13">
        <v>1080</v>
      </c>
      <c r="F722" s="13">
        <v>18864</v>
      </c>
      <c r="G722" s="13">
        <v>12426359</v>
      </c>
      <c r="H722" s="13">
        <v>871</v>
      </c>
      <c r="I722" s="13">
        <v>80561</v>
      </c>
      <c r="J722" s="13">
        <v>1013279</v>
      </c>
      <c r="K722" s="13">
        <v>1</v>
      </c>
    </row>
    <row r="723" spans="1:11">
      <c r="A723" s="11">
        <v>431490</v>
      </c>
      <c r="B723" s="12" t="s">
        <v>361</v>
      </c>
      <c r="C723" s="13">
        <v>2015</v>
      </c>
      <c r="D723" s="13">
        <v>1476867</v>
      </c>
      <c r="E723" s="13">
        <v>1126</v>
      </c>
      <c r="F723" s="13">
        <v>18461</v>
      </c>
      <c r="G723" s="13">
        <v>12724325</v>
      </c>
      <c r="H723" s="13">
        <v>891</v>
      </c>
      <c r="I723" s="13">
        <v>37949</v>
      </c>
      <c r="J723" s="13">
        <v>945489</v>
      </c>
      <c r="K723" s="13">
        <v>132</v>
      </c>
    </row>
    <row r="724" spans="1:11">
      <c r="A724" s="11">
        <v>431490</v>
      </c>
      <c r="B724" s="12" t="s">
        <v>361</v>
      </c>
      <c r="C724" s="13">
        <v>2016</v>
      </c>
      <c r="D724" s="13"/>
      <c r="E724" s="13">
        <v>1143</v>
      </c>
      <c r="F724" s="13">
        <v>18284</v>
      </c>
      <c r="G724" s="13">
        <v>12384270</v>
      </c>
      <c r="H724" s="13">
        <v>742</v>
      </c>
      <c r="I724" s="13">
        <v>45086</v>
      </c>
      <c r="J724" s="13">
        <v>795995</v>
      </c>
      <c r="K724" s="13">
        <v>608</v>
      </c>
    </row>
    <row r="725" spans="1:11">
      <c r="A725" s="11">
        <v>431490</v>
      </c>
      <c r="B725" s="12" t="s">
        <v>361</v>
      </c>
      <c r="C725" s="13">
        <v>2017</v>
      </c>
      <c r="D725" s="13"/>
      <c r="E725" s="13">
        <v>1021</v>
      </c>
      <c r="F725" s="13">
        <v>24338</v>
      </c>
      <c r="G725" s="13">
        <v>12232294</v>
      </c>
      <c r="H725" s="13">
        <v>565</v>
      </c>
      <c r="I725" s="13">
        <v>43628</v>
      </c>
      <c r="J725" s="13">
        <v>563313</v>
      </c>
      <c r="K725" s="13">
        <v>40</v>
      </c>
    </row>
    <row r="726" spans="1:11">
      <c r="A726" s="11">
        <v>431490</v>
      </c>
      <c r="B726" s="12" t="s">
        <v>361</v>
      </c>
      <c r="C726" s="13">
        <v>2018</v>
      </c>
      <c r="D726" s="13"/>
      <c r="E726" s="13">
        <v>975</v>
      </c>
      <c r="F726" s="13">
        <v>27963</v>
      </c>
      <c r="G726" s="13">
        <v>12192279</v>
      </c>
      <c r="H726" s="13">
        <v>539</v>
      </c>
      <c r="I726" s="13">
        <v>8833</v>
      </c>
      <c r="J726" s="13">
        <v>135375</v>
      </c>
      <c r="K726" s="13">
        <v>20</v>
      </c>
    </row>
    <row r="727" spans="1:11">
      <c r="A727" s="11">
        <v>431490</v>
      </c>
      <c r="B727" s="12" t="s">
        <v>361</v>
      </c>
      <c r="C727" s="13">
        <v>2019</v>
      </c>
      <c r="D727" s="13"/>
      <c r="E727" s="13">
        <v>979</v>
      </c>
      <c r="F727" s="13">
        <v>27941</v>
      </c>
      <c r="G727" s="13">
        <v>12627691</v>
      </c>
      <c r="H727" s="13">
        <v>478</v>
      </c>
      <c r="I727" s="13">
        <v>7949</v>
      </c>
      <c r="J727" s="13">
        <v>142567</v>
      </c>
      <c r="K727" s="13">
        <v>560</v>
      </c>
    </row>
    <row r="728" spans="1:11">
      <c r="A728" s="11">
        <v>431490</v>
      </c>
      <c r="B728" s="12" t="s">
        <v>361</v>
      </c>
      <c r="C728" s="13">
        <v>2020</v>
      </c>
      <c r="D728" s="13"/>
      <c r="E728" s="13">
        <v>886</v>
      </c>
      <c r="F728" s="13">
        <v>19493</v>
      </c>
      <c r="G728" s="13">
        <v>10125198</v>
      </c>
      <c r="H728" s="13">
        <v>315</v>
      </c>
      <c r="I728" s="13">
        <v>7182</v>
      </c>
      <c r="J728" s="13">
        <v>100048</v>
      </c>
      <c r="K728" s="13">
        <v>56</v>
      </c>
    </row>
    <row r="729" spans="1:11">
      <c r="A729" s="11">
        <v>431490</v>
      </c>
      <c r="B729" s="12" t="s">
        <v>361</v>
      </c>
      <c r="C729" s="13">
        <v>2021</v>
      </c>
      <c r="D729" s="13"/>
      <c r="E729" s="13">
        <v>885</v>
      </c>
      <c r="F729" s="13">
        <v>24232</v>
      </c>
      <c r="G729" s="13">
        <v>12161813</v>
      </c>
      <c r="H729" s="13">
        <v>341</v>
      </c>
      <c r="I729" s="13">
        <v>4294</v>
      </c>
      <c r="J729" s="13">
        <v>125775</v>
      </c>
      <c r="K729" s="13">
        <v>83</v>
      </c>
    </row>
    <row r="730" spans="1:11">
      <c r="A730" s="11">
        <v>431490</v>
      </c>
      <c r="B730" s="12" t="s">
        <v>361</v>
      </c>
      <c r="C730" s="13">
        <v>2022</v>
      </c>
      <c r="D730" s="13">
        <v>1332845</v>
      </c>
      <c r="E730" s="13">
        <v>917</v>
      </c>
      <c r="F730" s="13">
        <v>30895</v>
      </c>
      <c r="G730" s="13">
        <v>13643864</v>
      </c>
      <c r="H730" s="13">
        <v>356</v>
      </c>
      <c r="I730" s="13">
        <v>3452</v>
      </c>
      <c r="J730" s="13">
        <v>159341</v>
      </c>
      <c r="K730" s="13">
        <v>5594</v>
      </c>
    </row>
    <row r="731" spans="1:11">
      <c r="A731" s="11">
        <v>431490</v>
      </c>
      <c r="B731" s="12" t="s">
        <v>361</v>
      </c>
      <c r="C731" s="13">
        <v>2023</v>
      </c>
      <c r="D731" s="13"/>
      <c r="E731" s="13">
        <v>894</v>
      </c>
      <c r="F731" s="13">
        <v>35283</v>
      </c>
      <c r="G731" s="13">
        <v>15829553</v>
      </c>
      <c r="H731" s="13">
        <v>284</v>
      </c>
      <c r="I731" s="13">
        <v>3671</v>
      </c>
      <c r="J731" s="13">
        <v>134045</v>
      </c>
      <c r="K731" s="13">
        <v>6622</v>
      </c>
    </row>
    <row r="732" spans="1:11">
      <c r="A732" s="11">
        <v>431490</v>
      </c>
      <c r="B732" s="12" t="s">
        <v>361</v>
      </c>
      <c r="C732" s="13">
        <v>2024</v>
      </c>
      <c r="D732" s="13"/>
      <c r="E732" s="13">
        <v>849</v>
      </c>
      <c r="F732" s="13">
        <v>31876</v>
      </c>
      <c r="G732" s="13">
        <v>16372059</v>
      </c>
      <c r="H732" s="13">
        <v>210</v>
      </c>
      <c r="I732" s="13">
        <v>3130</v>
      </c>
      <c r="J732" s="13">
        <v>1900</v>
      </c>
      <c r="K732" s="13">
        <v>31497</v>
      </c>
    </row>
    <row r="733" spans="1:11">
      <c r="A733" s="11">
        <v>431490</v>
      </c>
      <c r="B733" s="12" t="s">
        <v>361</v>
      </c>
      <c r="C733" s="13">
        <v>2025</v>
      </c>
      <c r="D733" s="13"/>
      <c r="E733" s="13">
        <v>682</v>
      </c>
      <c r="F733" s="13">
        <v>29972</v>
      </c>
      <c r="G733" s="13">
        <v>15305784</v>
      </c>
      <c r="H733" s="13">
        <v>225</v>
      </c>
      <c r="I733" s="13">
        <v>2975</v>
      </c>
      <c r="J733" s="13">
        <v>1582</v>
      </c>
      <c r="K733" s="13">
        <v>54771</v>
      </c>
    </row>
    <row r="734" spans="1:11">
      <c r="A734" s="11">
        <v>500270</v>
      </c>
      <c r="B734" s="12" t="s">
        <v>362</v>
      </c>
      <c r="C734" s="13">
        <v>2014</v>
      </c>
      <c r="D734" s="13">
        <v>832352</v>
      </c>
      <c r="E734" s="13">
        <v>152</v>
      </c>
      <c r="F734" s="13">
        <v>3639</v>
      </c>
      <c r="G734" s="13">
        <v>5305127</v>
      </c>
      <c r="H734" s="13">
        <v>33</v>
      </c>
      <c r="I734" s="13">
        <v>67557</v>
      </c>
      <c r="J734" s="13">
        <v>767213</v>
      </c>
      <c r="K734" s="13">
        <v>27</v>
      </c>
    </row>
    <row r="735" spans="1:11">
      <c r="A735" s="11">
        <v>500270</v>
      </c>
      <c r="B735" s="12" t="s">
        <v>362</v>
      </c>
      <c r="C735" s="13">
        <v>2015</v>
      </c>
      <c r="D735" s="13">
        <v>853622</v>
      </c>
      <c r="E735" s="13">
        <v>138</v>
      </c>
      <c r="F735" s="13">
        <v>17808</v>
      </c>
      <c r="G735" s="13">
        <v>5773424</v>
      </c>
      <c r="H735" s="13">
        <v>33</v>
      </c>
      <c r="I735" s="13">
        <v>56085</v>
      </c>
      <c r="J735" s="13">
        <v>653027</v>
      </c>
      <c r="K735" s="13">
        <v>9340</v>
      </c>
    </row>
    <row r="736" spans="1:11">
      <c r="A736" s="11">
        <v>500270</v>
      </c>
      <c r="B736" s="12" t="s">
        <v>362</v>
      </c>
      <c r="C736" s="13">
        <v>2016</v>
      </c>
      <c r="D736" s="13"/>
      <c r="E736" s="13">
        <v>123</v>
      </c>
      <c r="F736" s="13">
        <v>28522</v>
      </c>
      <c r="G736" s="13">
        <v>6097187</v>
      </c>
      <c r="H736" s="13">
        <v>21</v>
      </c>
      <c r="I736" s="13">
        <v>55347</v>
      </c>
      <c r="J736" s="13">
        <v>755425</v>
      </c>
      <c r="K736" s="13">
        <v>23997</v>
      </c>
    </row>
    <row r="737" spans="1:11">
      <c r="A737" s="11">
        <v>500270</v>
      </c>
      <c r="B737" s="12" t="s">
        <v>362</v>
      </c>
      <c r="C737" s="13">
        <v>2017</v>
      </c>
      <c r="D737" s="13"/>
      <c r="E737" s="13">
        <v>132</v>
      </c>
      <c r="F737" s="13">
        <v>7647</v>
      </c>
      <c r="G737" s="13">
        <v>5185783</v>
      </c>
      <c r="H737" s="13">
        <v>41</v>
      </c>
      <c r="I737" s="13">
        <v>50312</v>
      </c>
      <c r="J737" s="13">
        <v>572886</v>
      </c>
      <c r="K737" s="13">
        <v>1019</v>
      </c>
    </row>
    <row r="738" spans="1:11">
      <c r="A738" s="11">
        <v>500270</v>
      </c>
      <c r="B738" s="12" t="s">
        <v>362</v>
      </c>
      <c r="C738" s="13">
        <v>2018</v>
      </c>
      <c r="D738" s="13"/>
      <c r="E738" s="13">
        <v>154</v>
      </c>
      <c r="F738" s="13">
        <v>17310</v>
      </c>
      <c r="G738" s="13">
        <v>5307881</v>
      </c>
      <c r="H738" s="13">
        <v>44</v>
      </c>
      <c r="I738" s="13">
        <v>46179</v>
      </c>
      <c r="J738" s="13">
        <v>511337</v>
      </c>
      <c r="K738" s="13">
        <v>1567</v>
      </c>
    </row>
    <row r="739" spans="1:11">
      <c r="A739" s="11">
        <v>500270</v>
      </c>
      <c r="B739" s="12" t="s">
        <v>362</v>
      </c>
      <c r="C739" s="13">
        <v>2019</v>
      </c>
      <c r="D739" s="13"/>
      <c r="E739" s="13">
        <v>183</v>
      </c>
      <c r="F739" s="13">
        <v>12081</v>
      </c>
      <c r="G739" s="13">
        <v>6601243</v>
      </c>
      <c r="H739" s="13">
        <v>38</v>
      </c>
      <c r="I739" s="13">
        <v>26005</v>
      </c>
      <c r="J739" s="13">
        <v>449462</v>
      </c>
      <c r="K739" s="13">
        <v>36816</v>
      </c>
    </row>
    <row r="740" spans="1:11">
      <c r="A740" s="11">
        <v>500270</v>
      </c>
      <c r="B740" s="12" t="s">
        <v>362</v>
      </c>
      <c r="C740" s="13">
        <v>2020</v>
      </c>
      <c r="D740" s="13"/>
      <c r="E740" s="13">
        <v>196</v>
      </c>
      <c r="F740" s="13">
        <v>4848</v>
      </c>
      <c r="G740" s="13">
        <v>5049670</v>
      </c>
      <c r="H740" s="13">
        <v>89</v>
      </c>
      <c r="I740" s="13">
        <v>2653</v>
      </c>
      <c r="J740" s="13">
        <v>53587</v>
      </c>
      <c r="K740" s="13">
        <v>13978</v>
      </c>
    </row>
    <row r="741" spans="1:11">
      <c r="A741" s="11">
        <v>500270</v>
      </c>
      <c r="B741" s="12" t="s">
        <v>362</v>
      </c>
      <c r="C741" s="13">
        <v>2021</v>
      </c>
      <c r="D741" s="13"/>
      <c r="E741" s="13">
        <v>179</v>
      </c>
      <c r="F741" s="13">
        <v>5279</v>
      </c>
      <c r="G741" s="13">
        <v>6327708</v>
      </c>
      <c r="H741" s="13">
        <v>76</v>
      </c>
      <c r="I741" s="13">
        <v>0</v>
      </c>
      <c r="J741" s="13">
        <v>2118</v>
      </c>
      <c r="K741" s="13">
        <v>575</v>
      </c>
    </row>
    <row r="742" spans="1:11">
      <c r="A742" s="11">
        <v>500270</v>
      </c>
      <c r="B742" s="12" t="s">
        <v>362</v>
      </c>
      <c r="C742" s="13">
        <v>2022</v>
      </c>
      <c r="D742" s="13">
        <v>898100</v>
      </c>
      <c r="E742" s="13">
        <v>240</v>
      </c>
      <c r="F742" s="13">
        <v>8865</v>
      </c>
      <c r="G742" s="13">
        <v>7513945</v>
      </c>
      <c r="H742" s="13">
        <v>125</v>
      </c>
      <c r="I742" s="13">
        <v>0</v>
      </c>
      <c r="J742" s="13">
        <v>4001</v>
      </c>
      <c r="K742" s="13">
        <v>8708</v>
      </c>
    </row>
    <row r="743" spans="1:11">
      <c r="A743" s="11">
        <v>500270</v>
      </c>
      <c r="B743" s="12" t="s">
        <v>362</v>
      </c>
      <c r="C743" s="13">
        <v>2023</v>
      </c>
      <c r="D743" s="13"/>
      <c r="E743" s="13">
        <v>293</v>
      </c>
      <c r="F743" s="13">
        <v>13573</v>
      </c>
      <c r="G743" s="13">
        <v>8576963</v>
      </c>
      <c r="H743" s="13">
        <v>114</v>
      </c>
      <c r="I743" s="13">
        <v>0</v>
      </c>
      <c r="J743" s="13">
        <v>3895</v>
      </c>
      <c r="K743" s="13">
        <v>12256</v>
      </c>
    </row>
    <row r="744" spans="1:11">
      <c r="A744" s="11">
        <v>500270</v>
      </c>
      <c r="B744" s="12" t="s">
        <v>362</v>
      </c>
      <c r="C744" s="13">
        <v>2024</v>
      </c>
      <c r="D744" s="13"/>
      <c r="E744" s="13">
        <v>295</v>
      </c>
      <c r="F744" s="13">
        <v>15132</v>
      </c>
      <c r="G744" s="13">
        <v>8536528</v>
      </c>
      <c r="H744" s="13">
        <v>134</v>
      </c>
      <c r="I744" s="13">
        <v>169</v>
      </c>
      <c r="J744" s="13">
        <v>4035</v>
      </c>
      <c r="K744" s="13">
        <v>830</v>
      </c>
    </row>
    <row r="745" spans="1:11">
      <c r="A745" s="11">
        <v>500270</v>
      </c>
      <c r="B745" s="12" t="s">
        <v>362</v>
      </c>
      <c r="C745" s="13">
        <v>2025</v>
      </c>
      <c r="D745" s="13"/>
      <c r="E745" s="13">
        <v>164</v>
      </c>
      <c r="F745" s="13">
        <v>11546</v>
      </c>
      <c r="G745" s="13">
        <v>6538285</v>
      </c>
      <c r="H745" s="13">
        <v>72</v>
      </c>
      <c r="I745" s="13">
        <v>2906</v>
      </c>
      <c r="J745" s="13">
        <v>7839</v>
      </c>
      <c r="K745" s="13">
        <v>639</v>
      </c>
    </row>
    <row r="746" spans="1:11">
      <c r="A746" s="11">
        <v>510340</v>
      </c>
      <c r="B746" s="12" t="s">
        <v>363</v>
      </c>
      <c r="C746" s="13">
        <v>2014</v>
      </c>
      <c r="D746" s="13">
        <v>569830</v>
      </c>
      <c r="E746" s="13">
        <v>348</v>
      </c>
      <c r="F746" s="13">
        <v>2853</v>
      </c>
      <c r="G746" s="13">
        <v>4354575</v>
      </c>
      <c r="H746" s="13">
        <v>156</v>
      </c>
      <c r="I746" s="13">
        <v>41515</v>
      </c>
      <c r="J746" s="13">
        <v>235920</v>
      </c>
      <c r="K746" s="13">
        <v>1298</v>
      </c>
    </row>
    <row r="747" spans="1:11">
      <c r="A747" s="11">
        <v>510340</v>
      </c>
      <c r="B747" s="12" t="s">
        <v>363</v>
      </c>
      <c r="C747" s="13">
        <v>2015</v>
      </c>
      <c r="D747" s="13">
        <v>580489</v>
      </c>
      <c r="E747" s="13">
        <v>363</v>
      </c>
      <c r="F747" s="13">
        <v>3091</v>
      </c>
      <c r="G747" s="13">
        <v>4483893</v>
      </c>
      <c r="H747" s="13">
        <v>138</v>
      </c>
      <c r="I747" s="13">
        <v>42716</v>
      </c>
      <c r="J747" s="13">
        <v>510498</v>
      </c>
      <c r="K747" s="13">
        <v>4220</v>
      </c>
    </row>
    <row r="748" spans="1:11">
      <c r="A748" s="11">
        <v>510340</v>
      </c>
      <c r="B748" s="12" t="s">
        <v>363</v>
      </c>
      <c r="C748" s="13">
        <v>2016</v>
      </c>
      <c r="D748" s="13"/>
      <c r="E748" s="13">
        <v>181</v>
      </c>
      <c r="F748" s="13">
        <v>3177</v>
      </c>
      <c r="G748" s="13">
        <v>4890152</v>
      </c>
      <c r="H748" s="13">
        <v>91</v>
      </c>
      <c r="I748" s="13">
        <v>31850</v>
      </c>
      <c r="J748" s="13">
        <v>171673</v>
      </c>
      <c r="K748" s="13">
        <v>2140</v>
      </c>
    </row>
    <row r="749" spans="1:11">
      <c r="A749" s="11">
        <v>510340</v>
      </c>
      <c r="B749" s="12" t="s">
        <v>363</v>
      </c>
      <c r="C749" s="13">
        <v>2017</v>
      </c>
      <c r="D749" s="13"/>
      <c r="E749" s="13">
        <v>155</v>
      </c>
      <c r="F749" s="13">
        <v>21265</v>
      </c>
      <c r="G749" s="13">
        <v>5456070</v>
      </c>
      <c r="H749" s="13">
        <v>79</v>
      </c>
      <c r="I749" s="13">
        <v>37790</v>
      </c>
      <c r="J749" s="13">
        <v>213616</v>
      </c>
      <c r="K749" s="13">
        <v>3784</v>
      </c>
    </row>
    <row r="750" spans="1:11">
      <c r="A750" s="11">
        <v>510340</v>
      </c>
      <c r="B750" s="12" t="s">
        <v>363</v>
      </c>
      <c r="C750" s="13">
        <v>2018</v>
      </c>
      <c r="D750" s="13"/>
      <c r="E750" s="13">
        <v>110</v>
      </c>
      <c r="F750" s="13">
        <v>20951</v>
      </c>
      <c r="G750" s="13">
        <v>5456485</v>
      </c>
      <c r="H750" s="13">
        <v>91</v>
      </c>
      <c r="I750" s="13">
        <v>7925</v>
      </c>
      <c r="J750" s="13">
        <v>14153</v>
      </c>
      <c r="K750" s="13">
        <v>1672</v>
      </c>
    </row>
    <row r="751" spans="1:11">
      <c r="A751" s="11">
        <v>510340</v>
      </c>
      <c r="B751" s="12" t="s">
        <v>363</v>
      </c>
      <c r="C751" s="13">
        <v>2019</v>
      </c>
      <c r="D751" s="13"/>
      <c r="E751" s="13">
        <v>143</v>
      </c>
      <c r="F751" s="13">
        <v>3359</v>
      </c>
      <c r="G751" s="13">
        <v>5806492</v>
      </c>
      <c r="H751" s="13">
        <v>42</v>
      </c>
      <c r="I751" s="13">
        <v>2847</v>
      </c>
      <c r="J751" s="13">
        <v>1177</v>
      </c>
      <c r="K751" s="13">
        <v>519</v>
      </c>
    </row>
    <row r="752" spans="1:11">
      <c r="A752" s="11">
        <v>510340</v>
      </c>
      <c r="B752" s="12" t="s">
        <v>363</v>
      </c>
      <c r="C752" s="13">
        <v>2020</v>
      </c>
      <c r="D752" s="13"/>
      <c r="E752" s="13">
        <v>89</v>
      </c>
      <c r="F752" s="13">
        <v>1902</v>
      </c>
      <c r="G752" s="13">
        <v>5260198</v>
      </c>
      <c r="H752" s="13">
        <v>33</v>
      </c>
      <c r="I752" s="13">
        <v>66</v>
      </c>
      <c r="J752" s="13">
        <v>0</v>
      </c>
      <c r="K752" s="13">
        <v>974</v>
      </c>
    </row>
    <row r="753" spans="1:11">
      <c r="A753" s="11">
        <v>510340</v>
      </c>
      <c r="B753" s="12" t="s">
        <v>363</v>
      </c>
      <c r="C753" s="13">
        <v>2021</v>
      </c>
      <c r="D753" s="13"/>
      <c r="E753" s="13">
        <v>88</v>
      </c>
      <c r="F753" s="13">
        <v>3443</v>
      </c>
      <c r="G753" s="13">
        <v>6020309</v>
      </c>
      <c r="H753" s="13">
        <v>48</v>
      </c>
      <c r="I753" s="13">
        <v>0</v>
      </c>
      <c r="J753" s="13">
        <v>0</v>
      </c>
      <c r="K753" s="13">
        <v>784</v>
      </c>
    </row>
    <row r="754" spans="1:11">
      <c r="A754" s="11">
        <v>510340</v>
      </c>
      <c r="B754" s="12" t="s">
        <v>363</v>
      </c>
      <c r="C754" s="13">
        <v>2022</v>
      </c>
      <c r="D754" s="13">
        <v>650877</v>
      </c>
      <c r="E754" s="13">
        <v>114</v>
      </c>
      <c r="F754" s="13">
        <v>4592</v>
      </c>
      <c r="G754" s="13">
        <v>5948099</v>
      </c>
      <c r="H754" s="13">
        <v>51</v>
      </c>
      <c r="I754" s="13">
        <v>0</v>
      </c>
      <c r="J754" s="13">
        <v>0</v>
      </c>
      <c r="K754" s="13">
        <v>969</v>
      </c>
    </row>
    <row r="755" spans="1:11">
      <c r="A755" s="11">
        <v>510340</v>
      </c>
      <c r="B755" s="12" t="s">
        <v>363</v>
      </c>
      <c r="C755" s="13">
        <v>2023</v>
      </c>
      <c r="D755" s="13"/>
      <c r="E755" s="13">
        <v>123</v>
      </c>
      <c r="F755" s="13">
        <v>7465</v>
      </c>
      <c r="G755" s="13">
        <v>5475841</v>
      </c>
      <c r="H755" s="13">
        <v>98</v>
      </c>
      <c r="I755" s="13">
        <v>0</v>
      </c>
      <c r="J755" s="13">
        <v>3</v>
      </c>
      <c r="K755" s="13">
        <v>1577</v>
      </c>
    </row>
    <row r="756" spans="1:11">
      <c r="A756" s="11">
        <v>510340</v>
      </c>
      <c r="B756" s="12" t="s">
        <v>363</v>
      </c>
      <c r="C756" s="13">
        <v>2024</v>
      </c>
      <c r="D756" s="13"/>
      <c r="E756" s="13">
        <v>149</v>
      </c>
      <c r="F756" s="13">
        <v>14590</v>
      </c>
      <c r="G756" s="13">
        <v>6667809</v>
      </c>
      <c r="H756" s="13">
        <v>76</v>
      </c>
      <c r="I756" s="13">
        <v>0</v>
      </c>
      <c r="J756" s="13">
        <v>40</v>
      </c>
      <c r="K756" s="13">
        <v>2773</v>
      </c>
    </row>
    <row r="757" spans="1:11">
      <c r="A757" s="11">
        <v>510340</v>
      </c>
      <c r="B757" s="12" t="s">
        <v>363</v>
      </c>
      <c r="C757" s="13">
        <v>2025</v>
      </c>
      <c r="D757" s="13"/>
      <c r="E757" s="13">
        <v>114</v>
      </c>
      <c r="F757" s="13">
        <v>5299</v>
      </c>
      <c r="G757" s="13">
        <v>6355386</v>
      </c>
      <c r="H757" s="13">
        <v>61</v>
      </c>
      <c r="I757" s="13">
        <v>0</v>
      </c>
      <c r="J757" s="13">
        <v>1</v>
      </c>
      <c r="K757" s="13">
        <v>1595</v>
      </c>
    </row>
    <row r="758" spans="1:11">
      <c r="A758" s="11">
        <v>520110</v>
      </c>
      <c r="B758" s="12" t="s">
        <v>364</v>
      </c>
      <c r="C758" s="13">
        <v>2014</v>
      </c>
      <c r="D758" s="13">
        <v>357402</v>
      </c>
      <c r="E758" s="13">
        <v>158</v>
      </c>
      <c r="F758" s="13">
        <v>2837</v>
      </c>
      <c r="G758" s="13">
        <v>2047060</v>
      </c>
      <c r="H758" s="13">
        <v>159</v>
      </c>
      <c r="I758" s="13">
        <v>5195</v>
      </c>
      <c r="J758" s="13">
        <v>179846</v>
      </c>
      <c r="K758" s="13">
        <v>1674</v>
      </c>
    </row>
    <row r="759" spans="1:11">
      <c r="A759" s="11">
        <v>520110</v>
      </c>
      <c r="B759" s="12" t="s">
        <v>364</v>
      </c>
      <c r="C759" s="13">
        <v>2015</v>
      </c>
      <c r="D759" s="13">
        <v>366491</v>
      </c>
      <c r="E759" s="13">
        <v>153</v>
      </c>
      <c r="F759" s="13">
        <v>2254</v>
      </c>
      <c r="G759" s="13">
        <v>2064850</v>
      </c>
      <c r="H759" s="13">
        <v>92</v>
      </c>
      <c r="I759" s="13">
        <v>7584</v>
      </c>
      <c r="J759" s="13">
        <v>116886</v>
      </c>
      <c r="K759" s="13">
        <v>5926</v>
      </c>
    </row>
    <row r="760" spans="1:11">
      <c r="A760" s="11">
        <v>520110</v>
      </c>
      <c r="B760" s="12" t="s">
        <v>364</v>
      </c>
      <c r="C760" s="13">
        <v>2016</v>
      </c>
      <c r="D760" s="13"/>
      <c r="E760" s="13">
        <v>106</v>
      </c>
      <c r="F760" s="13">
        <v>1535</v>
      </c>
      <c r="G760" s="13">
        <v>1903626</v>
      </c>
      <c r="H760" s="13">
        <v>83</v>
      </c>
      <c r="I760" s="13">
        <v>9764</v>
      </c>
      <c r="J760" s="13">
        <v>107321</v>
      </c>
      <c r="K760" s="13">
        <v>11039</v>
      </c>
    </row>
    <row r="761" spans="1:11">
      <c r="A761" s="11">
        <v>520110</v>
      </c>
      <c r="B761" s="12" t="s">
        <v>364</v>
      </c>
      <c r="C761" s="13">
        <v>2017</v>
      </c>
      <c r="D761" s="13"/>
      <c r="E761" s="13">
        <v>115</v>
      </c>
      <c r="F761" s="13">
        <v>1584</v>
      </c>
      <c r="G761" s="13">
        <v>1777441</v>
      </c>
      <c r="H761" s="13">
        <v>75</v>
      </c>
      <c r="I761" s="13">
        <v>14595</v>
      </c>
      <c r="J761" s="13">
        <v>104841</v>
      </c>
      <c r="K761" s="13">
        <v>1175</v>
      </c>
    </row>
    <row r="762" spans="1:11">
      <c r="A762" s="11">
        <v>520110</v>
      </c>
      <c r="B762" s="12" t="s">
        <v>364</v>
      </c>
      <c r="C762" s="13">
        <v>2018</v>
      </c>
      <c r="D762" s="13"/>
      <c r="E762" s="13">
        <v>129</v>
      </c>
      <c r="F762" s="13">
        <v>1256</v>
      </c>
      <c r="G762" s="13">
        <v>1534896</v>
      </c>
      <c r="H762" s="13">
        <v>52</v>
      </c>
      <c r="I762" s="13">
        <v>7491</v>
      </c>
      <c r="J762" s="13">
        <v>43890</v>
      </c>
      <c r="K762" s="13">
        <v>2278</v>
      </c>
    </row>
    <row r="763" spans="1:11">
      <c r="A763" s="11">
        <v>520110</v>
      </c>
      <c r="B763" s="12" t="s">
        <v>364</v>
      </c>
      <c r="C763" s="13">
        <v>2019</v>
      </c>
      <c r="D763" s="13"/>
      <c r="E763" s="13">
        <v>102</v>
      </c>
      <c r="F763" s="13">
        <v>1645</v>
      </c>
      <c r="G763" s="13">
        <v>1632768</v>
      </c>
      <c r="H763" s="13">
        <v>50</v>
      </c>
      <c r="I763" s="13">
        <v>1327</v>
      </c>
      <c r="J763" s="13">
        <v>109</v>
      </c>
      <c r="K763" s="13">
        <v>11700</v>
      </c>
    </row>
    <row r="764" spans="1:11">
      <c r="A764" s="11">
        <v>520110</v>
      </c>
      <c r="B764" s="12" t="s">
        <v>364</v>
      </c>
      <c r="C764" s="13">
        <v>2020</v>
      </c>
      <c r="D764" s="13"/>
      <c r="E764" s="13">
        <v>134</v>
      </c>
      <c r="F764" s="13">
        <v>2383</v>
      </c>
      <c r="G764" s="13">
        <v>1675869</v>
      </c>
      <c r="H764" s="13">
        <v>20</v>
      </c>
      <c r="I764" s="13">
        <v>429</v>
      </c>
      <c r="J764" s="13">
        <v>657</v>
      </c>
      <c r="K764" s="13">
        <v>4855</v>
      </c>
    </row>
    <row r="765" spans="1:11">
      <c r="A765" s="11">
        <v>520110</v>
      </c>
      <c r="B765" s="12" t="s">
        <v>364</v>
      </c>
      <c r="C765" s="13">
        <v>2021</v>
      </c>
      <c r="D765" s="13"/>
      <c r="E765" s="13">
        <v>106</v>
      </c>
      <c r="F765" s="13">
        <v>2244</v>
      </c>
      <c r="G765" s="13">
        <v>1973843</v>
      </c>
      <c r="H765" s="13">
        <v>9</v>
      </c>
      <c r="I765" s="13">
        <v>0</v>
      </c>
      <c r="J765" s="13">
        <v>1886</v>
      </c>
      <c r="K765" s="13">
        <v>1670</v>
      </c>
    </row>
    <row r="766" spans="1:11">
      <c r="A766" s="11">
        <v>520110</v>
      </c>
      <c r="B766" s="12" t="s">
        <v>364</v>
      </c>
      <c r="C766" s="13">
        <v>2022</v>
      </c>
      <c r="D766" s="13">
        <v>398869</v>
      </c>
      <c r="E766" s="13">
        <v>169</v>
      </c>
      <c r="F766" s="13">
        <v>2305</v>
      </c>
      <c r="G766" s="13">
        <v>2020032</v>
      </c>
      <c r="H766" s="13">
        <v>33</v>
      </c>
      <c r="I766" s="13">
        <v>0</v>
      </c>
      <c r="J766" s="13">
        <v>3657</v>
      </c>
      <c r="K766" s="13">
        <v>17313</v>
      </c>
    </row>
    <row r="767" spans="1:11">
      <c r="A767" s="11">
        <v>520110</v>
      </c>
      <c r="B767" s="12" t="s">
        <v>364</v>
      </c>
      <c r="C767" s="13">
        <v>2023</v>
      </c>
      <c r="D767" s="13"/>
      <c r="E767" s="13">
        <v>150</v>
      </c>
      <c r="F767" s="13">
        <v>966</v>
      </c>
      <c r="G767" s="13">
        <v>2151616</v>
      </c>
      <c r="H767" s="13">
        <v>17</v>
      </c>
      <c r="I767" s="13">
        <v>355</v>
      </c>
      <c r="J767" s="13">
        <v>4</v>
      </c>
      <c r="K767" s="13">
        <v>1275</v>
      </c>
    </row>
    <row r="768" spans="1:11">
      <c r="A768" s="11">
        <v>520110</v>
      </c>
      <c r="B768" s="12" t="s">
        <v>364</v>
      </c>
      <c r="C768" s="13">
        <v>2024</v>
      </c>
      <c r="D768" s="13"/>
      <c r="E768" s="13">
        <v>187</v>
      </c>
      <c r="F768" s="13">
        <v>1044</v>
      </c>
      <c r="G768" s="13">
        <v>2406979</v>
      </c>
      <c r="H768" s="13">
        <v>6</v>
      </c>
      <c r="I768" s="13">
        <v>31</v>
      </c>
      <c r="J768" s="13">
        <v>462</v>
      </c>
      <c r="K768" s="13">
        <v>39155</v>
      </c>
    </row>
    <row r="769" spans="1:11">
      <c r="A769" s="11">
        <v>520110</v>
      </c>
      <c r="B769" s="12" t="s">
        <v>364</v>
      </c>
      <c r="C769" s="13">
        <v>2025</v>
      </c>
      <c r="D769" s="13"/>
      <c r="E769" s="13">
        <v>194</v>
      </c>
      <c r="F769" s="13">
        <v>2141</v>
      </c>
      <c r="G769" s="13">
        <v>2323574</v>
      </c>
      <c r="H769" s="13">
        <v>14</v>
      </c>
      <c r="I769" s="13">
        <v>190</v>
      </c>
      <c r="J769" s="13">
        <v>5317</v>
      </c>
      <c r="K769" s="13">
        <v>2211</v>
      </c>
    </row>
    <row r="770" spans="1:11">
      <c r="A770" s="11">
        <v>520140</v>
      </c>
      <c r="B770" s="12" t="s">
        <v>365</v>
      </c>
      <c r="C770" s="13">
        <v>2014</v>
      </c>
      <c r="D770" s="13">
        <v>500619</v>
      </c>
      <c r="E770" s="13">
        <v>66</v>
      </c>
      <c r="F770" s="13">
        <v>2483</v>
      </c>
      <c r="G770" s="13">
        <v>2221713</v>
      </c>
      <c r="H770" s="13">
        <v>54</v>
      </c>
      <c r="I770" s="13">
        <v>19276</v>
      </c>
      <c r="J770" s="13">
        <v>202269</v>
      </c>
      <c r="K770" s="13">
        <v>4518</v>
      </c>
    </row>
    <row r="771" spans="1:11">
      <c r="A771" s="11">
        <v>520140</v>
      </c>
      <c r="B771" s="12" t="s">
        <v>365</v>
      </c>
      <c r="C771" s="13">
        <v>2015</v>
      </c>
      <c r="D771" s="13">
        <v>521910</v>
      </c>
      <c r="E771" s="13">
        <v>84</v>
      </c>
      <c r="F771" s="13">
        <v>2314</v>
      </c>
      <c r="G771" s="13">
        <v>2804829</v>
      </c>
      <c r="H771" s="13">
        <v>51</v>
      </c>
      <c r="I771" s="13">
        <v>170705</v>
      </c>
      <c r="J771" s="13">
        <v>289093</v>
      </c>
      <c r="K771" s="13">
        <v>14000</v>
      </c>
    </row>
    <row r="772" spans="1:11">
      <c r="A772" s="11">
        <v>520140</v>
      </c>
      <c r="B772" s="12" t="s">
        <v>365</v>
      </c>
      <c r="C772" s="13">
        <v>2016</v>
      </c>
      <c r="D772" s="13"/>
      <c r="E772" s="13">
        <v>56</v>
      </c>
      <c r="F772" s="13">
        <v>1265</v>
      </c>
      <c r="G772" s="13">
        <v>2526520</v>
      </c>
      <c r="H772" s="13">
        <v>37</v>
      </c>
      <c r="I772" s="13">
        <v>20315</v>
      </c>
      <c r="J772" s="13">
        <v>179832</v>
      </c>
      <c r="K772" s="13">
        <v>11905</v>
      </c>
    </row>
    <row r="773" spans="1:11">
      <c r="A773" s="11">
        <v>520140</v>
      </c>
      <c r="B773" s="12" t="s">
        <v>365</v>
      </c>
      <c r="C773" s="13">
        <v>2017</v>
      </c>
      <c r="D773" s="13"/>
      <c r="E773" s="13">
        <v>56</v>
      </c>
      <c r="F773" s="13">
        <v>3228</v>
      </c>
      <c r="G773" s="13">
        <v>3104968</v>
      </c>
      <c r="H773" s="13">
        <v>29</v>
      </c>
      <c r="I773" s="13">
        <v>18739</v>
      </c>
      <c r="J773" s="13">
        <v>816228</v>
      </c>
      <c r="K773" s="13">
        <v>11147</v>
      </c>
    </row>
    <row r="774" spans="1:11">
      <c r="A774" s="11">
        <v>520140</v>
      </c>
      <c r="B774" s="12" t="s">
        <v>365</v>
      </c>
      <c r="C774" s="13">
        <v>2018</v>
      </c>
      <c r="D774" s="13"/>
      <c r="E774" s="13">
        <v>24</v>
      </c>
      <c r="F774" s="13">
        <v>4587</v>
      </c>
      <c r="G774" s="13">
        <v>3207366</v>
      </c>
      <c r="H774" s="13">
        <v>14</v>
      </c>
      <c r="I774" s="13">
        <v>7058</v>
      </c>
      <c r="J774" s="13">
        <v>1448</v>
      </c>
      <c r="K774" s="13">
        <v>17302</v>
      </c>
    </row>
    <row r="775" spans="1:11">
      <c r="A775" s="11">
        <v>520140</v>
      </c>
      <c r="B775" s="12" t="s">
        <v>365</v>
      </c>
      <c r="C775" s="13">
        <v>2019</v>
      </c>
      <c r="D775" s="13"/>
      <c r="E775" s="13">
        <v>109</v>
      </c>
      <c r="F775" s="13">
        <v>4476</v>
      </c>
      <c r="G775" s="13">
        <v>3751454</v>
      </c>
      <c r="H775" s="13">
        <v>17</v>
      </c>
      <c r="I775" s="13">
        <v>211415</v>
      </c>
      <c r="J775" s="13">
        <v>349</v>
      </c>
      <c r="K775" s="13">
        <v>18930</v>
      </c>
    </row>
    <row r="776" spans="1:11">
      <c r="A776" s="11">
        <v>520140</v>
      </c>
      <c r="B776" s="12" t="s">
        <v>365</v>
      </c>
      <c r="C776" s="13">
        <v>2020</v>
      </c>
      <c r="D776" s="13"/>
      <c r="E776" s="13">
        <v>112</v>
      </c>
      <c r="F776" s="13">
        <v>3674</v>
      </c>
      <c r="G776" s="13">
        <v>3119960</v>
      </c>
      <c r="H776" s="13">
        <v>24</v>
      </c>
      <c r="I776" s="13">
        <v>3501</v>
      </c>
      <c r="J776" s="13">
        <v>971</v>
      </c>
      <c r="K776" s="13">
        <v>10623</v>
      </c>
    </row>
    <row r="777" spans="1:11">
      <c r="A777" s="11">
        <v>520140</v>
      </c>
      <c r="B777" s="12" t="s">
        <v>365</v>
      </c>
      <c r="C777" s="13">
        <v>2021</v>
      </c>
      <c r="D777" s="13"/>
      <c r="E777" s="13">
        <v>101</v>
      </c>
      <c r="F777" s="13">
        <v>4320</v>
      </c>
      <c r="G777" s="13">
        <v>3966263</v>
      </c>
      <c r="H777" s="13">
        <v>22</v>
      </c>
      <c r="I777" s="13">
        <v>761</v>
      </c>
      <c r="J777" s="13">
        <v>222</v>
      </c>
      <c r="K777" s="13">
        <v>10765</v>
      </c>
    </row>
    <row r="778" spans="1:11">
      <c r="A778" s="11">
        <v>520140</v>
      </c>
      <c r="B778" s="12" t="s">
        <v>365</v>
      </c>
      <c r="C778" s="13">
        <v>2022</v>
      </c>
      <c r="D778" s="13">
        <v>527796</v>
      </c>
      <c r="E778" s="13">
        <v>126</v>
      </c>
      <c r="F778" s="13">
        <v>5250</v>
      </c>
      <c r="G778" s="13">
        <v>4635714</v>
      </c>
      <c r="H778" s="13">
        <v>28</v>
      </c>
      <c r="I778" s="13">
        <v>968</v>
      </c>
      <c r="J778" s="13">
        <v>348</v>
      </c>
      <c r="K778" s="13">
        <v>25416</v>
      </c>
    </row>
    <row r="779" spans="1:11">
      <c r="A779" s="11">
        <v>520140</v>
      </c>
      <c r="B779" s="12" t="s">
        <v>365</v>
      </c>
      <c r="C779" s="13">
        <v>2023</v>
      </c>
      <c r="D779" s="13"/>
      <c r="E779" s="13">
        <v>89</v>
      </c>
      <c r="F779" s="13">
        <v>7791</v>
      </c>
      <c r="G779" s="13">
        <v>4821530</v>
      </c>
      <c r="H779" s="13">
        <v>28</v>
      </c>
      <c r="I779" s="13">
        <v>652</v>
      </c>
      <c r="J779" s="13">
        <v>0</v>
      </c>
      <c r="K779" s="13">
        <v>15340</v>
      </c>
    </row>
    <row r="780" spans="1:11">
      <c r="A780" s="11">
        <v>520140</v>
      </c>
      <c r="B780" s="12" t="s">
        <v>365</v>
      </c>
      <c r="C780" s="13">
        <v>2024</v>
      </c>
      <c r="D780" s="13"/>
      <c r="E780" s="13">
        <v>70</v>
      </c>
      <c r="F780" s="13">
        <v>10087</v>
      </c>
      <c r="G780" s="13">
        <v>5546612</v>
      </c>
      <c r="H780" s="13">
        <v>12</v>
      </c>
      <c r="I780" s="13">
        <v>673</v>
      </c>
      <c r="J780" s="13">
        <v>2893</v>
      </c>
      <c r="K780" s="13">
        <v>23303</v>
      </c>
    </row>
    <row r="781" spans="1:11">
      <c r="A781" s="11">
        <v>520140</v>
      </c>
      <c r="B781" s="12" t="s">
        <v>365</v>
      </c>
      <c r="C781" s="13">
        <v>2025</v>
      </c>
      <c r="D781" s="13"/>
      <c r="E781" s="13">
        <v>95</v>
      </c>
      <c r="F781" s="13">
        <v>10427</v>
      </c>
      <c r="G781" s="13">
        <v>4936507</v>
      </c>
      <c r="H781" s="13">
        <v>12</v>
      </c>
      <c r="I781" s="13">
        <v>561</v>
      </c>
      <c r="J781" s="13">
        <v>2472</v>
      </c>
      <c r="K781" s="13">
        <v>15707</v>
      </c>
    </row>
    <row r="782" spans="1:11">
      <c r="A782" s="11">
        <v>520870</v>
      </c>
      <c r="B782" s="12" t="s">
        <v>366</v>
      </c>
      <c r="C782" s="13">
        <v>2014</v>
      </c>
      <c r="D782" s="13">
        <v>1393575</v>
      </c>
      <c r="E782" s="13">
        <v>569</v>
      </c>
      <c r="F782" s="13">
        <v>20538</v>
      </c>
      <c r="G782" s="13">
        <v>8496008</v>
      </c>
      <c r="H782" s="13">
        <v>159</v>
      </c>
      <c r="I782" s="13">
        <v>65174</v>
      </c>
      <c r="J782" s="13">
        <v>847780</v>
      </c>
      <c r="K782" s="13">
        <v>28345</v>
      </c>
    </row>
    <row r="783" spans="1:11">
      <c r="A783" s="11">
        <v>520870</v>
      </c>
      <c r="B783" s="12" t="s">
        <v>366</v>
      </c>
      <c r="C783" s="13">
        <v>2015</v>
      </c>
      <c r="D783" s="13">
        <v>1430697</v>
      </c>
      <c r="E783" s="13">
        <v>500</v>
      </c>
      <c r="F783" s="13">
        <v>18694</v>
      </c>
      <c r="G783" s="13">
        <v>8567214</v>
      </c>
      <c r="H783" s="13">
        <v>154</v>
      </c>
      <c r="I783" s="13">
        <v>62757</v>
      </c>
      <c r="J783" s="13">
        <v>898198</v>
      </c>
      <c r="K783" s="13">
        <v>82685</v>
      </c>
    </row>
    <row r="784" spans="1:11">
      <c r="A784" s="11">
        <v>520870</v>
      </c>
      <c r="B784" s="12" t="s">
        <v>366</v>
      </c>
      <c r="C784" s="13">
        <v>2016</v>
      </c>
      <c r="D784" s="13"/>
      <c r="E784" s="13">
        <v>394</v>
      </c>
      <c r="F784" s="13">
        <v>15833</v>
      </c>
      <c r="G784" s="13">
        <v>8804248</v>
      </c>
      <c r="H784" s="13">
        <v>168</v>
      </c>
      <c r="I784" s="13">
        <v>65811</v>
      </c>
      <c r="J784" s="13">
        <v>720967</v>
      </c>
      <c r="K784" s="13">
        <v>62649</v>
      </c>
    </row>
    <row r="785" spans="1:11">
      <c r="A785" s="11">
        <v>520870</v>
      </c>
      <c r="B785" s="12" t="s">
        <v>366</v>
      </c>
      <c r="C785" s="13">
        <v>2017</v>
      </c>
      <c r="D785" s="13"/>
      <c r="E785" s="13">
        <v>337</v>
      </c>
      <c r="F785" s="13">
        <v>18071</v>
      </c>
      <c r="G785" s="13">
        <v>8949543</v>
      </c>
      <c r="H785" s="13">
        <v>127</v>
      </c>
      <c r="I785" s="13">
        <v>70866</v>
      </c>
      <c r="J785" s="13">
        <v>725422</v>
      </c>
      <c r="K785" s="13">
        <v>31728</v>
      </c>
    </row>
    <row r="786" spans="1:11">
      <c r="A786" s="11">
        <v>520870</v>
      </c>
      <c r="B786" s="12" t="s">
        <v>366</v>
      </c>
      <c r="C786" s="13">
        <v>2018</v>
      </c>
      <c r="D786" s="13"/>
      <c r="E786" s="13">
        <v>356</v>
      </c>
      <c r="F786" s="13">
        <v>15847</v>
      </c>
      <c r="G786" s="13">
        <v>7866867</v>
      </c>
      <c r="H786" s="13">
        <v>107</v>
      </c>
      <c r="I786" s="13">
        <v>57947</v>
      </c>
      <c r="J786" s="13">
        <v>652812</v>
      </c>
      <c r="K786" s="13">
        <v>31306</v>
      </c>
    </row>
    <row r="787" spans="1:11">
      <c r="A787" s="11">
        <v>520870</v>
      </c>
      <c r="B787" s="12" t="s">
        <v>366</v>
      </c>
      <c r="C787" s="13">
        <v>2019</v>
      </c>
      <c r="D787" s="13"/>
      <c r="E787" s="13">
        <v>372</v>
      </c>
      <c r="F787" s="13">
        <v>17922</v>
      </c>
      <c r="G787" s="13">
        <v>8011374</v>
      </c>
      <c r="H787" s="13">
        <v>59</v>
      </c>
      <c r="I787" s="13">
        <v>42992</v>
      </c>
      <c r="J787" s="13">
        <v>687575</v>
      </c>
      <c r="K787" s="13">
        <v>34131</v>
      </c>
    </row>
    <row r="788" spans="1:11">
      <c r="A788" s="11">
        <v>520870</v>
      </c>
      <c r="B788" s="12" t="s">
        <v>366</v>
      </c>
      <c r="C788" s="13">
        <v>2020</v>
      </c>
      <c r="D788" s="13"/>
      <c r="E788" s="13">
        <v>388</v>
      </c>
      <c r="F788" s="13">
        <v>10114</v>
      </c>
      <c r="G788" s="13">
        <v>5473668</v>
      </c>
      <c r="H788" s="13">
        <v>54</v>
      </c>
      <c r="I788" s="13">
        <v>20701</v>
      </c>
      <c r="J788" s="13">
        <v>574690</v>
      </c>
      <c r="K788" s="13">
        <v>13585</v>
      </c>
    </row>
    <row r="789" spans="1:11">
      <c r="A789" s="11">
        <v>520870</v>
      </c>
      <c r="B789" s="12" t="s">
        <v>366</v>
      </c>
      <c r="C789" s="13">
        <v>2021</v>
      </c>
      <c r="D789" s="13"/>
      <c r="E789" s="13">
        <v>388</v>
      </c>
      <c r="F789" s="13">
        <v>16817</v>
      </c>
      <c r="G789" s="13">
        <v>7661104</v>
      </c>
      <c r="H789" s="13">
        <v>62</v>
      </c>
      <c r="I789" s="13">
        <v>37983</v>
      </c>
      <c r="J789" s="13">
        <v>784887</v>
      </c>
      <c r="K789" s="13">
        <v>12637</v>
      </c>
    </row>
    <row r="790" spans="1:11">
      <c r="A790" s="11">
        <v>520870</v>
      </c>
      <c r="B790" s="12" t="s">
        <v>366</v>
      </c>
      <c r="C790" s="13">
        <v>2022</v>
      </c>
      <c r="D790" s="13">
        <v>1437366</v>
      </c>
      <c r="E790" s="13">
        <v>350</v>
      </c>
      <c r="F790" s="13">
        <v>17390</v>
      </c>
      <c r="G790" s="13">
        <v>8658646</v>
      </c>
      <c r="H790" s="13">
        <v>51</v>
      </c>
      <c r="I790" s="13">
        <v>24602</v>
      </c>
      <c r="J790" s="13">
        <v>912496</v>
      </c>
      <c r="K790" s="13">
        <v>58436</v>
      </c>
    </row>
    <row r="791" spans="1:11">
      <c r="A791" s="11">
        <v>520870</v>
      </c>
      <c r="B791" s="12" t="s">
        <v>366</v>
      </c>
      <c r="C791" s="13">
        <v>2023</v>
      </c>
      <c r="D791" s="13"/>
      <c r="E791" s="13">
        <v>359</v>
      </c>
      <c r="F791" s="13">
        <v>18638</v>
      </c>
      <c r="G791" s="13">
        <v>7766904</v>
      </c>
      <c r="H791" s="13">
        <v>41</v>
      </c>
      <c r="I791" s="13">
        <v>23190</v>
      </c>
      <c r="J791" s="13">
        <v>920150</v>
      </c>
      <c r="K791" s="13">
        <v>20799</v>
      </c>
    </row>
    <row r="792" spans="1:11">
      <c r="A792" s="11">
        <v>520870</v>
      </c>
      <c r="B792" s="12" t="s">
        <v>366</v>
      </c>
      <c r="C792" s="13">
        <v>2024</v>
      </c>
      <c r="D792" s="13"/>
      <c r="E792" s="13">
        <v>329</v>
      </c>
      <c r="F792" s="13">
        <v>15910</v>
      </c>
      <c r="G792" s="13">
        <v>8713411</v>
      </c>
      <c r="H792" s="13">
        <v>44</v>
      </c>
      <c r="I792" s="13">
        <v>27831</v>
      </c>
      <c r="J792" s="13">
        <v>1070012</v>
      </c>
      <c r="K792" s="13">
        <v>61595</v>
      </c>
    </row>
    <row r="793" spans="1:11">
      <c r="A793" s="11">
        <v>520870</v>
      </c>
      <c r="B793" s="12" t="s">
        <v>366</v>
      </c>
      <c r="C793" s="13">
        <v>2025</v>
      </c>
      <c r="D793" s="13"/>
      <c r="E793" s="13">
        <v>288</v>
      </c>
      <c r="F793" s="13">
        <v>15734</v>
      </c>
      <c r="G793" s="13">
        <v>7111333</v>
      </c>
      <c r="H793" s="13">
        <v>42</v>
      </c>
      <c r="I793" s="13">
        <v>16975</v>
      </c>
      <c r="J793" s="13">
        <v>692070</v>
      </c>
      <c r="K793" s="13">
        <v>32433</v>
      </c>
    </row>
    <row r="794" spans="1:11">
      <c r="A794" s="11">
        <v>530010</v>
      </c>
      <c r="B794" s="12" t="s">
        <v>367</v>
      </c>
      <c r="C794" s="13">
        <v>2014</v>
      </c>
      <c r="D794" s="13">
        <v>2789761</v>
      </c>
      <c r="E794" s="13">
        <v>1653</v>
      </c>
      <c r="F794" s="13">
        <v>42678</v>
      </c>
      <c r="G794" s="13">
        <v>17756547</v>
      </c>
      <c r="H794" s="13">
        <v>754</v>
      </c>
      <c r="I794" s="13">
        <v>203636</v>
      </c>
      <c r="J794" s="13">
        <v>1413379</v>
      </c>
      <c r="K794" s="13">
        <v>13623</v>
      </c>
    </row>
    <row r="795" spans="1:11">
      <c r="A795" s="11">
        <v>530010</v>
      </c>
      <c r="B795" s="12" t="s">
        <v>367</v>
      </c>
      <c r="C795" s="13">
        <v>2015</v>
      </c>
      <c r="D795" s="13">
        <v>2914830</v>
      </c>
      <c r="E795" s="13">
        <v>1228</v>
      </c>
      <c r="F795" s="13">
        <v>2761</v>
      </c>
      <c r="G795" s="13">
        <v>13528777</v>
      </c>
      <c r="H795" s="13">
        <v>567</v>
      </c>
      <c r="I795" s="13">
        <v>522050</v>
      </c>
      <c r="J795" s="13">
        <v>1283546</v>
      </c>
      <c r="K795" s="13">
        <v>10240</v>
      </c>
    </row>
    <row r="796" spans="1:11">
      <c r="A796" s="11">
        <v>530010</v>
      </c>
      <c r="B796" s="12" t="s">
        <v>367</v>
      </c>
      <c r="C796" s="13">
        <v>2016</v>
      </c>
      <c r="D796" s="13"/>
      <c r="E796" s="13">
        <v>1369</v>
      </c>
      <c r="F796" s="13">
        <v>4338</v>
      </c>
      <c r="G796" s="13">
        <v>12192821</v>
      </c>
      <c r="H796" s="13">
        <v>577</v>
      </c>
      <c r="I796" s="13">
        <v>239164</v>
      </c>
      <c r="J796" s="13">
        <v>1405234</v>
      </c>
      <c r="K796" s="13">
        <v>19603</v>
      </c>
    </row>
    <row r="797" spans="1:11">
      <c r="A797" s="11">
        <v>530010</v>
      </c>
      <c r="B797" s="12" t="s">
        <v>367</v>
      </c>
      <c r="C797" s="13">
        <v>2017</v>
      </c>
      <c r="D797" s="13"/>
      <c r="E797" s="13">
        <v>1325</v>
      </c>
      <c r="F797" s="13">
        <v>4601</v>
      </c>
      <c r="G797" s="13">
        <v>13030085</v>
      </c>
      <c r="H797" s="13">
        <v>595</v>
      </c>
      <c r="I797" s="13">
        <v>236903</v>
      </c>
      <c r="J797" s="13">
        <v>1334349</v>
      </c>
      <c r="K797" s="13">
        <v>4251</v>
      </c>
    </row>
    <row r="798" spans="1:11">
      <c r="A798" s="11">
        <v>530010</v>
      </c>
      <c r="B798" s="12" t="s">
        <v>367</v>
      </c>
      <c r="C798" s="13">
        <v>2018</v>
      </c>
      <c r="D798" s="13"/>
      <c r="E798" s="13">
        <v>1350</v>
      </c>
      <c r="F798" s="13">
        <v>4424</v>
      </c>
      <c r="G798" s="13">
        <v>12804916</v>
      </c>
      <c r="H798" s="13">
        <v>702</v>
      </c>
      <c r="I798" s="13">
        <v>42171</v>
      </c>
      <c r="J798" s="13">
        <v>188758</v>
      </c>
      <c r="K798" s="13">
        <v>2482</v>
      </c>
    </row>
    <row r="799" spans="1:11">
      <c r="A799" s="11">
        <v>530010</v>
      </c>
      <c r="B799" s="12" t="s">
        <v>367</v>
      </c>
      <c r="C799" s="13">
        <v>2019</v>
      </c>
      <c r="D799" s="13"/>
      <c r="E799" s="13">
        <v>1355</v>
      </c>
      <c r="F799" s="13">
        <v>8447</v>
      </c>
      <c r="G799" s="13">
        <v>14885178</v>
      </c>
      <c r="H799" s="13">
        <v>845</v>
      </c>
      <c r="I799" s="13">
        <v>17955</v>
      </c>
      <c r="J799" s="13">
        <v>13501</v>
      </c>
      <c r="K799" s="13">
        <v>39583</v>
      </c>
    </row>
    <row r="800" spans="1:11">
      <c r="A800" s="11">
        <v>530010</v>
      </c>
      <c r="B800" s="12" t="s">
        <v>367</v>
      </c>
      <c r="C800" s="13">
        <v>2020</v>
      </c>
      <c r="D800" s="13"/>
      <c r="E800" s="13">
        <v>1123</v>
      </c>
      <c r="F800" s="13">
        <v>6503</v>
      </c>
      <c r="G800" s="13">
        <v>11576561</v>
      </c>
      <c r="H800" s="13">
        <v>515</v>
      </c>
      <c r="I800" s="13">
        <v>23317</v>
      </c>
      <c r="J800" s="13">
        <v>19911</v>
      </c>
      <c r="K800" s="13">
        <v>50856</v>
      </c>
    </row>
    <row r="801" spans="1:11">
      <c r="A801" s="11">
        <v>530010</v>
      </c>
      <c r="B801" s="12" t="s">
        <v>367</v>
      </c>
      <c r="C801" s="13">
        <v>2021</v>
      </c>
      <c r="D801" s="13"/>
      <c r="E801" s="13">
        <v>1119</v>
      </c>
      <c r="F801" s="13">
        <v>8735</v>
      </c>
      <c r="G801" s="13">
        <v>13954381</v>
      </c>
      <c r="H801" s="13">
        <v>509</v>
      </c>
      <c r="I801" s="13">
        <v>18700</v>
      </c>
      <c r="J801" s="13">
        <v>10654</v>
      </c>
      <c r="K801" s="13">
        <v>18707</v>
      </c>
    </row>
    <row r="802" spans="1:11">
      <c r="A802" s="11">
        <v>530010</v>
      </c>
      <c r="B802" s="12" t="s">
        <v>367</v>
      </c>
      <c r="C802" s="13">
        <v>2022</v>
      </c>
      <c r="D802" s="13">
        <v>2817381</v>
      </c>
      <c r="E802" s="13">
        <v>1228</v>
      </c>
      <c r="F802" s="13">
        <v>12064</v>
      </c>
      <c r="G802" s="13">
        <v>16498250</v>
      </c>
      <c r="H802" s="13">
        <v>486</v>
      </c>
      <c r="I802" s="13">
        <v>16029</v>
      </c>
      <c r="J802" s="13">
        <v>7684</v>
      </c>
      <c r="K802" s="13">
        <v>72691</v>
      </c>
    </row>
    <row r="803" spans="1:11">
      <c r="A803" s="11">
        <v>530010</v>
      </c>
      <c r="B803" s="12" t="s">
        <v>367</v>
      </c>
      <c r="C803" s="13">
        <v>2023</v>
      </c>
      <c r="D803" s="13"/>
      <c r="E803" s="13">
        <v>1103</v>
      </c>
      <c r="F803" s="13">
        <v>10049</v>
      </c>
      <c r="G803" s="13">
        <v>18507451</v>
      </c>
      <c r="H803" s="13">
        <v>523</v>
      </c>
      <c r="I803" s="13">
        <v>15842</v>
      </c>
      <c r="J803" s="13">
        <v>8434</v>
      </c>
      <c r="K803" s="13">
        <v>42167</v>
      </c>
    </row>
    <row r="804" spans="1:11">
      <c r="A804" s="11">
        <v>530010</v>
      </c>
      <c r="B804" s="12" t="s">
        <v>367</v>
      </c>
      <c r="C804" s="13">
        <v>2024</v>
      </c>
      <c r="D804" s="13"/>
      <c r="E804" s="13">
        <v>1279</v>
      </c>
      <c r="F804" s="13">
        <v>6135</v>
      </c>
      <c r="G804" s="13">
        <v>19461719</v>
      </c>
      <c r="H804" s="13">
        <v>426</v>
      </c>
      <c r="I804" s="13">
        <v>12171</v>
      </c>
      <c r="J804" s="13">
        <v>4220</v>
      </c>
      <c r="K804" s="13">
        <v>278998</v>
      </c>
    </row>
    <row r="805" spans="1:11">
      <c r="A805" s="11">
        <v>530010</v>
      </c>
      <c r="B805" s="12" t="s">
        <v>367</v>
      </c>
      <c r="C805" s="13">
        <v>2025</v>
      </c>
      <c r="D805" s="13"/>
      <c r="E805" s="13">
        <v>1029</v>
      </c>
      <c r="F805" s="13">
        <v>4191</v>
      </c>
      <c r="G805" s="13">
        <v>17899881</v>
      </c>
      <c r="H805" s="13">
        <v>279</v>
      </c>
      <c r="I805" s="13">
        <v>11242</v>
      </c>
      <c r="J805" s="13">
        <v>383</v>
      </c>
      <c r="K805" s="13">
        <v>11473</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1D6D6-9395-7640-94FB-DF4F6B869192}">
  <dimension ref="A1:L786"/>
  <sheetViews>
    <sheetView workbookViewId="0">
      <selection activeCell="E693" sqref="E693"/>
    </sheetView>
  </sheetViews>
  <sheetFormatPr baseColWidth="10" defaultColWidth="11.5" defaultRowHeight="15"/>
  <cols>
    <col min="1" max="1" width="30" bestFit="1" customWidth="1"/>
    <col min="2" max="2" width="5.1640625" bestFit="1" customWidth="1"/>
    <col min="3" max="3" width="9.6640625" bestFit="1" customWidth="1"/>
  </cols>
  <sheetData>
    <row r="1" spans="1:3">
      <c r="A1" t="s">
        <v>223</v>
      </c>
      <c r="B1" t="s">
        <v>0</v>
      </c>
      <c r="C1" t="s">
        <v>238</v>
      </c>
    </row>
    <row r="2" spans="1:3">
      <c r="A2" t="s">
        <v>146</v>
      </c>
      <c r="B2">
        <v>2015</v>
      </c>
      <c r="C2">
        <v>324</v>
      </c>
    </row>
    <row r="3" spans="1:3">
      <c r="A3" t="s">
        <v>146</v>
      </c>
      <c r="B3">
        <v>2016</v>
      </c>
      <c r="C3">
        <v>305</v>
      </c>
    </row>
    <row r="4" spans="1:3">
      <c r="A4" t="s">
        <v>146</v>
      </c>
      <c r="B4">
        <v>2017</v>
      </c>
      <c r="C4">
        <v>322</v>
      </c>
    </row>
    <row r="5" spans="1:3">
      <c r="A5" t="s">
        <v>146</v>
      </c>
      <c r="B5">
        <v>2018</v>
      </c>
      <c r="C5">
        <v>324</v>
      </c>
    </row>
    <row r="6" spans="1:3">
      <c r="A6" t="s">
        <v>146</v>
      </c>
      <c r="B6">
        <v>2019</v>
      </c>
      <c r="C6">
        <v>328</v>
      </c>
    </row>
    <row r="7" spans="1:3">
      <c r="A7" t="s">
        <v>146</v>
      </c>
      <c r="B7">
        <v>2020</v>
      </c>
      <c r="C7">
        <v>421</v>
      </c>
    </row>
    <row r="8" spans="1:3">
      <c r="A8" t="s">
        <v>146</v>
      </c>
      <c r="B8">
        <v>2021</v>
      </c>
      <c r="C8">
        <v>467</v>
      </c>
    </row>
    <row r="9" spans="1:3">
      <c r="A9" t="s">
        <v>146</v>
      </c>
      <c r="B9">
        <v>2022</v>
      </c>
      <c r="C9">
        <v>460</v>
      </c>
    </row>
    <row r="10" spans="1:3">
      <c r="A10" t="s">
        <v>146</v>
      </c>
      <c r="B10">
        <v>2023</v>
      </c>
      <c r="C10">
        <v>474</v>
      </c>
    </row>
    <row r="11" spans="1:3">
      <c r="A11" t="s">
        <v>146</v>
      </c>
      <c r="B11">
        <v>2024</v>
      </c>
      <c r="C11">
        <v>550</v>
      </c>
    </row>
    <row r="12" spans="1:3">
      <c r="A12" t="s">
        <v>146</v>
      </c>
      <c r="B12">
        <v>2025</v>
      </c>
      <c r="C12">
        <v>607</v>
      </c>
    </row>
    <row r="13" spans="1:3">
      <c r="A13" t="s">
        <v>147</v>
      </c>
      <c r="B13">
        <v>2015</v>
      </c>
      <c r="C13">
        <v>660</v>
      </c>
    </row>
    <row r="14" spans="1:3">
      <c r="A14" t="s">
        <v>147</v>
      </c>
      <c r="B14">
        <v>2016</v>
      </c>
      <c r="C14">
        <v>686</v>
      </c>
    </row>
    <row r="15" spans="1:3">
      <c r="A15" t="s">
        <v>147</v>
      </c>
      <c r="B15">
        <v>2017</v>
      </c>
      <c r="C15">
        <v>714</v>
      </c>
    </row>
    <row r="16" spans="1:3">
      <c r="A16" t="s">
        <v>147</v>
      </c>
      <c r="B16">
        <v>2018</v>
      </c>
      <c r="C16">
        <v>738</v>
      </c>
    </row>
    <row r="17" spans="1:3">
      <c r="A17" t="s">
        <v>147</v>
      </c>
      <c r="B17">
        <v>2019</v>
      </c>
      <c r="C17">
        <v>903</v>
      </c>
    </row>
    <row r="18" spans="1:3">
      <c r="A18" t="s">
        <v>147</v>
      </c>
      <c r="B18">
        <v>2020</v>
      </c>
      <c r="C18">
        <v>980</v>
      </c>
    </row>
    <row r="19" spans="1:3">
      <c r="A19" t="s">
        <v>147</v>
      </c>
      <c r="B19">
        <v>2021</v>
      </c>
      <c r="C19">
        <v>1146</v>
      </c>
    </row>
    <row r="20" spans="1:3">
      <c r="A20" t="s">
        <v>147</v>
      </c>
      <c r="B20">
        <v>2022</v>
      </c>
      <c r="C20">
        <v>1270</v>
      </c>
    </row>
    <row r="21" spans="1:3">
      <c r="A21" t="s">
        <v>147</v>
      </c>
      <c r="B21">
        <v>2023</v>
      </c>
      <c r="C21">
        <v>1313</v>
      </c>
    </row>
    <row r="22" spans="1:3">
      <c r="A22" t="s">
        <v>147</v>
      </c>
      <c r="B22">
        <v>2024</v>
      </c>
      <c r="C22">
        <v>1423</v>
      </c>
    </row>
    <row r="23" spans="1:3">
      <c r="A23" t="s">
        <v>147</v>
      </c>
      <c r="B23">
        <v>2025</v>
      </c>
      <c r="C23">
        <v>1843</v>
      </c>
    </row>
    <row r="24" spans="1:3">
      <c r="A24" t="s">
        <v>148</v>
      </c>
      <c r="B24">
        <v>2015</v>
      </c>
      <c r="C24">
        <v>211</v>
      </c>
    </row>
    <row r="25" spans="1:3">
      <c r="A25" t="s">
        <v>148</v>
      </c>
      <c r="B25">
        <v>2016</v>
      </c>
      <c r="C25">
        <v>228</v>
      </c>
    </row>
    <row r="26" spans="1:3">
      <c r="A26" t="s">
        <v>148</v>
      </c>
      <c r="B26">
        <v>2017</v>
      </c>
      <c r="C26">
        <v>256</v>
      </c>
    </row>
    <row r="27" spans="1:3">
      <c r="A27" t="s">
        <v>148</v>
      </c>
      <c r="B27">
        <v>2018</v>
      </c>
      <c r="C27">
        <v>261</v>
      </c>
    </row>
    <row r="28" spans="1:3">
      <c r="A28" t="s">
        <v>148</v>
      </c>
      <c r="B28">
        <v>2019</v>
      </c>
      <c r="C28">
        <v>285</v>
      </c>
    </row>
    <row r="29" spans="1:3">
      <c r="A29" t="s">
        <v>148</v>
      </c>
      <c r="B29">
        <v>2020</v>
      </c>
      <c r="C29">
        <v>372</v>
      </c>
    </row>
    <row r="30" spans="1:3">
      <c r="A30" t="s">
        <v>148</v>
      </c>
      <c r="B30">
        <v>2021</v>
      </c>
      <c r="C30">
        <v>250</v>
      </c>
    </row>
    <row r="31" spans="1:3">
      <c r="A31" t="s">
        <v>148</v>
      </c>
      <c r="B31">
        <v>2022</v>
      </c>
      <c r="C31">
        <v>286</v>
      </c>
    </row>
    <row r="32" spans="1:3">
      <c r="A32" t="s">
        <v>148</v>
      </c>
      <c r="B32">
        <v>2023</v>
      </c>
      <c r="C32">
        <v>354</v>
      </c>
    </row>
    <row r="33" spans="1:3">
      <c r="A33" t="s">
        <v>148</v>
      </c>
      <c r="B33">
        <v>2024</v>
      </c>
      <c r="C33">
        <v>426</v>
      </c>
    </row>
    <row r="34" spans="1:3">
      <c r="A34" t="s">
        <v>148</v>
      </c>
      <c r="B34">
        <v>2025</v>
      </c>
      <c r="C34">
        <v>473</v>
      </c>
    </row>
    <row r="35" spans="1:3">
      <c r="A35" t="s">
        <v>149</v>
      </c>
      <c r="B35">
        <v>2015</v>
      </c>
      <c r="C35">
        <v>143</v>
      </c>
    </row>
    <row r="36" spans="1:3">
      <c r="A36" t="s">
        <v>149</v>
      </c>
      <c r="B36">
        <v>2016</v>
      </c>
      <c r="C36">
        <v>133</v>
      </c>
    </row>
    <row r="37" spans="1:3">
      <c r="A37" t="s">
        <v>149</v>
      </c>
      <c r="B37">
        <v>2017</v>
      </c>
      <c r="C37">
        <v>131</v>
      </c>
    </row>
    <row r="38" spans="1:3">
      <c r="A38" t="s">
        <v>149</v>
      </c>
      <c r="B38">
        <v>2018</v>
      </c>
      <c r="C38">
        <v>151</v>
      </c>
    </row>
    <row r="39" spans="1:3">
      <c r="A39" t="s">
        <v>149</v>
      </c>
      <c r="B39">
        <v>2019</v>
      </c>
      <c r="C39">
        <v>209</v>
      </c>
    </row>
    <row r="40" spans="1:3">
      <c r="A40" t="s">
        <v>149</v>
      </c>
      <c r="B40">
        <v>2020</v>
      </c>
      <c r="C40">
        <v>248</v>
      </c>
    </row>
    <row r="41" spans="1:3">
      <c r="A41" t="s">
        <v>149</v>
      </c>
      <c r="B41">
        <v>2021</v>
      </c>
      <c r="C41">
        <v>277</v>
      </c>
    </row>
    <row r="42" spans="1:3">
      <c r="A42" t="s">
        <v>149</v>
      </c>
      <c r="B42">
        <v>2022</v>
      </c>
      <c r="C42">
        <v>287</v>
      </c>
    </row>
    <row r="43" spans="1:3">
      <c r="A43" t="s">
        <v>149</v>
      </c>
      <c r="B43">
        <v>2023</v>
      </c>
      <c r="C43">
        <v>274</v>
      </c>
    </row>
    <row r="44" spans="1:3">
      <c r="A44" t="s">
        <v>149</v>
      </c>
      <c r="B44">
        <v>2024</v>
      </c>
      <c r="C44">
        <v>268</v>
      </c>
    </row>
    <row r="45" spans="1:3">
      <c r="A45" t="s">
        <v>149</v>
      </c>
      <c r="B45">
        <v>2025</v>
      </c>
      <c r="C45">
        <v>203</v>
      </c>
    </row>
    <row r="46" spans="1:3">
      <c r="A46" t="s">
        <v>151</v>
      </c>
      <c r="B46">
        <v>2015</v>
      </c>
      <c r="C46">
        <v>137</v>
      </c>
    </row>
    <row r="47" spans="1:3">
      <c r="A47" t="s">
        <v>151</v>
      </c>
      <c r="B47">
        <v>2016</v>
      </c>
      <c r="C47">
        <v>155</v>
      </c>
    </row>
    <row r="48" spans="1:3">
      <c r="A48" t="s">
        <v>151</v>
      </c>
      <c r="B48">
        <v>2017</v>
      </c>
      <c r="C48">
        <v>146</v>
      </c>
    </row>
    <row r="49" spans="1:3">
      <c r="A49" t="s">
        <v>151</v>
      </c>
      <c r="B49">
        <v>2018</v>
      </c>
      <c r="C49">
        <v>173</v>
      </c>
    </row>
    <row r="50" spans="1:3">
      <c r="A50" t="s">
        <v>151</v>
      </c>
      <c r="B50">
        <v>2019</v>
      </c>
      <c r="C50">
        <v>166</v>
      </c>
    </row>
    <row r="51" spans="1:3">
      <c r="A51" t="s">
        <v>151</v>
      </c>
      <c r="B51">
        <v>2020</v>
      </c>
      <c r="C51">
        <v>201</v>
      </c>
    </row>
    <row r="52" spans="1:3">
      <c r="A52" t="s">
        <v>151</v>
      </c>
      <c r="B52">
        <v>2021</v>
      </c>
      <c r="C52">
        <v>215</v>
      </c>
    </row>
    <row r="53" spans="1:3">
      <c r="A53" t="s">
        <v>151</v>
      </c>
      <c r="B53">
        <v>2022</v>
      </c>
      <c r="C53">
        <v>246</v>
      </c>
    </row>
    <row r="54" spans="1:3">
      <c r="A54" t="s">
        <v>151</v>
      </c>
      <c r="B54">
        <v>2023</v>
      </c>
      <c r="C54">
        <v>280</v>
      </c>
    </row>
    <row r="55" spans="1:3">
      <c r="A55" t="s">
        <v>151</v>
      </c>
      <c r="B55">
        <v>2024</v>
      </c>
      <c r="C55">
        <v>335</v>
      </c>
    </row>
    <row r="56" spans="1:3">
      <c r="A56" t="s">
        <v>151</v>
      </c>
      <c r="B56">
        <v>2025</v>
      </c>
      <c r="C56">
        <v>404</v>
      </c>
    </row>
    <row r="57" spans="1:3">
      <c r="A57" t="s">
        <v>152</v>
      </c>
      <c r="B57">
        <v>2015</v>
      </c>
      <c r="C57">
        <v>513</v>
      </c>
    </row>
    <row r="58" spans="1:3">
      <c r="A58" t="s">
        <v>152</v>
      </c>
      <c r="B58">
        <v>2016</v>
      </c>
      <c r="C58">
        <v>524</v>
      </c>
    </row>
    <row r="59" spans="1:3">
      <c r="A59" t="s">
        <v>152</v>
      </c>
      <c r="B59">
        <v>2017</v>
      </c>
      <c r="C59">
        <v>572</v>
      </c>
    </row>
    <row r="60" spans="1:3">
      <c r="A60" t="s">
        <v>152</v>
      </c>
      <c r="B60">
        <v>2018</v>
      </c>
      <c r="C60">
        <v>566</v>
      </c>
    </row>
    <row r="61" spans="1:3">
      <c r="A61" t="s">
        <v>152</v>
      </c>
      <c r="B61">
        <v>2019</v>
      </c>
      <c r="C61">
        <v>607</v>
      </c>
    </row>
    <row r="62" spans="1:3">
      <c r="A62" t="s">
        <v>152</v>
      </c>
      <c r="B62">
        <v>2020</v>
      </c>
      <c r="C62">
        <v>608</v>
      </c>
    </row>
    <row r="63" spans="1:3">
      <c r="A63" t="s">
        <v>152</v>
      </c>
      <c r="B63">
        <v>2021</v>
      </c>
      <c r="C63">
        <v>644</v>
      </c>
    </row>
    <row r="64" spans="1:3">
      <c r="A64" t="s">
        <v>152</v>
      </c>
      <c r="B64">
        <v>2022</v>
      </c>
      <c r="C64">
        <v>731</v>
      </c>
    </row>
    <row r="65" spans="1:3">
      <c r="A65" t="s">
        <v>152</v>
      </c>
      <c r="B65">
        <v>2023</v>
      </c>
      <c r="C65">
        <v>798</v>
      </c>
    </row>
    <row r="66" spans="1:3">
      <c r="A66" t="s">
        <v>152</v>
      </c>
      <c r="B66">
        <v>2024</v>
      </c>
      <c r="C66">
        <v>838</v>
      </c>
    </row>
    <row r="67" spans="1:3">
      <c r="A67" t="s">
        <v>152</v>
      </c>
      <c r="B67">
        <v>2025</v>
      </c>
      <c r="C67">
        <v>940</v>
      </c>
    </row>
    <row r="68" spans="1:3">
      <c r="A68" t="s">
        <v>153</v>
      </c>
      <c r="B68">
        <v>2015</v>
      </c>
      <c r="C68">
        <v>381</v>
      </c>
    </row>
    <row r="69" spans="1:3">
      <c r="A69" t="s">
        <v>153</v>
      </c>
      <c r="B69">
        <v>2016</v>
      </c>
      <c r="C69">
        <v>409</v>
      </c>
    </row>
    <row r="70" spans="1:3">
      <c r="A70" t="s">
        <v>153</v>
      </c>
      <c r="B70">
        <v>2017</v>
      </c>
      <c r="C70">
        <v>377</v>
      </c>
    </row>
    <row r="71" spans="1:3">
      <c r="A71" t="s">
        <v>153</v>
      </c>
      <c r="B71">
        <v>2018</v>
      </c>
      <c r="C71">
        <v>365</v>
      </c>
    </row>
    <row r="72" spans="1:3">
      <c r="A72" t="s">
        <v>153</v>
      </c>
      <c r="B72">
        <v>2019</v>
      </c>
      <c r="C72">
        <v>356</v>
      </c>
    </row>
    <row r="73" spans="1:3">
      <c r="A73" t="s">
        <v>153</v>
      </c>
      <c r="B73">
        <v>2020</v>
      </c>
      <c r="C73">
        <v>443</v>
      </c>
    </row>
    <row r="74" spans="1:3">
      <c r="A74" t="s">
        <v>153</v>
      </c>
      <c r="B74">
        <v>2021</v>
      </c>
      <c r="C74">
        <v>438</v>
      </c>
    </row>
    <row r="75" spans="1:3">
      <c r="A75" t="s">
        <v>153</v>
      </c>
      <c r="B75">
        <v>2022</v>
      </c>
      <c r="C75">
        <v>440</v>
      </c>
    </row>
    <row r="76" spans="1:3">
      <c r="A76" t="s">
        <v>153</v>
      </c>
      <c r="B76">
        <v>2023</v>
      </c>
      <c r="C76">
        <v>482</v>
      </c>
    </row>
    <row r="77" spans="1:3">
      <c r="A77" t="s">
        <v>153</v>
      </c>
      <c r="B77">
        <v>2024</v>
      </c>
      <c r="C77">
        <v>562</v>
      </c>
    </row>
    <row r="78" spans="1:3">
      <c r="A78" t="s">
        <v>153</v>
      </c>
      <c r="B78">
        <v>2025</v>
      </c>
      <c r="C78">
        <v>816</v>
      </c>
    </row>
    <row r="79" spans="1:3">
      <c r="A79" t="s">
        <v>154</v>
      </c>
      <c r="B79">
        <v>2015</v>
      </c>
      <c r="C79">
        <v>1166</v>
      </c>
    </row>
    <row r="80" spans="1:3">
      <c r="A80" t="s">
        <v>154</v>
      </c>
      <c r="B80">
        <v>2016</v>
      </c>
      <c r="C80">
        <v>1195</v>
      </c>
    </row>
    <row r="81" spans="1:3">
      <c r="A81" t="s">
        <v>154</v>
      </c>
      <c r="B81">
        <v>2017</v>
      </c>
      <c r="C81">
        <v>1206</v>
      </c>
    </row>
    <row r="82" spans="1:3">
      <c r="A82" t="s">
        <v>154</v>
      </c>
      <c r="B82">
        <v>2018</v>
      </c>
      <c r="C82">
        <v>1272</v>
      </c>
    </row>
    <row r="83" spans="1:3">
      <c r="A83" t="s">
        <v>154</v>
      </c>
      <c r="B83">
        <v>2019</v>
      </c>
      <c r="C83">
        <v>1283</v>
      </c>
    </row>
    <row r="84" spans="1:3">
      <c r="A84" t="s">
        <v>154</v>
      </c>
      <c r="B84">
        <v>2020</v>
      </c>
      <c r="C84">
        <v>1529</v>
      </c>
    </row>
    <row r="85" spans="1:3">
      <c r="A85" t="s">
        <v>154</v>
      </c>
      <c r="B85">
        <v>2021</v>
      </c>
      <c r="C85">
        <v>1521</v>
      </c>
    </row>
    <row r="86" spans="1:3">
      <c r="A86" t="s">
        <v>154</v>
      </c>
      <c r="B86">
        <v>2022</v>
      </c>
      <c r="C86">
        <v>1656</v>
      </c>
    </row>
    <row r="87" spans="1:3">
      <c r="A87" t="s">
        <v>154</v>
      </c>
      <c r="B87">
        <v>2023</v>
      </c>
      <c r="C87">
        <v>1731</v>
      </c>
    </row>
    <row r="88" spans="1:3">
      <c r="A88" t="s">
        <v>154</v>
      </c>
      <c r="B88">
        <v>2024</v>
      </c>
      <c r="C88">
        <v>1690</v>
      </c>
    </row>
    <row r="89" spans="1:3">
      <c r="A89" t="s">
        <v>154</v>
      </c>
      <c r="B89">
        <v>2025</v>
      </c>
      <c r="C89">
        <v>1818</v>
      </c>
    </row>
    <row r="90" spans="1:3">
      <c r="A90" t="s">
        <v>155</v>
      </c>
      <c r="B90">
        <v>2015</v>
      </c>
      <c r="C90">
        <v>371</v>
      </c>
    </row>
    <row r="91" spans="1:3">
      <c r="A91" t="s">
        <v>155</v>
      </c>
      <c r="B91">
        <v>2016</v>
      </c>
      <c r="C91">
        <v>385</v>
      </c>
    </row>
    <row r="92" spans="1:3">
      <c r="A92" t="s">
        <v>155</v>
      </c>
      <c r="B92">
        <v>2017</v>
      </c>
      <c r="C92">
        <v>379</v>
      </c>
    </row>
    <row r="93" spans="1:3">
      <c r="A93" t="s">
        <v>155</v>
      </c>
      <c r="B93">
        <v>2018</v>
      </c>
      <c r="C93">
        <v>418</v>
      </c>
    </row>
    <row r="94" spans="1:3">
      <c r="A94" t="s">
        <v>155</v>
      </c>
      <c r="B94">
        <v>2019</v>
      </c>
      <c r="C94">
        <v>532</v>
      </c>
    </row>
    <row r="95" spans="1:3">
      <c r="A95" t="s">
        <v>155</v>
      </c>
      <c r="B95">
        <v>2020</v>
      </c>
      <c r="C95">
        <v>650</v>
      </c>
    </row>
    <row r="96" spans="1:3">
      <c r="A96" t="s">
        <v>155</v>
      </c>
      <c r="B96">
        <v>2021</v>
      </c>
      <c r="C96">
        <v>938</v>
      </c>
    </row>
    <row r="97" spans="1:3">
      <c r="A97" t="s">
        <v>155</v>
      </c>
      <c r="B97">
        <v>2022</v>
      </c>
      <c r="C97">
        <v>973</v>
      </c>
    </row>
    <row r="98" spans="1:3">
      <c r="A98" t="s">
        <v>155</v>
      </c>
      <c r="B98">
        <v>2023</v>
      </c>
      <c r="C98">
        <v>1158</v>
      </c>
    </row>
    <row r="99" spans="1:3">
      <c r="A99" t="s">
        <v>155</v>
      </c>
      <c r="B99">
        <v>2024</v>
      </c>
      <c r="C99">
        <v>1199</v>
      </c>
    </row>
    <row r="100" spans="1:3">
      <c r="A100" t="s">
        <v>155</v>
      </c>
      <c r="B100">
        <v>2025</v>
      </c>
      <c r="C100">
        <v>1124</v>
      </c>
    </row>
    <row r="101" spans="1:3">
      <c r="A101" t="s">
        <v>156</v>
      </c>
      <c r="B101">
        <v>2015</v>
      </c>
      <c r="C101">
        <v>243</v>
      </c>
    </row>
    <row r="102" spans="1:3">
      <c r="A102" t="s">
        <v>156</v>
      </c>
      <c r="B102">
        <v>2016</v>
      </c>
      <c r="C102">
        <v>233</v>
      </c>
    </row>
    <row r="103" spans="1:3">
      <c r="A103" t="s">
        <v>156</v>
      </c>
      <c r="B103">
        <v>2017</v>
      </c>
      <c r="C103">
        <v>240</v>
      </c>
    </row>
    <row r="104" spans="1:3">
      <c r="A104" t="s">
        <v>156</v>
      </c>
      <c r="B104">
        <v>2018</v>
      </c>
      <c r="C104">
        <v>226</v>
      </c>
    </row>
    <row r="105" spans="1:3">
      <c r="A105" t="s">
        <v>156</v>
      </c>
      <c r="B105">
        <v>2019</v>
      </c>
      <c r="C105">
        <v>235</v>
      </c>
    </row>
    <row r="106" spans="1:3">
      <c r="A106" t="s">
        <v>156</v>
      </c>
      <c r="B106">
        <v>2020</v>
      </c>
      <c r="C106">
        <v>262</v>
      </c>
    </row>
    <row r="107" spans="1:3">
      <c r="A107" t="s">
        <v>156</v>
      </c>
      <c r="B107">
        <v>2021</v>
      </c>
      <c r="C107">
        <v>286</v>
      </c>
    </row>
    <row r="108" spans="1:3">
      <c r="A108" t="s">
        <v>156</v>
      </c>
      <c r="B108">
        <v>2022</v>
      </c>
      <c r="C108">
        <v>358</v>
      </c>
    </row>
    <row r="109" spans="1:3">
      <c r="A109" t="s">
        <v>156</v>
      </c>
      <c r="B109">
        <v>2023</v>
      </c>
      <c r="C109">
        <v>426</v>
      </c>
    </row>
    <row r="110" spans="1:3">
      <c r="A110" t="s">
        <v>156</v>
      </c>
      <c r="B110">
        <v>2024</v>
      </c>
      <c r="C110">
        <v>582</v>
      </c>
    </row>
    <row r="111" spans="1:3">
      <c r="A111" t="s">
        <v>156</v>
      </c>
      <c r="B111">
        <v>2025</v>
      </c>
      <c r="C111">
        <v>689</v>
      </c>
    </row>
    <row r="112" spans="1:3">
      <c r="A112" t="s">
        <v>157</v>
      </c>
      <c r="B112">
        <v>2015</v>
      </c>
      <c r="C112">
        <v>411</v>
      </c>
    </row>
    <row r="113" spans="1:3">
      <c r="A113" t="s">
        <v>157</v>
      </c>
      <c r="B113">
        <v>2016</v>
      </c>
      <c r="C113">
        <v>426</v>
      </c>
    </row>
    <row r="114" spans="1:3">
      <c r="A114" t="s">
        <v>157</v>
      </c>
      <c r="B114">
        <v>2017</v>
      </c>
      <c r="C114">
        <v>403</v>
      </c>
    </row>
    <row r="115" spans="1:3">
      <c r="A115" t="s">
        <v>157</v>
      </c>
      <c r="B115">
        <v>2018</v>
      </c>
      <c r="C115">
        <v>399</v>
      </c>
    </row>
    <row r="116" spans="1:3">
      <c r="A116" t="s">
        <v>157</v>
      </c>
      <c r="B116">
        <v>2019</v>
      </c>
      <c r="C116">
        <v>417</v>
      </c>
    </row>
    <row r="117" spans="1:3">
      <c r="A117" t="s">
        <v>157</v>
      </c>
      <c r="B117">
        <v>2020</v>
      </c>
      <c r="C117">
        <v>477</v>
      </c>
    </row>
    <row r="118" spans="1:3">
      <c r="A118" t="s">
        <v>157</v>
      </c>
      <c r="B118">
        <v>2021</v>
      </c>
      <c r="C118">
        <v>649</v>
      </c>
    </row>
    <row r="119" spans="1:3">
      <c r="A119" t="s">
        <v>157</v>
      </c>
      <c r="B119">
        <v>2022</v>
      </c>
      <c r="C119">
        <v>683</v>
      </c>
    </row>
    <row r="120" spans="1:3">
      <c r="A120" t="s">
        <v>157</v>
      </c>
      <c r="B120">
        <v>2023</v>
      </c>
      <c r="C120">
        <v>757</v>
      </c>
    </row>
    <row r="121" spans="1:3">
      <c r="A121" t="s">
        <v>157</v>
      </c>
      <c r="B121">
        <v>2024</v>
      </c>
      <c r="C121">
        <v>844</v>
      </c>
    </row>
    <row r="122" spans="1:3">
      <c r="A122" t="s">
        <v>157</v>
      </c>
      <c r="B122">
        <v>2025</v>
      </c>
      <c r="C122">
        <v>833</v>
      </c>
    </row>
    <row r="123" spans="1:3">
      <c r="A123" t="s">
        <v>158</v>
      </c>
      <c r="B123">
        <v>2015</v>
      </c>
      <c r="C123">
        <v>188</v>
      </c>
    </row>
    <row r="124" spans="1:3">
      <c r="A124" t="s">
        <v>158</v>
      </c>
      <c r="B124">
        <v>2016</v>
      </c>
      <c r="C124">
        <v>190</v>
      </c>
    </row>
    <row r="125" spans="1:3">
      <c r="A125" t="s">
        <v>158</v>
      </c>
      <c r="B125">
        <v>2017</v>
      </c>
      <c r="C125">
        <v>163</v>
      </c>
    </row>
    <row r="126" spans="1:3">
      <c r="A126" t="s">
        <v>158</v>
      </c>
      <c r="B126">
        <v>2018</v>
      </c>
      <c r="C126">
        <v>181</v>
      </c>
    </row>
    <row r="127" spans="1:3">
      <c r="A127" t="s">
        <v>158</v>
      </c>
      <c r="B127">
        <v>2019</v>
      </c>
      <c r="C127">
        <v>180</v>
      </c>
    </row>
    <row r="128" spans="1:3">
      <c r="A128" t="s">
        <v>158</v>
      </c>
      <c r="B128">
        <v>2020</v>
      </c>
      <c r="C128">
        <v>231</v>
      </c>
    </row>
    <row r="129" spans="1:3">
      <c r="A129" t="s">
        <v>158</v>
      </c>
      <c r="B129">
        <v>2021</v>
      </c>
      <c r="C129">
        <v>253</v>
      </c>
    </row>
    <row r="130" spans="1:3">
      <c r="A130" t="s">
        <v>158</v>
      </c>
      <c r="B130">
        <v>2022</v>
      </c>
      <c r="C130">
        <v>246</v>
      </c>
    </row>
    <row r="131" spans="1:3">
      <c r="A131" t="s">
        <v>158</v>
      </c>
      <c r="B131">
        <v>2023</v>
      </c>
      <c r="C131">
        <v>242</v>
      </c>
    </row>
    <row r="132" spans="1:3">
      <c r="A132" t="s">
        <v>158</v>
      </c>
      <c r="B132">
        <v>2024</v>
      </c>
      <c r="C132">
        <v>259</v>
      </c>
    </row>
    <row r="133" spans="1:3">
      <c r="A133" t="s">
        <v>158</v>
      </c>
      <c r="B133">
        <v>2025</v>
      </c>
      <c r="C133">
        <v>281</v>
      </c>
    </row>
    <row r="134" spans="1:3">
      <c r="A134" t="s">
        <v>159</v>
      </c>
      <c r="B134">
        <v>2015</v>
      </c>
      <c r="C134">
        <v>201</v>
      </c>
    </row>
    <row r="135" spans="1:3">
      <c r="A135" t="s">
        <v>159</v>
      </c>
      <c r="B135">
        <v>2016</v>
      </c>
      <c r="C135">
        <v>216</v>
      </c>
    </row>
    <row r="136" spans="1:3">
      <c r="A136" t="s">
        <v>159</v>
      </c>
      <c r="B136">
        <v>2017</v>
      </c>
      <c r="C136">
        <v>220</v>
      </c>
    </row>
    <row r="137" spans="1:3">
      <c r="A137" t="s">
        <v>159</v>
      </c>
      <c r="B137">
        <v>2018</v>
      </c>
      <c r="C137">
        <v>247</v>
      </c>
    </row>
    <row r="138" spans="1:3">
      <c r="A138" t="s">
        <v>159</v>
      </c>
      <c r="B138">
        <v>2019</v>
      </c>
      <c r="C138">
        <v>282</v>
      </c>
    </row>
    <row r="139" spans="1:3">
      <c r="A139" t="s">
        <v>159</v>
      </c>
      <c r="B139">
        <v>2020</v>
      </c>
      <c r="C139">
        <v>322</v>
      </c>
    </row>
    <row r="140" spans="1:3">
      <c r="A140" t="s">
        <v>159</v>
      </c>
      <c r="B140">
        <v>2021</v>
      </c>
      <c r="C140">
        <v>351</v>
      </c>
    </row>
    <row r="141" spans="1:3">
      <c r="A141" t="s">
        <v>159</v>
      </c>
      <c r="B141">
        <v>2022</v>
      </c>
      <c r="C141">
        <v>322</v>
      </c>
    </row>
    <row r="142" spans="1:3">
      <c r="A142" t="s">
        <v>159</v>
      </c>
      <c r="B142">
        <v>2023</v>
      </c>
      <c r="C142">
        <v>304</v>
      </c>
    </row>
    <row r="143" spans="1:3">
      <c r="A143" t="s">
        <v>159</v>
      </c>
      <c r="B143">
        <v>2024</v>
      </c>
      <c r="C143">
        <v>270</v>
      </c>
    </row>
    <row r="144" spans="1:3">
      <c r="A144" t="s">
        <v>159</v>
      </c>
      <c r="B144">
        <v>2025</v>
      </c>
      <c r="C144">
        <v>280</v>
      </c>
    </row>
    <row r="145" spans="1:3">
      <c r="A145" t="s">
        <v>160</v>
      </c>
      <c r="B145">
        <v>2015</v>
      </c>
      <c r="C145">
        <v>135</v>
      </c>
    </row>
    <row r="146" spans="1:3">
      <c r="A146" t="s">
        <v>160</v>
      </c>
      <c r="B146">
        <v>2016</v>
      </c>
      <c r="C146">
        <v>135</v>
      </c>
    </row>
    <row r="147" spans="1:3">
      <c r="A147" t="s">
        <v>160</v>
      </c>
      <c r="B147">
        <v>2017</v>
      </c>
      <c r="C147">
        <v>144</v>
      </c>
    </row>
    <row r="148" spans="1:3">
      <c r="A148" t="s">
        <v>160</v>
      </c>
      <c r="B148">
        <v>2018</v>
      </c>
      <c r="C148">
        <v>152</v>
      </c>
    </row>
    <row r="149" spans="1:3">
      <c r="A149" t="s">
        <v>160</v>
      </c>
      <c r="B149">
        <v>2019</v>
      </c>
      <c r="C149">
        <v>167</v>
      </c>
    </row>
    <row r="150" spans="1:3">
      <c r="A150" t="s">
        <v>160</v>
      </c>
      <c r="B150">
        <v>2020</v>
      </c>
      <c r="C150">
        <v>209</v>
      </c>
    </row>
    <row r="151" spans="1:3">
      <c r="A151" t="s">
        <v>160</v>
      </c>
      <c r="B151">
        <v>2021</v>
      </c>
      <c r="C151">
        <v>243</v>
      </c>
    </row>
    <row r="152" spans="1:3">
      <c r="A152" t="s">
        <v>160</v>
      </c>
      <c r="B152">
        <v>2022</v>
      </c>
      <c r="C152">
        <v>223</v>
      </c>
    </row>
    <row r="153" spans="1:3">
      <c r="A153" t="s">
        <v>160</v>
      </c>
      <c r="B153">
        <v>2023</v>
      </c>
      <c r="C153">
        <v>217</v>
      </c>
    </row>
    <row r="154" spans="1:3">
      <c r="A154" t="s">
        <v>160</v>
      </c>
      <c r="B154">
        <v>2024</v>
      </c>
      <c r="C154">
        <v>243</v>
      </c>
    </row>
    <row r="155" spans="1:3">
      <c r="A155" t="s">
        <v>160</v>
      </c>
      <c r="B155">
        <v>2025</v>
      </c>
      <c r="C155">
        <v>293</v>
      </c>
    </row>
    <row r="156" spans="1:3">
      <c r="A156" t="s">
        <v>161</v>
      </c>
      <c r="B156">
        <v>2015</v>
      </c>
      <c r="C156">
        <v>1041</v>
      </c>
    </row>
    <row r="157" spans="1:3">
      <c r="A157" t="s">
        <v>161</v>
      </c>
      <c r="B157">
        <v>2016</v>
      </c>
      <c r="C157">
        <v>1128</v>
      </c>
    </row>
    <row r="158" spans="1:3">
      <c r="A158" t="s">
        <v>161</v>
      </c>
      <c r="B158">
        <v>2017</v>
      </c>
      <c r="C158">
        <v>1172</v>
      </c>
    </row>
    <row r="159" spans="1:3">
      <c r="A159" t="s">
        <v>161</v>
      </c>
      <c r="B159">
        <v>2018</v>
      </c>
      <c r="C159">
        <v>1234</v>
      </c>
    </row>
    <row r="160" spans="1:3">
      <c r="A160" t="s">
        <v>161</v>
      </c>
      <c r="B160">
        <v>2019</v>
      </c>
      <c r="C160">
        <v>1229</v>
      </c>
    </row>
    <row r="161" spans="1:3">
      <c r="A161" t="s">
        <v>161</v>
      </c>
      <c r="B161">
        <v>2020</v>
      </c>
      <c r="C161">
        <v>1400</v>
      </c>
    </row>
    <row r="162" spans="1:3">
      <c r="A162" t="s">
        <v>161</v>
      </c>
      <c r="B162">
        <v>2021</v>
      </c>
      <c r="C162">
        <v>1599</v>
      </c>
    </row>
    <row r="163" spans="1:3">
      <c r="A163" t="s">
        <v>161</v>
      </c>
      <c r="B163">
        <v>2022</v>
      </c>
      <c r="C163">
        <v>1703</v>
      </c>
    </row>
    <row r="164" spans="1:3">
      <c r="A164" t="s">
        <v>161</v>
      </c>
      <c r="B164">
        <v>2023</v>
      </c>
      <c r="C164">
        <v>1637</v>
      </c>
    </row>
    <row r="165" spans="1:3">
      <c r="A165" t="s">
        <v>161</v>
      </c>
      <c r="B165">
        <v>2024</v>
      </c>
      <c r="C165">
        <v>1737</v>
      </c>
    </row>
    <row r="166" spans="1:3">
      <c r="A166" t="s">
        <v>161</v>
      </c>
      <c r="B166">
        <v>2025</v>
      </c>
      <c r="C166">
        <v>1852</v>
      </c>
    </row>
    <row r="167" spans="1:3">
      <c r="A167" t="s">
        <v>162</v>
      </c>
      <c r="B167">
        <v>2015</v>
      </c>
      <c r="C167">
        <v>408</v>
      </c>
    </row>
    <row r="168" spans="1:3">
      <c r="A168" t="s">
        <v>162</v>
      </c>
      <c r="B168">
        <v>2016</v>
      </c>
      <c r="C168">
        <v>451</v>
      </c>
    </row>
    <row r="169" spans="1:3">
      <c r="A169" t="s">
        <v>162</v>
      </c>
      <c r="B169">
        <v>2017</v>
      </c>
      <c r="C169">
        <v>529</v>
      </c>
    </row>
    <row r="170" spans="1:3">
      <c r="A170" t="s">
        <v>162</v>
      </c>
      <c r="B170">
        <v>2018</v>
      </c>
      <c r="C170">
        <v>584</v>
      </c>
    </row>
    <row r="171" spans="1:3">
      <c r="A171" t="s">
        <v>162</v>
      </c>
      <c r="B171">
        <v>2019</v>
      </c>
      <c r="C171">
        <v>693</v>
      </c>
    </row>
    <row r="172" spans="1:3">
      <c r="A172" t="s">
        <v>162</v>
      </c>
      <c r="B172">
        <v>2020</v>
      </c>
      <c r="C172">
        <v>860</v>
      </c>
    </row>
    <row r="173" spans="1:3">
      <c r="A173" t="s">
        <v>162</v>
      </c>
      <c r="B173">
        <v>2021</v>
      </c>
      <c r="C173">
        <v>919</v>
      </c>
    </row>
    <row r="174" spans="1:3">
      <c r="A174" t="s">
        <v>162</v>
      </c>
      <c r="B174">
        <v>2022</v>
      </c>
      <c r="C174">
        <v>947</v>
      </c>
    </row>
    <row r="175" spans="1:3">
      <c r="A175" t="s">
        <v>162</v>
      </c>
      <c r="B175">
        <v>2023</v>
      </c>
      <c r="C175">
        <v>988</v>
      </c>
    </row>
    <row r="176" spans="1:3">
      <c r="A176" t="s">
        <v>162</v>
      </c>
      <c r="B176">
        <v>2024</v>
      </c>
      <c r="C176">
        <v>1089</v>
      </c>
    </row>
    <row r="177" spans="1:3">
      <c r="A177" t="s">
        <v>162</v>
      </c>
      <c r="B177">
        <v>2025</v>
      </c>
      <c r="C177">
        <v>1158</v>
      </c>
    </row>
    <row r="178" spans="1:3">
      <c r="A178" t="s">
        <v>163</v>
      </c>
      <c r="B178">
        <v>2015</v>
      </c>
      <c r="C178">
        <v>551</v>
      </c>
    </row>
    <row r="179" spans="1:3">
      <c r="A179" t="s">
        <v>163</v>
      </c>
      <c r="B179">
        <v>2016</v>
      </c>
      <c r="C179">
        <v>606</v>
      </c>
    </row>
    <row r="180" spans="1:3">
      <c r="A180" t="s">
        <v>163</v>
      </c>
      <c r="B180">
        <v>2017</v>
      </c>
      <c r="C180">
        <v>613</v>
      </c>
    </row>
    <row r="181" spans="1:3">
      <c r="A181" t="s">
        <v>163</v>
      </c>
      <c r="B181">
        <v>2018</v>
      </c>
      <c r="C181">
        <v>606</v>
      </c>
    </row>
    <row r="182" spans="1:3">
      <c r="A182" t="s">
        <v>163</v>
      </c>
      <c r="B182">
        <v>2019</v>
      </c>
      <c r="C182">
        <v>663</v>
      </c>
    </row>
    <row r="183" spans="1:3">
      <c r="A183" t="s">
        <v>163</v>
      </c>
      <c r="B183">
        <v>2020</v>
      </c>
      <c r="C183">
        <v>712</v>
      </c>
    </row>
    <row r="184" spans="1:3">
      <c r="A184" t="s">
        <v>163</v>
      </c>
      <c r="B184">
        <v>2021</v>
      </c>
      <c r="C184">
        <v>826</v>
      </c>
    </row>
    <row r="185" spans="1:3">
      <c r="A185" t="s">
        <v>163</v>
      </c>
      <c r="B185">
        <v>2022</v>
      </c>
      <c r="C185">
        <v>974</v>
      </c>
    </row>
    <row r="186" spans="1:3">
      <c r="A186" t="s">
        <v>163</v>
      </c>
      <c r="B186">
        <v>2023</v>
      </c>
      <c r="C186">
        <v>1102</v>
      </c>
    </row>
    <row r="187" spans="1:3">
      <c r="A187" t="s">
        <v>163</v>
      </c>
      <c r="B187">
        <v>2024</v>
      </c>
      <c r="C187">
        <v>1277</v>
      </c>
    </row>
    <row r="188" spans="1:3">
      <c r="A188" t="s">
        <v>163</v>
      </c>
      <c r="B188">
        <v>2025</v>
      </c>
      <c r="C188">
        <v>1278</v>
      </c>
    </row>
    <row r="189" spans="1:3">
      <c r="A189" t="s">
        <v>164</v>
      </c>
      <c r="B189">
        <v>2015</v>
      </c>
      <c r="C189">
        <v>210</v>
      </c>
    </row>
    <row r="190" spans="1:3">
      <c r="A190" t="s">
        <v>164</v>
      </c>
      <c r="B190">
        <v>2016</v>
      </c>
      <c r="C190">
        <v>209</v>
      </c>
    </row>
    <row r="191" spans="1:3">
      <c r="A191" t="s">
        <v>164</v>
      </c>
      <c r="B191">
        <v>2017</v>
      </c>
      <c r="C191">
        <v>216</v>
      </c>
    </row>
    <row r="192" spans="1:3">
      <c r="A192" t="s">
        <v>164</v>
      </c>
      <c r="B192">
        <v>2018</v>
      </c>
      <c r="C192">
        <v>248</v>
      </c>
    </row>
    <row r="193" spans="1:3">
      <c r="A193" t="s">
        <v>164</v>
      </c>
      <c r="B193">
        <v>2019</v>
      </c>
      <c r="C193">
        <v>267</v>
      </c>
    </row>
    <row r="194" spans="1:3">
      <c r="A194" t="s">
        <v>164</v>
      </c>
      <c r="B194">
        <v>2020</v>
      </c>
      <c r="C194">
        <v>309</v>
      </c>
    </row>
    <row r="195" spans="1:3">
      <c r="A195" t="s">
        <v>164</v>
      </c>
      <c r="B195">
        <v>2021</v>
      </c>
      <c r="C195">
        <v>379</v>
      </c>
    </row>
    <row r="196" spans="1:3">
      <c r="A196" t="s">
        <v>164</v>
      </c>
      <c r="B196">
        <v>2022</v>
      </c>
      <c r="C196">
        <v>516</v>
      </c>
    </row>
    <row r="197" spans="1:3">
      <c r="A197" t="s">
        <v>164</v>
      </c>
      <c r="B197">
        <v>2023</v>
      </c>
      <c r="C197">
        <v>611</v>
      </c>
    </row>
    <row r="198" spans="1:3">
      <c r="A198" t="s">
        <v>164</v>
      </c>
      <c r="B198">
        <v>2024</v>
      </c>
      <c r="C198">
        <v>776</v>
      </c>
    </row>
    <row r="199" spans="1:3">
      <c r="A199" t="s">
        <v>164</v>
      </c>
      <c r="B199">
        <v>2025</v>
      </c>
      <c r="C199">
        <v>705</v>
      </c>
    </row>
    <row r="200" spans="1:3">
      <c r="A200" t="s">
        <v>165</v>
      </c>
      <c r="B200">
        <v>2015</v>
      </c>
      <c r="C200">
        <v>1382</v>
      </c>
    </row>
    <row r="201" spans="1:3">
      <c r="A201" t="s">
        <v>165</v>
      </c>
      <c r="B201">
        <v>2016</v>
      </c>
      <c r="C201">
        <v>1540</v>
      </c>
    </row>
    <row r="202" spans="1:3">
      <c r="A202" t="s">
        <v>165</v>
      </c>
      <c r="B202">
        <v>2017</v>
      </c>
      <c r="C202">
        <v>1507</v>
      </c>
    </row>
    <row r="203" spans="1:3">
      <c r="A203" t="s">
        <v>165</v>
      </c>
      <c r="B203">
        <v>2018</v>
      </c>
      <c r="C203">
        <v>1671</v>
      </c>
    </row>
    <row r="204" spans="1:3">
      <c r="A204" t="s">
        <v>165</v>
      </c>
      <c r="B204">
        <v>2019</v>
      </c>
      <c r="C204">
        <v>1773</v>
      </c>
    </row>
    <row r="205" spans="1:3">
      <c r="A205" t="s">
        <v>165</v>
      </c>
      <c r="B205">
        <v>2020</v>
      </c>
      <c r="C205">
        <v>2011</v>
      </c>
    </row>
    <row r="206" spans="1:3">
      <c r="A206" t="s">
        <v>165</v>
      </c>
      <c r="B206">
        <v>2021</v>
      </c>
      <c r="C206">
        <v>2044</v>
      </c>
    </row>
    <row r="207" spans="1:3">
      <c r="A207" t="s">
        <v>165</v>
      </c>
      <c r="B207">
        <v>2022</v>
      </c>
      <c r="C207">
        <v>2056</v>
      </c>
    </row>
    <row r="208" spans="1:3">
      <c r="A208" t="s">
        <v>165</v>
      </c>
      <c r="B208">
        <v>2023</v>
      </c>
      <c r="C208">
        <v>2215</v>
      </c>
    </row>
    <row r="209" spans="1:3">
      <c r="A209" t="s">
        <v>165</v>
      </c>
      <c r="B209">
        <v>2024</v>
      </c>
      <c r="C209">
        <v>2298</v>
      </c>
    </row>
    <row r="210" spans="1:3">
      <c r="A210" t="s">
        <v>165</v>
      </c>
      <c r="B210">
        <v>2025</v>
      </c>
      <c r="C210">
        <v>2534</v>
      </c>
    </row>
    <row r="211" spans="1:3">
      <c r="A211" t="s">
        <v>166</v>
      </c>
      <c r="B211">
        <v>2015</v>
      </c>
      <c r="C211">
        <v>3485</v>
      </c>
    </row>
    <row r="212" spans="1:3">
      <c r="A212" t="s">
        <v>166</v>
      </c>
      <c r="B212">
        <v>2016</v>
      </c>
      <c r="C212">
        <v>3801</v>
      </c>
    </row>
    <row r="213" spans="1:3">
      <c r="A213" t="s">
        <v>166</v>
      </c>
      <c r="B213">
        <v>2017</v>
      </c>
      <c r="C213">
        <v>3660</v>
      </c>
    </row>
    <row r="214" spans="1:3">
      <c r="A214" t="s">
        <v>166</v>
      </c>
      <c r="B214">
        <v>2018</v>
      </c>
      <c r="C214">
        <v>3657</v>
      </c>
    </row>
    <row r="215" spans="1:3">
      <c r="A215" t="s">
        <v>166</v>
      </c>
      <c r="B215">
        <v>2019</v>
      </c>
      <c r="C215">
        <v>3613</v>
      </c>
    </row>
    <row r="216" spans="1:3">
      <c r="A216" t="s">
        <v>166</v>
      </c>
      <c r="B216">
        <v>2020</v>
      </c>
      <c r="C216">
        <v>3771</v>
      </c>
    </row>
    <row r="217" spans="1:3">
      <c r="A217" t="s">
        <v>166</v>
      </c>
      <c r="B217">
        <v>2021</v>
      </c>
      <c r="C217">
        <v>4132</v>
      </c>
    </row>
    <row r="218" spans="1:3">
      <c r="A218" t="s">
        <v>166</v>
      </c>
      <c r="B218">
        <v>2022</v>
      </c>
      <c r="C218">
        <v>4408</v>
      </c>
    </row>
    <row r="219" spans="1:3">
      <c r="A219" t="s">
        <v>166</v>
      </c>
      <c r="B219">
        <v>2023</v>
      </c>
      <c r="C219">
        <v>4582</v>
      </c>
    </row>
    <row r="220" spans="1:3">
      <c r="A220" t="s">
        <v>166</v>
      </c>
      <c r="B220">
        <v>2024</v>
      </c>
      <c r="C220">
        <v>4789</v>
      </c>
    </row>
    <row r="221" spans="1:3">
      <c r="A221" t="s">
        <v>166</v>
      </c>
      <c r="B221">
        <v>2025</v>
      </c>
      <c r="C221">
        <v>4744</v>
      </c>
    </row>
    <row r="222" spans="1:3">
      <c r="A222" t="s">
        <v>167</v>
      </c>
      <c r="B222">
        <v>2015</v>
      </c>
      <c r="C222">
        <v>159</v>
      </c>
    </row>
    <row r="223" spans="1:3">
      <c r="A223" t="s">
        <v>167</v>
      </c>
      <c r="B223">
        <v>2016</v>
      </c>
      <c r="C223">
        <v>170</v>
      </c>
    </row>
    <row r="224" spans="1:3">
      <c r="A224" t="s">
        <v>167</v>
      </c>
      <c r="B224">
        <v>2017</v>
      </c>
      <c r="C224">
        <v>162</v>
      </c>
    </row>
    <row r="225" spans="1:3">
      <c r="A225" t="s">
        <v>167</v>
      </c>
      <c r="B225">
        <v>2018</v>
      </c>
      <c r="C225">
        <v>185</v>
      </c>
    </row>
    <row r="226" spans="1:3">
      <c r="A226" t="s">
        <v>167</v>
      </c>
      <c r="B226">
        <v>2019</v>
      </c>
      <c r="C226">
        <v>318</v>
      </c>
    </row>
    <row r="227" spans="1:3">
      <c r="A227" t="s">
        <v>167</v>
      </c>
      <c r="B227">
        <v>2020</v>
      </c>
      <c r="C227">
        <v>401</v>
      </c>
    </row>
    <row r="228" spans="1:3">
      <c r="A228" t="s">
        <v>167</v>
      </c>
      <c r="B228">
        <v>2021</v>
      </c>
      <c r="C228">
        <v>479</v>
      </c>
    </row>
    <row r="229" spans="1:3">
      <c r="A229" t="s">
        <v>167</v>
      </c>
      <c r="B229">
        <v>2022</v>
      </c>
      <c r="C229">
        <v>516</v>
      </c>
    </row>
    <row r="230" spans="1:3">
      <c r="A230" t="s">
        <v>167</v>
      </c>
      <c r="B230">
        <v>2023</v>
      </c>
      <c r="C230">
        <v>499</v>
      </c>
    </row>
    <row r="231" spans="1:3">
      <c r="A231" t="s">
        <v>167</v>
      </c>
      <c r="B231">
        <v>2024</v>
      </c>
      <c r="C231">
        <v>650</v>
      </c>
    </row>
    <row r="232" spans="1:3">
      <c r="A232" t="s">
        <v>167</v>
      </c>
      <c r="B232">
        <v>2025</v>
      </c>
      <c r="C232">
        <v>555</v>
      </c>
    </row>
    <row r="233" spans="1:3">
      <c r="A233" t="s">
        <v>168</v>
      </c>
      <c r="B233">
        <v>2015</v>
      </c>
      <c r="C233">
        <v>305</v>
      </c>
    </row>
    <row r="234" spans="1:3">
      <c r="A234" t="s">
        <v>168</v>
      </c>
      <c r="B234">
        <v>2016</v>
      </c>
      <c r="C234">
        <v>359</v>
      </c>
    </row>
    <row r="235" spans="1:3">
      <c r="A235" t="s">
        <v>168</v>
      </c>
      <c r="B235">
        <v>2017</v>
      </c>
      <c r="C235">
        <v>349</v>
      </c>
    </row>
    <row r="236" spans="1:3">
      <c r="A236" t="s">
        <v>168</v>
      </c>
      <c r="B236">
        <v>2018</v>
      </c>
      <c r="C236">
        <v>351</v>
      </c>
    </row>
    <row r="237" spans="1:3">
      <c r="A237" t="s">
        <v>168</v>
      </c>
      <c r="B237">
        <v>2019</v>
      </c>
      <c r="C237">
        <v>300</v>
      </c>
    </row>
    <row r="238" spans="1:3">
      <c r="A238" t="s">
        <v>168</v>
      </c>
      <c r="B238">
        <v>2020</v>
      </c>
      <c r="C238">
        <v>272</v>
      </c>
    </row>
    <row r="239" spans="1:3">
      <c r="A239" t="s">
        <v>168</v>
      </c>
      <c r="B239">
        <v>2021</v>
      </c>
      <c r="C239">
        <v>301</v>
      </c>
    </row>
    <row r="240" spans="1:3">
      <c r="A240" t="s">
        <v>168</v>
      </c>
      <c r="B240">
        <v>2022</v>
      </c>
      <c r="C240">
        <v>333</v>
      </c>
    </row>
    <row r="241" spans="1:3">
      <c r="A241" t="s">
        <v>168</v>
      </c>
      <c r="B241">
        <v>2023</v>
      </c>
      <c r="C241">
        <v>365</v>
      </c>
    </row>
    <row r="242" spans="1:3">
      <c r="A242" t="s">
        <v>168</v>
      </c>
      <c r="B242">
        <v>2024</v>
      </c>
      <c r="C242">
        <v>349</v>
      </c>
    </row>
    <row r="243" spans="1:3">
      <c r="A243" t="s">
        <v>168</v>
      </c>
      <c r="B243">
        <v>2025</v>
      </c>
      <c r="C243">
        <v>328</v>
      </c>
    </row>
    <row r="244" spans="1:3">
      <c r="A244" t="s">
        <v>169</v>
      </c>
      <c r="B244">
        <v>2015</v>
      </c>
      <c r="C244">
        <v>579</v>
      </c>
    </row>
    <row r="245" spans="1:3">
      <c r="A245" t="s">
        <v>169</v>
      </c>
      <c r="B245">
        <v>2016</v>
      </c>
      <c r="C245">
        <v>637</v>
      </c>
    </row>
    <row r="246" spans="1:3">
      <c r="A246" t="s">
        <v>169</v>
      </c>
      <c r="B246">
        <v>2017</v>
      </c>
      <c r="C246">
        <v>702</v>
      </c>
    </row>
    <row r="247" spans="1:3">
      <c r="A247" t="s">
        <v>169</v>
      </c>
      <c r="B247">
        <v>2018</v>
      </c>
      <c r="C247">
        <v>718</v>
      </c>
    </row>
    <row r="248" spans="1:3">
      <c r="A248" t="s">
        <v>169</v>
      </c>
      <c r="B248">
        <v>2019</v>
      </c>
      <c r="C248">
        <v>698</v>
      </c>
    </row>
    <row r="249" spans="1:3">
      <c r="A249" t="s">
        <v>169</v>
      </c>
      <c r="B249">
        <v>2020</v>
      </c>
      <c r="C249">
        <v>702</v>
      </c>
    </row>
    <row r="250" spans="1:3">
      <c r="A250" t="s">
        <v>169</v>
      </c>
      <c r="B250">
        <v>2021</v>
      </c>
      <c r="C250">
        <v>766</v>
      </c>
    </row>
    <row r="251" spans="1:3">
      <c r="A251" t="s">
        <v>169</v>
      </c>
      <c r="B251">
        <v>2022</v>
      </c>
      <c r="C251">
        <v>801</v>
      </c>
    </row>
    <row r="252" spans="1:3">
      <c r="A252" t="s">
        <v>169</v>
      </c>
      <c r="B252">
        <v>2023</v>
      </c>
      <c r="C252">
        <v>885</v>
      </c>
    </row>
    <row r="253" spans="1:3">
      <c r="A253" t="s">
        <v>169</v>
      </c>
      <c r="B253">
        <v>2024</v>
      </c>
      <c r="C253">
        <v>877</v>
      </c>
    </row>
    <row r="254" spans="1:3">
      <c r="A254" t="s">
        <v>169</v>
      </c>
      <c r="B254">
        <v>2025</v>
      </c>
      <c r="C254">
        <v>938</v>
      </c>
    </row>
    <row r="255" spans="1:3">
      <c r="A255" t="s">
        <v>170</v>
      </c>
      <c r="B255">
        <v>2015</v>
      </c>
      <c r="C255">
        <v>468</v>
      </c>
    </row>
    <row r="256" spans="1:3">
      <c r="A256" t="s">
        <v>170</v>
      </c>
      <c r="B256">
        <v>2016</v>
      </c>
      <c r="C256">
        <v>491</v>
      </c>
    </row>
    <row r="257" spans="1:3">
      <c r="A257" t="s">
        <v>170</v>
      </c>
      <c r="B257">
        <v>2017</v>
      </c>
      <c r="C257">
        <v>531</v>
      </c>
    </row>
    <row r="258" spans="1:3">
      <c r="A258" t="s">
        <v>170</v>
      </c>
      <c r="B258">
        <v>2018</v>
      </c>
      <c r="C258">
        <v>567</v>
      </c>
    </row>
    <row r="259" spans="1:3">
      <c r="A259" t="s">
        <v>170</v>
      </c>
      <c r="B259">
        <v>2019</v>
      </c>
      <c r="C259">
        <v>544</v>
      </c>
    </row>
    <row r="260" spans="1:3">
      <c r="A260" t="s">
        <v>170</v>
      </c>
      <c r="B260">
        <v>2020</v>
      </c>
      <c r="C260">
        <v>580</v>
      </c>
    </row>
    <row r="261" spans="1:3">
      <c r="A261" t="s">
        <v>170</v>
      </c>
      <c r="B261">
        <v>2021</v>
      </c>
      <c r="C261">
        <v>624</v>
      </c>
    </row>
    <row r="262" spans="1:3">
      <c r="A262" t="s">
        <v>170</v>
      </c>
      <c r="B262">
        <v>2022</v>
      </c>
      <c r="C262">
        <v>665</v>
      </c>
    </row>
    <row r="263" spans="1:3">
      <c r="A263" t="s">
        <v>170</v>
      </c>
      <c r="B263">
        <v>2023</v>
      </c>
      <c r="C263">
        <v>709</v>
      </c>
    </row>
    <row r="264" spans="1:3">
      <c r="A264" t="s">
        <v>170</v>
      </c>
      <c r="B264">
        <v>2024</v>
      </c>
      <c r="C264">
        <v>814</v>
      </c>
    </row>
    <row r="265" spans="1:3">
      <c r="A265" t="s">
        <v>170</v>
      </c>
      <c r="B265">
        <v>2025</v>
      </c>
      <c r="C265">
        <v>856</v>
      </c>
    </row>
    <row r="266" spans="1:3">
      <c r="A266" t="s">
        <v>246</v>
      </c>
      <c r="B266">
        <v>2015</v>
      </c>
      <c r="C266">
        <v>1</v>
      </c>
    </row>
    <row r="267" spans="1:3">
      <c r="A267" t="s">
        <v>246</v>
      </c>
      <c r="B267">
        <v>2016</v>
      </c>
      <c r="C267">
        <v>2</v>
      </c>
    </row>
    <row r="268" spans="1:3">
      <c r="A268" t="s">
        <v>246</v>
      </c>
      <c r="B268">
        <v>2017</v>
      </c>
      <c r="C268">
        <v>2</v>
      </c>
    </row>
    <row r="269" spans="1:3">
      <c r="A269" t="s">
        <v>246</v>
      </c>
      <c r="B269">
        <v>2018</v>
      </c>
      <c r="C269">
        <v>2</v>
      </c>
    </row>
    <row r="270" spans="1:3">
      <c r="A270" t="s">
        <v>246</v>
      </c>
      <c r="B270">
        <v>2019</v>
      </c>
      <c r="C270">
        <v>1</v>
      </c>
    </row>
    <row r="271" spans="1:3">
      <c r="A271" t="s">
        <v>246</v>
      </c>
      <c r="B271">
        <v>2020</v>
      </c>
      <c r="C271">
        <v>1</v>
      </c>
    </row>
    <row r="272" spans="1:3">
      <c r="A272" t="s">
        <v>246</v>
      </c>
      <c r="B272">
        <v>2021</v>
      </c>
      <c r="C272">
        <v>1</v>
      </c>
    </row>
    <row r="273" spans="1:3">
      <c r="A273" t="s">
        <v>246</v>
      </c>
      <c r="B273">
        <v>2022</v>
      </c>
      <c r="C273" t="s">
        <v>225</v>
      </c>
    </row>
    <row r="274" spans="1:3">
      <c r="A274" t="s">
        <v>246</v>
      </c>
      <c r="B274">
        <v>2023</v>
      </c>
      <c r="C274" t="s">
        <v>225</v>
      </c>
    </row>
    <row r="275" spans="1:3">
      <c r="A275" t="s">
        <v>246</v>
      </c>
      <c r="B275">
        <v>2024</v>
      </c>
      <c r="C275">
        <v>1</v>
      </c>
    </row>
    <row r="276" spans="1:3">
      <c r="A276" t="s">
        <v>246</v>
      </c>
      <c r="B276">
        <v>2025</v>
      </c>
      <c r="C276">
        <v>1</v>
      </c>
    </row>
    <row r="277" spans="1:3">
      <c r="A277" t="s">
        <v>171</v>
      </c>
      <c r="B277">
        <v>2015</v>
      </c>
      <c r="C277">
        <v>367</v>
      </c>
    </row>
    <row r="278" spans="1:3">
      <c r="A278" t="s">
        <v>171</v>
      </c>
      <c r="B278">
        <v>2016</v>
      </c>
      <c r="C278">
        <v>368</v>
      </c>
    </row>
    <row r="279" spans="1:3">
      <c r="A279" t="s">
        <v>171</v>
      </c>
      <c r="B279">
        <v>2017</v>
      </c>
      <c r="C279">
        <v>387</v>
      </c>
    </row>
    <row r="280" spans="1:3">
      <c r="A280" t="s">
        <v>171</v>
      </c>
      <c r="B280">
        <v>2018</v>
      </c>
      <c r="C280">
        <v>382</v>
      </c>
    </row>
    <row r="281" spans="1:3">
      <c r="A281" t="s">
        <v>171</v>
      </c>
      <c r="B281">
        <v>2019</v>
      </c>
      <c r="C281">
        <v>489</v>
      </c>
    </row>
    <row r="282" spans="1:3">
      <c r="A282" t="s">
        <v>171</v>
      </c>
      <c r="B282">
        <v>2020</v>
      </c>
      <c r="C282">
        <v>510</v>
      </c>
    </row>
    <row r="283" spans="1:3">
      <c r="A283" t="s">
        <v>171</v>
      </c>
      <c r="B283">
        <v>2021</v>
      </c>
      <c r="C283">
        <v>590</v>
      </c>
    </row>
    <row r="284" spans="1:3">
      <c r="A284" t="s">
        <v>171</v>
      </c>
      <c r="B284">
        <v>2022</v>
      </c>
      <c r="C284">
        <v>614</v>
      </c>
    </row>
    <row r="285" spans="1:3">
      <c r="A285" t="s">
        <v>171</v>
      </c>
      <c r="B285">
        <v>2023</v>
      </c>
      <c r="C285">
        <v>649</v>
      </c>
    </row>
    <row r="286" spans="1:3">
      <c r="A286" t="s">
        <v>171</v>
      </c>
      <c r="B286">
        <v>2024</v>
      </c>
      <c r="C286">
        <v>780</v>
      </c>
    </row>
    <row r="287" spans="1:3">
      <c r="A287" t="s">
        <v>171</v>
      </c>
      <c r="B287">
        <v>2025</v>
      </c>
      <c r="C287">
        <v>901</v>
      </c>
    </row>
    <row r="288" spans="1:3">
      <c r="A288" t="s">
        <v>172</v>
      </c>
      <c r="B288">
        <v>2015</v>
      </c>
      <c r="C288">
        <v>251</v>
      </c>
    </row>
    <row r="289" spans="1:3">
      <c r="A289" t="s">
        <v>172</v>
      </c>
      <c r="B289">
        <v>2016</v>
      </c>
      <c r="C289">
        <v>269</v>
      </c>
    </row>
    <row r="290" spans="1:3">
      <c r="A290" t="s">
        <v>172</v>
      </c>
      <c r="B290">
        <v>2017</v>
      </c>
      <c r="C290">
        <v>283</v>
      </c>
    </row>
    <row r="291" spans="1:3">
      <c r="A291" t="s">
        <v>172</v>
      </c>
      <c r="B291">
        <v>2018</v>
      </c>
      <c r="C291">
        <v>292</v>
      </c>
    </row>
    <row r="292" spans="1:3">
      <c r="A292" t="s">
        <v>172</v>
      </c>
      <c r="B292">
        <v>2019</v>
      </c>
      <c r="C292">
        <v>264</v>
      </c>
    </row>
    <row r="293" spans="1:3">
      <c r="A293" t="s">
        <v>172</v>
      </c>
      <c r="B293">
        <v>2020</v>
      </c>
      <c r="C293">
        <v>326</v>
      </c>
    </row>
    <row r="294" spans="1:3">
      <c r="A294" t="s">
        <v>172</v>
      </c>
      <c r="B294">
        <v>2021</v>
      </c>
      <c r="C294">
        <v>448</v>
      </c>
    </row>
    <row r="295" spans="1:3">
      <c r="A295" t="s">
        <v>172</v>
      </c>
      <c r="B295">
        <v>2022</v>
      </c>
      <c r="C295">
        <v>528</v>
      </c>
    </row>
    <row r="296" spans="1:3">
      <c r="A296" t="s">
        <v>172</v>
      </c>
      <c r="B296">
        <v>2023</v>
      </c>
      <c r="C296">
        <v>560</v>
      </c>
    </row>
    <row r="297" spans="1:3">
      <c r="A297" t="s">
        <v>172</v>
      </c>
      <c r="B297">
        <v>2024</v>
      </c>
      <c r="C297">
        <v>712</v>
      </c>
    </row>
    <row r="298" spans="1:3">
      <c r="A298" t="s">
        <v>172</v>
      </c>
      <c r="B298">
        <v>2025</v>
      </c>
      <c r="C298">
        <v>731</v>
      </c>
    </row>
    <row r="299" spans="1:3">
      <c r="A299" t="s">
        <v>174</v>
      </c>
      <c r="B299">
        <v>2015</v>
      </c>
      <c r="C299">
        <v>162</v>
      </c>
    </row>
    <row r="300" spans="1:3">
      <c r="A300" t="s">
        <v>174</v>
      </c>
      <c r="B300">
        <v>2016</v>
      </c>
      <c r="C300">
        <v>159</v>
      </c>
    </row>
    <row r="301" spans="1:3">
      <c r="A301" t="s">
        <v>174</v>
      </c>
      <c r="B301">
        <v>2017</v>
      </c>
      <c r="C301">
        <v>66</v>
      </c>
    </row>
    <row r="302" spans="1:3">
      <c r="A302" t="s">
        <v>174</v>
      </c>
      <c r="B302">
        <v>2018</v>
      </c>
      <c r="C302">
        <v>86</v>
      </c>
    </row>
    <row r="303" spans="1:3">
      <c r="A303" t="s">
        <v>174</v>
      </c>
      <c r="B303">
        <v>2019</v>
      </c>
      <c r="C303">
        <v>62</v>
      </c>
    </row>
    <row r="304" spans="1:3">
      <c r="A304" t="s">
        <v>174</v>
      </c>
      <c r="B304">
        <v>2020</v>
      </c>
      <c r="C304">
        <v>91</v>
      </c>
    </row>
    <row r="305" spans="1:3">
      <c r="A305" t="s">
        <v>174</v>
      </c>
      <c r="B305">
        <v>2021</v>
      </c>
      <c r="C305">
        <v>86</v>
      </c>
    </row>
    <row r="306" spans="1:3">
      <c r="A306" t="s">
        <v>174</v>
      </c>
      <c r="B306">
        <v>2022</v>
      </c>
      <c r="C306">
        <v>83</v>
      </c>
    </row>
    <row r="307" spans="1:3">
      <c r="A307" t="s">
        <v>174</v>
      </c>
      <c r="B307">
        <v>2023</v>
      </c>
      <c r="C307">
        <v>68</v>
      </c>
    </row>
    <row r="308" spans="1:3">
      <c r="A308" t="s">
        <v>174</v>
      </c>
      <c r="B308">
        <v>2024</v>
      </c>
      <c r="C308">
        <v>79</v>
      </c>
    </row>
    <row r="309" spans="1:3">
      <c r="A309" t="s">
        <v>174</v>
      </c>
      <c r="B309">
        <v>2025</v>
      </c>
      <c r="C309">
        <v>89</v>
      </c>
    </row>
    <row r="310" spans="1:3">
      <c r="A310" t="s">
        <v>175</v>
      </c>
      <c r="B310">
        <v>2015</v>
      </c>
      <c r="C310">
        <v>321</v>
      </c>
    </row>
    <row r="311" spans="1:3">
      <c r="A311" t="s">
        <v>175</v>
      </c>
      <c r="B311">
        <v>2016</v>
      </c>
      <c r="C311">
        <v>318</v>
      </c>
    </row>
    <row r="312" spans="1:3">
      <c r="A312" t="s">
        <v>175</v>
      </c>
      <c r="B312">
        <v>2017</v>
      </c>
      <c r="C312">
        <v>367</v>
      </c>
    </row>
    <row r="313" spans="1:3">
      <c r="A313" t="s">
        <v>175</v>
      </c>
      <c r="B313">
        <v>2018</v>
      </c>
      <c r="C313">
        <v>376</v>
      </c>
    </row>
    <row r="314" spans="1:3">
      <c r="A314" t="s">
        <v>175</v>
      </c>
      <c r="B314">
        <v>2019</v>
      </c>
      <c r="C314">
        <v>378</v>
      </c>
    </row>
    <row r="315" spans="1:3">
      <c r="A315" t="s">
        <v>175</v>
      </c>
      <c r="B315">
        <v>2020</v>
      </c>
      <c r="C315">
        <v>393</v>
      </c>
    </row>
    <row r="316" spans="1:3">
      <c r="A316" t="s">
        <v>175</v>
      </c>
      <c r="B316">
        <v>2021</v>
      </c>
      <c r="C316">
        <v>433</v>
      </c>
    </row>
    <row r="317" spans="1:3">
      <c r="A317" t="s">
        <v>175</v>
      </c>
      <c r="B317">
        <v>2022</v>
      </c>
      <c r="C317">
        <v>442</v>
      </c>
    </row>
    <row r="318" spans="1:3">
      <c r="A318" t="s">
        <v>175</v>
      </c>
      <c r="B318">
        <v>2023</v>
      </c>
      <c r="C318">
        <v>429</v>
      </c>
    </row>
    <row r="319" spans="1:3">
      <c r="A319" t="s">
        <v>175</v>
      </c>
      <c r="B319">
        <v>2024</v>
      </c>
      <c r="C319">
        <v>457</v>
      </c>
    </row>
    <row r="320" spans="1:3">
      <c r="A320" t="s">
        <v>175</v>
      </c>
      <c r="B320">
        <v>2025</v>
      </c>
      <c r="C320">
        <v>508</v>
      </c>
    </row>
    <row r="321" spans="1:3">
      <c r="A321" t="s">
        <v>176</v>
      </c>
      <c r="B321">
        <v>2015</v>
      </c>
      <c r="C321">
        <v>470</v>
      </c>
    </row>
    <row r="322" spans="1:3">
      <c r="A322" t="s">
        <v>176</v>
      </c>
      <c r="B322">
        <v>2016</v>
      </c>
      <c r="C322">
        <v>457</v>
      </c>
    </row>
    <row r="323" spans="1:3">
      <c r="A323" t="s">
        <v>176</v>
      </c>
      <c r="B323">
        <v>2017</v>
      </c>
      <c r="C323">
        <v>427</v>
      </c>
    </row>
    <row r="324" spans="1:3">
      <c r="A324" t="s">
        <v>176</v>
      </c>
      <c r="B324">
        <v>2018</v>
      </c>
      <c r="C324">
        <v>407</v>
      </c>
    </row>
    <row r="325" spans="1:3">
      <c r="A325" t="s">
        <v>176</v>
      </c>
      <c r="B325">
        <v>2019</v>
      </c>
      <c r="C325">
        <v>398</v>
      </c>
    </row>
    <row r="326" spans="1:3">
      <c r="A326" t="s">
        <v>176</v>
      </c>
      <c r="B326">
        <v>2020</v>
      </c>
      <c r="C326">
        <v>518</v>
      </c>
    </row>
    <row r="327" spans="1:3">
      <c r="A327" t="s">
        <v>176</v>
      </c>
      <c r="B327">
        <v>2021</v>
      </c>
      <c r="C327">
        <v>580</v>
      </c>
    </row>
    <row r="328" spans="1:3">
      <c r="A328" t="s">
        <v>176</v>
      </c>
      <c r="B328">
        <v>2022</v>
      </c>
      <c r="C328">
        <v>629</v>
      </c>
    </row>
    <row r="329" spans="1:3">
      <c r="A329" t="s">
        <v>176</v>
      </c>
      <c r="B329">
        <v>2023</v>
      </c>
      <c r="C329">
        <v>644</v>
      </c>
    </row>
    <row r="330" spans="1:3">
      <c r="A330" t="s">
        <v>176</v>
      </c>
      <c r="B330">
        <v>2024</v>
      </c>
      <c r="C330">
        <v>656</v>
      </c>
    </row>
    <row r="331" spans="1:3">
      <c r="A331" t="s">
        <v>176</v>
      </c>
      <c r="B331">
        <v>2025</v>
      </c>
      <c r="C331">
        <v>547</v>
      </c>
    </row>
    <row r="332" spans="1:3">
      <c r="A332" t="s">
        <v>177</v>
      </c>
      <c r="B332">
        <v>2015</v>
      </c>
      <c r="C332">
        <v>546</v>
      </c>
    </row>
    <row r="333" spans="1:3">
      <c r="A333" t="s">
        <v>177</v>
      </c>
      <c r="B333">
        <v>2016</v>
      </c>
      <c r="C333">
        <v>555</v>
      </c>
    </row>
    <row r="334" spans="1:3">
      <c r="A334" t="s">
        <v>177</v>
      </c>
      <c r="B334">
        <v>2017</v>
      </c>
      <c r="C334">
        <v>526</v>
      </c>
    </row>
    <row r="335" spans="1:3">
      <c r="A335" t="s">
        <v>177</v>
      </c>
      <c r="B335">
        <v>2018</v>
      </c>
      <c r="C335">
        <v>571</v>
      </c>
    </row>
    <row r="336" spans="1:3">
      <c r="A336" t="s">
        <v>177</v>
      </c>
      <c r="B336">
        <v>2019</v>
      </c>
      <c r="C336">
        <v>570</v>
      </c>
    </row>
    <row r="337" spans="1:3">
      <c r="A337" t="s">
        <v>177</v>
      </c>
      <c r="B337">
        <v>2020</v>
      </c>
      <c r="C337">
        <v>534</v>
      </c>
    </row>
    <row r="338" spans="1:3">
      <c r="A338" t="s">
        <v>177</v>
      </c>
      <c r="B338">
        <v>2021</v>
      </c>
      <c r="C338">
        <v>580</v>
      </c>
    </row>
    <row r="339" spans="1:3">
      <c r="A339" t="s">
        <v>177</v>
      </c>
      <c r="B339">
        <v>2022</v>
      </c>
      <c r="C339">
        <v>593</v>
      </c>
    </row>
    <row r="340" spans="1:3">
      <c r="A340" t="s">
        <v>177</v>
      </c>
      <c r="B340">
        <v>2023</v>
      </c>
      <c r="C340">
        <v>616</v>
      </c>
    </row>
    <row r="341" spans="1:3">
      <c r="A341" t="s">
        <v>177</v>
      </c>
      <c r="B341">
        <v>2024</v>
      </c>
      <c r="C341">
        <v>675</v>
      </c>
    </row>
    <row r="342" spans="1:3">
      <c r="A342" t="s">
        <v>177</v>
      </c>
      <c r="B342">
        <v>2025</v>
      </c>
      <c r="C342">
        <v>720</v>
      </c>
    </row>
    <row r="343" spans="1:3">
      <c r="A343" t="s">
        <v>178</v>
      </c>
      <c r="B343">
        <v>2015</v>
      </c>
      <c r="C343">
        <v>357</v>
      </c>
    </row>
    <row r="344" spans="1:3">
      <c r="A344" t="s">
        <v>178</v>
      </c>
      <c r="B344">
        <v>2016</v>
      </c>
      <c r="C344">
        <v>365</v>
      </c>
    </row>
    <row r="345" spans="1:3">
      <c r="A345" t="s">
        <v>178</v>
      </c>
      <c r="B345">
        <v>2017</v>
      </c>
      <c r="C345">
        <v>327</v>
      </c>
    </row>
    <row r="346" spans="1:3">
      <c r="A346" t="s">
        <v>178</v>
      </c>
      <c r="B346">
        <v>2018</v>
      </c>
      <c r="C346">
        <v>343</v>
      </c>
    </row>
    <row r="347" spans="1:3">
      <c r="A347" t="s">
        <v>178</v>
      </c>
      <c r="B347">
        <v>2019</v>
      </c>
      <c r="C347">
        <v>359</v>
      </c>
    </row>
    <row r="348" spans="1:3">
      <c r="A348" t="s">
        <v>178</v>
      </c>
      <c r="B348">
        <v>2020</v>
      </c>
      <c r="C348">
        <v>428</v>
      </c>
    </row>
    <row r="349" spans="1:3">
      <c r="A349" t="s">
        <v>178</v>
      </c>
      <c r="B349">
        <v>2021</v>
      </c>
      <c r="C349">
        <v>527</v>
      </c>
    </row>
    <row r="350" spans="1:3">
      <c r="A350" t="s">
        <v>178</v>
      </c>
      <c r="B350">
        <v>2022</v>
      </c>
      <c r="C350">
        <v>605</v>
      </c>
    </row>
    <row r="351" spans="1:3">
      <c r="A351" t="s">
        <v>178</v>
      </c>
      <c r="B351">
        <v>2023</v>
      </c>
      <c r="C351">
        <v>629</v>
      </c>
    </row>
    <row r="352" spans="1:3">
      <c r="A352" t="s">
        <v>178</v>
      </c>
      <c r="B352">
        <v>2024</v>
      </c>
      <c r="C352">
        <v>535</v>
      </c>
    </row>
    <row r="353" spans="1:3">
      <c r="A353" t="s">
        <v>178</v>
      </c>
      <c r="B353">
        <v>2025</v>
      </c>
      <c r="C353">
        <v>531</v>
      </c>
    </row>
    <row r="354" spans="1:3">
      <c r="A354" t="s">
        <v>179</v>
      </c>
      <c r="B354">
        <v>2015</v>
      </c>
      <c r="C354">
        <v>3747</v>
      </c>
    </row>
    <row r="355" spans="1:3">
      <c r="A355" t="s">
        <v>179</v>
      </c>
      <c r="B355">
        <v>2016</v>
      </c>
      <c r="C355">
        <v>3691</v>
      </c>
    </row>
    <row r="356" spans="1:3">
      <c r="A356" t="s">
        <v>179</v>
      </c>
      <c r="B356">
        <v>2017</v>
      </c>
      <c r="C356">
        <v>3973</v>
      </c>
    </row>
    <row r="357" spans="1:3">
      <c r="A357" t="s">
        <v>179</v>
      </c>
      <c r="B357">
        <v>2018</v>
      </c>
      <c r="C357">
        <v>3850</v>
      </c>
    </row>
    <row r="358" spans="1:3">
      <c r="A358" t="s">
        <v>179</v>
      </c>
      <c r="B358">
        <v>2019</v>
      </c>
      <c r="C358">
        <v>3991</v>
      </c>
    </row>
    <row r="359" spans="1:3">
      <c r="A359" t="s">
        <v>179</v>
      </c>
      <c r="B359">
        <v>2020</v>
      </c>
      <c r="C359">
        <v>3996</v>
      </c>
    </row>
    <row r="360" spans="1:3">
      <c r="A360" t="s">
        <v>179</v>
      </c>
      <c r="B360">
        <v>2021</v>
      </c>
      <c r="C360">
        <v>5027</v>
      </c>
    </row>
    <row r="361" spans="1:3">
      <c r="A361" t="s">
        <v>179</v>
      </c>
      <c r="B361">
        <v>2022</v>
      </c>
      <c r="C361">
        <v>5173</v>
      </c>
    </row>
    <row r="362" spans="1:3">
      <c r="A362" t="s">
        <v>179</v>
      </c>
      <c r="B362">
        <v>2023</v>
      </c>
      <c r="C362">
        <v>5416</v>
      </c>
    </row>
    <row r="363" spans="1:3">
      <c r="A363" t="s">
        <v>179</v>
      </c>
      <c r="B363">
        <v>2024</v>
      </c>
      <c r="C363">
        <v>5785</v>
      </c>
    </row>
    <row r="364" spans="1:3">
      <c r="A364" t="s">
        <v>179</v>
      </c>
      <c r="B364">
        <v>2025</v>
      </c>
      <c r="C364">
        <v>6115</v>
      </c>
    </row>
    <row r="365" spans="1:3">
      <c r="A365" t="s">
        <v>180</v>
      </c>
      <c r="B365">
        <v>2015</v>
      </c>
      <c r="C365">
        <v>231</v>
      </c>
    </row>
    <row r="366" spans="1:3">
      <c r="A366" t="s">
        <v>180</v>
      </c>
      <c r="B366">
        <v>2016</v>
      </c>
      <c r="C366">
        <v>237</v>
      </c>
    </row>
    <row r="367" spans="1:3">
      <c r="A367" t="s">
        <v>180</v>
      </c>
      <c r="B367">
        <v>2017</v>
      </c>
      <c r="C367">
        <v>249</v>
      </c>
    </row>
    <row r="368" spans="1:3">
      <c r="A368" t="s">
        <v>180</v>
      </c>
      <c r="B368">
        <v>2018</v>
      </c>
      <c r="C368">
        <v>253</v>
      </c>
    </row>
    <row r="369" spans="1:3">
      <c r="A369" t="s">
        <v>180</v>
      </c>
      <c r="B369">
        <v>2019</v>
      </c>
      <c r="C369">
        <v>237</v>
      </c>
    </row>
    <row r="370" spans="1:3">
      <c r="A370" t="s">
        <v>180</v>
      </c>
      <c r="B370">
        <v>2020</v>
      </c>
      <c r="C370">
        <v>263</v>
      </c>
    </row>
    <row r="371" spans="1:3">
      <c r="A371" t="s">
        <v>180</v>
      </c>
      <c r="B371">
        <v>2021</v>
      </c>
      <c r="C371">
        <v>275</v>
      </c>
    </row>
    <row r="372" spans="1:3">
      <c r="A372" t="s">
        <v>180</v>
      </c>
      <c r="B372">
        <v>2022</v>
      </c>
      <c r="C372">
        <v>293</v>
      </c>
    </row>
    <row r="373" spans="1:3">
      <c r="A373" t="s">
        <v>180</v>
      </c>
      <c r="B373">
        <v>2023</v>
      </c>
      <c r="C373">
        <v>261</v>
      </c>
    </row>
    <row r="374" spans="1:3">
      <c r="A374" t="s">
        <v>180</v>
      </c>
      <c r="B374">
        <v>2024</v>
      </c>
      <c r="C374">
        <v>269</v>
      </c>
    </row>
    <row r="375" spans="1:3">
      <c r="A375" t="s">
        <v>180</v>
      </c>
      <c r="B375">
        <v>2025</v>
      </c>
      <c r="C375">
        <v>272</v>
      </c>
    </row>
    <row r="376" spans="1:3">
      <c r="A376" t="s">
        <v>181</v>
      </c>
      <c r="B376">
        <v>2015</v>
      </c>
      <c r="C376">
        <v>62</v>
      </c>
    </row>
    <row r="377" spans="1:3">
      <c r="A377" t="s">
        <v>181</v>
      </c>
      <c r="B377">
        <v>2016</v>
      </c>
      <c r="C377">
        <v>61</v>
      </c>
    </row>
    <row r="378" spans="1:3">
      <c r="A378" t="s">
        <v>181</v>
      </c>
      <c r="B378">
        <v>2017</v>
      </c>
      <c r="C378">
        <v>96</v>
      </c>
    </row>
    <row r="379" spans="1:3">
      <c r="A379" t="s">
        <v>181</v>
      </c>
      <c r="B379">
        <v>2018</v>
      </c>
      <c r="C379">
        <v>104</v>
      </c>
    </row>
    <row r="380" spans="1:3">
      <c r="A380" t="s">
        <v>181</v>
      </c>
      <c r="B380">
        <v>2019</v>
      </c>
      <c r="C380">
        <v>80</v>
      </c>
    </row>
    <row r="381" spans="1:3">
      <c r="A381" t="s">
        <v>181</v>
      </c>
      <c r="B381">
        <v>2020</v>
      </c>
      <c r="C381">
        <v>74</v>
      </c>
    </row>
    <row r="382" spans="1:3">
      <c r="A382" t="s">
        <v>181</v>
      </c>
      <c r="B382">
        <v>2021</v>
      </c>
      <c r="C382">
        <v>80</v>
      </c>
    </row>
    <row r="383" spans="1:3">
      <c r="A383" t="s">
        <v>181</v>
      </c>
      <c r="B383">
        <v>2022</v>
      </c>
      <c r="C383">
        <v>74</v>
      </c>
    </row>
    <row r="384" spans="1:3">
      <c r="A384" t="s">
        <v>181</v>
      </c>
      <c r="B384">
        <v>2023</v>
      </c>
      <c r="C384">
        <v>84</v>
      </c>
    </row>
    <row r="385" spans="1:3">
      <c r="A385" t="s">
        <v>181</v>
      </c>
      <c r="B385">
        <v>2024</v>
      </c>
      <c r="C385">
        <v>84</v>
      </c>
    </row>
    <row r="386" spans="1:3">
      <c r="A386" t="s">
        <v>181</v>
      </c>
      <c r="B386">
        <v>2025</v>
      </c>
      <c r="C386">
        <v>79</v>
      </c>
    </row>
    <row r="387" spans="1:3">
      <c r="A387" t="s">
        <v>182</v>
      </c>
      <c r="B387">
        <v>2015</v>
      </c>
      <c r="C387">
        <v>788</v>
      </c>
    </row>
    <row r="388" spans="1:3">
      <c r="A388" t="s">
        <v>182</v>
      </c>
      <c r="B388">
        <v>2016</v>
      </c>
      <c r="C388">
        <v>765</v>
      </c>
    </row>
    <row r="389" spans="1:3">
      <c r="A389" t="s">
        <v>182</v>
      </c>
      <c r="B389">
        <v>2017</v>
      </c>
      <c r="C389">
        <v>785</v>
      </c>
    </row>
    <row r="390" spans="1:3">
      <c r="A390" t="s">
        <v>182</v>
      </c>
      <c r="B390">
        <v>2018</v>
      </c>
      <c r="C390">
        <v>795</v>
      </c>
    </row>
    <row r="391" spans="1:3">
      <c r="A391" t="s">
        <v>182</v>
      </c>
      <c r="B391">
        <v>2019</v>
      </c>
      <c r="C391">
        <v>923</v>
      </c>
    </row>
    <row r="392" spans="1:3">
      <c r="A392" t="s">
        <v>182</v>
      </c>
      <c r="B392">
        <v>2020</v>
      </c>
      <c r="C392">
        <v>976</v>
      </c>
    </row>
    <row r="393" spans="1:3">
      <c r="A393" t="s">
        <v>182</v>
      </c>
      <c r="B393">
        <v>2021</v>
      </c>
      <c r="C393">
        <v>1112</v>
      </c>
    </row>
    <row r="394" spans="1:3">
      <c r="A394" t="s">
        <v>182</v>
      </c>
      <c r="B394">
        <v>2022</v>
      </c>
      <c r="C394">
        <v>1277</v>
      </c>
    </row>
    <row r="395" spans="1:3">
      <c r="A395" t="s">
        <v>182</v>
      </c>
      <c r="B395">
        <v>2023</v>
      </c>
      <c r="C395">
        <v>1331</v>
      </c>
    </row>
    <row r="396" spans="1:3">
      <c r="A396" t="s">
        <v>182</v>
      </c>
      <c r="B396">
        <v>2024</v>
      </c>
      <c r="C396">
        <v>1362</v>
      </c>
    </row>
    <row r="397" spans="1:3">
      <c r="A397" t="s">
        <v>182</v>
      </c>
      <c r="B397">
        <v>2025</v>
      </c>
      <c r="C397">
        <v>1485</v>
      </c>
    </row>
    <row r="398" spans="1:3">
      <c r="A398" t="s">
        <v>183</v>
      </c>
      <c r="B398">
        <v>2015</v>
      </c>
      <c r="C398">
        <v>141</v>
      </c>
    </row>
    <row r="399" spans="1:3">
      <c r="A399" t="s">
        <v>183</v>
      </c>
      <c r="B399">
        <v>2016</v>
      </c>
      <c r="C399">
        <v>148</v>
      </c>
    </row>
    <row r="400" spans="1:3">
      <c r="A400" t="s">
        <v>183</v>
      </c>
      <c r="B400">
        <v>2017</v>
      </c>
      <c r="C400">
        <v>169</v>
      </c>
    </row>
    <row r="401" spans="1:3">
      <c r="A401" t="s">
        <v>183</v>
      </c>
      <c r="B401">
        <v>2018</v>
      </c>
      <c r="C401">
        <v>247</v>
      </c>
    </row>
    <row r="402" spans="1:3">
      <c r="A402" t="s">
        <v>183</v>
      </c>
      <c r="B402">
        <v>2019</v>
      </c>
      <c r="C402">
        <v>261</v>
      </c>
    </row>
    <row r="403" spans="1:3">
      <c r="A403" t="s">
        <v>183</v>
      </c>
      <c r="B403">
        <v>2020</v>
      </c>
      <c r="C403">
        <v>238</v>
      </c>
    </row>
    <row r="404" spans="1:3">
      <c r="A404" t="s">
        <v>183</v>
      </c>
      <c r="B404">
        <v>2021</v>
      </c>
      <c r="C404">
        <v>273</v>
      </c>
    </row>
    <row r="405" spans="1:3">
      <c r="A405" t="s">
        <v>183</v>
      </c>
      <c r="B405">
        <v>2022</v>
      </c>
      <c r="C405">
        <v>344</v>
      </c>
    </row>
    <row r="406" spans="1:3">
      <c r="A406" t="s">
        <v>183</v>
      </c>
      <c r="B406">
        <v>2023</v>
      </c>
      <c r="C406">
        <v>381</v>
      </c>
    </row>
    <row r="407" spans="1:3">
      <c r="A407" t="s">
        <v>183</v>
      </c>
      <c r="B407">
        <v>2024</v>
      </c>
      <c r="C407">
        <v>506</v>
      </c>
    </row>
    <row r="408" spans="1:3">
      <c r="A408" t="s">
        <v>183</v>
      </c>
      <c r="B408">
        <v>2025</v>
      </c>
      <c r="C408">
        <v>556</v>
      </c>
    </row>
    <row r="409" spans="1:3">
      <c r="A409" t="s">
        <v>184</v>
      </c>
      <c r="B409">
        <v>2015</v>
      </c>
      <c r="C409">
        <v>546</v>
      </c>
    </row>
    <row r="410" spans="1:3">
      <c r="A410" t="s">
        <v>184</v>
      </c>
      <c r="B410">
        <v>2016</v>
      </c>
      <c r="C410">
        <v>561</v>
      </c>
    </row>
    <row r="411" spans="1:3">
      <c r="A411" t="s">
        <v>184</v>
      </c>
      <c r="B411">
        <v>2017</v>
      </c>
      <c r="C411">
        <v>641</v>
      </c>
    </row>
    <row r="412" spans="1:3">
      <c r="A412" t="s">
        <v>184</v>
      </c>
      <c r="B412">
        <v>2018</v>
      </c>
      <c r="C412">
        <v>693</v>
      </c>
    </row>
    <row r="413" spans="1:3">
      <c r="A413" t="s">
        <v>184</v>
      </c>
      <c r="B413">
        <v>2019</v>
      </c>
      <c r="C413">
        <v>644</v>
      </c>
    </row>
    <row r="414" spans="1:3">
      <c r="A414" t="s">
        <v>184</v>
      </c>
      <c r="B414">
        <v>2020</v>
      </c>
      <c r="C414">
        <v>801</v>
      </c>
    </row>
    <row r="415" spans="1:3">
      <c r="A415" t="s">
        <v>184</v>
      </c>
      <c r="B415">
        <v>2021</v>
      </c>
      <c r="C415">
        <v>889</v>
      </c>
    </row>
    <row r="416" spans="1:3">
      <c r="A416" t="s">
        <v>184</v>
      </c>
      <c r="B416">
        <v>2022</v>
      </c>
      <c r="C416">
        <v>900</v>
      </c>
    </row>
    <row r="417" spans="1:3">
      <c r="A417" t="s">
        <v>184</v>
      </c>
      <c r="B417">
        <v>2023</v>
      </c>
      <c r="C417">
        <v>977</v>
      </c>
    </row>
    <row r="418" spans="1:3">
      <c r="A418" t="s">
        <v>184</v>
      </c>
      <c r="B418">
        <v>2024</v>
      </c>
      <c r="C418">
        <v>1181</v>
      </c>
    </row>
    <row r="419" spans="1:3">
      <c r="A419" t="s">
        <v>184</v>
      </c>
      <c r="B419">
        <v>2025</v>
      </c>
      <c r="C419">
        <v>1204</v>
      </c>
    </row>
    <row r="420" spans="1:3">
      <c r="A420" t="s">
        <v>185</v>
      </c>
      <c r="B420">
        <v>2015</v>
      </c>
      <c r="C420">
        <v>277</v>
      </c>
    </row>
    <row r="421" spans="1:3">
      <c r="A421" t="s">
        <v>185</v>
      </c>
      <c r="B421">
        <v>2016</v>
      </c>
      <c r="C421">
        <v>321</v>
      </c>
    </row>
    <row r="422" spans="1:3">
      <c r="A422" t="s">
        <v>185</v>
      </c>
      <c r="B422">
        <v>2017</v>
      </c>
      <c r="C422">
        <v>280</v>
      </c>
    </row>
    <row r="423" spans="1:3">
      <c r="A423" t="s">
        <v>185</v>
      </c>
      <c r="B423">
        <v>2018</v>
      </c>
      <c r="C423">
        <v>318</v>
      </c>
    </row>
    <row r="424" spans="1:3">
      <c r="A424" t="s">
        <v>185</v>
      </c>
      <c r="B424">
        <v>2019</v>
      </c>
      <c r="C424">
        <v>358</v>
      </c>
    </row>
    <row r="425" spans="1:3">
      <c r="A425" t="s">
        <v>185</v>
      </c>
      <c r="B425">
        <v>2020</v>
      </c>
      <c r="C425">
        <v>384</v>
      </c>
    </row>
    <row r="426" spans="1:3">
      <c r="A426" t="s">
        <v>185</v>
      </c>
      <c r="B426">
        <v>2021</v>
      </c>
      <c r="C426">
        <v>551</v>
      </c>
    </row>
    <row r="427" spans="1:3">
      <c r="A427" t="s">
        <v>185</v>
      </c>
      <c r="B427">
        <v>2022</v>
      </c>
      <c r="C427">
        <v>661</v>
      </c>
    </row>
    <row r="428" spans="1:3">
      <c r="A428" t="s">
        <v>185</v>
      </c>
      <c r="B428">
        <v>2023</v>
      </c>
      <c r="C428">
        <v>648</v>
      </c>
    </row>
    <row r="429" spans="1:3">
      <c r="A429" t="s">
        <v>185</v>
      </c>
      <c r="B429">
        <v>2024</v>
      </c>
      <c r="C429">
        <v>652</v>
      </c>
    </row>
    <row r="430" spans="1:3">
      <c r="A430" t="s">
        <v>185</v>
      </c>
      <c r="B430">
        <v>2025</v>
      </c>
      <c r="C430">
        <v>757</v>
      </c>
    </row>
    <row r="431" spans="1:3">
      <c r="A431" t="s">
        <v>186</v>
      </c>
      <c r="B431">
        <v>2015</v>
      </c>
      <c r="C431">
        <v>134</v>
      </c>
    </row>
    <row r="432" spans="1:3">
      <c r="A432" t="s">
        <v>186</v>
      </c>
      <c r="B432">
        <v>2016</v>
      </c>
      <c r="C432">
        <v>134</v>
      </c>
    </row>
    <row r="433" spans="1:3">
      <c r="A433" t="s">
        <v>186</v>
      </c>
      <c r="B433">
        <v>2017</v>
      </c>
      <c r="C433">
        <v>159</v>
      </c>
    </row>
    <row r="434" spans="1:3">
      <c r="A434" t="s">
        <v>186</v>
      </c>
      <c r="B434">
        <v>2018</v>
      </c>
      <c r="C434">
        <v>160</v>
      </c>
    </row>
    <row r="435" spans="1:3">
      <c r="A435" t="s">
        <v>186</v>
      </c>
      <c r="B435">
        <v>2019</v>
      </c>
      <c r="C435">
        <v>253</v>
      </c>
    </row>
    <row r="436" spans="1:3">
      <c r="A436" t="s">
        <v>186</v>
      </c>
      <c r="B436">
        <v>2020</v>
      </c>
      <c r="C436">
        <v>319</v>
      </c>
    </row>
    <row r="437" spans="1:3">
      <c r="A437" t="s">
        <v>186</v>
      </c>
      <c r="B437">
        <v>2021</v>
      </c>
      <c r="C437">
        <v>255</v>
      </c>
    </row>
    <row r="438" spans="1:3">
      <c r="A438" t="s">
        <v>186</v>
      </c>
      <c r="B438">
        <v>2022</v>
      </c>
      <c r="C438">
        <v>260</v>
      </c>
    </row>
    <row r="439" spans="1:3">
      <c r="A439" t="s">
        <v>186</v>
      </c>
      <c r="B439">
        <v>2023</v>
      </c>
      <c r="C439">
        <v>254</v>
      </c>
    </row>
    <row r="440" spans="1:3">
      <c r="A440" t="s">
        <v>186</v>
      </c>
      <c r="B440">
        <v>2024</v>
      </c>
      <c r="C440">
        <v>298</v>
      </c>
    </row>
    <row r="441" spans="1:3">
      <c r="A441" t="s">
        <v>186</v>
      </c>
      <c r="B441">
        <v>2025</v>
      </c>
      <c r="C441">
        <v>347</v>
      </c>
    </row>
    <row r="442" spans="1:3">
      <c r="A442" t="s">
        <v>187</v>
      </c>
      <c r="B442">
        <v>2015</v>
      </c>
      <c r="C442">
        <v>226</v>
      </c>
    </row>
    <row r="443" spans="1:3">
      <c r="A443" t="s">
        <v>187</v>
      </c>
      <c r="B443">
        <v>2016</v>
      </c>
      <c r="C443">
        <v>267</v>
      </c>
    </row>
    <row r="444" spans="1:3">
      <c r="A444" t="s">
        <v>187</v>
      </c>
      <c r="B444">
        <v>2017</v>
      </c>
      <c r="C444">
        <v>319</v>
      </c>
    </row>
    <row r="445" spans="1:3">
      <c r="A445" t="s">
        <v>187</v>
      </c>
      <c r="B445">
        <v>2018</v>
      </c>
      <c r="C445">
        <v>363</v>
      </c>
    </row>
    <row r="446" spans="1:3">
      <c r="A446" t="s">
        <v>187</v>
      </c>
      <c r="B446">
        <v>2019</v>
      </c>
      <c r="C446">
        <v>401</v>
      </c>
    </row>
    <row r="447" spans="1:3">
      <c r="A447" t="s">
        <v>187</v>
      </c>
      <c r="B447">
        <v>2020</v>
      </c>
      <c r="C447">
        <v>450</v>
      </c>
    </row>
    <row r="448" spans="1:3">
      <c r="A448" t="s">
        <v>187</v>
      </c>
      <c r="B448">
        <v>2021</v>
      </c>
      <c r="C448">
        <v>472</v>
      </c>
    </row>
    <row r="449" spans="1:3">
      <c r="A449" t="s">
        <v>187</v>
      </c>
      <c r="B449">
        <v>2022</v>
      </c>
      <c r="C449">
        <v>484</v>
      </c>
    </row>
    <row r="450" spans="1:3">
      <c r="A450" t="s">
        <v>187</v>
      </c>
      <c r="B450">
        <v>2023</v>
      </c>
      <c r="C450">
        <v>474</v>
      </c>
    </row>
    <row r="451" spans="1:3">
      <c r="A451" t="s">
        <v>187</v>
      </c>
      <c r="B451">
        <v>2024</v>
      </c>
      <c r="C451">
        <v>514</v>
      </c>
    </row>
    <row r="452" spans="1:3">
      <c r="A452" t="s">
        <v>187</v>
      </c>
      <c r="B452">
        <v>2025</v>
      </c>
      <c r="C452">
        <v>537</v>
      </c>
    </row>
    <row r="453" spans="1:3">
      <c r="A453" t="s">
        <v>188</v>
      </c>
      <c r="B453">
        <v>2015</v>
      </c>
      <c r="C453">
        <v>374</v>
      </c>
    </row>
    <row r="454" spans="1:3">
      <c r="A454" t="s">
        <v>188</v>
      </c>
      <c r="B454">
        <v>2016</v>
      </c>
      <c r="C454">
        <v>385</v>
      </c>
    </row>
    <row r="455" spans="1:3">
      <c r="A455" t="s">
        <v>188</v>
      </c>
      <c r="B455">
        <v>2017</v>
      </c>
      <c r="C455">
        <v>418</v>
      </c>
    </row>
    <row r="456" spans="1:3">
      <c r="A456" t="s">
        <v>188</v>
      </c>
      <c r="B456">
        <v>2018</v>
      </c>
      <c r="C456">
        <v>455</v>
      </c>
    </row>
    <row r="457" spans="1:3">
      <c r="A457" t="s">
        <v>188</v>
      </c>
      <c r="B457">
        <v>2019</v>
      </c>
      <c r="C457">
        <v>511</v>
      </c>
    </row>
    <row r="458" spans="1:3">
      <c r="A458" t="s">
        <v>188</v>
      </c>
      <c r="B458">
        <v>2020</v>
      </c>
      <c r="C458">
        <v>526</v>
      </c>
    </row>
    <row r="459" spans="1:3">
      <c r="A459" t="s">
        <v>188</v>
      </c>
      <c r="B459">
        <v>2021</v>
      </c>
      <c r="C459">
        <v>547</v>
      </c>
    </row>
    <row r="460" spans="1:3">
      <c r="A460" t="s">
        <v>188</v>
      </c>
      <c r="B460">
        <v>2022</v>
      </c>
      <c r="C460">
        <v>584</v>
      </c>
    </row>
    <row r="461" spans="1:3">
      <c r="A461" t="s">
        <v>188</v>
      </c>
      <c r="B461">
        <v>2023</v>
      </c>
      <c r="C461">
        <v>582</v>
      </c>
    </row>
    <row r="462" spans="1:3">
      <c r="A462" t="s">
        <v>188</v>
      </c>
      <c r="B462">
        <v>2024</v>
      </c>
      <c r="C462">
        <v>684</v>
      </c>
    </row>
    <row r="463" spans="1:3">
      <c r="A463" t="s">
        <v>188</v>
      </c>
      <c r="B463">
        <v>2025</v>
      </c>
      <c r="C463">
        <v>633</v>
      </c>
    </row>
    <row r="464" spans="1:3">
      <c r="A464" t="s">
        <v>189</v>
      </c>
      <c r="B464">
        <v>2015</v>
      </c>
      <c r="C464">
        <v>376</v>
      </c>
    </row>
    <row r="465" spans="1:3">
      <c r="A465" t="s">
        <v>189</v>
      </c>
      <c r="B465">
        <v>2016</v>
      </c>
      <c r="C465">
        <v>386</v>
      </c>
    </row>
    <row r="466" spans="1:3">
      <c r="A466" t="s">
        <v>189</v>
      </c>
      <c r="B466">
        <v>2017</v>
      </c>
      <c r="C466">
        <v>415</v>
      </c>
    </row>
    <row r="467" spans="1:3">
      <c r="A467" t="s">
        <v>189</v>
      </c>
      <c r="B467">
        <v>2018</v>
      </c>
      <c r="C467">
        <v>448</v>
      </c>
    </row>
    <row r="468" spans="1:3">
      <c r="A468" t="s">
        <v>189</v>
      </c>
      <c r="B468">
        <v>2019</v>
      </c>
      <c r="C468">
        <v>464</v>
      </c>
    </row>
    <row r="469" spans="1:3">
      <c r="A469" t="s">
        <v>189</v>
      </c>
      <c r="B469">
        <v>2020</v>
      </c>
      <c r="C469">
        <v>507</v>
      </c>
    </row>
    <row r="470" spans="1:3">
      <c r="A470" t="s">
        <v>189</v>
      </c>
      <c r="B470">
        <v>2021</v>
      </c>
      <c r="C470">
        <v>505</v>
      </c>
    </row>
    <row r="471" spans="1:3">
      <c r="A471" t="s">
        <v>189</v>
      </c>
      <c r="B471">
        <v>2022</v>
      </c>
      <c r="C471">
        <v>555</v>
      </c>
    </row>
    <row r="472" spans="1:3">
      <c r="A472" t="s">
        <v>189</v>
      </c>
      <c r="B472">
        <v>2023</v>
      </c>
      <c r="C472">
        <v>585</v>
      </c>
    </row>
    <row r="473" spans="1:3">
      <c r="A473" t="s">
        <v>189</v>
      </c>
      <c r="B473">
        <v>2024</v>
      </c>
      <c r="C473">
        <v>542</v>
      </c>
    </row>
    <row r="474" spans="1:3">
      <c r="A474" t="s">
        <v>189</v>
      </c>
      <c r="B474">
        <v>2025</v>
      </c>
      <c r="C474">
        <v>541</v>
      </c>
    </row>
    <row r="475" spans="1:3">
      <c r="A475" t="s">
        <v>190</v>
      </c>
      <c r="B475">
        <v>2015</v>
      </c>
      <c r="C475">
        <v>329</v>
      </c>
    </row>
    <row r="476" spans="1:3">
      <c r="A476" t="s">
        <v>190</v>
      </c>
      <c r="B476">
        <v>2016</v>
      </c>
      <c r="C476">
        <v>344</v>
      </c>
    </row>
    <row r="477" spans="1:3">
      <c r="A477" t="s">
        <v>190</v>
      </c>
      <c r="B477">
        <v>2017</v>
      </c>
      <c r="C477">
        <v>325</v>
      </c>
    </row>
    <row r="478" spans="1:3">
      <c r="A478" t="s">
        <v>190</v>
      </c>
      <c r="B478">
        <v>2018</v>
      </c>
      <c r="C478">
        <v>397</v>
      </c>
    </row>
    <row r="479" spans="1:3">
      <c r="A479" t="s">
        <v>190</v>
      </c>
      <c r="B479">
        <v>2019</v>
      </c>
      <c r="C479">
        <v>445</v>
      </c>
    </row>
    <row r="480" spans="1:3">
      <c r="A480" t="s">
        <v>190</v>
      </c>
      <c r="B480">
        <v>2020</v>
      </c>
      <c r="C480">
        <v>579</v>
      </c>
    </row>
    <row r="481" spans="1:3">
      <c r="A481" t="s">
        <v>190</v>
      </c>
      <c r="B481">
        <v>2021</v>
      </c>
      <c r="C481">
        <v>662</v>
      </c>
    </row>
    <row r="482" spans="1:3">
      <c r="A482" t="s">
        <v>190</v>
      </c>
      <c r="B482">
        <v>2022</v>
      </c>
      <c r="C482">
        <v>800</v>
      </c>
    </row>
    <row r="483" spans="1:3">
      <c r="A483" t="s">
        <v>190</v>
      </c>
      <c r="B483">
        <v>2023</v>
      </c>
      <c r="C483">
        <v>939</v>
      </c>
    </row>
    <row r="484" spans="1:3">
      <c r="A484" t="s">
        <v>190</v>
      </c>
      <c r="B484">
        <v>2024</v>
      </c>
      <c r="C484">
        <v>985</v>
      </c>
    </row>
    <row r="485" spans="1:3">
      <c r="A485" t="s">
        <v>190</v>
      </c>
      <c r="B485">
        <v>2025</v>
      </c>
      <c r="C485">
        <v>1037</v>
      </c>
    </row>
    <row r="486" spans="1:3">
      <c r="A486" t="s">
        <v>191</v>
      </c>
      <c r="B486">
        <v>2015</v>
      </c>
      <c r="C486">
        <v>250</v>
      </c>
    </row>
    <row r="487" spans="1:3">
      <c r="A487" t="s">
        <v>191</v>
      </c>
      <c r="B487">
        <v>2016</v>
      </c>
      <c r="C487">
        <v>287</v>
      </c>
    </row>
    <row r="488" spans="1:3">
      <c r="A488" t="s">
        <v>191</v>
      </c>
      <c r="B488">
        <v>2017</v>
      </c>
      <c r="C488">
        <v>323</v>
      </c>
    </row>
    <row r="489" spans="1:3">
      <c r="A489" t="s">
        <v>191</v>
      </c>
      <c r="B489">
        <v>2018</v>
      </c>
      <c r="C489">
        <v>373</v>
      </c>
    </row>
    <row r="490" spans="1:3">
      <c r="A490" t="s">
        <v>191</v>
      </c>
      <c r="B490">
        <v>2019</v>
      </c>
      <c r="C490">
        <v>412</v>
      </c>
    </row>
    <row r="491" spans="1:3">
      <c r="A491" t="s">
        <v>191</v>
      </c>
      <c r="B491">
        <v>2020</v>
      </c>
      <c r="C491">
        <v>461</v>
      </c>
    </row>
    <row r="492" spans="1:3">
      <c r="A492" t="s">
        <v>191</v>
      </c>
      <c r="B492">
        <v>2021</v>
      </c>
      <c r="C492">
        <v>525</v>
      </c>
    </row>
    <row r="493" spans="1:3">
      <c r="A493" t="s">
        <v>191</v>
      </c>
      <c r="B493">
        <v>2022</v>
      </c>
      <c r="C493">
        <v>461</v>
      </c>
    </row>
    <row r="494" spans="1:3">
      <c r="A494" t="s">
        <v>191</v>
      </c>
      <c r="B494">
        <v>2023</v>
      </c>
      <c r="C494">
        <v>491</v>
      </c>
    </row>
    <row r="495" spans="1:3">
      <c r="A495" t="s">
        <v>191</v>
      </c>
      <c r="B495">
        <v>2024</v>
      </c>
      <c r="C495">
        <v>597</v>
      </c>
    </row>
    <row r="496" spans="1:3">
      <c r="A496" t="s">
        <v>191</v>
      </c>
      <c r="B496">
        <v>2025</v>
      </c>
      <c r="C496">
        <v>698</v>
      </c>
    </row>
    <row r="497" spans="1:3">
      <c r="A497" t="s">
        <v>192</v>
      </c>
      <c r="B497">
        <v>2015</v>
      </c>
      <c r="C497">
        <v>589</v>
      </c>
    </row>
    <row r="498" spans="1:3">
      <c r="A498" t="s">
        <v>192</v>
      </c>
      <c r="B498">
        <v>2016</v>
      </c>
      <c r="C498">
        <v>632</v>
      </c>
    </row>
    <row r="499" spans="1:3">
      <c r="A499" t="s">
        <v>192</v>
      </c>
      <c r="B499">
        <v>2017</v>
      </c>
      <c r="C499">
        <v>650</v>
      </c>
    </row>
    <row r="500" spans="1:3">
      <c r="A500" t="s">
        <v>192</v>
      </c>
      <c r="B500">
        <v>2018</v>
      </c>
      <c r="C500">
        <v>721</v>
      </c>
    </row>
    <row r="501" spans="1:3">
      <c r="A501" t="s">
        <v>192</v>
      </c>
      <c r="B501">
        <v>2019</v>
      </c>
      <c r="C501">
        <v>725</v>
      </c>
    </row>
    <row r="502" spans="1:3">
      <c r="A502" t="s">
        <v>192</v>
      </c>
      <c r="B502">
        <v>2020</v>
      </c>
      <c r="C502">
        <v>790</v>
      </c>
    </row>
    <row r="503" spans="1:3">
      <c r="A503" t="s">
        <v>192</v>
      </c>
      <c r="B503">
        <v>2021</v>
      </c>
      <c r="C503">
        <v>886</v>
      </c>
    </row>
    <row r="504" spans="1:3">
      <c r="A504" t="s">
        <v>192</v>
      </c>
      <c r="B504">
        <v>2022</v>
      </c>
      <c r="C504">
        <v>966</v>
      </c>
    </row>
    <row r="505" spans="1:3">
      <c r="A505" t="s">
        <v>192</v>
      </c>
      <c r="B505">
        <v>2023</v>
      </c>
      <c r="C505">
        <v>860</v>
      </c>
    </row>
    <row r="506" spans="1:3">
      <c r="A506" t="s">
        <v>192</v>
      </c>
      <c r="B506">
        <v>2024</v>
      </c>
      <c r="C506">
        <v>941</v>
      </c>
    </row>
    <row r="507" spans="1:3">
      <c r="A507" t="s">
        <v>192</v>
      </c>
      <c r="B507">
        <v>2025</v>
      </c>
      <c r="C507">
        <v>1005</v>
      </c>
    </row>
    <row r="508" spans="1:3">
      <c r="A508" t="s">
        <v>193</v>
      </c>
      <c r="B508">
        <v>2015</v>
      </c>
      <c r="C508">
        <v>509</v>
      </c>
    </row>
    <row r="509" spans="1:3">
      <c r="A509" t="s">
        <v>193</v>
      </c>
      <c r="B509">
        <v>2016</v>
      </c>
      <c r="C509">
        <v>441</v>
      </c>
    </row>
    <row r="510" spans="1:3">
      <c r="A510" t="s">
        <v>193</v>
      </c>
      <c r="B510">
        <v>2017</v>
      </c>
      <c r="C510">
        <v>495</v>
      </c>
    </row>
    <row r="511" spans="1:3">
      <c r="A511" t="s">
        <v>193</v>
      </c>
      <c r="B511">
        <v>2018</v>
      </c>
      <c r="C511">
        <v>492</v>
      </c>
    </row>
    <row r="512" spans="1:3">
      <c r="A512" t="s">
        <v>193</v>
      </c>
      <c r="B512">
        <v>2019</v>
      </c>
      <c r="C512">
        <v>511</v>
      </c>
    </row>
    <row r="513" spans="1:3">
      <c r="A513" t="s">
        <v>193</v>
      </c>
      <c r="B513">
        <v>2020</v>
      </c>
      <c r="C513">
        <v>658</v>
      </c>
    </row>
    <row r="514" spans="1:3">
      <c r="A514" t="s">
        <v>193</v>
      </c>
      <c r="B514">
        <v>2021</v>
      </c>
      <c r="C514">
        <v>694</v>
      </c>
    </row>
    <row r="515" spans="1:3">
      <c r="A515" t="s">
        <v>193</v>
      </c>
      <c r="B515">
        <v>2022</v>
      </c>
      <c r="C515">
        <v>634</v>
      </c>
    </row>
    <row r="516" spans="1:3">
      <c r="A516" t="s">
        <v>193</v>
      </c>
      <c r="B516">
        <v>2023</v>
      </c>
      <c r="C516">
        <v>705</v>
      </c>
    </row>
    <row r="517" spans="1:3">
      <c r="A517" t="s">
        <v>193</v>
      </c>
      <c r="B517">
        <v>2024</v>
      </c>
      <c r="C517">
        <v>729</v>
      </c>
    </row>
    <row r="518" spans="1:3">
      <c r="A518" t="s">
        <v>193</v>
      </c>
      <c r="B518">
        <v>2025</v>
      </c>
      <c r="C518">
        <v>852</v>
      </c>
    </row>
    <row r="519" spans="1:3">
      <c r="A519" t="s">
        <v>194</v>
      </c>
      <c r="B519">
        <v>2015</v>
      </c>
      <c r="C519">
        <v>329</v>
      </c>
    </row>
    <row r="520" spans="1:3">
      <c r="A520" t="s">
        <v>194</v>
      </c>
      <c r="B520">
        <v>2016</v>
      </c>
      <c r="C520">
        <v>355</v>
      </c>
    </row>
    <row r="521" spans="1:3">
      <c r="A521" t="s">
        <v>194</v>
      </c>
      <c r="B521">
        <v>2017</v>
      </c>
      <c r="C521">
        <v>330</v>
      </c>
    </row>
    <row r="522" spans="1:3">
      <c r="A522" t="s">
        <v>194</v>
      </c>
      <c r="B522">
        <v>2018</v>
      </c>
      <c r="C522">
        <v>354</v>
      </c>
    </row>
    <row r="523" spans="1:3">
      <c r="A523" t="s">
        <v>194</v>
      </c>
      <c r="B523">
        <v>2019</v>
      </c>
      <c r="C523">
        <v>377</v>
      </c>
    </row>
    <row r="524" spans="1:3">
      <c r="A524" t="s">
        <v>194</v>
      </c>
      <c r="B524">
        <v>2020</v>
      </c>
      <c r="C524">
        <v>365</v>
      </c>
    </row>
    <row r="525" spans="1:3">
      <c r="A525" t="s">
        <v>194</v>
      </c>
      <c r="B525">
        <v>2021</v>
      </c>
      <c r="C525">
        <v>393</v>
      </c>
    </row>
    <row r="526" spans="1:3">
      <c r="A526" t="s">
        <v>194</v>
      </c>
      <c r="B526">
        <v>2022</v>
      </c>
      <c r="C526">
        <v>418</v>
      </c>
    </row>
    <row r="527" spans="1:3">
      <c r="A527" t="s">
        <v>194</v>
      </c>
      <c r="B527">
        <v>2023</v>
      </c>
      <c r="C527">
        <v>442</v>
      </c>
    </row>
    <row r="528" spans="1:3">
      <c r="A528" t="s">
        <v>194</v>
      </c>
      <c r="B528">
        <v>2024</v>
      </c>
      <c r="C528">
        <v>478</v>
      </c>
    </row>
    <row r="529" spans="1:3">
      <c r="A529" t="s">
        <v>194</v>
      </c>
      <c r="B529">
        <v>2025</v>
      </c>
      <c r="C529">
        <v>494</v>
      </c>
    </row>
    <row r="530" spans="1:3">
      <c r="A530" t="s">
        <v>195</v>
      </c>
      <c r="B530">
        <v>2015</v>
      </c>
      <c r="C530">
        <v>360</v>
      </c>
    </row>
    <row r="531" spans="1:3">
      <c r="A531" t="s">
        <v>195</v>
      </c>
      <c r="B531">
        <v>2016</v>
      </c>
      <c r="C531">
        <v>406</v>
      </c>
    </row>
    <row r="532" spans="1:3">
      <c r="A532" t="s">
        <v>195</v>
      </c>
      <c r="B532">
        <v>2017</v>
      </c>
      <c r="C532">
        <v>437</v>
      </c>
    </row>
    <row r="533" spans="1:3">
      <c r="A533" t="s">
        <v>195</v>
      </c>
      <c r="B533">
        <v>2018</v>
      </c>
      <c r="C533">
        <v>523</v>
      </c>
    </row>
    <row r="534" spans="1:3">
      <c r="A534" t="s">
        <v>195</v>
      </c>
      <c r="B534">
        <v>2019</v>
      </c>
      <c r="C534">
        <v>536</v>
      </c>
    </row>
    <row r="535" spans="1:3">
      <c r="A535" t="s">
        <v>195</v>
      </c>
      <c r="B535">
        <v>2020</v>
      </c>
      <c r="C535">
        <v>537</v>
      </c>
    </row>
    <row r="536" spans="1:3">
      <c r="A536" t="s">
        <v>195</v>
      </c>
      <c r="B536">
        <v>2021</v>
      </c>
      <c r="C536">
        <v>591</v>
      </c>
    </row>
    <row r="537" spans="1:3">
      <c r="A537" t="s">
        <v>195</v>
      </c>
      <c r="B537">
        <v>2022</v>
      </c>
      <c r="C537">
        <v>656</v>
      </c>
    </row>
    <row r="538" spans="1:3">
      <c r="A538" t="s">
        <v>195</v>
      </c>
      <c r="B538">
        <v>2023</v>
      </c>
      <c r="C538">
        <v>723</v>
      </c>
    </row>
    <row r="539" spans="1:3">
      <c r="A539" t="s">
        <v>195</v>
      </c>
      <c r="B539">
        <v>2024</v>
      </c>
      <c r="C539">
        <v>776</v>
      </c>
    </row>
    <row r="540" spans="1:3">
      <c r="A540" t="s">
        <v>195</v>
      </c>
      <c r="B540">
        <v>2025</v>
      </c>
      <c r="C540">
        <v>779</v>
      </c>
    </row>
    <row r="541" spans="1:3">
      <c r="A541" t="s">
        <v>196</v>
      </c>
      <c r="B541">
        <v>2015</v>
      </c>
      <c r="C541">
        <v>6065</v>
      </c>
    </row>
    <row r="542" spans="1:3">
      <c r="A542" t="s">
        <v>196</v>
      </c>
      <c r="B542">
        <v>2016</v>
      </c>
      <c r="C542">
        <v>6439</v>
      </c>
    </row>
    <row r="543" spans="1:3">
      <c r="A543" t="s">
        <v>196</v>
      </c>
      <c r="B543">
        <v>2017</v>
      </c>
      <c r="C543">
        <v>6647</v>
      </c>
    </row>
    <row r="544" spans="1:3">
      <c r="A544" t="s">
        <v>196</v>
      </c>
      <c r="B544">
        <v>2018</v>
      </c>
      <c r="C544">
        <v>6962</v>
      </c>
    </row>
    <row r="545" spans="1:3">
      <c r="A545" t="s">
        <v>196</v>
      </c>
      <c r="B545">
        <v>2019</v>
      </c>
      <c r="C545">
        <v>7043</v>
      </c>
    </row>
    <row r="546" spans="1:3">
      <c r="A546" t="s">
        <v>196</v>
      </c>
      <c r="B546">
        <v>2020</v>
      </c>
      <c r="C546">
        <v>8782</v>
      </c>
    </row>
    <row r="547" spans="1:3">
      <c r="A547" t="s">
        <v>196</v>
      </c>
      <c r="B547">
        <v>2021</v>
      </c>
      <c r="C547">
        <v>9808</v>
      </c>
    </row>
    <row r="548" spans="1:3">
      <c r="A548" t="s">
        <v>196</v>
      </c>
      <c r="B548">
        <v>2022</v>
      </c>
      <c r="C548">
        <v>10453</v>
      </c>
    </row>
    <row r="549" spans="1:3">
      <c r="A549" t="s">
        <v>196</v>
      </c>
      <c r="B549">
        <v>2023</v>
      </c>
      <c r="C549">
        <v>11122</v>
      </c>
    </row>
    <row r="550" spans="1:3">
      <c r="A550" t="s">
        <v>196</v>
      </c>
      <c r="B550">
        <v>2024</v>
      </c>
      <c r="C550">
        <v>12142</v>
      </c>
    </row>
    <row r="551" spans="1:3">
      <c r="A551" t="s">
        <v>196</v>
      </c>
      <c r="B551">
        <v>2025</v>
      </c>
      <c r="C551">
        <v>12748</v>
      </c>
    </row>
    <row r="552" spans="1:3">
      <c r="A552" t="s">
        <v>197</v>
      </c>
      <c r="B552">
        <v>2015</v>
      </c>
      <c r="C552">
        <v>323</v>
      </c>
    </row>
    <row r="553" spans="1:3">
      <c r="A553" t="s">
        <v>197</v>
      </c>
      <c r="B553">
        <v>2016</v>
      </c>
      <c r="C553">
        <v>336</v>
      </c>
    </row>
    <row r="554" spans="1:3">
      <c r="A554" t="s">
        <v>197</v>
      </c>
      <c r="B554">
        <v>2017</v>
      </c>
      <c r="C554">
        <v>295</v>
      </c>
    </row>
    <row r="555" spans="1:3">
      <c r="A555" t="s">
        <v>197</v>
      </c>
      <c r="B555">
        <v>2018</v>
      </c>
      <c r="C555">
        <v>350</v>
      </c>
    </row>
    <row r="556" spans="1:3">
      <c r="A556" t="s">
        <v>197</v>
      </c>
      <c r="B556">
        <v>2019</v>
      </c>
      <c r="C556">
        <v>373</v>
      </c>
    </row>
    <row r="557" spans="1:3">
      <c r="A557" t="s">
        <v>197</v>
      </c>
      <c r="B557">
        <v>2020</v>
      </c>
      <c r="C557">
        <v>390</v>
      </c>
    </row>
    <row r="558" spans="1:3">
      <c r="A558" t="s">
        <v>197</v>
      </c>
      <c r="B558">
        <v>2021</v>
      </c>
      <c r="C558">
        <v>483</v>
      </c>
    </row>
    <row r="559" spans="1:3">
      <c r="A559" t="s">
        <v>197</v>
      </c>
      <c r="B559">
        <v>2022</v>
      </c>
      <c r="C559">
        <v>529</v>
      </c>
    </row>
    <row r="560" spans="1:3">
      <c r="A560" t="s">
        <v>197</v>
      </c>
      <c r="B560">
        <v>2023</v>
      </c>
      <c r="C560">
        <v>562</v>
      </c>
    </row>
    <row r="561" spans="1:3">
      <c r="A561" t="s">
        <v>197</v>
      </c>
      <c r="B561">
        <v>2024</v>
      </c>
      <c r="C561">
        <v>590</v>
      </c>
    </row>
    <row r="562" spans="1:3">
      <c r="A562" t="s">
        <v>197</v>
      </c>
      <c r="B562">
        <v>2025</v>
      </c>
      <c r="C562">
        <v>686</v>
      </c>
    </row>
    <row r="563" spans="1:3">
      <c r="A563" t="s">
        <v>198</v>
      </c>
      <c r="B563">
        <v>2015</v>
      </c>
      <c r="C563">
        <v>2007</v>
      </c>
    </row>
    <row r="564" spans="1:3">
      <c r="A564" t="s">
        <v>198</v>
      </c>
      <c r="B564">
        <v>2016</v>
      </c>
      <c r="C564">
        <v>2038</v>
      </c>
    </row>
    <row r="565" spans="1:3">
      <c r="A565" t="s">
        <v>198</v>
      </c>
      <c r="B565">
        <v>2017</v>
      </c>
      <c r="C565">
        <v>2093</v>
      </c>
    </row>
    <row r="566" spans="1:3">
      <c r="A566" t="s">
        <v>198</v>
      </c>
      <c r="B566">
        <v>2018</v>
      </c>
      <c r="C566">
        <v>2213</v>
      </c>
    </row>
    <row r="567" spans="1:3">
      <c r="A567" t="s">
        <v>198</v>
      </c>
      <c r="B567">
        <v>2019</v>
      </c>
      <c r="C567">
        <v>2198</v>
      </c>
    </row>
    <row r="568" spans="1:3">
      <c r="A568" t="s">
        <v>198</v>
      </c>
      <c r="B568">
        <v>2020</v>
      </c>
      <c r="C568">
        <v>2322</v>
      </c>
    </row>
    <row r="569" spans="1:3">
      <c r="A569" t="s">
        <v>198</v>
      </c>
      <c r="B569">
        <v>2021</v>
      </c>
      <c r="C569">
        <v>2547</v>
      </c>
    </row>
    <row r="570" spans="1:3">
      <c r="A570" t="s">
        <v>198</v>
      </c>
      <c r="B570">
        <v>2022</v>
      </c>
      <c r="C570">
        <v>2834</v>
      </c>
    </row>
    <row r="571" spans="1:3">
      <c r="A571" t="s">
        <v>198</v>
      </c>
      <c r="B571">
        <v>2023</v>
      </c>
      <c r="C571">
        <v>3060</v>
      </c>
    </row>
    <row r="572" spans="1:3">
      <c r="A572" t="s">
        <v>198</v>
      </c>
      <c r="B572">
        <v>2024</v>
      </c>
      <c r="C572">
        <v>3059</v>
      </c>
    </row>
    <row r="573" spans="1:3">
      <c r="A573" t="s">
        <v>198</v>
      </c>
      <c r="B573">
        <v>2025</v>
      </c>
      <c r="C573">
        <v>2883</v>
      </c>
    </row>
    <row r="574" spans="1:3">
      <c r="A574" t="s">
        <v>199</v>
      </c>
      <c r="B574">
        <v>2015</v>
      </c>
      <c r="C574">
        <v>565</v>
      </c>
    </row>
    <row r="575" spans="1:3">
      <c r="A575" t="s">
        <v>199</v>
      </c>
      <c r="B575">
        <v>2016</v>
      </c>
      <c r="C575">
        <v>630</v>
      </c>
    </row>
    <row r="576" spans="1:3">
      <c r="A576" t="s">
        <v>199</v>
      </c>
      <c r="B576">
        <v>2017</v>
      </c>
      <c r="C576">
        <v>702</v>
      </c>
    </row>
    <row r="577" spans="1:3">
      <c r="A577" t="s">
        <v>199</v>
      </c>
      <c r="B577">
        <v>2018</v>
      </c>
      <c r="C577">
        <v>791</v>
      </c>
    </row>
    <row r="578" spans="1:3">
      <c r="A578" t="s">
        <v>199</v>
      </c>
      <c r="B578">
        <v>2019</v>
      </c>
      <c r="C578">
        <v>770</v>
      </c>
    </row>
    <row r="579" spans="1:3">
      <c r="A579" t="s">
        <v>199</v>
      </c>
      <c r="B579">
        <v>2020</v>
      </c>
      <c r="C579">
        <v>824</v>
      </c>
    </row>
    <row r="580" spans="1:3">
      <c r="A580" t="s">
        <v>199</v>
      </c>
      <c r="B580">
        <v>2021</v>
      </c>
      <c r="C580">
        <v>741</v>
      </c>
    </row>
    <row r="581" spans="1:3">
      <c r="A581" t="s">
        <v>199</v>
      </c>
      <c r="B581">
        <v>2022</v>
      </c>
      <c r="C581">
        <v>777</v>
      </c>
    </row>
    <row r="582" spans="1:3">
      <c r="A582" t="s">
        <v>199</v>
      </c>
      <c r="B582">
        <v>2023</v>
      </c>
      <c r="C582">
        <v>847</v>
      </c>
    </row>
    <row r="583" spans="1:3">
      <c r="A583" t="s">
        <v>199</v>
      </c>
      <c r="B583">
        <v>2024</v>
      </c>
      <c r="C583">
        <v>853</v>
      </c>
    </row>
    <row r="584" spans="1:3">
      <c r="A584" t="s">
        <v>199</v>
      </c>
      <c r="B584">
        <v>2025</v>
      </c>
      <c r="C584">
        <v>940</v>
      </c>
    </row>
    <row r="585" spans="1:3">
      <c r="A585" t="s">
        <v>200</v>
      </c>
      <c r="B585">
        <v>2015</v>
      </c>
      <c r="C585">
        <v>417</v>
      </c>
    </row>
    <row r="586" spans="1:3">
      <c r="A586" t="s">
        <v>200</v>
      </c>
      <c r="B586">
        <v>2016</v>
      </c>
      <c r="C586">
        <v>410</v>
      </c>
    </row>
    <row r="587" spans="1:3">
      <c r="A587" t="s">
        <v>200</v>
      </c>
      <c r="B587">
        <v>2017</v>
      </c>
      <c r="C587">
        <v>429</v>
      </c>
    </row>
    <row r="588" spans="1:3">
      <c r="A588" t="s">
        <v>200</v>
      </c>
      <c r="B588">
        <v>2018</v>
      </c>
      <c r="C588">
        <v>445</v>
      </c>
    </row>
    <row r="589" spans="1:3">
      <c r="A589" t="s">
        <v>200</v>
      </c>
      <c r="B589">
        <v>2019</v>
      </c>
      <c r="C589">
        <v>479</v>
      </c>
    </row>
    <row r="590" spans="1:3">
      <c r="A590" t="s">
        <v>200</v>
      </c>
      <c r="B590">
        <v>2020</v>
      </c>
      <c r="C590">
        <v>565</v>
      </c>
    </row>
    <row r="591" spans="1:3">
      <c r="A591" t="s">
        <v>200</v>
      </c>
      <c r="B591">
        <v>2021</v>
      </c>
      <c r="C591">
        <v>579</v>
      </c>
    </row>
    <row r="592" spans="1:3">
      <c r="A592" t="s">
        <v>200</v>
      </c>
      <c r="B592">
        <v>2022</v>
      </c>
      <c r="C592">
        <v>655</v>
      </c>
    </row>
    <row r="593" spans="1:3">
      <c r="A593" t="s">
        <v>200</v>
      </c>
      <c r="B593">
        <v>2023</v>
      </c>
      <c r="C593">
        <v>701</v>
      </c>
    </row>
    <row r="594" spans="1:3">
      <c r="A594" t="s">
        <v>200</v>
      </c>
      <c r="B594">
        <v>2024</v>
      </c>
      <c r="C594">
        <v>642</v>
      </c>
    </row>
    <row r="595" spans="1:3">
      <c r="A595" t="s">
        <v>200</v>
      </c>
      <c r="B595">
        <v>2025</v>
      </c>
      <c r="C595">
        <v>638</v>
      </c>
    </row>
    <row r="596" spans="1:3">
      <c r="A596" t="s">
        <v>201</v>
      </c>
      <c r="B596">
        <v>2015</v>
      </c>
      <c r="C596">
        <v>493</v>
      </c>
    </row>
    <row r="597" spans="1:3">
      <c r="A597" t="s">
        <v>201</v>
      </c>
      <c r="B597">
        <v>2016</v>
      </c>
      <c r="C597">
        <v>528</v>
      </c>
    </row>
    <row r="598" spans="1:3">
      <c r="A598" t="s">
        <v>201</v>
      </c>
      <c r="B598">
        <v>2017</v>
      </c>
      <c r="C598">
        <v>551</v>
      </c>
    </row>
    <row r="599" spans="1:3">
      <c r="A599" t="s">
        <v>201</v>
      </c>
      <c r="B599">
        <v>2018</v>
      </c>
      <c r="C599">
        <v>592</v>
      </c>
    </row>
    <row r="600" spans="1:3">
      <c r="A600" t="s">
        <v>201</v>
      </c>
      <c r="B600">
        <v>2019</v>
      </c>
      <c r="C600">
        <v>695</v>
      </c>
    </row>
    <row r="601" spans="1:3">
      <c r="A601" t="s">
        <v>201</v>
      </c>
      <c r="B601">
        <v>2020</v>
      </c>
      <c r="C601">
        <v>755</v>
      </c>
    </row>
    <row r="602" spans="1:3">
      <c r="A602" t="s">
        <v>201</v>
      </c>
      <c r="B602">
        <v>2021</v>
      </c>
      <c r="C602">
        <v>859</v>
      </c>
    </row>
    <row r="603" spans="1:3">
      <c r="A603" t="s">
        <v>201</v>
      </c>
      <c r="B603">
        <v>2022</v>
      </c>
      <c r="C603">
        <v>975</v>
      </c>
    </row>
    <row r="604" spans="1:3">
      <c r="A604" t="s">
        <v>201</v>
      </c>
      <c r="B604">
        <v>2023</v>
      </c>
      <c r="C604">
        <v>1055</v>
      </c>
    </row>
    <row r="605" spans="1:3">
      <c r="A605" t="s">
        <v>201</v>
      </c>
      <c r="B605">
        <v>2024</v>
      </c>
      <c r="C605">
        <v>1189</v>
      </c>
    </row>
    <row r="606" spans="1:3">
      <c r="A606" t="s">
        <v>201</v>
      </c>
      <c r="B606">
        <v>2025</v>
      </c>
      <c r="C606">
        <v>1318</v>
      </c>
    </row>
    <row r="607" spans="1:3">
      <c r="A607" t="s">
        <v>202</v>
      </c>
      <c r="B607">
        <v>2015</v>
      </c>
      <c r="C607">
        <v>418</v>
      </c>
    </row>
    <row r="608" spans="1:3">
      <c r="A608" t="s">
        <v>202</v>
      </c>
      <c r="B608">
        <v>2016</v>
      </c>
      <c r="C608">
        <v>419</v>
      </c>
    </row>
    <row r="609" spans="1:3">
      <c r="A609" t="s">
        <v>202</v>
      </c>
      <c r="B609">
        <v>2017</v>
      </c>
      <c r="C609">
        <v>412</v>
      </c>
    </row>
    <row r="610" spans="1:3">
      <c r="A610" t="s">
        <v>202</v>
      </c>
      <c r="B610">
        <v>2018</v>
      </c>
      <c r="C610">
        <v>418</v>
      </c>
    </row>
    <row r="611" spans="1:3">
      <c r="A611" t="s">
        <v>202</v>
      </c>
      <c r="B611">
        <v>2019</v>
      </c>
      <c r="C611">
        <v>497</v>
      </c>
    </row>
    <row r="612" spans="1:3">
      <c r="A612" t="s">
        <v>202</v>
      </c>
      <c r="B612">
        <v>2020</v>
      </c>
      <c r="C612">
        <v>484</v>
      </c>
    </row>
    <row r="613" spans="1:3">
      <c r="A613" t="s">
        <v>202</v>
      </c>
      <c r="B613">
        <v>2021</v>
      </c>
      <c r="C613">
        <v>502</v>
      </c>
    </row>
    <row r="614" spans="1:3">
      <c r="A614" t="s">
        <v>202</v>
      </c>
      <c r="B614">
        <v>2022</v>
      </c>
      <c r="C614">
        <v>499</v>
      </c>
    </row>
    <row r="615" spans="1:3">
      <c r="A615" t="s">
        <v>202</v>
      </c>
      <c r="B615">
        <v>2023</v>
      </c>
      <c r="C615">
        <v>500</v>
      </c>
    </row>
    <row r="616" spans="1:3">
      <c r="A616" t="s">
        <v>202</v>
      </c>
      <c r="B616">
        <v>2024</v>
      </c>
      <c r="C616">
        <v>562</v>
      </c>
    </row>
    <row r="617" spans="1:3">
      <c r="A617" t="s">
        <v>202</v>
      </c>
      <c r="B617">
        <v>2025</v>
      </c>
      <c r="C617">
        <v>532</v>
      </c>
    </row>
    <row r="618" spans="1:3">
      <c r="A618" t="s">
        <v>203</v>
      </c>
      <c r="B618">
        <v>2015</v>
      </c>
      <c r="C618">
        <v>608</v>
      </c>
    </row>
    <row r="619" spans="1:3">
      <c r="A619" t="s">
        <v>203</v>
      </c>
      <c r="B619">
        <v>2016</v>
      </c>
      <c r="C619">
        <v>623</v>
      </c>
    </row>
    <row r="620" spans="1:3">
      <c r="A620" t="s">
        <v>203</v>
      </c>
      <c r="B620">
        <v>2017</v>
      </c>
      <c r="C620">
        <v>663</v>
      </c>
    </row>
    <row r="621" spans="1:3">
      <c r="A621" t="s">
        <v>203</v>
      </c>
      <c r="B621">
        <v>2018</v>
      </c>
      <c r="C621">
        <v>653</v>
      </c>
    </row>
    <row r="622" spans="1:3">
      <c r="A622" t="s">
        <v>203</v>
      </c>
      <c r="B622">
        <v>2019</v>
      </c>
      <c r="C622">
        <v>689</v>
      </c>
    </row>
    <row r="623" spans="1:3">
      <c r="A623" t="s">
        <v>203</v>
      </c>
      <c r="B623">
        <v>2020</v>
      </c>
      <c r="C623">
        <v>726</v>
      </c>
    </row>
    <row r="624" spans="1:3">
      <c r="A624" t="s">
        <v>203</v>
      </c>
      <c r="B624">
        <v>2021</v>
      </c>
      <c r="C624">
        <v>745</v>
      </c>
    </row>
    <row r="625" spans="1:3">
      <c r="A625" t="s">
        <v>203</v>
      </c>
      <c r="B625">
        <v>2022</v>
      </c>
      <c r="C625">
        <v>779</v>
      </c>
    </row>
    <row r="626" spans="1:3">
      <c r="A626" t="s">
        <v>203</v>
      </c>
      <c r="B626">
        <v>2023</v>
      </c>
      <c r="C626">
        <v>773</v>
      </c>
    </row>
    <row r="627" spans="1:3">
      <c r="A627" t="s">
        <v>203</v>
      </c>
      <c r="B627">
        <v>2024</v>
      </c>
      <c r="C627">
        <v>805</v>
      </c>
    </row>
    <row r="628" spans="1:3">
      <c r="A628" t="s">
        <v>203</v>
      </c>
      <c r="B628">
        <v>2025</v>
      </c>
      <c r="C628">
        <v>923</v>
      </c>
    </row>
    <row r="629" spans="1:3">
      <c r="A629" t="s">
        <v>204</v>
      </c>
      <c r="B629">
        <v>2015</v>
      </c>
      <c r="C629">
        <v>1406</v>
      </c>
    </row>
    <row r="630" spans="1:3">
      <c r="A630" t="s">
        <v>204</v>
      </c>
      <c r="B630">
        <v>2016</v>
      </c>
      <c r="C630">
        <v>1450</v>
      </c>
    </row>
    <row r="631" spans="1:3">
      <c r="A631" t="s">
        <v>204</v>
      </c>
      <c r="B631">
        <v>2017</v>
      </c>
      <c r="C631">
        <v>1520</v>
      </c>
    </row>
    <row r="632" spans="1:3">
      <c r="A632" t="s">
        <v>204</v>
      </c>
      <c r="B632">
        <v>2018</v>
      </c>
      <c r="C632">
        <v>1562</v>
      </c>
    </row>
    <row r="633" spans="1:3">
      <c r="A633" t="s">
        <v>204</v>
      </c>
      <c r="B633">
        <v>2019</v>
      </c>
      <c r="C633">
        <v>1637</v>
      </c>
    </row>
    <row r="634" spans="1:3">
      <c r="A634" t="s">
        <v>204</v>
      </c>
      <c r="B634">
        <v>2020</v>
      </c>
      <c r="C634">
        <v>1691</v>
      </c>
    </row>
    <row r="635" spans="1:3">
      <c r="A635" t="s">
        <v>204</v>
      </c>
      <c r="B635">
        <v>2021</v>
      </c>
      <c r="C635">
        <v>1797</v>
      </c>
    </row>
    <row r="636" spans="1:3">
      <c r="A636" t="s">
        <v>204</v>
      </c>
      <c r="B636">
        <v>2022</v>
      </c>
      <c r="C636">
        <v>1768</v>
      </c>
    </row>
    <row r="637" spans="1:3">
      <c r="A637" t="s">
        <v>204</v>
      </c>
      <c r="B637">
        <v>2023</v>
      </c>
      <c r="C637">
        <v>2025</v>
      </c>
    </row>
    <row r="638" spans="1:3">
      <c r="A638" t="s">
        <v>204</v>
      </c>
      <c r="B638">
        <v>2024</v>
      </c>
      <c r="C638">
        <v>2053</v>
      </c>
    </row>
    <row r="639" spans="1:3">
      <c r="A639" t="s">
        <v>204</v>
      </c>
      <c r="B639">
        <v>2025</v>
      </c>
      <c r="C639">
        <v>2402</v>
      </c>
    </row>
    <row r="640" spans="1:3">
      <c r="A640" t="s">
        <v>205</v>
      </c>
      <c r="B640">
        <v>2015</v>
      </c>
      <c r="C640">
        <v>682</v>
      </c>
    </row>
    <row r="641" spans="1:3">
      <c r="A641" t="s">
        <v>205</v>
      </c>
      <c r="B641">
        <v>2016</v>
      </c>
      <c r="C641">
        <v>734</v>
      </c>
    </row>
    <row r="642" spans="1:3">
      <c r="A642" t="s">
        <v>205</v>
      </c>
      <c r="B642">
        <v>2017</v>
      </c>
      <c r="C642">
        <v>785</v>
      </c>
    </row>
    <row r="643" spans="1:3">
      <c r="A643" t="s">
        <v>205</v>
      </c>
      <c r="B643">
        <v>2018</v>
      </c>
      <c r="C643">
        <v>871</v>
      </c>
    </row>
    <row r="644" spans="1:3">
      <c r="A644" t="s">
        <v>205</v>
      </c>
      <c r="B644">
        <v>2019</v>
      </c>
      <c r="C644">
        <v>933</v>
      </c>
    </row>
    <row r="645" spans="1:3">
      <c r="A645" t="s">
        <v>205</v>
      </c>
      <c r="B645">
        <v>2020</v>
      </c>
      <c r="C645">
        <v>1040</v>
      </c>
    </row>
    <row r="646" spans="1:3">
      <c r="A646" t="s">
        <v>205</v>
      </c>
      <c r="B646">
        <v>2021</v>
      </c>
      <c r="C646">
        <v>997</v>
      </c>
    </row>
    <row r="647" spans="1:3">
      <c r="A647" t="s">
        <v>205</v>
      </c>
      <c r="B647">
        <v>2022</v>
      </c>
      <c r="C647">
        <v>1081</v>
      </c>
    </row>
    <row r="648" spans="1:3">
      <c r="A648" t="s">
        <v>205</v>
      </c>
      <c r="B648">
        <v>2023</v>
      </c>
      <c r="C648">
        <v>1161</v>
      </c>
    </row>
    <row r="649" spans="1:3">
      <c r="A649" t="s">
        <v>205</v>
      </c>
      <c r="B649">
        <v>2024</v>
      </c>
      <c r="C649">
        <v>1218</v>
      </c>
    </row>
    <row r="650" spans="1:3">
      <c r="A650" t="s">
        <v>205</v>
      </c>
      <c r="B650">
        <v>2025</v>
      </c>
      <c r="C650">
        <v>1246</v>
      </c>
    </row>
    <row r="651" spans="1:3">
      <c r="A651" t="s">
        <v>206</v>
      </c>
      <c r="B651">
        <v>2015</v>
      </c>
      <c r="C651">
        <v>417</v>
      </c>
    </row>
    <row r="652" spans="1:3">
      <c r="A652" t="s">
        <v>206</v>
      </c>
      <c r="B652">
        <v>2016</v>
      </c>
      <c r="C652">
        <v>402</v>
      </c>
    </row>
    <row r="653" spans="1:3">
      <c r="A653" t="s">
        <v>206</v>
      </c>
      <c r="B653">
        <v>2017</v>
      </c>
      <c r="C653">
        <v>436</v>
      </c>
    </row>
    <row r="654" spans="1:3">
      <c r="A654" t="s">
        <v>206</v>
      </c>
      <c r="B654">
        <v>2018</v>
      </c>
      <c r="C654">
        <v>411</v>
      </c>
    </row>
    <row r="655" spans="1:3">
      <c r="A655" t="s">
        <v>206</v>
      </c>
      <c r="B655">
        <v>2019</v>
      </c>
      <c r="C655">
        <v>441</v>
      </c>
    </row>
    <row r="656" spans="1:3">
      <c r="A656" t="s">
        <v>206</v>
      </c>
      <c r="B656">
        <v>2020</v>
      </c>
      <c r="C656">
        <v>660</v>
      </c>
    </row>
    <row r="657" spans="1:3">
      <c r="A657" t="s">
        <v>206</v>
      </c>
      <c r="B657">
        <v>2021</v>
      </c>
      <c r="C657">
        <v>702</v>
      </c>
    </row>
    <row r="658" spans="1:3">
      <c r="A658" t="s">
        <v>206</v>
      </c>
      <c r="B658">
        <v>2022</v>
      </c>
      <c r="C658">
        <v>738</v>
      </c>
    </row>
    <row r="659" spans="1:3">
      <c r="A659" t="s">
        <v>206</v>
      </c>
      <c r="B659">
        <v>2023</v>
      </c>
      <c r="C659">
        <v>788</v>
      </c>
    </row>
    <row r="660" spans="1:3">
      <c r="A660" t="s">
        <v>206</v>
      </c>
      <c r="B660">
        <v>2024</v>
      </c>
      <c r="C660">
        <v>854</v>
      </c>
    </row>
    <row r="661" spans="1:3">
      <c r="A661" t="s">
        <v>206</v>
      </c>
      <c r="B661">
        <v>2025</v>
      </c>
      <c r="C661">
        <v>975</v>
      </c>
    </row>
    <row r="662" spans="1:3">
      <c r="A662" t="s">
        <v>207</v>
      </c>
      <c r="B662">
        <v>2015</v>
      </c>
      <c r="C662">
        <v>247</v>
      </c>
    </row>
    <row r="663" spans="1:3">
      <c r="A663" t="s">
        <v>207</v>
      </c>
      <c r="B663">
        <v>2016</v>
      </c>
      <c r="C663">
        <v>280</v>
      </c>
    </row>
    <row r="664" spans="1:3">
      <c r="A664" t="s">
        <v>207</v>
      </c>
      <c r="B664">
        <v>2017</v>
      </c>
      <c r="C664">
        <v>253</v>
      </c>
    </row>
    <row r="665" spans="1:3">
      <c r="A665" t="s">
        <v>207</v>
      </c>
      <c r="B665">
        <v>2018</v>
      </c>
      <c r="C665">
        <v>219</v>
      </c>
    </row>
    <row r="666" spans="1:3">
      <c r="A666" t="s">
        <v>207</v>
      </c>
      <c r="B666">
        <v>2019</v>
      </c>
      <c r="C666">
        <v>204</v>
      </c>
    </row>
    <row r="667" spans="1:3">
      <c r="A667" t="s">
        <v>207</v>
      </c>
      <c r="B667">
        <v>2020</v>
      </c>
      <c r="C667">
        <v>268</v>
      </c>
    </row>
    <row r="668" spans="1:3">
      <c r="A668" t="s">
        <v>207</v>
      </c>
      <c r="B668">
        <v>2021</v>
      </c>
      <c r="C668">
        <v>312</v>
      </c>
    </row>
    <row r="669" spans="1:3">
      <c r="A669" t="s">
        <v>207</v>
      </c>
      <c r="B669">
        <v>2022</v>
      </c>
      <c r="C669">
        <v>387</v>
      </c>
    </row>
    <row r="670" spans="1:3">
      <c r="A670" t="s">
        <v>207</v>
      </c>
      <c r="B670">
        <v>2023</v>
      </c>
      <c r="C670">
        <v>393</v>
      </c>
    </row>
    <row r="671" spans="1:3">
      <c r="A671" t="s">
        <v>207</v>
      </c>
      <c r="B671">
        <v>2024</v>
      </c>
      <c r="C671">
        <v>441</v>
      </c>
    </row>
    <row r="672" spans="1:3">
      <c r="A672" t="s">
        <v>207</v>
      </c>
      <c r="B672">
        <v>2025</v>
      </c>
      <c r="C672">
        <v>457</v>
      </c>
    </row>
    <row r="673" spans="1:3">
      <c r="A673" t="s">
        <v>208</v>
      </c>
      <c r="B673">
        <v>2015</v>
      </c>
      <c r="C673">
        <v>194</v>
      </c>
    </row>
    <row r="674" spans="1:3">
      <c r="A674" t="s">
        <v>208</v>
      </c>
      <c r="B674">
        <v>2016</v>
      </c>
      <c r="C674">
        <v>237</v>
      </c>
    </row>
    <row r="675" spans="1:3">
      <c r="A675" t="s">
        <v>208</v>
      </c>
      <c r="B675">
        <v>2017</v>
      </c>
      <c r="C675">
        <v>261</v>
      </c>
    </row>
    <row r="676" spans="1:3">
      <c r="A676" t="s">
        <v>208</v>
      </c>
      <c r="B676">
        <v>2018</v>
      </c>
      <c r="C676">
        <v>288</v>
      </c>
    </row>
    <row r="677" spans="1:3">
      <c r="A677" t="s">
        <v>208</v>
      </c>
      <c r="B677">
        <v>2019</v>
      </c>
      <c r="C677">
        <v>337</v>
      </c>
    </row>
    <row r="678" spans="1:3">
      <c r="A678" t="s">
        <v>208</v>
      </c>
      <c r="B678">
        <v>2020</v>
      </c>
      <c r="C678">
        <v>398</v>
      </c>
    </row>
    <row r="679" spans="1:3">
      <c r="A679" t="s">
        <v>208</v>
      </c>
      <c r="B679">
        <v>2021</v>
      </c>
      <c r="C679">
        <v>376</v>
      </c>
    </row>
    <row r="680" spans="1:3">
      <c r="A680" t="s">
        <v>208</v>
      </c>
      <c r="B680">
        <v>2022</v>
      </c>
      <c r="C680">
        <v>395</v>
      </c>
    </row>
    <row r="681" spans="1:3">
      <c r="A681" t="s">
        <v>208</v>
      </c>
      <c r="B681">
        <v>2023</v>
      </c>
      <c r="C681">
        <v>416</v>
      </c>
    </row>
    <row r="682" spans="1:3">
      <c r="A682" t="s">
        <v>208</v>
      </c>
      <c r="B682">
        <v>2024</v>
      </c>
      <c r="C682">
        <v>488</v>
      </c>
    </row>
    <row r="683" spans="1:3">
      <c r="A683" t="s">
        <v>208</v>
      </c>
      <c r="B683">
        <v>2025</v>
      </c>
      <c r="C683">
        <v>474</v>
      </c>
    </row>
    <row r="684" spans="1:3">
      <c r="A684" t="s">
        <v>209</v>
      </c>
      <c r="B684">
        <v>2015</v>
      </c>
      <c r="C684">
        <v>1094</v>
      </c>
    </row>
    <row r="685" spans="1:3">
      <c r="A685" t="s">
        <v>209</v>
      </c>
      <c r="B685">
        <v>2016</v>
      </c>
      <c r="C685">
        <v>1118</v>
      </c>
    </row>
    <row r="686" spans="1:3">
      <c r="A686" t="s">
        <v>209</v>
      </c>
      <c r="B686">
        <v>2017</v>
      </c>
      <c r="C686">
        <v>1190</v>
      </c>
    </row>
    <row r="687" spans="1:3">
      <c r="A687" t="s">
        <v>209</v>
      </c>
      <c r="B687">
        <v>2018</v>
      </c>
      <c r="C687">
        <v>1197</v>
      </c>
    </row>
    <row r="688" spans="1:3">
      <c r="A688" t="s">
        <v>209</v>
      </c>
      <c r="B688">
        <v>2019</v>
      </c>
      <c r="C688">
        <v>1208</v>
      </c>
    </row>
    <row r="689" spans="1:3">
      <c r="A689" t="s">
        <v>209</v>
      </c>
      <c r="B689">
        <v>2020</v>
      </c>
      <c r="C689">
        <v>1352</v>
      </c>
    </row>
    <row r="690" spans="1:3">
      <c r="A690" t="s">
        <v>209</v>
      </c>
      <c r="B690">
        <v>2021</v>
      </c>
      <c r="C690">
        <v>1573</v>
      </c>
    </row>
    <row r="691" spans="1:3">
      <c r="A691" t="s">
        <v>209</v>
      </c>
      <c r="B691">
        <v>2022</v>
      </c>
      <c r="C691">
        <v>1541</v>
      </c>
    </row>
    <row r="692" spans="1:3">
      <c r="A692" t="s">
        <v>209</v>
      </c>
      <c r="B692">
        <v>2023</v>
      </c>
      <c r="C692">
        <v>1618</v>
      </c>
    </row>
    <row r="693" spans="1:3">
      <c r="A693" t="s">
        <v>209</v>
      </c>
      <c r="B693">
        <v>2024</v>
      </c>
      <c r="C693">
        <v>1819</v>
      </c>
    </row>
    <row r="694" spans="1:3">
      <c r="A694" t="s">
        <v>209</v>
      </c>
      <c r="B694">
        <v>2025</v>
      </c>
      <c r="C694">
        <v>1751</v>
      </c>
    </row>
    <row r="695" spans="1:3">
      <c r="A695" t="s">
        <v>210</v>
      </c>
      <c r="B695">
        <v>2015</v>
      </c>
      <c r="C695">
        <v>1458</v>
      </c>
    </row>
    <row r="696" spans="1:3">
      <c r="A696" t="s">
        <v>210</v>
      </c>
      <c r="B696">
        <v>2016</v>
      </c>
      <c r="C696">
        <v>1411</v>
      </c>
    </row>
    <row r="697" spans="1:3">
      <c r="A697" t="s">
        <v>210</v>
      </c>
      <c r="B697">
        <v>2017</v>
      </c>
      <c r="C697">
        <v>1592</v>
      </c>
    </row>
    <row r="698" spans="1:3">
      <c r="A698" t="s">
        <v>210</v>
      </c>
      <c r="B698">
        <v>2018</v>
      </c>
      <c r="C698">
        <v>1837</v>
      </c>
    </row>
    <row r="699" spans="1:3">
      <c r="A699" t="s">
        <v>210</v>
      </c>
      <c r="B699">
        <v>2019</v>
      </c>
      <c r="C699">
        <v>1987</v>
      </c>
    </row>
    <row r="700" spans="1:3">
      <c r="A700" t="s">
        <v>210</v>
      </c>
      <c r="B700">
        <v>2020</v>
      </c>
      <c r="C700">
        <v>2334</v>
      </c>
    </row>
    <row r="701" spans="1:3">
      <c r="A701" t="s">
        <v>210</v>
      </c>
      <c r="B701">
        <v>2021</v>
      </c>
      <c r="C701">
        <v>2569</v>
      </c>
    </row>
    <row r="702" spans="1:3">
      <c r="A702" t="s">
        <v>210</v>
      </c>
      <c r="B702">
        <v>2022</v>
      </c>
      <c r="C702">
        <v>2668</v>
      </c>
    </row>
    <row r="703" spans="1:3">
      <c r="A703" t="s">
        <v>210</v>
      </c>
      <c r="B703">
        <v>2023</v>
      </c>
      <c r="C703">
        <v>2759</v>
      </c>
    </row>
    <row r="704" spans="1:3">
      <c r="A704" t="s">
        <v>210</v>
      </c>
      <c r="B704">
        <v>2024</v>
      </c>
      <c r="C704">
        <v>3032</v>
      </c>
    </row>
    <row r="705" spans="1:12">
      <c r="A705" t="s">
        <v>210</v>
      </c>
      <c r="B705">
        <v>2025</v>
      </c>
      <c r="C705">
        <v>3044</v>
      </c>
    </row>
    <row r="708" spans="1:12">
      <c r="A708" t="s">
        <v>243</v>
      </c>
    </row>
    <row r="709" spans="1:12">
      <c r="A709" t="s">
        <v>227</v>
      </c>
    </row>
    <row r="710" spans="1:12">
      <c r="A710" t="s">
        <v>244</v>
      </c>
    </row>
    <row r="711" spans="1:12">
      <c r="A711" t="s">
        <v>247</v>
      </c>
    </row>
    <row r="712" spans="1:12">
      <c r="A712" t="s">
        <v>133</v>
      </c>
    </row>
    <row r="713" spans="1:12">
      <c r="A713" t="s">
        <v>134</v>
      </c>
      <c r="B713" t="s">
        <v>135</v>
      </c>
      <c r="C713" t="s">
        <v>136</v>
      </c>
      <c r="D713" t="s">
        <v>137</v>
      </c>
      <c r="E713" t="s">
        <v>138</v>
      </c>
      <c r="F713" t="s">
        <v>139</v>
      </c>
      <c r="G713" t="s">
        <v>140</v>
      </c>
      <c r="H713" t="s">
        <v>141</v>
      </c>
      <c r="I713" t="s">
        <v>142</v>
      </c>
      <c r="J713" t="s">
        <v>143</v>
      </c>
      <c r="K713" t="s">
        <v>144</v>
      </c>
      <c r="L713" t="s">
        <v>145</v>
      </c>
    </row>
    <row r="714" spans="1:12">
      <c r="A714" t="s">
        <v>146</v>
      </c>
      <c r="B714">
        <v>324</v>
      </c>
      <c r="C714">
        <v>305</v>
      </c>
      <c r="D714">
        <v>322</v>
      </c>
      <c r="E714">
        <v>324</v>
      </c>
      <c r="F714">
        <v>328</v>
      </c>
      <c r="G714">
        <v>421</v>
      </c>
      <c r="H714">
        <v>467</v>
      </c>
      <c r="I714">
        <v>460</v>
      </c>
      <c r="J714">
        <v>474</v>
      </c>
      <c r="K714">
        <v>550</v>
      </c>
      <c r="L714">
        <v>607</v>
      </c>
    </row>
    <row r="715" spans="1:12">
      <c r="A715" t="s">
        <v>147</v>
      </c>
      <c r="B715">
        <v>660</v>
      </c>
      <c r="C715">
        <v>686</v>
      </c>
      <c r="D715">
        <v>714</v>
      </c>
      <c r="E715">
        <v>738</v>
      </c>
      <c r="F715">
        <v>903</v>
      </c>
      <c r="G715">
        <v>980</v>
      </c>
      <c r="H715">
        <v>1146</v>
      </c>
      <c r="I715">
        <v>1270</v>
      </c>
      <c r="J715">
        <v>1313</v>
      </c>
      <c r="K715">
        <v>1423</v>
      </c>
      <c r="L715">
        <v>1843</v>
      </c>
    </row>
    <row r="716" spans="1:12">
      <c r="A716" t="s">
        <v>148</v>
      </c>
      <c r="B716">
        <v>211</v>
      </c>
      <c r="C716">
        <v>228</v>
      </c>
      <c r="D716">
        <v>256</v>
      </c>
      <c r="E716">
        <v>261</v>
      </c>
      <c r="F716">
        <v>285</v>
      </c>
      <c r="G716">
        <v>372</v>
      </c>
      <c r="H716">
        <v>250</v>
      </c>
      <c r="I716">
        <v>286</v>
      </c>
      <c r="J716">
        <v>354</v>
      </c>
      <c r="K716">
        <v>426</v>
      </c>
      <c r="L716">
        <v>473</v>
      </c>
    </row>
    <row r="717" spans="1:12">
      <c r="A717" t="s">
        <v>149</v>
      </c>
      <c r="B717">
        <v>143</v>
      </c>
      <c r="C717">
        <v>133</v>
      </c>
      <c r="D717">
        <v>131</v>
      </c>
      <c r="E717">
        <v>151</v>
      </c>
      <c r="F717">
        <v>209</v>
      </c>
      <c r="G717">
        <v>248</v>
      </c>
      <c r="H717">
        <v>277</v>
      </c>
      <c r="I717">
        <v>287</v>
      </c>
      <c r="J717">
        <v>274</v>
      </c>
      <c r="K717">
        <v>268</v>
      </c>
      <c r="L717">
        <v>203</v>
      </c>
    </row>
    <row r="718" spans="1:12">
      <c r="A718" t="s">
        <v>151</v>
      </c>
      <c r="B718">
        <v>137</v>
      </c>
      <c r="C718">
        <v>155</v>
      </c>
      <c r="D718">
        <v>146</v>
      </c>
      <c r="E718">
        <v>173</v>
      </c>
      <c r="F718">
        <v>166</v>
      </c>
      <c r="G718">
        <v>201</v>
      </c>
      <c r="H718">
        <v>215</v>
      </c>
      <c r="I718">
        <v>246</v>
      </c>
      <c r="J718">
        <v>280</v>
      </c>
      <c r="K718">
        <v>335</v>
      </c>
      <c r="L718">
        <v>404</v>
      </c>
    </row>
    <row r="719" spans="1:12">
      <c r="A719" t="s">
        <v>152</v>
      </c>
      <c r="B719">
        <v>513</v>
      </c>
      <c r="C719">
        <v>524</v>
      </c>
      <c r="D719">
        <v>572</v>
      </c>
      <c r="E719">
        <v>566</v>
      </c>
      <c r="F719">
        <v>607</v>
      </c>
      <c r="G719">
        <v>608</v>
      </c>
      <c r="H719">
        <v>644</v>
      </c>
      <c r="I719">
        <v>731</v>
      </c>
      <c r="J719">
        <v>798</v>
      </c>
      <c r="K719">
        <v>838</v>
      </c>
      <c r="L719">
        <v>940</v>
      </c>
    </row>
    <row r="720" spans="1:12">
      <c r="A720" t="s">
        <v>153</v>
      </c>
      <c r="B720">
        <v>381</v>
      </c>
      <c r="C720">
        <v>409</v>
      </c>
      <c r="D720">
        <v>377</v>
      </c>
      <c r="E720">
        <v>365</v>
      </c>
      <c r="F720">
        <v>356</v>
      </c>
      <c r="G720">
        <v>443</v>
      </c>
      <c r="H720">
        <v>438</v>
      </c>
      <c r="I720">
        <v>440</v>
      </c>
      <c r="J720">
        <v>482</v>
      </c>
      <c r="K720">
        <v>562</v>
      </c>
      <c r="L720">
        <v>816</v>
      </c>
    </row>
    <row r="721" spans="1:12">
      <c r="A721" t="s">
        <v>154</v>
      </c>
      <c r="B721">
        <v>1166</v>
      </c>
      <c r="C721">
        <v>1195</v>
      </c>
      <c r="D721">
        <v>1206</v>
      </c>
      <c r="E721">
        <v>1272</v>
      </c>
      <c r="F721">
        <v>1283</v>
      </c>
      <c r="G721">
        <v>1529</v>
      </c>
      <c r="H721">
        <v>1521</v>
      </c>
      <c r="I721">
        <v>1656</v>
      </c>
      <c r="J721">
        <v>1731</v>
      </c>
      <c r="K721">
        <v>1690</v>
      </c>
      <c r="L721">
        <v>1818</v>
      </c>
    </row>
    <row r="722" spans="1:12">
      <c r="A722" t="s">
        <v>155</v>
      </c>
      <c r="B722">
        <v>371</v>
      </c>
      <c r="C722">
        <v>385</v>
      </c>
      <c r="D722">
        <v>379</v>
      </c>
      <c r="E722">
        <v>418</v>
      </c>
      <c r="F722">
        <v>532</v>
      </c>
      <c r="G722">
        <v>650</v>
      </c>
      <c r="H722">
        <v>938</v>
      </c>
      <c r="I722">
        <v>973</v>
      </c>
      <c r="J722">
        <v>1158</v>
      </c>
      <c r="K722">
        <v>1199</v>
      </c>
      <c r="L722">
        <v>1124</v>
      </c>
    </row>
    <row r="723" spans="1:12">
      <c r="A723" t="s">
        <v>156</v>
      </c>
      <c r="B723">
        <v>243</v>
      </c>
      <c r="C723">
        <v>233</v>
      </c>
      <c r="D723">
        <v>240</v>
      </c>
      <c r="E723">
        <v>226</v>
      </c>
      <c r="F723">
        <v>235</v>
      </c>
      <c r="G723">
        <v>262</v>
      </c>
      <c r="H723">
        <v>286</v>
      </c>
      <c r="I723">
        <v>358</v>
      </c>
      <c r="J723">
        <v>426</v>
      </c>
      <c r="K723">
        <v>582</v>
      </c>
      <c r="L723">
        <v>689</v>
      </c>
    </row>
    <row r="724" spans="1:12">
      <c r="A724" t="s">
        <v>157</v>
      </c>
      <c r="B724">
        <v>411</v>
      </c>
      <c r="C724">
        <v>426</v>
      </c>
      <c r="D724">
        <v>403</v>
      </c>
      <c r="E724">
        <v>399</v>
      </c>
      <c r="F724">
        <v>417</v>
      </c>
      <c r="G724">
        <v>477</v>
      </c>
      <c r="H724">
        <v>649</v>
      </c>
      <c r="I724">
        <v>683</v>
      </c>
      <c r="J724">
        <v>757</v>
      </c>
      <c r="K724">
        <v>844</v>
      </c>
      <c r="L724">
        <v>833</v>
      </c>
    </row>
    <row r="725" spans="1:12">
      <c r="A725" t="s">
        <v>158</v>
      </c>
      <c r="B725">
        <v>188</v>
      </c>
      <c r="C725">
        <v>190</v>
      </c>
      <c r="D725">
        <v>163</v>
      </c>
      <c r="E725">
        <v>181</v>
      </c>
      <c r="F725">
        <v>180</v>
      </c>
      <c r="G725">
        <v>231</v>
      </c>
      <c r="H725">
        <v>253</v>
      </c>
      <c r="I725">
        <v>246</v>
      </c>
      <c r="J725">
        <v>242</v>
      </c>
      <c r="K725">
        <v>259</v>
      </c>
      <c r="L725">
        <v>281</v>
      </c>
    </row>
    <row r="726" spans="1:12">
      <c r="A726" t="s">
        <v>159</v>
      </c>
      <c r="B726">
        <v>201</v>
      </c>
      <c r="C726">
        <v>216</v>
      </c>
      <c r="D726">
        <v>220</v>
      </c>
      <c r="E726">
        <v>247</v>
      </c>
      <c r="F726">
        <v>282</v>
      </c>
      <c r="G726">
        <v>322</v>
      </c>
      <c r="H726">
        <v>351</v>
      </c>
      <c r="I726">
        <v>322</v>
      </c>
      <c r="J726">
        <v>304</v>
      </c>
      <c r="K726">
        <v>270</v>
      </c>
      <c r="L726">
        <v>280</v>
      </c>
    </row>
    <row r="727" spans="1:12">
      <c r="A727" t="s">
        <v>160</v>
      </c>
      <c r="B727">
        <v>135</v>
      </c>
      <c r="C727">
        <v>135</v>
      </c>
      <c r="D727">
        <v>144</v>
      </c>
      <c r="E727">
        <v>152</v>
      </c>
      <c r="F727">
        <v>167</v>
      </c>
      <c r="G727">
        <v>209</v>
      </c>
      <c r="H727">
        <v>243</v>
      </c>
      <c r="I727">
        <v>223</v>
      </c>
      <c r="J727">
        <v>217</v>
      </c>
      <c r="K727">
        <v>243</v>
      </c>
      <c r="L727">
        <v>293</v>
      </c>
    </row>
    <row r="728" spans="1:12">
      <c r="A728" t="s">
        <v>161</v>
      </c>
      <c r="B728">
        <v>1041</v>
      </c>
      <c r="C728">
        <v>1128</v>
      </c>
      <c r="D728">
        <v>1172</v>
      </c>
      <c r="E728">
        <v>1234</v>
      </c>
      <c r="F728">
        <v>1229</v>
      </c>
      <c r="G728">
        <v>1400</v>
      </c>
      <c r="H728">
        <v>1599</v>
      </c>
      <c r="I728">
        <v>1703</v>
      </c>
      <c r="J728">
        <v>1637</v>
      </c>
      <c r="K728">
        <v>1737</v>
      </c>
      <c r="L728">
        <v>1852</v>
      </c>
    </row>
    <row r="729" spans="1:12">
      <c r="A729" t="s">
        <v>162</v>
      </c>
      <c r="B729">
        <v>408</v>
      </c>
      <c r="C729">
        <v>451</v>
      </c>
      <c r="D729">
        <v>529</v>
      </c>
      <c r="E729">
        <v>584</v>
      </c>
      <c r="F729">
        <v>693</v>
      </c>
      <c r="G729">
        <v>860</v>
      </c>
      <c r="H729">
        <v>919</v>
      </c>
      <c r="I729">
        <v>947</v>
      </c>
      <c r="J729">
        <v>988</v>
      </c>
      <c r="K729">
        <v>1089</v>
      </c>
      <c r="L729">
        <v>1158</v>
      </c>
    </row>
    <row r="730" spans="1:12">
      <c r="A730" t="s">
        <v>163</v>
      </c>
      <c r="B730">
        <v>551</v>
      </c>
      <c r="C730">
        <v>606</v>
      </c>
      <c r="D730">
        <v>613</v>
      </c>
      <c r="E730">
        <v>606</v>
      </c>
      <c r="F730">
        <v>663</v>
      </c>
      <c r="G730">
        <v>712</v>
      </c>
      <c r="H730">
        <v>826</v>
      </c>
      <c r="I730">
        <v>974</v>
      </c>
      <c r="J730">
        <v>1102</v>
      </c>
      <c r="K730">
        <v>1277</v>
      </c>
      <c r="L730">
        <v>1278</v>
      </c>
    </row>
    <row r="731" spans="1:12">
      <c r="A731" t="s">
        <v>164</v>
      </c>
      <c r="B731">
        <v>210</v>
      </c>
      <c r="C731">
        <v>209</v>
      </c>
      <c r="D731">
        <v>216</v>
      </c>
      <c r="E731">
        <v>248</v>
      </c>
      <c r="F731">
        <v>267</v>
      </c>
      <c r="G731">
        <v>309</v>
      </c>
      <c r="H731">
        <v>379</v>
      </c>
      <c r="I731">
        <v>516</v>
      </c>
      <c r="J731">
        <v>611</v>
      </c>
      <c r="K731">
        <v>776</v>
      </c>
      <c r="L731">
        <v>705</v>
      </c>
    </row>
    <row r="732" spans="1:12">
      <c r="A732" t="s">
        <v>165</v>
      </c>
      <c r="B732">
        <v>1382</v>
      </c>
      <c r="C732">
        <v>1540</v>
      </c>
      <c r="D732">
        <v>1507</v>
      </c>
      <c r="E732">
        <v>1671</v>
      </c>
      <c r="F732">
        <v>1773</v>
      </c>
      <c r="G732">
        <v>2011</v>
      </c>
      <c r="H732">
        <v>2044</v>
      </c>
      <c r="I732">
        <v>2056</v>
      </c>
      <c r="J732">
        <v>2215</v>
      </c>
      <c r="K732">
        <v>2298</v>
      </c>
      <c r="L732">
        <v>2534</v>
      </c>
    </row>
    <row r="733" spans="1:12">
      <c r="A733" t="s">
        <v>166</v>
      </c>
      <c r="B733">
        <v>3485</v>
      </c>
      <c r="C733">
        <v>3801</v>
      </c>
      <c r="D733">
        <v>3660</v>
      </c>
      <c r="E733">
        <v>3657</v>
      </c>
      <c r="F733">
        <v>3613</v>
      </c>
      <c r="G733">
        <v>3771</v>
      </c>
      <c r="H733">
        <v>4132</v>
      </c>
      <c r="I733">
        <v>4408</v>
      </c>
      <c r="J733">
        <v>4582</v>
      </c>
      <c r="K733">
        <v>4789</v>
      </c>
      <c r="L733">
        <v>4744</v>
      </c>
    </row>
    <row r="734" spans="1:12">
      <c r="A734" t="s">
        <v>167</v>
      </c>
      <c r="B734">
        <v>159</v>
      </c>
      <c r="C734">
        <v>170</v>
      </c>
      <c r="D734">
        <v>162</v>
      </c>
      <c r="E734">
        <v>185</v>
      </c>
      <c r="F734">
        <v>318</v>
      </c>
      <c r="G734">
        <v>401</v>
      </c>
      <c r="H734">
        <v>479</v>
      </c>
      <c r="I734">
        <v>516</v>
      </c>
      <c r="J734">
        <v>499</v>
      </c>
      <c r="K734">
        <v>650</v>
      </c>
      <c r="L734">
        <v>555</v>
      </c>
    </row>
    <row r="735" spans="1:12">
      <c r="A735" t="s">
        <v>168</v>
      </c>
      <c r="B735">
        <v>305</v>
      </c>
      <c r="C735">
        <v>359</v>
      </c>
      <c r="D735">
        <v>349</v>
      </c>
      <c r="E735">
        <v>351</v>
      </c>
      <c r="F735">
        <v>300</v>
      </c>
      <c r="G735">
        <v>272</v>
      </c>
      <c r="H735">
        <v>301</v>
      </c>
      <c r="I735">
        <v>333</v>
      </c>
      <c r="J735">
        <v>365</v>
      </c>
      <c r="K735">
        <v>349</v>
      </c>
      <c r="L735">
        <v>328</v>
      </c>
    </row>
    <row r="736" spans="1:12">
      <c r="A736" t="s">
        <v>169</v>
      </c>
      <c r="B736">
        <v>579</v>
      </c>
      <c r="C736">
        <v>637</v>
      </c>
      <c r="D736">
        <v>702</v>
      </c>
      <c r="E736">
        <v>718</v>
      </c>
      <c r="F736">
        <v>698</v>
      </c>
      <c r="G736">
        <v>702</v>
      </c>
      <c r="H736">
        <v>766</v>
      </c>
      <c r="I736">
        <v>801</v>
      </c>
      <c r="J736">
        <v>885</v>
      </c>
      <c r="K736">
        <v>877</v>
      </c>
      <c r="L736">
        <v>938</v>
      </c>
    </row>
    <row r="737" spans="1:12">
      <c r="A737" t="s">
        <v>170</v>
      </c>
      <c r="B737">
        <v>468</v>
      </c>
      <c r="C737">
        <v>491</v>
      </c>
      <c r="D737">
        <v>531</v>
      </c>
      <c r="E737">
        <v>567</v>
      </c>
      <c r="F737">
        <v>544</v>
      </c>
      <c r="G737">
        <v>580</v>
      </c>
      <c r="H737">
        <v>624</v>
      </c>
      <c r="I737">
        <v>665</v>
      </c>
      <c r="J737">
        <v>709</v>
      </c>
      <c r="K737">
        <v>814</v>
      </c>
      <c r="L737">
        <v>856</v>
      </c>
    </row>
    <row r="738" spans="1:12">
      <c r="A738" t="s">
        <v>246</v>
      </c>
      <c r="B738">
        <v>1</v>
      </c>
      <c r="C738">
        <v>2</v>
      </c>
      <c r="D738">
        <v>2</v>
      </c>
      <c r="E738">
        <v>2</v>
      </c>
      <c r="F738">
        <v>1</v>
      </c>
      <c r="G738">
        <v>1</v>
      </c>
      <c r="H738">
        <v>1</v>
      </c>
      <c r="I738" t="s">
        <v>225</v>
      </c>
      <c r="J738" t="s">
        <v>225</v>
      </c>
      <c r="K738">
        <v>1</v>
      </c>
      <c r="L738">
        <v>1</v>
      </c>
    </row>
    <row r="739" spans="1:12">
      <c r="A739" t="s">
        <v>171</v>
      </c>
      <c r="B739">
        <v>367</v>
      </c>
      <c r="C739">
        <v>368</v>
      </c>
      <c r="D739">
        <v>387</v>
      </c>
      <c r="E739">
        <v>382</v>
      </c>
      <c r="F739">
        <v>489</v>
      </c>
      <c r="G739">
        <v>510</v>
      </c>
      <c r="H739">
        <v>590</v>
      </c>
      <c r="I739">
        <v>614</v>
      </c>
      <c r="J739">
        <v>649</v>
      </c>
      <c r="K739">
        <v>780</v>
      </c>
      <c r="L739">
        <v>901</v>
      </c>
    </row>
    <row r="740" spans="1:12">
      <c r="A740" t="s">
        <v>172</v>
      </c>
      <c r="B740">
        <v>251</v>
      </c>
      <c r="C740">
        <v>269</v>
      </c>
      <c r="D740">
        <v>283</v>
      </c>
      <c r="E740">
        <v>292</v>
      </c>
      <c r="F740">
        <v>264</v>
      </c>
      <c r="G740">
        <v>326</v>
      </c>
      <c r="H740">
        <v>448</v>
      </c>
      <c r="I740">
        <v>528</v>
      </c>
      <c r="J740">
        <v>560</v>
      </c>
      <c r="K740">
        <v>712</v>
      </c>
      <c r="L740">
        <v>731</v>
      </c>
    </row>
    <row r="741" spans="1:12">
      <c r="A741" t="s">
        <v>174</v>
      </c>
      <c r="B741">
        <v>162</v>
      </c>
      <c r="C741">
        <v>159</v>
      </c>
      <c r="D741">
        <v>66</v>
      </c>
      <c r="E741">
        <v>86</v>
      </c>
      <c r="F741">
        <v>62</v>
      </c>
      <c r="G741">
        <v>91</v>
      </c>
      <c r="H741">
        <v>86</v>
      </c>
      <c r="I741">
        <v>83</v>
      </c>
      <c r="J741">
        <v>68</v>
      </c>
      <c r="K741">
        <v>79</v>
      </c>
      <c r="L741">
        <v>89</v>
      </c>
    </row>
    <row r="742" spans="1:12">
      <c r="A742" t="s">
        <v>175</v>
      </c>
      <c r="B742">
        <v>321</v>
      </c>
      <c r="C742">
        <v>318</v>
      </c>
      <c r="D742">
        <v>367</v>
      </c>
      <c r="E742">
        <v>376</v>
      </c>
      <c r="F742">
        <v>378</v>
      </c>
      <c r="G742">
        <v>393</v>
      </c>
      <c r="H742">
        <v>433</v>
      </c>
      <c r="I742">
        <v>442</v>
      </c>
      <c r="J742">
        <v>429</v>
      </c>
      <c r="K742">
        <v>457</v>
      </c>
      <c r="L742">
        <v>508</v>
      </c>
    </row>
    <row r="743" spans="1:12">
      <c r="A743" t="s">
        <v>176</v>
      </c>
      <c r="B743">
        <v>470</v>
      </c>
      <c r="C743">
        <v>457</v>
      </c>
      <c r="D743">
        <v>427</v>
      </c>
      <c r="E743">
        <v>407</v>
      </c>
      <c r="F743">
        <v>398</v>
      </c>
      <c r="G743">
        <v>518</v>
      </c>
      <c r="H743">
        <v>580</v>
      </c>
      <c r="I743">
        <v>629</v>
      </c>
      <c r="J743">
        <v>644</v>
      </c>
      <c r="K743">
        <v>656</v>
      </c>
      <c r="L743">
        <v>547</v>
      </c>
    </row>
    <row r="744" spans="1:12">
      <c r="A744" t="s">
        <v>177</v>
      </c>
      <c r="B744">
        <v>546</v>
      </c>
      <c r="C744">
        <v>555</v>
      </c>
      <c r="D744">
        <v>526</v>
      </c>
      <c r="E744">
        <v>571</v>
      </c>
      <c r="F744">
        <v>570</v>
      </c>
      <c r="G744">
        <v>534</v>
      </c>
      <c r="H744">
        <v>580</v>
      </c>
      <c r="I744">
        <v>593</v>
      </c>
      <c r="J744">
        <v>616</v>
      </c>
      <c r="K744">
        <v>675</v>
      </c>
      <c r="L744">
        <v>720</v>
      </c>
    </row>
    <row r="745" spans="1:12">
      <c r="A745" t="s">
        <v>178</v>
      </c>
      <c r="B745">
        <v>357</v>
      </c>
      <c r="C745">
        <v>365</v>
      </c>
      <c r="D745">
        <v>327</v>
      </c>
      <c r="E745">
        <v>343</v>
      </c>
      <c r="F745">
        <v>359</v>
      </c>
      <c r="G745">
        <v>428</v>
      </c>
      <c r="H745">
        <v>527</v>
      </c>
      <c r="I745">
        <v>605</v>
      </c>
      <c r="J745">
        <v>629</v>
      </c>
      <c r="K745">
        <v>535</v>
      </c>
      <c r="L745">
        <v>531</v>
      </c>
    </row>
    <row r="746" spans="1:12">
      <c r="A746" t="s">
        <v>179</v>
      </c>
      <c r="B746">
        <v>3747</v>
      </c>
      <c r="C746">
        <v>3691</v>
      </c>
      <c r="D746">
        <v>3973</v>
      </c>
      <c r="E746">
        <v>3850</v>
      </c>
      <c r="F746">
        <v>3991</v>
      </c>
      <c r="G746">
        <v>3996</v>
      </c>
      <c r="H746">
        <v>5027</v>
      </c>
      <c r="I746">
        <v>5173</v>
      </c>
      <c r="J746">
        <v>5416</v>
      </c>
      <c r="K746">
        <v>5785</v>
      </c>
      <c r="L746">
        <v>6115</v>
      </c>
    </row>
    <row r="747" spans="1:12">
      <c r="A747" t="s">
        <v>180</v>
      </c>
      <c r="B747">
        <v>231</v>
      </c>
      <c r="C747">
        <v>237</v>
      </c>
      <c r="D747">
        <v>249</v>
      </c>
      <c r="E747">
        <v>253</v>
      </c>
      <c r="F747">
        <v>237</v>
      </c>
      <c r="G747">
        <v>263</v>
      </c>
      <c r="H747">
        <v>275</v>
      </c>
      <c r="I747">
        <v>293</v>
      </c>
      <c r="J747">
        <v>261</v>
      </c>
      <c r="K747">
        <v>269</v>
      </c>
      <c r="L747">
        <v>272</v>
      </c>
    </row>
    <row r="748" spans="1:12">
      <c r="A748" t="s">
        <v>181</v>
      </c>
      <c r="B748">
        <v>62</v>
      </c>
      <c r="C748">
        <v>61</v>
      </c>
      <c r="D748">
        <v>96</v>
      </c>
      <c r="E748">
        <v>104</v>
      </c>
      <c r="F748">
        <v>80</v>
      </c>
      <c r="G748">
        <v>74</v>
      </c>
      <c r="H748">
        <v>80</v>
      </c>
      <c r="I748">
        <v>74</v>
      </c>
      <c r="J748">
        <v>84</v>
      </c>
      <c r="K748">
        <v>84</v>
      </c>
      <c r="L748">
        <v>79</v>
      </c>
    </row>
    <row r="749" spans="1:12">
      <c r="A749" t="s">
        <v>182</v>
      </c>
      <c r="B749">
        <v>788</v>
      </c>
      <c r="C749">
        <v>765</v>
      </c>
      <c r="D749">
        <v>785</v>
      </c>
      <c r="E749">
        <v>795</v>
      </c>
      <c r="F749">
        <v>923</v>
      </c>
      <c r="G749">
        <v>976</v>
      </c>
      <c r="H749">
        <v>1112</v>
      </c>
      <c r="I749">
        <v>1277</v>
      </c>
      <c r="J749">
        <v>1331</v>
      </c>
      <c r="K749">
        <v>1362</v>
      </c>
      <c r="L749">
        <v>1485</v>
      </c>
    </row>
    <row r="750" spans="1:12">
      <c r="A750" t="s">
        <v>183</v>
      </c>
      <c r="B750">
        <v>141</v>
      </c>
      <c r="C750">
        <v>148</v>
      </c>
      <c r="D750">
        <v>169</v>
      </c>
      <c r="E750">
        <v>247</v>
      </c>
      <c r="F750">
        <v>261</v>
      </c>
      <c r="G750">
        <v>238</v>
      </c>
      <c r="H750">
        <v>273</v>
      </c>
      <c r="I750">
        <v>344</v>
      </c>
      <c r="J750">
        <v>381</v>
      </c>
      <c r="K750">
        <v>506</v>
      </c>
      <c r="L750">
        <v>556</v>
      </c>
    </row>
    <row r="751" spans="1:12">
      <c r="A751" t="s">
        <v>184</v>
      </c>
      <c r="B751">
        <v>546</v>
      </c>
      <c r="C751">
        <v>561</v>
      </c>
      <c r="D751">
        <v>641</v>
      </c>
      <c r="E751">
        <v>693</v>
      </c>
      <c r="F751">
        <v>644</v>
      </c>
      <c r="G751">
        <v>801</v>
      </c>
      <c r="H751">
        <v>889</v>
      </c>
      <c r="I751">
        <v>900</v>
      </c>
      <c r="J751">
        <v>977</v>
      </c>
      <c r="K751">
        <v>1181</v>
      </c>
      <c r="L751">
        <v>1204</v>
      </c>
    </row>
    <row r="752" spans="1:12">
      <c r="A752" t="s">
        <v>185</v>
      </c>
      <c r="B752">
        <v>277</v>
      </c>
      <c r="C752">
        <v>321</v>
      </c>
      <c r="D752">
        <v>280</v>
      </c>
      <c r="E752">
        <v>318</v>
      </c>
      <c r="F752">
        <v>358</v>
      </c>
      <c r="G752">
        <v>384</v>
      </c>
      <c r="H752">
        <v>551</v>
      </c>
      <c r="I752">
        <v>661</v>
      </c>
      <c r="J752">
        <v>648</v>
      </c>
      <c r="K752">
        <v>652</v>
      </c>
      <c r="L752">
        <v>757</v>
      </c>
    </row>
    <row r="753" spans="1:12">
      <c r="A753" t="s">
        <v>186</v>
      </c>
      <c r="B753">
        <v>134</v>
      </c>
      <c r="C753">
        <v>134</v>
      </c>
      <c r="D753">
        <v>159</v>
      </c>
      <c r="E753">
        <v>160</v>
      </c>
      <c r="F753">
        <v>253</v>
      </c>
      <c r="G753">
        <v>319</v>
      </c>
      <c r="H753">
        <v>255</v>
      </c>
      <c r="I753">
        <v>260</v>
      </c>
      <c r="J753">
        <v>254</v>
      </c>
      <c r="K753">
        <v>298</v>
      </c>
      <c r="L753">
        <v>347</v>
      </c>
    </row>
    <row r="754" spans="1:12">
      <c r="A754" t="s">
        <v>187</v>
      </c>
      <c r="B754">
        <v>226</v>
      </c>
      <c r="C754">
        <v>267</v>
      </c>
      <c r="D754">
        <v>319</v>
      </c>
      <c r="E754">
        <v>363</v>
      </c>
      <c r="F754">
        <v>401</v>
      </c>
      <c r="G754">
        <v>450</v>
      </c>
      <c r="H754">
        <v>472</v>
      </c>
      <c r="I754">
        <v>484</v>
      </c>
      <c r="J754">
        <v>474</v>
      </c>
      <c r="K754">
        <v>514</v>
      </c>
      <c r="L754">
        <v>537</v>
      </c>
    </row>
    <row r="755" spans="1:12">
      <c r="A755" t="s">
        <v>188</v>
      </c>
      <c r="B755">
        <v>374</v>
      </c>
      <c r="C755">
        <v>385</v>
      </c>
      <c r="D755">
        <v>418</v>
      </c>
      <c r="E755">
        <v>455</v>
      </c>
      <c r="F755">
        <v>511</v>
      </c>
      <c r="G755">
        <v>526</v>
      </c>
      <c r="H755">
        <v>547</v>
      </c>
      <c r="I755">
        <v>584</v>
      </c>
      <c r="J755">
        <v>582</v>
      </c>
      <c r="K755">
        <v>684</v>
      </c>
      <c r="L755">
        <v>633</v>
      </c>
    </row>
    <row r="756" spans="1:12">
      <c r="A756" t="s">
        <v>189</v>
      </c>
      <c r="B756">
        <v>376</v>
      </c>
      <c r="C756">
        <v>386</v>
      </c>
      <c r="D756">
        <v>415</v>
      </c>
      <c r="E756">
        <v>448</v>
      </c>
      <c r="F756">
        <v>464</v>
      </c>
      <c r="G756">
        <v>507</v>
      </c>
      <c r="H756">
        <v>505</v>
      </c>
      <c r="I756">
        <v>555</v>
      </c>
      <c r="J756">
        <v>585</v>
      </c>
      <c r="K756">
        <v>542</v>
      </c>
      <c r="L756">
        <v>541</v>
      </c>
    </row>
    <row r="757" spans="1:12">
      <c r="A757" t="s">
        <v>190</v>
      </c>
      <c r="B757">
        <v>329</v>
      </c>
      <c r="C757">
        <v>344</v>
      </c>
      <c r="D757">
        <v>325</v>
      </c>
      <c r="E757">
        <v>397</v>
      </c>
      <c r="F757">
        <v>445</v>
      </c>
      <c r="G757">
        <v>579</v>
      </c>
      <c r="H757">
        <v>662</v>
      </c>
      <c r="I757">
        <v>800</v>
      </c>
      <c r="J757">
        <v>939</v>
      </c>
      <c r="K757">
        <v>985</v>
      </c>
      <c r="L757">
        <v>1037</v>
      </c>
    </row>
    <row r="758" spans="1:12">
      <c r="A758" t="s">
        <v>191</v>
      </c>
      <c r="B758">
        <v>250</v>
      </c>
      <c r="C758">
        <v>287</v>
      </c>
      <c r="D758">
        <v>323</v>
      </c>
      <c r="E758">
        <v>373</v>
      </c>
      <c r="F758">
        <v>412</v>
      </c>
      <c r="G758">
        <v>461</v>
      </c>
      <c r="H758">
        <v>525</v>
      </c>
      <c r="I758">
        <v>461</v>
      </c>
      <c r="J758">
        <v>491</v>
      </c>
      <c r="K758">
        <v>597</v>
      </c>
      <c r="L758">
        <v>698</v>
      </c>
    </row>
    <row r="759" spans="1:12">
      <c r="A759" t="s">
        <v>192</v>
      </c>
      <c r="B759">
        <v>589</v>
      </c>
      <c r="C759">
        <v>632</v>
      </c>
      <c r="D759">
        <v>650</v>
      </c>
      <c r="E759">
        <v>721</v>
      </c>
      <c r="F759">
        <v>725</v>
      </c>
      <c r="G759">
        <v>790</v>
      </c>
      <c r="H759">
        <v>886</v>
      </c>
      <c r="I759">
        <v>966</v>
      </c>
      <c r="J759">
        <v>860</v>
      </c>
      <c r="K759">
        <v>941</v>
      </c>
      <c r="L759">
        <v>1005</v>
      </c>
    </row>
    <row r="760" spans="1:12">
      <c r="A760" t="s">
        <v>193</v>
      </c>
      <c r="B760">
        <v>509</v>
      </c>
      <c r="C760">
        <v>441</v>
      </c>
      <c r="D760">
        <v>495</v>
      </c>
      <c r="E760">
        <v>492</v>
      </c>
      <c r="F760">
        <v>511</v>
      </c>
      <c r="G760">
        <v>658</v>
      </c>
      <c r="H760">
        <v>694</v>
      </c>
      <c r="I760">
        <v>634</v>
      </c>
      <c r="J760">
        <v>705</v>
      </c>
      <c r="K760">
        <v>729</v>
      </c>
      <c r="L760">
        <v>852</v>
      </c>
    </row>
    <row r="761" spans="1:12">
      <c r="A761" t="s">
        <v>194</v>
      </c>
      <c r="B761">
        <v>329</v>
      </c>
      <c r="C761">
        <v>355</v>
      </c>
      <c r="D761">
        <v>330</v>
      </c>
      <c r="E761">
        <v>354</v>
      </c>
      <c r="F761">
        <v>377</v>
      </c>
      <c r="G761">
        <v>365</v>
      </c>
      <c r="H761">
        <v>393</v>
      </c>
      <c r="I761">
        <v>418</v>
      </c>
      <c r="J761">
        <v>442</v>
      </c>
      <c r="K761">
        <v>478</v>
      </c>
      <c r="L761">
        <v>494</v>
      </c>
    </row>
    <row r="762" spans="1:12">
      <c r="A762" t="s">
        <v>195</v>
      </c>
      <c r="B762">
        <v>360</v>
      </c>
      <c r="C762">
        <v>406</v>
      </c>
      <c r="D762">
        <v>437</v>
      </c>
      <c r="E762">
        <v>523</v>
      </c>
      <c r="F762">
        <v>536</v>
      </c>
      <c r="G762">
        <v>537</v>
      </c>
      <c r="H762">
        <v>591</v>
      </c>
      <c r="I762">
        <v>656</v>
      </c>
      <c r="J762">
        <v>723</v>
      </c>
      <c r="K762">
        <v>776</v>
      </c>
      <c r="L762">
        <v>779</v>
      </c>
    </row>
    <row r="763" spans="1:12">
      <c r="A763" t="s">
        <v>196</v>
      </c>
      <c r="B763">
        <v>6065</v>
      </c>
      <c r="C763">
        <v>6439</v>
      </c>
      <c r="D763">
        <v>6647</v>
      </c>
      <c r="E763">
        <v>6962</v>
      </c>
      <c r="F763">
        <v>7043</v>
      </c>
      <c r="G763">
        <v>8782</v>
      </c>
      <c r="H763">
        <v>9808</v>
      </c>
      <c r="I763">
        <v>10453</v>
      </c>
      <c r="J763">
        <v>11122</v>
      </c>
      <c r="K763">
        <v>12142</v>
      </c>
      <c r="L763">
        <v>12748</v>
      </c>
    </row>
    <row r="764" spans="1:12">
      <c r="A764" t="s">
        <v>197</v>
      </c>
      <c r="B764">
        <v>323</v>
      </c>
      <c r="C764">
        <v>336</v>
      </c>
      <c r="D764">
        <v>295</v>
      </c>
      <c r="E764">
        <v>350</v>
      </c>
      <c r="F764">
        <v>373</v>
      </c>
      <c r="G764">
        <v>390</v>
      </c>
      <c r="H764">
        <v>483</v>
      </c>
      <c r="I764">
        <v>529</v>
      </c>
      <c r="J764">
        <v>562</v>
      </c>
      <c r="K764">
        <v>590</v>
      </c>
      <c r="L764">
        <v>686</v>
      </c>
    </row>
    <row r="765" spans="1:12">
      <c r="A765" t="s">
        <v>198</v>
      </c>
      <c r="B765">
        <v>2007</v>
      </c>
      <c r="C765">
        <v>2038</v>
      </c>
      <c r="D765">
        <v>2093</v>
      </c>
      <c r="E765">
        <v>2213</v>
      </c>
      <c r="F765">
        <v>2198</v>
      </c>
      <c r="G765">
        <v>2322</v>
      </c>
      <c r="H765">
        <v>2547</v>
      </c>
      <c r="I765">
        <v>2834</v>
      </c>
      <c r="J765">
        <v>3060</v>
      </c>
      <c r="K765">
        <v>3059</v>
      </c>
      <c r="L765">
        <v>2883</v>
      </c>
    </row>
    <row r="766" spans="1:12">
      <c r="A766" t="s">
        <v>199</v>
      </c>
      <c r="B766">
        <v>565</v>
      </c>
      <c r="C766">
        <v>630</v>
      </c>
      <c r="D766">
        <v>702</v>
      </c>
      <c r="E766">
        <v>791</v>
      </c>
      <c r="F766">
        <v>770</v>
      </c>
      <c r="G766">
        <v>824</v>
      </c>
      <c r="H766">
        <v>741</v>
      </c>
      <c r="I766">
        <v>777</v>
      </c>
      <c r="J766">
        <v>847</v>
      </c>
      <c r="K766">
        <v>853</v>
      </c>
      <c r="L766">
        <v>940</v>
      </c>
    </row>
    <row r="767" spans="1:12">
      <c r="A767" t="s">
        <v>200</v>
      </c>
      <c r="B767">
        <v>417</v>
      </c>
      <c r="C767">
        <v>410</v>
      </c>
      <c r="D767">
        <v>429</v>
      </c>
      <c r="E767">
        <v>445</v>
      </c>
      <c r="F767">
        <v>479</v>
      </c>
      <c r="G767">
        <v>565</v>
      </c>
      <c r="H767">
        <v>579</v>
      </c>
      <c r="I767">
        <v>655</v>
      </c>
      <c r="J767">
        <v>701</v>
      </c>
      <c r="K767">
        <v>642</v>
      </c>
      <c r="L767">
        <v>638</v>
      </c>
    </row>
    <row r="768" spans="1:12">
      <c r="A768" t="s">
        <v>201</v>
      </c>
      <c r="B768">
        <v>493</v>
      </c>
      <c r="C768">
        <v>528</v>
      </c>
      <c r="D768">
        <v>551</v>
      </c>
      <c r="E768">
        <v>592</v>
      </c>
      <c r="F768">
        <v>695</v>
      </c>
      <c r="G768">
        <v>755</v>
      </c>
      <c r="H768">
        <v>859</v>
      </c>
      <c r="I768">
        <v>975</v>
      </c>
      <c r="J768">
        <v>1055</v>
      </c>
      <c r="K768">
        <v>1189</v>
      </c>
      <c r="L768">
        <v>1318</v>
      </c>
    </row>
    <row r="769" spans="1:12">
      <c r="A769" t="s">
        <v>202</v>
      </c>
      <c r="B769">
        <v>418</v>
      </c>
      <c r="C769">
        <v>419</v>
      </c>
      <c r="D769">
        <v>412</v>
      </c>
      <c r="E769">
        <v>418</v>
      </c>
      <c r="F769">
        <v>497</v>
      </c>
      <c r="G769">
        <v>484</v>
      </c>
      <c r="H769">
        <v>502</v>
      </c>
      <c r="I769">
        <v>499</v>
      </c>
      <c r="J769">
        <v>500</v>
      </c>
      <c r="K769">
        <v>562</v>
      </c>
      <c r="L769">
        <v>532</v>
      </c>
    </row>
    <row r="770" spans="1:12">
      <c r="A770" t="s">
        <v>203</v>
      </c>
      <c r="B770">
        <v>608</v>
      </c>
      <c r="C770">
        <v>623</v>
      </c>
      <c r="D770">
        <v>663</v>
      </c>
      <c r="E770">
        <v>653</v>
      </c>
      <c r="F770">
        <v>689</v>
      </c>
      <c r="G770">
        <v>726</v>
      </c>
      <c r="H770">
        <v>745</v>
      </c>
      <c r="I770">
        <v>779</v>
      </c>
      <c r="J770">
        <v>773</v>
      </c>
      <c r="K770">
        <v>805</v>
      </c>
      <c r="L770">
        <v>923</v>
      </c>
    </row>
    <row r="771" spans="1:12">
      <c r="A771" t="s">
        <v>204</v>
      </c>
      <c r="B771">
        <v>1406</v>
      </c>
      <c r="C771">
        <v>1450</v>
      </c>
      <c r="D771">
        <v>1520</v>
      </c>
      <c r="E771">
        <v>1562</v>
      </c>
      <c r="F771">
        <v>1637</v>
      </c>
      <c r="G771">
        <v>1691</v>
      </c>
      <c r="H771">
        <v>1797</v>
      </c>
      <c r="I771">
        <v>1768</v>
      </c>
      <c r="J771">
        <v>2025</v>
      </c>
      <c r="K771">
        <v>2053</v>
      </c>
      <c r="L771">
        <v>2402</v>
      </c>
    </row>
    <row r="772" spans="1:12">
      <c r="A772" t="s">
        <v>205</v>
      </c>
      <c r="B772">
        <v>682</v>
      </c>
      <c r="C772">
        <v>734</v>
      </c>
      <c r="D772">
        <v>785</v>
      </c>
      <c r="E772">
        <v>871</v>
      </c>
      <c r="F772">
        <v>933</v>
      </c>
      <c r="G772">
        <v>1040</v>
      </c>
      <c r="H772">
        <v>997</v>
      </c>
      <c r="I772">
        <v>1081</v>
      </c>
      <c r="J772">
        <v>1161</v>
      </c>
      <c r="K772">
        <v>1218</v>
      </c>
      <c r="L772">
        <v>1246</v>
      </c>
    </row>
    <row r="773" spans="1:12">
      <c r="A773" t="s">
        <v>206</v>
      </c>
      <c r="B773">
        <v>417</v>
      </c>
      <c r="C773">
        <v>402</v>
      </c>
      <c r="D773">
        <v>436</v>
      </c>
      <c r="E773">
        <v>411</v>
      </c>
      <c r="F773">
        <v>441</v>
      </c>
      <c r="G773">
        <v>660</v>
      </c>
      <c r="H773">
        <v>702</v>
      </c>
      <c r="I773">
        <v>738</v>
      </c>
      <c r="J773">
        <v>788</v>
      </c>
      <c r="K773">
        <v>854</v>
      </c>
      <c r="L773">
        <v>975</v>
      </c>
    </row>
    <row r="774" spans="1:12">
      <c r="A774" t="s">
        <v>207</v>
      </c>
      <c r="B774">
        <v>247</v>
      </c>
      <c r="C774">
        <v>280</v>
      </c>
      <c r="D774">
        <v>253</v>
      </c>
      <c r="E774">
        <v>219</v>
      </c>
      <c r="F774">
        <v>204</v>
      </c>
      <c r="G774">
        <v>268</v>
      </c>
      <c r="H774">
        <v>312</v>
      </c>
      <c r="I774">
        <v>387</v>
      </c>
      <c r="J774">
        <v>393</v>
      </c>
      <c r="K774">
        <v>441</v>
      </c>
      <c r="L774">
        <v>457</v>
      </c>
    </row>
    <row r="775" spans="1:12">
      <c r="A775" t="s">
        <v>208</v>
      </c>
      <c r="B775">
        <v>194</v>
      </c>
      <c r="C775">
        <v>237</v>
      </c>
      <c r="D775">
        <v>261</v>
      </c>
      <c r="E775">
        <v>288</v>
      </c>
      <c r="F775">
        <v>337</v>
      </c>
      <c r="G775">
        <v>398</v>
      </c>
      <c r="H775">
        <v>376</v>
      </c>
      <c r="I775">
        <v>395</v>
      </c>
      <c r="J775">
        <v>416</v>
      </c>
      <c r="K775">
        <v>488</v>
      </c>
      <c r="L775">
        <v>474</v>
      </c>
    </row>
    <row r="776" spans="1:12">
      <c r="A776" t="s">
        <v>209</v>
      </c>
      <c r="B776">
        <v>1094</v>
      </c>
      <c r="C776">
        <v>1118</v>
      </c>
      <c r="D776">
        <v>1190</v>
      </c>
      <c r="E776">
        <v>1197</v>
      </c>
      <c r="F776">
        <v>1208</v>
      </c>
      <c r="G776">
        <v>1352</v>
      </c>
      <c r="H776">
        <v>1573</v>
      </c>
      <c r="I776">
        <v>1541</v>
      </c>
      <c r="J776">
        <v>1618</v>
      </c>
      <c r="K776">
        <v>1819</v>
      </c>
      <c r="L776">
        <v>1751</v>
      </c>
    </row>
    <row r="777" spans="1:12">
      <c r="A777" t="s">
        <v>210</v>
      </c>
      <c r="B777">
        <v>1458</v>
      </c>
      <c r="C777">
        <v>1411</v>
      </c>
      <c r="D777">
        <v>1592</v>
      </c>
      <c r="E777">
        <v>1837</v>
      </c>
      <c r="F777">
        <v>1987</v>
      </c>
      <c r="G777">
        <v>2334</v>
      </c>
      <c r="H777">
        <v>2569</v>
      </c>
      <c r="I777">
        <v>2668</v>
      </c>
      <c r="J777">
        <v>2759</v>
      </c>
      <c r="K777">
        <v>3032</v>
      </c>
      <c r="L777">
        <v>3044</v>
      </c>
    </row>
    <row r="778" spans="1:12">
      <c r="A778" t="s">
        <v>211</v>
      </c>
      <c r="B778">
        <v>41809</v>
      </c>
      <c r="C778">
        <v>43581</v>
      </c>
      <c r="D778">
        <v>44992</v>
      </c>
      <c r="E778">
        <v>47108</v>
      </c>
      <c r="F778">
        <v>49189</v>
      </c>
      <c r="G778">
        <v>55287</v>
      </c>
      <c r="H778">
        <v>61319</v>
      </c>
      <c r="I778">
        <v>65213</v>
      </c>
      <c r="J778">
        <v>68931</v>
      </c>
      <c r="K778">
        <v>74170</v>
      </c>
      <c r="L778">
        <v>77988</v>
      </c>
    </row>
    <row r="779" spans="1:12">
      <c r="A779" t="s">
        <v>215</v>
      </c>
    </row>
    <row r="780" spans="1:12">
      <c r="A780" t="s">
        <v>216</v>
      </c>
    </row>
    <row r="781" spans="1:12">
      <c r="A781" t="s">
        <v>217</v>
      </c>
    </row>
    <row r="782" spans="1:12">
      <c r="A782" t="s">
        <v>218</v>
      </c>
    </row>
    <row r="783" spans="1:12">
      <c r="A783" t="s">
        <v>219</v>
      </c>
    </row>
    <row r="784" spans="1:12">
      <c r="A784" t="s">
        <v>220</v>
      </c>
    </row>
    <row r="785" spans="1:1">
      <c r="A785" t="s">
        <v>221</v>
      </c>
    </row>
    <row r="786" spans="1:1">
      <c r="A786" t="s">
        <v>222</v>
      </c>
    </row>
  </sheetData>
  <sortState xmlns:xlrd2="http://schemas.microsoft.com/office/spreadsheetml/2017/richdata2" ref="A2:C705">
    <sortCondition ref="A2:A705"/>
    <sortCondition ref="B2:B705"/>
  </sortState>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CAF03-32CB-A344-B27A-90663EE2C41E}">
  <dimension ref="A1:L773"/>
  <sheetViews>
    <sheetView topLeftCell="A625" workbookViewId="0">
      <selection activeCell="A695" sqref="A695:XFD705"/>
    </sheetView>
  </sheetViews>
  <sheetFormatPr baseColWidth="10" defaultColWidth="11.5" defaultRowHeight="15"/>
  <cols>
    <col min="1" max="1" width="30" bestFit="1" customWidth="1"/>
    <col min="2" max="2" width="5.1640625" bestFit="1" customWidth="1"/>
    <col min="3" max="3" width="9.6640625" bestFit="1" customWidth="1"/>
  </cols>
  <sheetData>
    <row r="1" spans="1:3">
      <c r="A1" t="s">
        <v>223</v>
      </c>
      <c r="B1" t="s">
        <v>0</v>
      </c>
      <c r="C1" t="s">
        <v>238</v>
      </c>
    </row>
    <row r="2" spans="1:3">
      <c r="A2" t="s">
        <v>146</v>
      </c>
      <c r="B2">
        <v>2015</v>
      </c>
      <c r="C2">
        <v>505</v>
      </c>
    </row>
    <row r="3" spans="1:3">
      <c r="A3" t="s">
        <v>146</v>
      </c>
      <c r="B3">
        <v>2016</v>
      </c>
      <c r="C3">
        <v>604</v>
      </c>
    </row>
    <row r="4" spans="1:3">
      <c r="A4" t="s">
        <v>146</v>
      </c>
      <c r="B4">
        <v>2017</v>
      </c>
      <c r="C4">
        <v>645</v>
      </c>
    </row>
    <row r="5" spans="1:3">
      <c r="A5" t="s">
        <v>146</v>
      </c>
      <c r="B5">
        <v>2018</v>
      </c>
      <c r="C5">
        <v>706</v>
      </c>
    </row>
    <row r="6" spans="1:3">
      <c r="A6" t="s">
        <v>146</v>
      </c>
      <c r="B6">
        <v>2019</v>
      </c>
      <c r="C6">
        <v>785</v>
      </c>
    </row>
    <row r="7" spans="1:3">
      <c r="A7" t="s">
        <v>146</v>
      </c>
      <c r="B7">
        <v>2020</v>
      </c>
      <c r="C7">
        <v>1041</v>
      </c>
    </row>
    <row r="8" spans="1:3">
      <c r="A8" t="s">
        <v>146</v>
      </c>
      <c r="B8">
        <v>2021</v>
      </c>
      <c r="C8">
        <v>1078</v>
      </c>
    </row>
    <row r="9" spans="1:3">
      <c r="A9" t="s">
        <v>146</v>
      </c>
      <c r="B9">
        <v>2022</v>
      </c>
      <c r="C9">
        <v>1090</v>
      </c>
    </row>
    <row r="10" spans="1:3">
      <c r="A10" t="s">
        <v>146</v>
      </c>
      <c r="B10">
        <v>2023</v>
      </c>
      <c r="C10">
        <v>1179</v>
      </c>
    </row>
    <row r="11" spans="1:3">
      <c r="A11" t="s">
        <v>146</v>
      </c>
      <c r="B11">
        <v>2024</v>
      </c>
      <c r="C11">
        <v>1130</v>
      </c>
    </row>
    <row r="12" spans="1:3">
      <c r="A12" t="s">
        <v>146</v>
      </c>
      <c r="B12">
        <v>2025</v>
      </c>
      <c r="C12">
        <v>1145</v>
      </c>
    </row>
    <row r="13" spans="1:3">
      <c r="A13" t="s">
        <v>147</v>
      </c>
      <c r="B13">
        <v>2015</v>
      </c>
      <c r="C13">
        <v>1521</v>
      </c>
    </row>
    <row r="14" spans="1:3">
      <c r="A14" t="s">
        <v>147</v>
      </c>
      <c r="B14">
        <v>2016</v>
      </c>
      <c r="C14">
        <v>1451</v>
      </c>
    </row>
    <row r="15" spans="1:3">
      <c r="A15" t="s">
        <v>147</v>
      </c>
      <c r="B15">
        <v>2017</v>
      </c>
      <c r="C15">
        <v>1877</v>
      </c>
    </row>
    <row r="16" spans="1:3">
      <c r="A16" t="s">
        <v>147</v>
      </c>
      <c r="B16">
        <v>2018</v>
      </c>
      <c r="C16">
        <v>2063</v>
      </c>
    </row>
    <row r="17" spans="1:3">
      <c r="A17" t="s">
        <v>147</v>
      </c>
      <c r="B17">
        <v>2019</v>
      </c>
      <c r="C17">
        <v>2041</v>
      </c>
    </row>
    <row r="18" spans="1:3">
      <c r="A18" t="s">
        <v>147</v>
      </c>
      <c r="B18">
        <v>2020</v>
      </c>
      <c r="C18">
        <v>2679</v>
      </c>
    </row>
    <row r="19" spans="1:3">
      <c r="A19" t="s">
        <v>147</v>
      </c>
      <c r="B19">
        <v>2021</v>
      </c>
      <c r="C19">
        <v>3094</v>
      </c>
    </row>
    <row r="20" spans="1:3">
      <c r="A20" t="s">
        <v>147</v>
      </c>
      <c r="B20">
        <v>2022</v>
      </c>
      <c r="C20">
        <v>3232</v>
      </c>
    </row>
    <row r="21" spans="1:3">
      <c r="A21" t="s">
        <v>147</v>
      </c>
      <c r="B21">
        <v>2023</v>
      </c>
      <c r="C21">
        <v>3946</v>
      </c>
    </row>
    <row r="22" spans="1:3">
      <c r="A22" t="s">
        <v>147</v>
      </c>
      <c r="B22">
        <v>2024</v>
      </c>
      <c r="C22">
        <v>3716</v>
      </c>
    </row>
    <row r="23" spans="1:3">
      <c r="A23" t="s">
        <v>147</v>
      </c>
      <c r="B23">
        <v>2025</v>
      </c>
      <c r="C23">
        <v>3879</v>
      </c>
    </row>
    <row r="24" spans="1:3">
      <c r="A24" t="s">
        <v>148</v>
      </c>
      <c r="B24">
        <v>2015</v>
      </c>
      <c r="C24">
        <v>362</v>
      </c>
    </row>
    <row r="25" spans="1:3">
      <c r="A25" t="s">
        <v>148</v>
      </c>
      <c r="B25">
        <v>2016</v>
      </c>
      <c r="C25">
        <v>357</v>
      </c>
    </row>
    <row r="26" spans="1:3">
      <c r="A26" t="s">
        <v>148</v>
      </c>
      <c r="B26">
        <v>2017</v>
      </c>
      <c r="C26">
        <v>425</v>
      </c>
    </row>
    <row r="27" spans="1:3">
      <c r="A27" t="s">
        <v>148</v>
      </c>
      <c r="B27">
        <v>2018</v>
      </c>
      <c r="C27">
        <v>453</v>
      </c>
    </row>
    <row r="28" spans="1:3">
      <c r="A28" t="s">
        <v>148</v>
      </c>
      <c r="B28">
        <v>2019</v>
      </c>
      <c r="C28">
        <v>482</v>
      </c>
    </row>
    <row r="29" spans="1:3">
      <c r="A29" t="s">
        <v>148</v>
      </c>
      <c r="B29">
        <v>2020</v>
      </c>
      <c r="C29">
        <v>654</v>
      </c>
    </row>
    <row r="30" spans="1:3">
      <c r="A30" t="s">
        <v>148</v>
      </c>
      <c r="B30">
        <v>2021</v>
      </c>
      <c r="C30">
        <v>800</v>
      </c>
    </row>
    <row r="31" spans="1:3">
      <c r="A31" t="s">
        <v>148</v>
      </c>
      <c r="B31">
        <v>2022</v>
      </c>
      <c r="C31">
        <v>918</v>
      </c>
    </row>
    <row r="32" spans="1:3">
      <c r="A32" t="s">
        <v>148</v>
      </c>
      <c r="B32">
        <v>2023</v>
      </c>
      <c r="C32">
        <v>923</v>
      </c>
    </row>
    <row r="33" spans="1:3">
      <c r="A33" t="s">
        <v>148</v>
      </c>
      <c r="B33">
        <v>2024</v>
      </c>
      <c r="C33">
        <v>908</v>
      </c>
    </row>
    <row r="34" spans="1:3">
      <c r="A34" t="s">
        <v>148</v>
      </c>
      <c r="B34">
        <v>2025</v>
      </c>
      <c r="C34">
        <v>935</v>
      </c>
    </row>
    <row r="35" spans="1:3">
      <c r="A35" t="s">
        <v>149</v>
      </c>
      <c r="B35">
        <v>2015</v>
      </c>
      <c r="C35">
        <v>249</v>
      </c>
    </row>
    <row r="36" spans="1:3">
      <c r="A36" t="s">
        <v>149</v>
      </c>
      <c r="B36">
        <v>2016</v>
      </c>
      <c r="C36">
        <v>268</v>
      </c>
    </row>
    <row r="37" spans="1:3">
      <c r="A37" t="s">
        <v>149</v>
      </c>
      <c r="B37">
        <v>2017</v>
      </c>
      <c r="C37">
        <v>287</v>
      </c>
    </row>
    <row r="38" spans="1:3">
      <c r="A38" t="s">
        <v>149</v>
      </c>
      <c r="B38">
        <v>2018</v>
      </c>
      <c r="C38">
        <v>307</v>
      </c>
    </row>
    <row r="39" spans="1:3">
      <c r="A39" t="s">
        <v>149</v>
      </c>
      <c r="B39">
        <v>2019</v>
      </c>
      <c r="C39">
        <v>385</v>
      </c>
    </row>
    <row r="40" spans="1:3">
      <c r="A40" t="s">
        <v>149</v>
      </c>
      <c r="B40">
        <v>2020</v>
      </c>
      <c r="C40">
        <v>401</v>
      </c>
    </row>
    <row r="41" spans="1:3">
      <c r="A41" t="s">
        <v>149</v>
      </c>
      <c r="B41">
        <v>2021</v>
      </c>
      <c r="C41">
        <v>387</v>
      </c>
    </row>
    <row r="42" spans="1:3">
      <c r="A42" t="s">
        <v>149</v>
      </c>
      <c r="B42">
        <v>2022</v>
      </c>
      <c r="C42">
        <v>396</v>
      </c>
    </row>
    <row r="43" spans="1:3">
      <c r="A43" t="s">
        <v>149</v>
      </c>
      <c r="B43">
        <v>2023</v>
      </c>
      <c r="C43">
        <v>438</v>
      </c>
    </row>
    <row r="44" spans="1:3">
      <c r="A44" t="s">
        <v>149</v>
      </c>
      <c r="B44">
        <v>2024</v>
      </c>
      <c r="C44">
        <v>467</v>
      </c>
    </row>
    <row r="45" spans="1:3">
      <c r="A45" t="s">
        <v>149</v>
      </c>
      <c r="B45">
        <v>2025</v>
      </c>
      <c r="C45">
        <v>499</v>
      </c>
    </row>
    <row r="46" spans="1:3">
      <c r="A46" t="s">
        <v>151</v>
      </c>
      <c r="B46">
        <v>2015</v>
      </c>
      <c r="C46">
        <v>435</v>
      </c>
    </row>
    <row r="47" spans="1:3">
      <c r="A47" t="s">
        <v>151</v>
      </c>
      <c r="B47">
        <v>2016</v>
      </c>
      <c r="C47">
        <v>446</v>
      </c>
    </row>
    <row r="48" spans="1:3">
      <c r="A48" t="s">
        <v>151</v>
      </c>
      <c r="B48">
        <v>2017</v>
      </c>
      <c r="C48">
        <v>489</v>
      </c>
    </row>
    <row r="49" spans="1:3">
      <c r="A49" t="s">
        <v>151</v>
      </c>
      <c r="B49">
        <v>2018</v>
      </c>
      <c r="C49">
        <v>548</v>
      </c>
    </row>
    <row r="50" spans="1:3">
      <c r="A50" t="s">
        <v>151</v>
      </c>
      <c r="B50">
        <v>2019</v>
      </c>
      <c r="C50">
        <v>545</v>
      </c>
    </row>
    <row r="51" spans="1:3">
      <c r="A51" t="s">
        <v>151</v>
      </c>
      <c r="B51">
        <v>2020</v>
      </c>
      <c r="C51">
        <v>662</v>
      </c>
    </row>
    <row r="52" spans="1:3">
      <c r="A52" t="s">
        <v>151</v>
      </c>
      <c r="B52">
        <v>2021</v>
      </c>
      <c r="C52">
        <v>766</v>
      </c>
    </row>
    <row r="53" spans="1:3">
      <c r="A53" t="s">
        <v>151</v>
      </c>
      <c r="B53">
        <v>2022</v>
      </c>
      <c r="C53">
        <v>977</v>
      </c>
    </row>
    <row r="54" spans="1:3">
      <c r="A54" t="s">
        <v>151</v>
      </c>
      <c r="B54">
        <v>2023</v>
      </c>
      <c r="C54">
        <v>1296</v>
      </c>
    </row>
    <row r="55" spans="1:3">
      <c r="A55" t="s">
        <v>151</v>
      </c>
      <c r="B55">
        <v>2024</v>
      </c>
      <c r="C55">
        <v>1384</v>
      </c>
    </row>
    <row r="56" spans="1:3">
      <c r="A56" t="s">
        <v>151</v>
      </c>
      <c r="B56">
        <v>2025</v>
      </c>
      <c r="C56">
        <v>1436</v>
      </c>
    </row>
    <row r="57" spans="1:3">
      <c r="A57" t="s">
        <v>152</v>
      </c>
      <c r="B57">
        <v>2015</v>
      </c>
      <c r="C57">
        <v>1389</v>
      </c>
    </row>
    <row r="58" spans="1:3">
      <c r="A58" t="s">
        <v>152</v>
      </c>
      <c r="B58">
        <v>2016</v>
      </c>
      <c r="C58">
        <v>1549</v>
      </c>
    </row>
    <row r="59" spans="1:3">
      <c r="A59" t="s">
        <v>152</v>
      </c>
      <c r="B59">
        <v>2017</v>
      </c>
      <c r="C59">
        <v>1632</v>
      </c>
    </row>
    <row r="60" spans="1:3">
      <c r="A60" t="s">
        <v>152</v>
      </c>
      <c r="B60">
        <v>2018</v>
      </c>
      <c r="C60">
        <v>1935</v>
      </c>
    </row>
    <row r="61" spans="1:3">
      <c r="A61" t="s">
        <v>152</v>
      </c>
      <c r="B61">
        <v>2019</v>
      </c>
      <c r="C61">
        <v>2127</v>
      </c>
    </row>
    <row r="62" spans="1:3">
      <c r="A62" t="s">
        <v>152</v>
      </c>
      <c r="B62">
        <v>2020</v>
      </c>
      <c r="C62">
        <v>2430</v>
      </c>
    </row>
    <row r="63" spans="1:3">
      <c r="A63" t="s">
        <v>152</v>
      </c>
      <c r="B63">
        <v>2021</v>
      </c>
      <c r="C63">
        <v>2611</v>
      </c>
    </row>
    <row r="64" spans="1:3">
      <c r="A64" t="s">
        <v>152</v>
      </c>
      <c r="B64">
        <v>2022</v>
      </c>
      <c r="C64">
        <v>2904</v>
      </c>
    </row>
    <row r="65" spans="1:3">
      <c r="A65" t="s">
        <v>152</v>
      </c>
      <c r="B65">
        <v>2023</v>
      </c>
      <c r="C65">
        <v>3534</v>
      </c>
    </row>
    <row r="66" spans="1:3">
      <c r="A66" t="s">
        <v>152</v>
      </c>
      <c r="B66">
        <v>2024</v>
      </c>
      <c r="C66">
        <v>3795</v>
      </c>
    </row>
    <row r="67" spans="1:3">
      <c r="A67" t="s">
        <v>152</v>
      </c>
      <c r="B67">
        <v>2025</v>
      </c>
      <c r="C67">
        <v>3959</v>
      </c>
    </row>
    <row r="68" spans="1:3">
      <c r="A68" t="s">
        <v>153</v>
      </c>
      <c r="B68">
        <v>2015</v>
      </c>
      <c r="C68">
        <v>888</v>
      </c>
    </row>
    <row r="69" spans="1:3">
      <c r="A69" t="s">
        <v>153</v>
      </c>
      <c r="B69">
        <v>2016</v>
      </c>
      <c r="C69">
        <v>968</v>
      </c>
    </row>
    <row r="70" spans="1:3">
      <c r="A70" t="s">
        <v>153</v>
      </c>
      <c r="B70">
        <v>2017</v>
      </c>
      <c r="C70">
        <v>1058</v>
      </c>
    </row>
    <row r="71" spans="1:3">
      <c r="A71" t="s">
        <v>153</v>
      </c>
      <c r="B71">
        <v>2018</v>
      </c>
      <c r="C71">
        <v>1126</v>
      </c>
    </row>
    <row r="72" spans="1:3">
      <c r="A72" t="s">
        <v>153</v>
      </c>
      <c r="B72">
        <v>2019</v>
      </c>
      <c r="C72">
        <v>1179</v>
      </c>
    </row>
    <row r="73" spans="1:3">
      <c r="A73" t="s">
        <v>153</v>
      </c>
      <c r="B73">
        <v>2020</v>
      </c>
      <c r="C73">
        <v>1570</v>
      </c>
    </row>
    <row r="74" spans="1:3">
      <c r="A74" t="s">
        <v>153</v>
      </c>
      <c r="B74">
        <v>2021</v>
      </c>
      <c r="C74">
        <v>1753</v>
      </c>
    </row>
    <row r="75" spans="1:3">
      <c r="A75" t="s">
        <v>153</v>
      </c>
      <c r="B75">
        <v>2022</v>
      </c>
      <c r="C75">
        <v>1778</v>
      </c>
    </row>
    <row r="76" spans="1:3">
      <c r="A76" t="s">
        <v>153</v>
      </c>
      <c r="B76">
        <v>2023</v>
      </c>
      <c r="C76">
        <v>2244</v>
      </c>
    </row>
    <row r="77" spans="1:3">
      <c r="A77" t="s">
        <v>153</v>
      </c>
      <c r="B77">
        <v>2024</v>
      </c>
      <c r="C77">
        <v>2307</v>
      </c>
    </row>
    <row r="78" spans="1:3">
      <c r="A78" t="s">
        <v>153</v>
      </c>
      <c r="B78">
        <v>2025</v>
      </c>
      <c r="C78">
        <v>2337</v>
      </c>
    </row>
    <row r="79" spans="1:3">
      <c r="A79" t="s">
        <v>154</v>
      </c>
      <c r="B79">
        <v>2015</v>
      </c>
      <c r="C79">
        <v>2276</v>
      </c>
    </row>
    <row r="80" spans="1:3">
      <c r="A80" t="s">
        <v>154</v>
      </c>
      <c r="B80">
        <v>2016</v>
      </c>
      <c r="C80">
        <v>2344</v>
      </c>
    </row>
    <row r="81" spans="1:3">
      <c r="A81" t="s">
        <v>154</v>
      </c>
      <c r="B81">
        <v>2017</v>
      </c>
      <c r="C81">
        <v>2458</v>
      </c>
    </row>
    <row r="82" spans="1:3">
      <c r="A82" t="s">
        <v>154</v>
      </c>
      <c r="B82">
        <v>2018</v>
      </c>
      <c r="C82">
        <v>2660</v>
      </c>
    </row>
    <row r="83" spans="1:3">
      <c r="A83" t="s">
        <v>154</v>
      </c>
      <c r="B83">
        <v>2019</v>
      </c>
      <c r="C83">
        <v>3932</v>
      </c>
    </row>
    <row r="84" spans="1:3">
      <c r="A84" t="s">
        <v>154</v>
      </c>
      <c r="B84">
        <v>2020</v>
      </c>
      <c r="C84">
        <v>4644</v>
      </c>
    </row>
    <row r="85" spans="1:3">
      <c r="A85" t="s">
        <v>154</v>
      </c>
      <c r="B85">
        <v>2021</v>
      </c>
      <c r="C85">
        <v>5137</v>
      </c>
    </row>
    <row r="86" spans="1:3">
      <c r="A86" t="s">
        <v>154</v>
      </c>
      <c r="B86">
        <v>2022</v>
      </c>
      <c r="C86">
        <v>5417</v>
      </c>
    </row>
    <row r="87" spans="1:3">
      <c r="A87" t="s">
        <v>154</v>
      </c>
      <c r="B87">
        <v>2023</v>
      </c>
      <c r="C87">
        <v>6196</v>
      </c>
    </row>
    <row r="88" spans="1:3">
      <c r="A88" t="s">
        <v>154</v>
      </c>
      <c r="B88">
        <v>2024</v>
      </c>
      <c r="C88">
        <v>6400</v>
      </c>
    </row>
    <row r="89" spans="1:3">
      <c r="A89" t="s">
        <v>154</v>
      </c>
      <c r="B89">
        <v>2025</v>
      </c>
      <c r="C89">
        <v>6510</v>
      </c>
    </row>
    <row r="90" spans="1:3">
      <c r="A90" t="s">
        <v>155</v>
      </c>
      <c r="B90">
        <v>2015</v>
      </c>
      <c r="C90">
        <v>860</v>
      </c>
    </row>
    <row r="91" spans="1:3">
      <c r="A91" t="s">
        <v>155</v>
      </c>
      <c r="B91">
        <v>2016</v>
      </c>
      <c r="C91">
        <v>951</v>
      </c>
    </row>
    <row r="92" spans="1:3">
      <c r="A92" t="s">
        <v>155</v>
      </c>
      <c r="B92">
        <v>2017</v>
      </c>
      <c r="C92">
        <v>957</v>
      </c>
    </row>
    <row r="93" spans="1:3">
      <c r="A93" t="s">
        <v>155</v>
      </c>
      <c r="B93">
        <v>2018</v>
      </c>
      <c r="C93">
        <v>1071</v>
      </c>
    </row>
    <row r="94" spans="1:3">
      <c r="A94" t="s">
        <v>155</v>
      </c>
      <c r="B94">
        <v>2019</v>
      </c>
      <c r="C94">
        <v>1177</v>
      </c>
    </row>
    <row r="95" spans="1:3">
      <c r="A95" t="s">
        <v>155</v>
      </c>
      <c r="B95">
        <v>2020</v>
      </c>
      <c r="C95">
        <v>1199</v>
      </c>
    </row>
    <row r="96" spans="1:3">
      <c r="A96" t="s">
        <v>155</v>
      </c>
      <c r="B96">
        <v>2021</v>
      </c>
      <c r="C96">
        <v>1518</v>
      </c>
    </row>
    <row r="97" spans="1:3">
      <c r="A97" t="s">
        <v>155</v>
      </c>
      <c r="B97">
        <v>2022</v>
      </c>
      <c r="C97">
        <v>1567</v>
      </c>
    </row>
    <row r="98" spans="1:3">
      <c r="A98" t="s">
        <v>155</v>
      </c>
      <c r="B98">
        <v>2023</v>
      </c>
      <c r="C98">
        <v>1895</v>
      </c>
    </row>
    <row r="99" spans="1:3">
      <c r="A99" t="s">
        <v>155</v>
      </c>
      <c r="B99">
        <v>2024</v>
      </c>
      <c r="C99">
        <v>2003</v>
      </c>
    </row>
    <row r="100" spans="1:3">
      <c r="A100" t="s">
        <v>155</v>
      </c>
      <c r="B100">
        <v>2025</v>
      </c>
      <c r="C100">
        <v>2104</v>
      </c>
    </row>
    <row r="101" spans="1:3">
      <c r="A101" t="s">
        <v>156</v>
      </c>
      <c r="B101">
        <v>2015</v>
      </c>
      <c r="C101">
        <v>341</v>
      </c>
    </row>
    <row r="102" spans="1:3">
      <c r="A102" t="s">
        <v>156</v>
      </c>
      <c r="B102">
        <v>2016</v>
      </c>
      <c r="C102">
        <v>477</v>
      </c>
    </row>
    <row r="103" spans="1:3">
      <c r="A103" t="s">
        <v>156</v>
      </c>
      <c r="B103">
        <v>2017</v>
      </c>
      <c r="C103">
        <v>538</v>
      </c>
    </row>
    <row r="104" spans="1:3">
      <c r="A104" t="s">
        <v>156</v>
      </c>
      <c r="B104">
        <v>2018</v>
      </c>
      <c r="C104">
        <v>602</v>
      </c>
    </row>
    <row r="105" spans="1:3">
      <c r="A105" t="s">
        <v>156</v>
      </c>
      <c r="B105">
        <v>2019</v>
      </c>
      <c r="C105">
        <v>665</v>
      </c>
    </row>
    <row r="106" spans="1:3">
      <c r="A106" t="s">
        <v>156</v>
      </c>
      <c r="B106">
        <v>2020</v>
      </c>
      <c r="C106">
        <v>688</v>
      </c>
    </row>
    <row r="107" spans="1:3">
      <c r="A107" t="s">
        <v>156</v>
      </c>
      <c r="B107">
        <v>2021</v>
      </c>
      <c r="C107">
        <v>802</v>
      </c>
    </row>
    <row r="108" spans="1:3">
      <c r="A108" t="s">
        <v>156</v>
      </c>
      <c r="B108">
        <v>2022</v>
      </c>
      <c r="C108">
        <v>847</v>
      </c>
    </row>
    <row r="109" spans="1:3">
      <c r="A109" t="s">
        <v>156</v>
      </c>
      <c r="B109">
        <v>2023</v>
      </c>
      <c r="C109">
        <v>1170</v>
      </c>
    </row>
    <row r="110" spans="1:3">
      <c r="A110" t="s">
        <v>156</v>
      </c>
      <c r="B110">
        <v>2024</v>
      </c>
      <c r="C110">
        <v>1317</v>
      </c>
    </row>
    <row r="111" spans="1:3">
      <c r="A111" t="s">
        <v>156</v>
      </c>
      <c r="B111">
        <v>2025</v>
      </c>
      <c r="C111">
        <v>1367</v>
      </c>
    </row>
    <row r="112" spans="1:3">
      <c r="A112" t="s">
        <v>157</v>
      </c>
      <c r="B112">
        <v>2015</v>
      </c>
      <c r="C112">
        <v>1211</v>
      </c>
    </row>
    <row r="113" spans="1:3">
      <c r="A113" t="s">
        <v>157</v>
      </c>
      <c r="B113">
        <v>2016</v>
      </c>
      <c r="C113">
        <v>1330</v>
      </c>
    </row>
    <row r="114" spans="1:3">
      <c r="A114" t="s">
        <v>157</v>
      </c>
      <c r="B114">
        <v>2017</v>
      </c>
      <c r="C114">
        <v>1367</v>
      </c>
    </row>
    <row r="115" spans="1:3">
      <c r="A115" t="s">
        <v>157</v>
      </c>
      <c r="B115">
        <v>2018</v>
      </c>
      <c r="C115">
        <v>1433</v>
      </c>
    </row>
    <row r="116" spans="1:3">
      <c r="A116" t="s">
        <v>157</v>
      </c>
      <c r="B116">
        <v>2019</v>
      </c>
      <c r="C116">
        <v>1496</v>
      </c>
    </row>
    <row r="117" spans="1:3">
      <c r="A117" t="s">
        <v>157</v>
      </c>
      <c r="B117">
        <v>2020</v>
      </c>
      <c r="C117">
        <v>1637</v>
      </c>
    </row>
    <row r="118" spans="1:3">
      <c r="A118" t="s">
        <v>157</v>
      </c>
      <c r="B118">
        <v>2021</v>
      </c>
      <c r="C118">
        <v>1839</v>
      </c>
    </row>
    <row r="119" spans="1:3">
      <c r="A119" t="s">
        <v>157</v>
      </c>
      <c r="B119">
        <v>2022</v>
      </c>
      <c r="C119">
        <v>1919</v>
      </c>
    </row>
    <row r="120" spans="1:3">
      <c r="A120" t="s">
        <v>157</v>
      </c>
      <c r="B120">
        <v>2023</v>
      </c>
      <c r="C120">
        <v>2666</v>
      </c>
    </row>
    <row r="121" spans="1:3">
      <c r="A121" t="s">
        <v>157</v>
      </c>
      <c r="B121">
        <v>2024</v>
      </c>
      <c r="C121">
        <v>2874</v>
      </c>
    </row>
    <row r="122" spans="1:3">
      <c r="A122" t="s">
        <v>157</v>
      </c>
      <c r="B122">
        <v>2025</v>
      </c>
      <c r="C122">
        <v>3008</v>
      </c>
    </row>
    <row r="123" spans="1:3">
      <c r="A123" t="s">
        <v>158</v>
      </c>
      <c r="B123">
        <v>2015</v>
      </c>
      <c r="C123">
        <v>411</v>
      </c>
    </row>
    <row r="124" spans="1:3">
      <c r="A124" t="s">
        <v>158</v>
      </c>
      <c r="B124">
        <v>2016</v>
      </c>
      <c r="C124">
        <v>411</v>
      </c>
    </row>
    <row r="125" spans="1:3">
      <c r="A125" t="s">
        <v>158</v>
      </c>
      <c r="B125">
        <v>2017</v>
      </c>
      <c r="C125">
        <v>515</v>
      </c>
    </row>
    <row r="126" spans="1:3">
      <c r="A126" t="s">
        <v>158</v>
      </c>
      <c r="B126">
        <v>2018</v>
      </c>
      <c r="C126">
        <v>579</v>
      </c>
    </row>
    <row r="127" spans="1:3">
      <c r="A127" t="s">
        <v>158</v>
      </c>
      <c r="B127">
        <v>2019</v>
      </c>
      <c r="C127">
        <v>664</v>
      </c>
    </row>
    <row r="128" spans="1:3">
      <c r="A128" t="s">
        <v>158</v>
      </c>
      <c r="B128">
        <v>2020</v>
      </c>
      <c r="C128">
        <v>720</v>
      </c>
    </row>
    <row r="129" spans="1:3">
      <c r="A129" t="s">
        <v>158</v>
      </c>
      <c r="B129">
        <v>2021</v>
      </c>
      <c r="C129">
        <v>925</v>
      </c>
    </row>
    <row r="130" spans="1:3">
      <c r="A130" t="s">
        <v>158</v>
      </c>
      <c r="B130">
        <v>2022</v>
      </c>
      <c r="C130">
        <v>904</v>
      </c>
    </row>
    <row r="131" spans="1:3">
      <c r="A131" t="s">
        <v>158</v>
      </c>
      <c r="B131">
        <v>2023</v>
      </c>
      <c r="C131">
        <v>803</v>
      </c>
    </row>
    <row r="132" spans="1:3">
      <c r="A132" t="s">
        <v>158</v>
      </c>
      <c r="B132">
        <v>2024</v>
      </c>
      <c r="C132">
        <v>845</v>
      </c>
    </row>
    <row r="133" spans="1:3">
      <c r="A133" t="s">
        <v>158</v>
      </c>
      <c r="B133">
        <v>2025</v>
      </c>
      <c r="C133">
        <v>925</v>
      </c>
    </row>
    <row r="134" spans="1:3">
      <c r="A134" t="s">
        <v>159</v>
      </c>
      <c r="B134">
        <v>2015</v>
      </c>
      <c r="C134">
        <v>318</v>
      </c>
    </row>
    <row r="135" spans="1:3">
      <c r="A135" t="s">
        <v>159</v>
      </c>
      <c r="B135">
        <v>2016</v>
      </c>
      <c r="C135">
        <v>343</v>
      </c>
    </row>
    <row r="136" spans="1:3">
      <c r="A136" t="s">
        <v>159</v>
      </c>
      <c r="B136">
        <v>2017</v>
      </c>
      <c r="C136">
        <v>310</v>
      </c>
    </row>
    <row r="137" spans="1:3">
      <c r="A137" t="s">
        <v>159</v>
      </c>
      <c r="B137">
        <v>2018</v>
      </c>
      <c r="C137">
        <v>320</v>
      </c>
    </row>
    <row r="138" spans="1:3">
      <c r="A138" t="s">
        <v>159</v>
      </c>
      <c r="B138">
        <v>2019</v>
      </c>
      <c r="C138">
        <v>362</v>
      </c>
    </row>
    <row r="139" spans="1:3">
      <c r="A139" t="s">
        <v>159</v>
      </c>
      <c r="B139">
        <v>2020</v>
      </c>
      <c r="C139">
        <v>447</v>
      </c>
    </row>
    <row r="140" spans="1:3">
      <c r="A140" t="s">
        <v>159</v>
      </c>
      <c r="B140">
        <v>2021</v>
      </c>
      <c r="C140">
        <v>537</v>
      </c>
    </row>
    <row r="141" spans="1:3">
      <c r="A141" t="s">
        <v>159</v>
      </c>
      <c r="B141">
        <v>2022</v>
      </c>
      <c r="C141">
        <v>526</v>
      </c>
    </row>
    <row r="142" spans="1:3">
      <c r="A142" t="s">
        <v>159</v>
      </c>
      <c r="B142">
        <v>2023</v>
      </c>
      <c r="C142">
        <v>470</v>
      </c>
    </row>
    <row r="143" spans="1:3">
      <c r="A143" t="s">
        <v>159</v>
      </c>
      <c r="B143">
        <v>2024</v>
      </c>
      <c r="C143">
        <v>497</v>
      </c>
    </row>
    <row r="144" spans="1:3">
      <c r="A144" t="s">
        <v>159</v>
      </c>
      <c r="B144">
        <v>2025</v>
      </c>
      <c r="C144">
        <v>519</v>
      </c>
    </row>
    <row r="145" spans="1:3">
      <c r="A145" t="s">
        <v>160</v>
      </c>
      <c r="B145">
        <v>2015</v>
      </c>
      <c r="C145">
        <v>299</v>
      </c>
    </row>
    <row r="146" spans="1:3">
      <c r="A146" t="s">
        <v>160</v>
      </c>
      <c r="B146">
        <v>2016</v>
      </c>
      <c r="C146">
        <v>349</v>
      </c>
    </row>
    <row r="147" spans="1:3">
      <c r="A147" t="s">
        <v>160</v>
      </c>
      <c r="B147">
        <v>2017</v>
      </c>
      <c r="C147">
        <v>388</v>
      </c>
    </row>
    <row r="148" spans="1:3">
      <c r="A148" t="s">
        <v>160</v>
      </c>
      <c r="B148">
        <v>2018</v>
      </c>
      <c r="C148">
        <v>405</v>
      </c>
    </row>
    <row r="149" spans="1:3">
      <c r="A149" t="s">
        <v>160</v>
      </c>
      <c r="B149">
        <v>2019</v>
      </c>
      <c r="C149">
        <v>433</v>
      </c>
    </row>
    <row r="150" spans="1:3">
      <c r="A150" t="s">
        <v>160</v>
      </c>
      <c r="B150">
        <v>2020</v>
      </c>
      <c r="C150">
        <v>516</v>
      </c>
    </row>
    <row r="151" spans="1:3">
      <c r="A151" t="s">
        <v>160</v>
      </c>
      <c r="B151">
        <v>2021</v>
      </c>
      <c r="C151">
        <v>615</v>
      </c>
    </row>
    <row r="152" spans="1:3">
      <c r="A152" t="s">
        <v>160</v>
      </c>
      <c r="B152">
        <v>2022</v>
      </c>
      <c r="C152">
        <v>587</v>
      </c>
    </row>
    <row r="153" spans="1:3">
      <c r="A153" t="s">
        <v>160</v>
      </c>
      <c r="B153">
        <v>2023</v>
      </c>
      <c r="C153">
        <v>524</v>
      </c>
    </row>
    <row r="154" spans="1:3">
      <c r="A154" t="s">
        <v>160</v>
      </c>
      <c r="B154">
        <v>2024</v>
      </c>
      <c r="C154">
        <v>597</v>
      </c>
    </row>
    <row r="155" spans="1:3">
      <c r="A155" t="s">
        <v>160</v>
      </c>
      <c r="B155">
        <v>2025</v>
      </c>
      <c r="C155">
        <v>683</v>
      </c>
    </row>
    <row r="156" spans="1:3">
      <c r="A156" t="s">
        <v>161</v>
      </c>
      <c r="B156">
        <v>2015</v>
      </c>
      <c r="C156">
        <v>2777</v>
      </c>
    </row>
    <row r="157" spans="1:3">
      <c r="A157" t="s">
        <v>161</v>
      </c>
      <c r="B157">
        <v>2016</v>
      </c>
      <c r="C157">
        <v>3174</v>
      </c>
    </row>
    <row r="158" spans="1:3">
      <c r="A158" t="s">
        <v>161</v>
      </c>
      <c r="B158">
        <v>2017</v>
      </c>
      <c r="C158">
        <v>3295</v>
      </c>
    </row>
    <row r="159" spans="1:3">
      <c r="A159" t="s">
        <v>161</v>
      </c>
      <c r="B159">
        <v>2018</v>
      </c>
      <c r="C159">
        <v>3594</v>
      </c>
    </row>
    <row r="160" spans="1:3">
      <c r="A160" t="s">
        <v>161</v>
      </c>
      <c r="B160">
        <v>2019</v>
      </c>
      <c r="C160">
        <v>3906</v>
      </c>
    </row>
    <row r="161" spans="1:3">
      <c r="A161" t="s">
        <v>161</v>
      </c>
      <c r="B161">
        <v>2020</v>
      </c>
      <c r="C161">
        <v>4520</v>
      </c>
    </row>
    <row r="162" spans="1:3">
      <c r="A162" t="s">
        <v>161</v>
      </c>
      <c r="B162">
        <v>2021</v>
      </c>
      <c r="C162">
        <v>5041</v>
      </c>
    </row>
    <row r="163" spans="1:3">
      <c r="A163" t="s">
        <v>161</v>
      </c>
      <c r="B163">
        <v>2022</v>
      </c>
      <c r="C163">
        <v>5057</v>
      </c>
    </row>
    <row r="164" spans="1:3">
      <c r="A164" t="s">
        <v>161</v>
      </c>
      <c r="B164">
        <v>2023</v>
      </c>
      <c r="C164">
        <v>5503</v>
      </c>
    </row>
    <row r="165" spans="1:3">
      <c r="A165" t="s">
        <v>161</v>
      </c>
      <c r="B165">
        <v>2024</v>
      </c>
      <c r="C165">
        <v>5722</v>
      </c>
    </row>
    <row r="166" spans="1:3">
      <c r="A166" t="s">
        <v>161</v>
      </c>
      <c r="B166">
        <v>2025</v>
      </c>
      <c r="C166">
        <v>6041</v>
      </c>
    </row>
    <row r="167" spans="1:3">
      <c r="A167" t="s">
        <v>162</v>
      </c>
      <c r="B167">
        <v>2015</v>
      </c>
      <c r="C167">
        <v>880</v>
      </c>
    </row>
    <row r="168" spans="1:3">
      <c r="A168" t="s">
        <v>162</v>
      </c>
      <c r="B168">
        <v>2016</v>
      </c>
      <c r="C168">
        <v>944</v>
      </c>
    </row>
    <row r="169" spans="1:3">
      <c r="A169" t="s">
        <v>162</v>
      </c>
      <c r="B169">
        <v>2017</v>
      </c>
      <c r="C169">
        <v>1024</v>
      </c>
    </row>
    <row r="170" spans="1:3">
      <c r="A170" t="s">
        <v>162</v>
      </c>
      <c r="B170">
        <v>2018</v>
      </c>
      <c r="C170">
        <v>1206</v>
      </c>
    </row>
    <row r="171" spans="1:3">
      <c r="A171" t="s">
        <v>162</v>
      </c>
      <c r="B171">
        <v>2019</v>
      </c>
      <c r="C171">
        <v>1340</v>
      </c>
    </row>
    <row r="172" spans="1:3">
      <c r="A172" t="s">
        <v>162</v>
      </c>
      <c r="B172">
        <v>2020</v>
      </c>
      <c r="C172">
        <v>1593</v>
      </c>
    </row>
    <row r="173" spans="1:3">
      <c r="A173" t="s">
        <v>162</v>
      </c>
      <c r="B173">
        <v>2021</v>
      </c>
      <c r="C173">
        <v>1789</v>
      </c>
    </row>
    <row r="174" spans="1:3">
      <c r="A174" t="s">
        <v>162</v>
      </c>
      <c r="B174">
        <v>2022</v>
      </c>
      <c r="C174">
        <v>2055</v>
      </c>
    </row>
    <row r="175" spans="1:3">
      <c r="A175" t="s">
        <v>162</v>
      </c>
      <c r="B175">
        <v>2023</v>
      </c>
      <c r="C175">
        <v>2380</v>
      </c>
    </row>
    <row r="176" spans="1:3">
      <c r="A176" t="s">
        <v>162</v>
      </c>
      <c r="B176">
        <v>2024</v>
      </c>
      <c r="C176">
        <v>2544</v>
      </c>
    </row>
    <row r="177" spans="1:3">
      <c r="A177" t="s">
        <v>162</v>
      </c>
      <c r="B177">
        <v>2025</v>
      </c>
      <c r="C177">
        <v>2525</v>
      </c>
    </row>
    <row r="178" spans="1:3">
      <c r="A178" t="s">
        <v>163</v>
      </c>
      <c r="B178">
        <v>2015</v>
      </c>
      <c r="C178">
        <v>736</v>
      </c>
    </row>
    <row r="179" spans="1:3">
      <c r="A179" t="s">
        <v>163</v>
      </c>
      <c r="B179">
        <v>2016</v>
      </c>
      <c r="C179">
        <v>849</v>
      </c>
    </row>
    <row r="180" spans="1:3">
      <c r="A180" t="s">
        <v>163</v>
      </c>
      <c r="B180">
        <v>2017</v>
      </c>
      <c r="C180">
        <v>932</v>
      </c>
    </row>
    <row r="181" spans="1:3">
      <c r="A181" t="s">
        <v>163</v>
      </c>
      <c r="B181">
        <v>2018</v>
      </c>
      <c r="C181">
        <v>971</v>
      </c>
    </row>
    <row r="182" spans="1:3">
      <c r="A182" t="s">
        <v>163</v>
      </c>
      <c r="B182">
        <v>2019</v>
      </c>
      <c r="C182">
        <v>1060</v>
      </c>
    </row>
    <row r="183" spans="1:3">
      <c r="A183" t="s">
        <v>163</v>
      </c>
      <c r="B183">
        <v>2020</v>
      </c>
      <c r="C183">
        <v>1237</v>
      </c>
    </row>
    <row r="184" spans="1:3">
      <c r="A184" t="s">
        <v>163</v>
      </c>
      <c r="B184">
        <v>2021</v>
      </c>
      <c r="C184">
        <v>1546</v>
      </c>
    </row>
    <row r="185" spans="1:3">
      <c r="A185" t="s">
        <v>163</v>
      </c>
      <c r="B185">
        <v>2022</v>
      </c>
      <c r="C185">
        <v>1692</v>
      </c>
    </row>
    <row r="186" spans="1:3">
      <c r="A186" t="s">
        <v>163</v>
      </c>
      <c r="B186">
        <v>2023</v>
      </c>
      <c r="C186">
        <v>1964</v>
      </c>
    </row>
    <row r="187" spans="1:3">
      <c r="A187" t="s">
        <v>163</v>
      </c>
      <c r="B187">
        <v>2024</v>
      </c>
      <c r="C187">
        <v>2055</v>
      </c>
    </row>
    <row r="188" spans="1:3">
      <c r="A188" t="s">
        <v>163</v>
      </c>
      <c r="B188">
        <v>2025</v>
      </c>
      <c r="C188">
        <v>2342</v>
      </c>
    </row>
    <row r="189" spans="1:3">
      <c r="A189" t="s">
        <v>164</v>
      </c>
      <c r="B189">
        <v>2015</v>
      </c>
      <c r="C189">
        <v>588</v>
      </c>
    </row>
    <row r="190" spans="1:3">
      <c r="A190" t="s">
        <v>164</v>
      </c>
      <c r="B190">
        <v>2016</v>
      </c>
      <c r="C190">
        <v>632</v>
      </c>
    </row>
    <row r="191" spans="1:3">
      <c r="A191" t="s">
        <v>164</v>
      </c>
      <c r="B191">
        <v>2017</v>
      </c>
      <c r="C191">
        <v>634</v>
      </c>
    </row>
    <row r="192" spans="1:3">
      <c r="A192" t="s">
        <v>164</v>
      </c>
      <c r="B192">
        <v>2018</v>
      </c>
      <c r="C192">
        <v>753</v>
      </c>
    </row>
    <row r="193" spans="1:3">
      <c r="A193" t="s">
        <v>164</v>
      </c>
      <c r="B193">
        <v>2019</v>
      </c>
      <c r="C193">
        <v>807</v>
      </c>
    </row>
    <row r="194" spans="1:3">
      <c r="A194" t="s">
        <v>164</v>
      </c>
      <c r="B194">
        <v>2020</v>
      </c>
      <c r="C194">
        <v>901</v>
      </c>
    </row>
    <row r="195" spans="1:3">
      <c r="A195" t="s">
        <v>164</v>
      </c>
      <c r="B195">
        <v>2021</v>
      </c>
      <c r="C195">
        <v>1084</v>
      </c>
    </row>
    <row r="196" spans="1:3">
      <c r="A196" t="s">
        <v>164</v>
      </c>
      <c r="B196">
        <v>2022</v>
      </c>
      <c r="C196">
        <v>1167</v>
      </c>
    </row>
    <row r="197" spans="1:3">
      <c r="A197" t="s">
        <v>164</v>
      </c>
      <c r="B197">
        <v>2023</v>
      </c>
      <c r="C197">
        <v>1383</v>
      </c>
    </row>
    <row r="198" spans="1:3">
      <c r="A198" t="s">
        <v>164</v>
      </c>
      <c r="B198">
        <v>2024</v>
      </c>
      <c r="C198">
        <v>1484</v>
      </c>
    </row>
    <row r="199" spans="1:3">
      <c r="A199" t="s">
        <v>164</v>
      </c>
      <c r="B199">
        <v>2025</v>
      </c>
      <c r="C199">
        <v>1533</v>
      </c>
    </row>
    <row r="200" spans="1:3">
      <c r="A200" t="s">
        <v>165</v>
      </c>
      <c r="B200">
        <v>2015</v>
      </c>
      <c r="C200">
        <v>3928</v>
      </c>
    </row>
    <row r="201" spans="1:3">
      <c r="A201" t="s">
        <v>165</v>
      </c>
      <c r="B201">
        <v>2016</v>
      </c>
      <c r="C201">
        <v>4475</v>
      </c>
    </row>
    <row r="202" spans="1:3">
      <c r="A202" t="s">
        <v>165</v>
      </c>
      <c r="B202">
        <v>2017</v>
      </c>
      <c r="C202">
        <v>4828</v>
      </c>
    </row>
    <row r="203" spans="1:3">
      <c r="A203" t="s">
        <v>165</v>
      </c>
      <c r="B203">
        <v>2018</v>
      </c>
      <c r="C203">
        <v>5362</v>
      </c>
    </row>
    <row r="204" spans="1:3">
      <c r="A204" t="s">
        <v>165</v>
      </c>
      <c r="B204">
        <v>2019</v>
      </c>
      <c r="C204">
        <v>5590</v>
      </c>
    </row>
    <row r="205" spans="1:3">
      <c r="A205" t="s">
        <v>165</v>
      </c>
      <c r="B205">
        <v>2020</v>
      </c>
      <c r="C205">
        <v>6278</v>
      </c>
    </row>
    <row r="206" spans="1:3">
      <c r="A206" t="s">
        <v>248</v>
      </c>
      <c r="B206">
        <v>2021</v>
      </c>
      <c r="C206">
        <v>6565</v>
      </c>
    </row>
    <row r="207" spans="1:3">
      <c r="A207" t="s">
        <v>165</v>
      </c>
      <c r="B207">
        <v>2022</v>
      </c>
      <c r="C207">
        <v>6977</v>
      </c>
    </row>
    <row r="208" spans="1:3">
      <c r="A208" t="s">
        <v>165</v>
      </c>
      <c r="B208">
        <v>2023</v>
      </c>
      <c r="C208">
        <v>6985</v>
      </c>
    </row>
    <row r="209" spans="1:3">
      <c r="A209" t="s">
        <v>165</v>
      </c>
      <c r="B209">
        <v>2024</v>
      </c>
      <c r="C209">
        <v>7362</v>
      </c>
    </row>
    <row r="210" spans="1:3">
      <c r="A210" t="s">
        <v>165</v>
      </c>
      <c r="B210">
        <v>2025</v>
      </c>
      <c r="C210">
        <v>7779</v>
      </c>
    </row>
    <row r="211" spans="1:3">
      <c r="A211" t="s">
        <v>166</v>
      </c>
      <c r="B211">
        <v>2015</v>
      </c>
      <c r="C211">
        <v>3716</v>
      </c>
    </row>
    <row r="212" spans="1:3">
      <c r="A212" t="s">
        <v>166</v>
      </c>
      <c r="B212">
        <v>2016</v>
      </c>
      <c r="C212">
        <v>4452</v>
      </c>
    </row>
    <row r="213" spans="1:3">
      <c r="A213" t="s">
        <v>166</v>
      </c>
      <c r="B213">
        <v>2017</v>
      </c>
      <c r="C213">
        <v>4670</v>
      </c>
    </row>
    <row r="214" spans="1:3">
      <c r="A214" t="s">
        <v>166</v>
      </c>
      <c r="B214">
        <v>2018</v>
      </c>
      <c r="C214">
        <v>4945</v>
      </c>
    </row>
    <row r="215" spans="1:3">
      <c r="A215" t="s">
        <v>166</v>
      </c>
      <c r="B215">
        <v>2019</v>
      </c>
      <c r="C215">
        <v>5309</v>
      </c>
    </row>
    <row r="216" spans="1:3">
      <c r="A216" t="s">
        <v>166</v>
      </c>
      <c r="B216">
        <v>2020</v>
      </c>
      <c r="C216">
        <v>5981</v>
      </c>
    </row>
    <row r="217" spans="1:3">
      <c r="A217" t="s">
        <v>166</v>
      </c>
      <c r="B217">
        <v>2021</v>
      </c>
      <c r="C217">
        <v>6985</v>
      </c>
    </row>
    <row r="218" spans="1:3">
      <c r="A218" t="s">
        <v>166</v>
      </c>
      <c r="B218">
        <v>2022</v>
      </c>
      <c r="C218">
        <v>6785</v>
      </c>
    </row>
    <row r="219" spans="1:3">
      <c r="A219" t="s">
        <v>166</v>
      </c>
      <c r="B219">
        <v>2023</v>
      </c>
      <c r="C219">
        <v>7005</v>
      </c>
    </row>
    <row r="220" spans="1:3">
      <c r="A220" t="s">
        <v>166</v>
      </c>
      <c r="B220">
        <v>2024</v>
      </c>
      <c r="C220">
        <v>7249</v>
      </c>
    </row>
    <row r="221" spans="1:3">
      <c r="A221" t="s">
        <v>166</v>
      </c>
      <c r="B221">
        <v>2025</v>
      </c>
      <c r="C221">
        <v>7470</v>
      </c>
    </row>
    <row r="222" spans="1:3">
      <c r="A222" t="s">
        <v>167</v>
      </c>
      <c r="B222">
        <v>2015</v>
      </c>
      <c r="C222">
        <v>271</v>
      </c>
    </row>
    <row r="223" spans="1:3">
      <c r="A223" t="s">
        <v>167</v>
      </c>
      <c r="B223">
        <v>2016</v>
      </c>
      <c r="C223">
        <v>305</v>
      </c>
    </row>
    <row r="224" spans="1:3">
      <c r="A224" t="s">
        <v>167</v>
      </c>
      <c r="B224">
        <v>2017</v>
      </c>
      <c r="C224">
        <v>344</v>
      </c>
    </row>
    <row r="225" spans="1:3">
      <c r="A225" t="s">
        <v>167</v>
      </c>
      <c r="B225">
        <v>2018</v>
      </c>
      <c r="C225">
        <v>386</v>
      </c>
    </row>
    <row r="226" spans="1:3">
      <c r="A226" t="s">
        <v>167</v>
      </c>
      <c r="B226">
        <v>2019</v>
      </c>
      <c r="C226">
        <v>437</v>
      </c>
    </row>
    <row r="227" spans="1:3">
      <c r="A227" t="s">
        <v>167</v>
      </c>
      <c r="B227">
        <v>2020</v>
      </c>
      <c r="C227">
        <v>542</v>
      </c>
    </row>
    <row r="228" spans="1:3">
      <c r="A228" t="s">
        <v>167</v>
      </c>
      <c r="B228">
        <v>2021</v>
      </c>
      <c r="C228">
        <v>637</v>
      </c>
    </row>
    <row r="229" spans="1:3">
      <c r="A229" t="s">
        <v>167</v>
      </c>
      <c r="B229">
        <v>2022</v>
      </c>
      <c r="C229">
        <v>725</v>
      </c>
    </row>
    <row r="230" spans="1:3">
      <c r="A230" t="s">
        <v>167</v>
      </c>
      <c r="B230">
        <v>2023</v>
      </c>
      <c r="C230">
        <v>691</v>
      </c>
    </row>
    <row r="231" spans="1:3">
      <c r="A231" t="s">
        <v>167</v>
      </c>
      <c r="B231">
        <v>2024</v>
      </c>
      <c r="C231">
        <v>758</v>
      </c>
    </row>
    <row r="232" spans="1:3">
      <c r="A232" t="s">
        <v>167</v>
      </c>
      <c r="B232">
        <v>2025</v>
      </c>
      <c r="C232">
        <v>863</v>
      </c>
    </row>
    <row r="233" spans="1:3">
      <c r="A233" t="s">
        <v>168</v>
      </c>
      <c r="B233">
        <v>2015</v>
      </c>
      <c r="C233">
        <v>293</v>
      </c>
    </row>
    <row r="234" spans="1:3">
      <c r="A234" t="s">
        <v>168</v>
      </c>
      <c r="B234">
        <v>2016</v>
      </c>
      <c r="C234">
        <v>281</v>
      </c>
    </row>
    <row r="235" spans="1:3">
      <c r="A235" t="s">
        <v>168</v>
      </c>
      <c r="B235">
        <v>2017</v>
      </c>
      <c r="C235">
        <v>291</v>
      </c>
    </row>
    <row r="236" spans="1:3">
      <c r="A236" t="s">
        <v>168</v>
      </c>
      <c r="B236">
        <v>2018</v>
      </c>
      <c r="C236">
        <v>340</v>
      </c>
    </row>
    <row r="237" spans="1:3">
      <c r="A237" t="s">
        <v>168</v>
      </c>
      <c r="B237">
        <v>2019</v>
      </c>
      <c r="C237">
        <v>369</v>
      </c>
    </row>
    <row r="238" spans="1:3">
      <c r="A238" t="s">
        <v>168</v>
      </c>
      <c r="B238">
        <v>2020</v>
      </c>
      <c r="C238">
        <v>415</v>
      </c>
    </row>
    <row r="239" spans="1:3">
      <c r="A239" t="s">
        <v>168</v>
      </c>
      <c r="B239">
        <v>2021</v>
      </c>
      <c r="C239">
        <v>609</v>
      </c>
    </row>
    <row r="240" spans="1:3">
      <c r="A240" t="s">
        <v>168</v>
      </c>
      <c r="B240">
        <v>2022</v>
      </c>
      <c r="C240">
        <v>514</v>
      </c>
    </row>
    <row r="241" spans="1:3">
      <c r="A241" t="s">
        <v>168</v>
      </c>
      <c r="B241">
        <v>2023</v>
      </c>
      <c r="C241">
        <v>554</v>
      </c>
    </row>
    <row r="242" spans="1:3">
      <c r="A242" t="s">
        <v>168</v>
      </c>
      <c r="B242">
        <v>2024</v>
      </c>
      <c r="C242">
        <v>596</v>
      </c>
    </row>
    <row r="243" spans="1:3">
      <c r="A243" t="s">
        <v>168</v>
      </c>
      <c r="B243">
        <v>2025</v>
      </c>
      <c r="C243">
        <v>553</v>
      </c>
    </row>
    <row r="244" spans="1:3">
      <c r="A244" t="s">
        <v>169</v>
      </c>
      <c r="B244">
        <v>2015</v>
      </c>
      <c r="C244">
        <v>675</v>
      </c>
    </row>
    <row r="245" spans="1:3">
      <c r="A245" t="s">
        <v>169</v>
      </c>
      <c r="B245">
        <v>2016</v>
      </c>
      <c r="C245">
        <v>762</v>
      </c>
    </row>
    <row r="246" spans="1:3">
      <c r="A246" t="s">
        <v>169</v>
      </c>
      <c r="B246">
        <v>2017</v>
      </c>
      <c r="C246">
        <v>813</v>
      </c>
    </row>
    <row r="247" spans="1:3">
      <c r="A247" t="s">
        <v>169</v>
      </c>
      <c r="B247">
        <v>2018</v>
      </c>
      <c r="C247">
        <v>922</v>
      </c>
    </row>
    <row r="248" spans="1:3">
      <c r="A248" t="s">
        <v>169</v>
      </c>
      <c r="B248">
        <v>2019</v>
      </c>
      <c r="C248">
        <v>943</v>
      </c>
    </row>
    <row r="249" spans="1:3">
      <c r="A249" t="s">
        <v>169</v>
      </c>
      <c r="B249">
        <v>2020</v>
      </c>
      <c r="C249">
        <v>1040</v>
      </c>
    </row>
    <row r="250" spans="1:3">
      <c r="A250" t="s">
        <v>169</v>
      </c>
      <c r="B250">
        <v>2021</v>
      </c>
      <c r="C250">
        <v>1077</v>
      </c>
    </row>
    <row r="251" spans="1:3">
      <c r="A251" t="s">
        <v>169</v>
      </c>
      <c r="B251">
        <v>2022</v>
      </c>
      <c r="C251">
        <v>1104</v>
      </c>
    </row>
    <row r="252" spans="1:3">
      <c r="A252" t="s">
        <v>169</v>
      </c>
      <c r="B252">
        <v>2023</v>
      </c>
      <c r="C252">
        <v>1292</v>
      </c>
    </row>
    <row r="253" spans="1:3">
      <c r="A253" t="s">
        <v>169</v>
      </c>
      <c r="B253">
        <v>2024</v>
      </c>
      <c r="C253">
        <v>1463</v>
      </c>
    </row>
    <row r="254" spans="1:3">
      <c r="A254" t="s">
        <v>169</v>
      </c>
      <c r="B254">
        <v>2025</v>
      </c>
      <c r="C254">
        <v>1506</v>
      </c>
    </row>
    <row r="255" spans="1:3">
      <c r="A255" t="s">
        <v>170</v>
      </c>
      <c r="B255">
        <v>2015</v>
      </c>
      <c r="C255">
        <v>319</v>
      </c>
    </row>
    <row r="256" spans="1:3">
      <c r="A256" t="s">
        <v>170</v>
      </c>
      <c r="B256">
        <v>2016</v>
      </c>
      <c r="C256">
        <v>317</v>
      </c>
    </row>
    <row r="257" spans="1:3">
      <c r="A257" t="s">
        <v>170</v>
      </c>
      <c r="B257">
        <v>2017</v>
      </c>
      <c r="C257">
        <v>327</v>
      </c>
    </row>
    <row r="258" spans="1:3">
      <c r="A258" t="s">
        <v>170</v>
      </c>
      <c r="B258">
        <v>2018</v>
      </c>
      <c r="C258">
        <v>360</v>
      </c>
    </row>
    <row r="259" spans="1:3">
      <c r="A259" t="s">
        <v>170</v>
      </c>
      <c r="B259">
        <v>2019</v>
      </c>
      <c r="C259">
        <v>389</v>
      </c>
    </row>
    <row r="260" spans="1:3">
      <c r="A260" t="s">
        <v>170</v>
      </c>
      <c r="B260">
        <v>2020</v>
      </c>
      <c r="C260">
        <v>474</v>
      </c>
    </row>
    <row r="261" spans="1:3">
      <c r="A261" t="s">
        <v>170</v>
      </c>
      <c r="B261">
        <v>2021</v>
      </c>
      <c r="C261">
        <v>512</v>
      </c>
    </row>
    <row r="262" spans="1:3">
      <c r="A262" t="s">
        <v>170</v>
      </c>
      <c r="B262">
        <v>2022</v>
      </c>
      <c r="C262">
        <v>574</v>
      </c>
    </row>
    <row r="263" spans="1:3">
      <c r="A263" t="s">
        <v>170</v>
      </c>
      <c r="B263">
        <v>2023</v>
      </c>
      <c r="C263">
        <v>697</v>
      </c>
    </row>
    <row r="264" spans="1:3">
      <c r="A264" t="s">
        <v>170</v>
      </c>
      <c r="B264">
        <v>2024</v>
      </c>
      <c r="C264">
        <v>738</v>
      </c>
    </row>
    <row r="265" spans="1:3">
      <c r="A265" t="s">
        <v>170</v>
      </c>
      <c r="B265">
        <v>2025</v>
      </c>
      <c r="C265">
        <v>778</v>
      </c>
    </row>
    <row r="266" spans="1:3">
      <c r="A266" t="s">
        <v>171</v>
      </c>
      <c r="B266">
        <v>2015</v>
      </c>
      <c r="C266">
        <v>610</v>
      </c>
    </row>
    <row r="267" spans="1:3">
      <c r="A267" t="s">
        <v>171</v>
      </c>
      <c r="B267">
        <v>2016</v>
      </c>
      <c r="C267">
        <v>680</v>
      </c>
    </row>
    <row r="268" spans="1:3">
      <c r="A268" t="s">
        <v>171</v>
      </c>
      <c r="B268">
        <v>2017</v>
      </c>
      <c r="C268">
        <v>688</v>
      </c>
    </row>
    <row r="269" spans="1:3">
      <c r="A269" t="s">
        <v>171</v>
      </c>
      <c r="B269">
        <v>2018</v>
      </c>
      <c r="C269">
        <v>794</v>
      </c>
    </row>
    <row r="270" spans="1:3">
      <c r="A270" t="s">
        <v>171</v>
      </c>
      <c r="B270">
        <v>2019</v>
      </c>
      <c r="C270">
        <v>1080</v>
      </c>
    </row>
    <row r="271" spans="1:3">
      <c r="A271" t="s">
        <v>171</v>
      </c>
      <c r="B271">
        <v>2020</v>
      </c>
      <c r="C271">
        <v>1244</v>
      </c>
    </row>
    <row r="272" spans="1:3">
      <c r="A272" t="s">
        <v>171</v>
      </c>
      <c r="B272">
        <v>2021</v>
      </c>
      <c r="C272">
        <v>1692</v>
      </c>
    </row>
    <row r="273" spans="1:3">
      <c r="A273" t="s">
        <v>171</v>
      </c>
      <c r="B273">
        <v>2022</v>
      </c>
      <c r="C273">
        <v>1794</v>
      </c>
    </row>
    <row r="274" spans="1:3">
      <c r="A274" t="s">
        <v>171</v>
      </c>
      <c r="B274">
        <v>2023</v>
      </c>
      <c r="C274">
        <v>1844</v>
      </c>
    </row>
    <row r="275" spans="1:3">
      <c r="A275" t="s">
        <v>171</v>
      </c>
      <c r="B275">
        <v>2024</v>
      </c>
      <c r="C275">
        <v>1877</v>
      </c>
    </row>
    <row r="276" spans="1:3">
      <c r="A276" t="s">
        <v>171</v>
      </c>
      <c r="B276">
        <v>2025</v>
      </c>
      <c r="C276">
        <v>1910</v>
      </c>
    </row>
    <row r="277" spans="1:3">
      <c r="A277" t="s">
        <v>172</v>
      </c>
      <c r="B277">
        <v>2015</v>
      </c>
      <c r="C277">
        <v>445</v>
      </c>
    </row>
    <row r="278" spans="1:3">
      <c r="A278" t="s">
        <v>172</v>
      </c>
      <c r="B278">
        <v>2016</v>
      </c>
      <c r="C278">
        <v>461</v>
      </c>
    </row>
    <row r="279" spans="1:3">
      <c r="A279" t="s">
        <v>172</v>
      </c>
      <c r="B279">
        <v>2017</v>
      </c>
      <c r="C279">
        <v>501</v>
      </c>
    </row>
    <row r="280" spans="1:3">
      <c r="A280" t="s">
        <v>172</v>
      </c>
      <c r="B280">
        <v>2018</v>
      </c>
      <c r="C280">
        <v>574</v>
      </c>
    </row>
    <row r="281" spans="1:3">
      <c r="A281" t="s">
        <v>172</v>
      </c>
      <c r="B281">
        <v>2019</v>
      </c>
      <c r="C281">
        <v>563</v>
      </c>
    </row>
    <row r="282" spans="1:3">
      <c r="A282" t="s">
        <v>172</v>
      </c>
      <c r="B282">
        <v>2020</v>
      </c>
      <c r="C282">
        <v>782</v>
      </c>
    </row>
    <row r="283" spans="1:3">
      <c r="A283" t="s">
        <v>172</v>
      </c>
      <c r="B283">
        <v>2021</v>
      </c>
      <c r="C283">
        <v>877</v>
      </c>
    </row>
    <row r="284" spans="1:3">
      <c r="A284" t="s">
        <v>172</v>
      </c>
      <c r="B284">
        <v>2022</v>
      </c>
      <c r="C284">
        <v>778</v>
      </c>
    </row>
    <row r="285" spans="1:3">
      <c r="A285" t="s">
        <v>172</v>
      </c>
      <c r="B285">
        <v>2023</v>
      </c>
      <c r="C285">
        <v>839</v>
      </c>
    </row>
    <row r="286" spans="1:3">
      <c r="A286" t="s">
        <v>172</v>
      </c>
      <c r="B286">
        <v>2024</v>
      </c>
      <c r="C286">
        <v>937</v>
      </c>
    </row>
    <row r="287" spans="1:3">
      <c r="A287" t="s">
        <v>172</v>
      </c>
      <c r="B287">
        <v>2025</v>
      </c>
      <c r="C287">
        <v>1000</v>
      </c>
    </row>
    <row r="288" spans="1:3">
      <c r="A288" t="s">
        <v>174</v>
      </c>
      <c r="B288">
        <v>2015</v>
      </c>
      <c r="C288">
        <v>136</v>
      </c>
    </row>
    <row r="289" spans="1:3">
      <c r="A289" t="s">
        <v>174</v>
      </c>
      <c r="B289">
        <v>2016</v>
      </c>
      <c r="C289">
        <v>150</v>
      </c>
    </row>
    <row r="290" spans="1:3">
      <c r="A290" t="s">
        <v>174</v>
      </c>
      <c r="B290">
        <v>2017</v>
      </c>
      <c r="C290">
        <v>111</v>
      </c>
    </row>
    <row r="291" spans="1:3">
      <c r="A291" t="s">
        <v>174</v>
      </c>
      <c r="B291">
        <v>2018</v>
      </c>
      <c r="C291">
        <v>119</v>
      </c>
    </row>
    <row r="292" spans="1:3">
      <c r="A292" t="s">
        <v>174</v>
      </c>
      <c r="B292">
        <v>2019</v>
      </c>
      <c r="C292">
        <v>105</v>
      </c>
    </row>
    <row r="293" spans="1:3">
      <c r="A293" t="s">
        <v>174</v>
      </c>
      <c r="B293">
        <v>2020</v>
      </c>
      <c r="C293">
        <v>122</v>
      </c>
    </row>
    <row r="294" spans="1:3">
      <c r="A294" t="s">
        <v>174</v>
      </c>
      <c r="B294">
        <v>2021</v>
      </c>
      <c r="C294">
        <v>177</v>
      </c>
    </row>
    <row r="295" spans="1:3">
      <c r="A295" t="s">
        <v>174</v>
      </c>
      <c r="B295">
        <v>2022</v>
      </c>
      <c r="C295">
        <v>193</v>
      </c>
    </row>
    <row r="296" spans="1:3">
      <c r="A296" t="s">
        <v>174</v>
      </c>
      <c r="B296">
        <v>2023</v>
      </c>
      <c r="C296">
        <v>222</v>
      </c>
    </row>
    <row r="297" spans="1:3">
      <c r="A297" t="s">
        <v>174</v>
      </c>
      <c r="B297">
        <v>2024</v>
      </c>
      <c r="C297">
        <v>206</v>
      </c>
    </row>
    <row r="298" spans="1:3">
      <c r="A298" t="s">
        <v>174</v>
      </c>
      <c r="B298">
        <v>2025</v>
      </c>
      <c r="C298">
        <v>222</v>
      </c>
    </row>
    <row r="299" spans="1:3">
      <c r="A299" t="s">
        <v>175</v>
      </c>
      <c r="B299">
        <v>2015</v>
      </c>
      <c r="C299">
        <v>648</v>
      </c>
    </row>
    <row r="300" spans="1:3">
      <c r="A300" t="s">
        <v>175</v>
      </c>
      <c r="B300">
        <v>2016</v>
      </c>
      <c r="C300">
        <v>669</v>
      </c>
    </row>
    <row r="301" spans="1:3">
      <c r="A301" t="s">
        <v>175</v>
      </c>
      <c r="B301">
        <v>2017</v>
      </c>
      <c r="C301">
        <v>699</v>
      </c>
    </row>
    <row r="302" spans="1:3">
      <c r="A302" t="s">
        <v>175</v>
      </c>
      <c r="B302">
        <v>2018</v>
      </c>
      <c r="C302">
        <v>732</v>
      </c>
    </row>
    <row r="303" spans="1:3">
      <c r="A303" t="s">
        <v>175</v>
      </c>
      <c r="B303">
        <v>2019</v>
      </c>
      <c r="C303">
        <v>729</v>
      </c>
    </row>
    <row r="304" spans="1:3">
      <c r="A304" t="s">
        <v>175</v>
      </c>
      <c r="B304">
        <v>2020</v>
      </c>
      <c r="C304">
        <v>737</v>
      </c>
    </row>
    <row r="305" spans="1:3">
      <c r="A305" t="s">
        <v>175</v>
      </c>
      <c r="B305">
        <v>2021</v>
      </c>
      <c r="C305">
        <v>740</v>
      </c>
    </row>
    <row r="306" spans="1:3">
      <c r="A306" t="s">
        <v>175</v>
      </c>
      <c r="B306">
        <v>2022</v>
      </c>
      <c r="C306">
        <v>766</v>
      </c>
    </row>
    <row r="307" spans="1:3">
      <c r="A307" t="s">
        <v>175</v>
      </c>
      <c r="B307">
        <v>2023</v>
      </c>
      <c r="C307">
        <v>946</v>
      </c>
    </row>
    <row r="308" spans="1:3">
      <c r="A308" t="s">
        <v>175</v>
      </c>
      <c r="B308">
        <v>2024</v>
      </c>
      <c r="C308">
        <v>1030</v>
      </c>
    </row>
    <row r="309" spans="1:3">
      <c r="A309" t="s">
        <v>175</v>
      </c>
      <c r="B309">
        <v>2025</v>
      </c>
      <c r="C309">
        <v>1018</v>
      </c>
    </row>
    <row r="310" spans="1:3">
      <c r="A310" t="s">
        <v>176</v>
      </c>
      <c r="B310">
        <v>2015</v>
      </c>
      <c r="C310">
        <v>784</v>
      </c>
    </row>
    <row r="311" spans="1:3">
      <c r="A311" t="s">
        <v>176</v>
      </c>
      <c r="B311">
        <v>2016</v>
      </c>
      <c r="C311">
        <v>834</v>
      </c>
    </row>
    <row r="312" spans="1:3">
      <c r="A312" t="s">
        <v>176</v>
      </c>
      <c r="B312">
        <v>2017</v>
      </c>
      <c r="C312">
        <v>886</v>
      </c>
    </row>
    <row r="313" spans="1:3">
      <c r="A313" t="s">
        <v>176</v>
      </c>
      <c r="B313">
        <v>2018</v>
      </c>
      <c r="C313">
        <v>1025</v>
      </c>
    </row>
    <row r="314" spans="1:3">
      <c r="A314" t="s">
        <v>176</v>
      </c>
      <c r="B314">
        <v>2019</v>
      </c>
      <c r="C314">
        <v>919</v>
      </c>
    </row>
    <row r="315" spans="1:3">
      <c r="A315" t="s">
        <v>176</v>
      </c>
      <c r="B315">
        <v>2020</v>
      </c>
      <c r="C315">
        <v>1139</v>
      </c>
    </row>
    <row r="316" spans="1:3">
      <c r="A316" t="s">
        <v>176</v>
      </c>
      <c r="B316">
        <v>2021</v>
      </c>
      <c r="C316">
        <v>1392</v>
      </c>
    </row>
    <row r="317" spans="1:3">
      <c r="A317" t="s">
        <v>176</v>
      </c>
      <c r="B317">
        <v>2022</v>
      </c>
      <c r="C317">
        <v>1616</v>
      </c>
    </row>
    <row r="318" spans="1:3">
      <c r="A318" t="s">
        <v>176</v>
      </c>
      <c r="B318">
        <v>2023</v>
      </c>
      <c r="C318">
        <v>1656</v>
      </c>
    </row>
    <row r="319" spans="1:3">
      <c r="A319" t="s">
        <v>176</v>
      </c>
      <c r="B319">
        <v>2024</v>
      </c>
      <c r="C319">
        <v>1524</v>
      </c>
    </row>
    <row r="320" spans="1:3">
      <c r="A320" t="s">
        <v>176</v>
      </c>
      <c r="B320">
        <v>2025</v>
      </c>
      <c r="C320">
        <v>1309</v>
      </c>
    </row>
    <row r="321" spans="1:3">
      <c r="A321" t="s">
        <v>177</v>
      </c>
      <c r="B321">
        <v>2015</v>
      </c>
      <c r="C321">
        <v>877</v>
      </c>
    </row>
    <row r="322" spans="1:3">
      <c r="A322" t="s">
        <v>177</v>
      </c>
      <c r="B322">
        <v>2016</v>
      </c>
      <c r="C322">
        <v>1035</v>
      </c>
    </row>
    <row r="323" spans="1:3">
      <c r="A323" t="s">
        <v>177</v>
      </c>
      <c r="B323">
        <v>2017</v>
      </c>
      <c r="C323">
        <v>1011</v>
      </c>
    </row>
    <row r="324" spans="1:3">
      <c r="A324" t="s">
        <v>177</v>
      </c>
      <c r="B324">
        <v>2018</v>
      </c>
      <c r="C324">
        <v>1101</v>
      </c>
    </row>
    <row r="325" spans="1:3">
      <c r="A325" t="s">
        <v>177</v>
      </c>
      <c r="B325">
        <v>2019</v>
      </c>
      <c r="C325">
        <v>1146</v>
      </c>
    </row>
    <row r="326" spans="1:3">
      <c r="A326" t="s">
        <v>177</v>
      </c>
      <c r="B326">
        <v>2020</v>
      </c>
      <c r="C326">
        <v>1282</v>
      </c>
    </row>
    <row r="327" spans="1:3">
      <c r="A327" t="s">
        <v>177</v>
      </c>
      <c r="B327">
        <v>2021</v>
      </c>
      <c r="C327">
        <v>1363</v>
      </c>
    </row>
    <row r="328" spans="1:3">
      <c r="A328" t="s">
        <v>177</v>
      </c>
      <c r="B328">
        <v>2022</v>
      </c>
      <c r="C328">
        <v>1502</v>
      </c>
    </row>
    <row r="329" spans="1:3">
      <c r="A329" t="s">
        <v>177</v>
      </c>
      <c r="B329">
        <v>2023</v>
      </c>
      <c r="C329">
        <v>1609</v>
      </c>
    </row>
    <row r="330" spans="1:3">
      <c r="A330" t="s">
        <v>177</v>
      </c>
      <c r="B330">
        <v>2024</v>
      </c>
      <c r="C330">
        <v>1691</v>
      </c>
    </row>
    <row r="331" spans="1:3">
      <c r="A331" t="s">
        <v>177</v>
      </c>
      <c r="B331">
        <v>2025</v>
      </c>
      <c r="C331">
        <v>1695</v>
      </c>
    </row>
    <row r="332" spans="1:3">
      <c r="A332" t="s">
        <v>178</v>
      </c>
      <c r="B332">
        <v>2015</v>
      </c>
      <c r="C332">
        <v>530</v>
      </c>
    </row>
    <row r="333" spans="1:3">
      <c r="A333" t="s">
        <v>178</v>
      </c>
      <c r="B333">
        <v>2016</v>
      </c>
      <c r="C333">
        <v>526</v>
      </c>
    </row>
    <row r="334" spans="1:3">
      <c r="A334" t="s">
        <v>178</v>
      </c>
      <c r="B334">
        <v>2017</v>
      </c>
      <c r="C334">
        <v>496</v>
      </c>
    </row>
    <row r="335" spans="1:3">
      <c r="A335" t="s">
        <v>178</v>
      </c>
      <c r="B335">
        <v>2018</v>
      </c>
      <c r="C335">
        <v>519</v>
      </c>
    </row>
    <row r="336" spans="1:3">
      <c r="A336" t="s">
        <v>178</v>
      </c>
      <c r="B336">
        <v>2019</v>
      </c>
      <c r="C336">
        <v>522</v>
      </c>
    </row>
    <row r="337" spans="1:3">
      <c r="A337" t="s">
        <v>178</v>
      </c>
      <c r="B337">
        <v>2020</v>
      </c>
      <c r="C337">
        <v>594</v>
      </c>
    </row>
    <row r="338" spans="1:3">
      <c r="A338" t="s">
        <v>178</v>
      </c>
      <c r="B338">
        <v>2021</v>
      </c>
      <c r="C338">
        <v>715</v>
      </c>
    </row>
    <row r="339" spans="1:3">
      <c r="A339" t="s">
        <v>178</v>
      </c>
      <c r="B339">
        <v>2022</v>
      </c>
      <c r="C339">
        <v>745</v>
      </c>
    </row>
    <row r="340" spans="1:3">
      <c r="A340" t="s">
        <v>178</v>
      </c>
      <c r="B340">
        <v>2023</v>
      </c>
      <c r="C340">
        <v>781</v>
      </c>
    </row>
    <row r="341" spans="1:3">
      <c r="A341" t="s">
        <v>178</v>
      </c>
      <c r="B341">
        <v>2024</v>
      </c>
      <c r="C341">
        <v>928</v>
      </c>
    </row>
    <row r="342" spans="1:3">
      <c r="A342" t="s">
        <v>178</v>
      </c>
      <c r="B342">
        <v>2025</v>
      </c>
      <c r="C342">
        <v>1016</v>
      </c>
    </row>
    <row r="343" spans="1:3">
      <c r="A343" t="s">
        <v>179</v>
      </c>
      <c r="B343">
        <v>2015</v>
      </c>
      <c r="C343">
        <v>10211</v>
      </c>
    </row>
    <row r="344" spans="1:3">
      <c r="A344" t="s">
        <v>179</v>
      </c>
      <c r="B344">
        <v>2016</v>
      </c>
      <c r="C344">
        <v>10777</v>
      </c>
    </row>
    <row r="345" spans="1:3">
      <c r="A345" t="s">
        <v>179</v>
      </c>
      <c r="B345">
        <v>2017</v>
      </c>
      <c r="C345">
        <v>11174</v>
      </c>
    </row>
    <row r="346" spans="1:3">
      <c r="A346" t="s">
        <v>179</v>
      </c>
      <c r="B346">
        <v>2018</v>
      </c>
      <c r="C346">
        <v>11292</v>
      </c>
    </row>
    <row r="347" spans="1:3">
      <c r="A347" t="s">
        <v>179</v>
      </c>
      <c r="B347">
        <v>2019</v>
      </c>
      <c r="C347">
        <v>11337</v>
      </c>
    </row>
    <row r="348" spans="1:3">
      <c r="A348" t="s">
        <v>179</v>
      </c>
      <c r="B348">
        <v>2020</v>
      </c>
      <c r="C348">
        <v>12470</v>
      </c>
    </row>
    <row r="349" spans="1:3">
      <c r="A349" t="s">
        <v>179</v>
      </c>
      <c r="B349">
        <v>2021</v>
      </c>
      <c r="C349">
        <v>14347</v>
      </c>
    </row>
    <row r="350" spans="1:3">
      <c r="A350" t="s">
        <v>179</v>
      </c>
      <c r="B350">
        <v>2022</v>
      </c>
      <c r="C350">
        <v>14609</v>
      </c>
    </row>
    <row r="351" spans="1:3">
      <c r="A351" t="s">
        <v>179</v>
      </c>
      <c r="B351">
        <v>2023</v>
      </c>
      <c r="C351">
        <v>15070</v>
      </c>
    </row>
    <row r="352" spans="1:3">
      <c r="A352" t="s">
        <v>179</v>
      </c>
      <c r="B352">
        <v>2024</v>
      </c>
      <c r="C352">
        <v>15478</v>
      </c>
    </row>
    <row r="353" spans="1:3">
      <c r="A353" t="s">
        <v>179</v>
      </c>
      <c r="B353">
        <v>2025</v>
      </c>
      <c r="C353">
        <v>15915</v>
      </c>
    </row>
    <row r="354" spans="1:3">
      <c r="A354" t="s">
        <v>180</v>
      </c>
      <c r="B354">
        <v>2015</v>
      </c>
      <c r="C354">
        <v>314</v>
      </c>
    </row>
    <row r="355" spans="1:3">
      <c r="A355" t="s">
        <v>180</v>
      </c>
      <c r="B355">
        <v>2016</v>
      </c>
      <c r="C355">
        <v>344</v>
      </c>
    </row>
    <row r="356" spans="1:3">
      <c r="A356" t="s">
        <v>180</v>
      </c>
      <c r="B356">
        <v>2017</v>
      </c>
      <c r="C356">
        <v>397</v>
      </c>
    </row>
    <row r="357" spans="1:3">
      <c r="A357" t="s">
        <v>180</v>
      </c>
      <c r="B357">
        <v>2018</v>
      </c>
      <c r="C357">
        <v>479</v>
      </c>
    </row>
    <row r="358" spans="1:3">
      <c r="A358" t="s">
        <v>180</v>
      </c>
      <c r="B358">
        <v>2019</v>
      </c>
      <c r="C358">
        <v>506</v>
      </c>
    </row>
    <row r="359" spans="1:3">
      <c r="A359" t="s">
        <v>180</v>
      </c>
      <c r="B359">
        <v>2020</v>
      </c>
      <c r="C359">
        <v>704</v>
      </c>
    </row>
    <row r="360" spans="1:3">
      <c r="A360" t="s">
        <v>180</v>
      </c>
      <c r="B360">
        <v>2021</v>
      </c>
      <c r="C360">
        <v>715</v>
      </c>
    </row>
    <row r="361" spans="1:3">
      <c r="A361" t="s">
        <v>180</v>
      </c>
      <c r="B361">
        <v>2022</v>
      </c>
      <c r="C361">
        <v>757</v>
      </c>
    </row>
    <row r="362" spans="1:3">
      <c r="A362" t="s">
        <v>180</v>
      </c>
      <c r="B362">
        <v>2023</v>
      </c>
      <c r="C362">
        <v>827</v>
      </c>
    </row>
    <row r="363" spans="1:3">
      <c r="A363" t="s">
        <v>180</v>
      </c>
      <c r="B363">
        <v>2024</v>
      </c>
      <c r="C363">
        <v>890</v>
      </c>
    </row>
    <row r="364" spans="1:3">
      <c r="A364" t="s">
        <v>180</v>
      </c>
      <c r="B364">
        <v>2025</v>
      </c>
      <c r="C364">
        <v>920</v>
      </c>
    </row>
    <row r="365" spans="1:3">
      <c r="A365" t="s">
        <v>181</v>
      </c>
      <c r="B365">
        <v>2015</v>
      </c>
      <c r="C365">
        <v>133</v>
      </c>
    </row>
    <row r="366" spans="1:3">
      <c r="A366" t="s">
        <v>181</v>
      </c>
      <c r="B366">
        <v>2016</v>
      </c>
      <c r="C366">
        <v>128</v>
      </c>
    </row>
    <row r="367" spans="1:3">
      <c r="A367" t="s">
        <v>181</v>
      </c>
      <c r="B367">
        <v>2017</v>
      </c>
      <c r="C367">
        <v>156</v>
      </c>
    </row>
    <row r="368" spans="1:3">
      <c r="A368" t="s">
        <v>181</v>
      </c>
      <c r="B368">
        <v>2018</v>
      </c>
      <c r="C368">
        <v>164</v>
      </c>
    </row>
    <row r="369" spans="1:3">
      <c r="A369" t="s">
        <v>181</v>
      </c>
      <c r="B369">
        <v>2019</v>
      </c>
      <c r="C369">
        <v>166</v>
      </c>
    </row>
    <row r="370" spans="1:3">
      <c r="A370" t="s">
        <v>181</v>
      </c>
      <c r="B370">
        <v>2020</v>
      </c>
      <c r="C370">
        <v>151</v>
      </c>
    </row>
    <row r="371" spans="1:3">
      <c r="A371" t="s">
        <v>181</v>
      </c>
      <c r="B371">
        <v>2021</v>
      </c>
      <c r="C371">
        <v>148</v>
      </c>
    </row>
    <row r="372" spans="1:3">
      <c r="A372" t="s">
        <v>181</v>
      </c>
      <c r="B372">
        <v>2022</v>
      </c>
      <c r="C372">
        <v>163</v>
      </c>
    </row>
    <row r="373" spans="1:3">
      <c r="A373" t="s">
        <v>181</v>
      </c>
      <c r="B373">
        <v>2023</v>
      </c>
      <c r="C373">
        <v>187</v>
      </c>
    </row>
    <row r="374" spans="1:3">
      <c r="A374" t="s">
        <v>181</v>
      </c>
      <c r="B374">
        <v>2024</v>
      </c>
      <c r="C374">
        <v>215</v>
      </c>
    </row>
    <row r="375" spans="1:3">
      <c r="A375" t="s">
        <v>181</v>
      </c>
      <c r="B375">
        <v>2025</v>
      </c>
      <c r="C375">
        <v>237</v>
      </c>
    </row>
    <row r="376" spans="1:3">
      <c r="A376" t="s">
        <v>182</v>
      </c>
      <c r="B376">
        <v>2015</v>
      </c>
      <c r="C376">
        <v>1908</v>
      </c>
    </row>
    <row r="377" spans="1:3">
      <c r="A377" t="s">
        <v>182</v>
      </c>
      <c r="B377">
        <v>2016</v>
      </c>
      <c r="C377">
        <v>2040</v>
      </c>
    </row>
    <row r="378" spans="1:3">
      <c r="A378" t="s">
        <v>182</v>
      </c>
      <c r="B378">
        <v>2017</v>
      </c>
      <c r="C378">
        <v>2045</v>
      </c>
    </row>
    <row r="379" spans="1:3">
      <c r="A379" t="s">
        <v>182</v>
      </c>
      <c r="B379">
        <v>2018</v>
      </c>
      <c r="C379">
        <v>2157</v>
      </c>
    </row>
    <row r="380" spans="1:3">
      <c r="A380" t="s">
        <v>182</v>
      </c>
      <c r="B380">
        <v>2019</v>
      </c>
      <c r="C380">
        <v>2233</v>
      </c>
    </row>
    <row r="381" spans="1:3">
      <c r="A381" t="s">
        <v>182</v>
      </c>
      <c r="B381">
        <v>2020</v>
      </c>
      <c r="C381">
        <v>2441</v>
      </c>
    </row>
    <row r="382" spans="1:3">
      <c r="A382" t="s">
        <v>182</v>
      </c>
      <c r="B382">
        <v>2021</v>
      </c>
      <c r="C382">
        <v>2818</v>
      </c>
    </row>
    <row r="383" spans="1:3">
      <c r="A383" t="s">
        <v>182</v>
      </c>
      <c r="B383">
        <v>2022</v>
      </c>
      <c r="C383">
        <v>2860</v>
      </c>
    </row>
    <row r="384" spans="1:3">
      <c r="A384" t="s">
        <v>182</v>
      </c>
      <c r="B384">
        <v>2023</v>
      </c>
      <c r="C384">
        <v>2968</v>
      </c>
    </row>
    <row r="385" spans="1:3">
      <c r="A385" t="s">
        <v>182</v>
      </c>
      <c r="B385">
        <v>2024</v>
      </c>
      <c r="C385">
        <v>3082</v>
      </c>
    </row>
    <row r="386" spans="1:3">
      <c r="A386" t="s">
        <v>182</v>
      </c>
      <c r="B386">
        <v>2025</v>
      </c>
      <c r="C386">
        <v>3235</v>
      </c>
    </row>
    <row r="387" spans="1:3">
      <c r="A387" t="s">
        <v>183</v>
      </c>
      <c r="B387">
        <v>2015</v>
      </c>
      <c r="C387">
        <v>285</v>
      </c>
    </row>
    <row r="388" spans="1:3">
      <c r="A388" t="s">
        <v>183</v>
      </c>
      <c r="B388">
        <v>2016</v>
      </c>
      <c r="C388">
        <v>287</v>
      </c>
    </row>
    <row r="389" spans="1:3">
      <c r="A389" t="s">
        <v>183</v>
      </c>
      <c r="B389">
        <v>2017</v>
      </c>
      <c r="C389">
        <v>276</v>
      </c>
    </row>
    <row r="390" spans="1:3">
      <c r="A390" t="s">
        <v>183</v>
      </c>
      <c r="B390">
        <v>2018</v>
      </c>
      <c r="C390">
        <v>298</v>
      </c>
    </row>
    <row r="391" spans="1:3">
      <c r="A391" t="s">
        <v>183</v>
      </c>
      <c r="B391">
        <v>2019</v>
      </c>
      <c r="C391">
        <v>318</v>
      </c>
    </row>
    <row r="392" spans="1:3">
      <c r="A392" t="s">
        <v>183</v>
      </c>
      <c r="B392">
        <v>2020</v>
      </c>
      <c r="C392">
        <v>332</v>
      </c>
    </row>
    <row r="393" spans="1:3">
      <c r="A393" t="s">
        <v>183</v>
      </c>
      <c r="B393">
        <v>2021</v>
      </c>
      <c r="C393">
        <v>318</v>
      </c>
    </row>
    <row r="394" spans="1:3">
      <c r="A394" t="s">
        <v>183</v>
      </c>
      <c r="B394">
        <v>2022</v>
      </c>
      <c r="C394">
        <v>394</v>
      </c>
    </row>
    <row r="395" spans="1:3">
      <c r="A395" t="s">
        <v>183</v>
      </c>
      <c r="B395">
        <v>2023</v>
      </c>
      <c r="C395">
        <v>409</v>
      </c>
    </row>
    <row r="396" spans="1:3">
      <c r="A396" t="s">
        <v>183</v>
      </c>
      <c r="B396">
        <v>2024</v>
      </c>
      <c r="C396">
        <v>426</v>
      </c>
    </row>
    <row r="397" spans="1:3">
      <c r="A397" t="s">
        <v>183</v>
      </c>
      <c r="B397">
        <v>2025</v>
      </c>
      <c r="C397">
        <v>461</v>
      </c>
    </row>
    <row r="398" spans="1:3">
      <c r="A398" t="s">
        <v>184</v>
      </c>
      <c r="B398">
        <v>2015</v>
      </c>
      <c r="C398">
        <v>1044</v>
      </c>
    </row>
    <row r="399" spans="1:3">
      <c r="A399" t="s">
        <v>184</v>
      </c>
      <c r="B399">
        <v>2016</v>
      </c>
      <c r="C399">
        <v>1137</v>
      </c>
    </row>
    <row r="400" spans="1:3">
      <c r="A400" t="s">
        <v>184</v>
      </c>
      <c r="B400">
        <v>2017</v>
      </c>
      <c r="C400">
        <v>1288</v>
      </c>
    </row>
    <row r="401" spans="1:3">
      <c r="A401" t="s">
        <v>184</v>
      </c>
      <c r="B401">
        <v>2018</v>
      </c>
      <c r="C401">
        <v>1371</v>
      </c>
    </row>
    <row r="402" spans="1:3">
      <c r="A402" t="s">
        <v>184</v>
      </c>
      <c r="B402">
        <v>2019</v>
      </c>
      <c r="C402">
        <v>1362</v>
      </c>
    </row>
    <row r="403" spans="1:3">
      <c r="A403" t="s">
        <v>184</v>
      </c>
      <c r="B403">
        <v>2020</v>
      </c>
      <c r="C403">
        <v>1481</v>
      </c>
    </row>
    <row r="404" spans="1:3">
      <c r="A404" t="s">
        <v>184</v>
      </c>
      <c r="B404">
        <v>2021</v>
      </c>
      <c r="C404">
        <v>1501</v>
      </c>
    </row>
    <row r="405" spans="1:3">
      <c r="A405" t="s">
        <v>184</v>
      </c>
      <c r="B405">
        <v>2022</v>
      </c>
      <c r="C405">
        <v>1528</v>
      </c>
    </row>
    <row r="406" spans="1:3">
      <c r="A406" t="s">
        <v>184</v>
      </c>
      <c r="B406">
        <v>2023</v>
      </c>
      <c r="C406">
        <v>1599</v>
      </c>
    </row>
    <row r="407" spans="1:3">
      <c r="A407" t="s">
        <v>184</v>
      </c>
      <c r="B407">
        <v>2024</v>
      </c>
      <c r="C407">
        <v>1752</v>
      </c>
    </row>
    <row r="408" spans="1:3">
      <c r="A408" t="s">
        <v>184</v>
      </c>
      <c r="B408">
        <v>2025</v>
      </c>
      <c r="C408">
        <v>1881</v>
      </c>
    </row>
    <row r="409" spans="1:3">
      <c r="A409" t="s">
        <v>185</v>
      </c>
      <c r="B409">
        <v>2015</v>
      </c>
      <c r="C409">
        <v>365</v>
      </c>
    </row>
    <row r="410" spans="1:3">
      <c r="A410" t="s">
        <v>185</v>
      </c>
      <c r="B410">
        <v>2016</v>
      </c>
      <c r="C410">
        <v>435</v>
      </c>
    </row>
    <row r="411" spans="1:3">
      <c r="A411" t="s">
        <v>185</v>
      </c>
      <c r="B411">
        <v>2017</v>
      </c>
      <c r="C411">
        <v>429</v>
      </c>
    </row>
    <row r="412" spans="1:3">
      <c r="A412" t="s">
        <v>185</v>
      </c>
      <c r="B412">
        <v>2018</v>
      </c>
      <c r="C412">
        <v>448</v>
      </c>
    </row>
    <row r="413" spans="1:3">
      <c r="A413" t="s">
        <v>185</v>
      </c>
      <c r="B413">
        <v>2019</v>
      </c>
      <c r="C413">
        <v>489</v>
      </c>
    </row>
    <row r="414" spans="1:3">
      <c r="A414" t="s">
        <v>185</v>
      </c>
      <c r="B414">
        <v>2020</v>
      </c>
      <c r="C414">
        <v>554</v>
      </c>
    </row>
    <row r="415" spans="1:3">
      <c r="A415" t="s">
        <v>185</v>
      </c>
      <c r="B415">
        <v>2021</v>
      </c>
      <c r="C415">
        <v>715</v>
      </c>
    </row>
    <row r="416" spans="1:3">
      <c r="A416" t="s">
        <v>185</v>
      </c>
      <c r="B416">
        <v>2022</v>
      </c>
      <c r="C416">
        <v>786</v>
      </c>
    </row>
    <row r="417" spans="1:3">
      <c r="A417" t="s">
        <v>185</v>
      </c>
      <c r="B417">
        <v>2023</v>
      </c>
      <c r="C417">
        <v>851</v>
      </c>
    </row>
    <row r="418" spans="1:3">
      <c r="A418" t="s">
        <v>185</v>
      </c>
      <c r="B418">
        <v>2024</v>
      </c>
      <c r="C418">
        <v>958</v>
      </c>
    </row>
    <row r="419" spans="1:3">
      <c r="A419" t="s">
        <v>185</v>
      </c>
      <c r="B419">
        <v>2025</v>
      </c>
      <c r="C419">
        <v>959</v>
      </c>
    </row>
    <row r="420" spans="1:3">
      <c r="A420" t="s">
        <v>186</v>
      </c>
      <c r="B420">
        <v>2015</v>
      </c>
      <c r="C420">
        <v>240</v>
      </c>
    </row>
    <row r="421" spans="1:3">
      <c r="A421" t="s">
        <v>186</v>
      </c>
      <c r="B421">
        <v>2016</v>
      </c>
      <c r="C421">
        <v>272</v>
      </c>
    </row>
    <row r="422" spans="1:3">
      <c r="A422" t="s">
        <v>186</v>
      </c>
      <c r="B422">
        <v>2017</v>
      </c>
      <c r="C422">
        <v>307</v>
      </c>
    </row>
    <row r="423" spans="1:3">
      <c r="A423" t="s">
        <v>186</v>
      </c>
      <c r="B423">
        <v>2018</v>
      </c>
      <c r="C423">
        <v>300</v>
      </c>
    </row>
    <row r="424" spans="1:3">
      <c r="A424" t="s">
        <v>186</v>
      </c>
      <c r="B424">
        <v>2019</v>
      </c>
      <c r="C424">
        <v>350</v>
      </c>
    </row>
    <row r="425" spans="1:3">
      <c r="A425" t="s">
        <v>186</v>
      </c>
      <c r="B425">
        <v>2020</v>
      </c>
      <c r="C425">
        <v>416</v>
      </c>
    </row>
    <row r="426" spans="1:3">
      <c r="A426" t="s">
        <v>186</v>
      </c>
      <c r="B426">
        <v>2021</v>
      </c>
      <c r="C426">
        <v>376</v>
      </c>
    </row>
    <row r="427" spans="1:3">
      <c r="A427" t="s">
        <v>186</v>
      </c>
      <c r="B427">
        <v>2022</v>
      </c>
      <c r="C427">
        <v>411</v>
      </c>
    </row>
    <row r="428" spans="1:3">
      <c r="A428" t="s">
        <v>186</v>
      </c>
      <c r="B428">
        <v>2023</v>
      </c>
      <c r="C428">
        <v>420</v>
      </c>
    </row>
    <row r="429" spans="1:3">
      <c r="A429" t="s">
        <v>186</v>
      </c>
      <c r="B429">
        <v>2024</v>
      </c>
      <c r="C429">
        <v>418</v>
      </c>
    </row>
    <row r="430" spans="1:3">
      <c r="A430" t="s">
        <v>186</v>
      </c>
      <c r="B430">
        <v>2025</v>
      </c>
      <c r="C430">
        <v>412</v>
      </c>
    </row>
    <row r="431" spans="1:3">
      <c r="A431" t="s">
        <v>187</v>
      </c>
      <c r="B431">
        <v>2015</v>
      </c>
      <c r="C431">
        <v>451</v>
      </c>
    </row>
    <row r="432" spans="1:3">
      <c r="A432" t="s">
        <v>187</v>
      </c>
      <c r="B432">
        <v>2016</v>
      </c>
      <c r="C432">
        <v>471</v>
      </c>
    </row>
    <row r="433" spans="1:3">
      <c r="A433" t="s">
        <v>187</v>
      </c>
      <c r="B433">
        <v>2017</v>
      </c>
      <c r="C433">
        <v>530</v>
      </c>
    </row>
    <row r="434" spans="1:3">
      <c r="A434" t="s">
        <v>187</v>
      </c>
      <c r="B434">
        <v>2018</v>
      </c>
      <c r="C434">
        <v>591</v>
      </c>
    </row>
    <row r="435" spans="1:3">
      <c r="A435" t="s">
        <v>187</v>
      </c>
      <c r="B435">
        <v>2019</v>
      </c>
      <c r="C435">
        <v>634</v>
      </c>
    </row>
    <row r="436" spans="1:3">
      <c r="A436" t="s">
        <v>187</v>
      </c>
      <c r="B436">
        <v>2020</v>
      </c>
      <c r="C436">
        <v>690</v>
      </c>
    </row>
    <row r="437" spans="1:3">
      <c r="A437" t="s">
        <v>187</v>
      </c>
      <c r="B437">
        <v>2021</v>
      </c>
      <c r="C437">
        <v>806</v>
      </c>
    </row>
    <row r="438" spans="1:3">
      <c r="A438" t="s">
        <v>187</v>
      </c>
      <c r="B438">
        <v>2022</v>
      </c>
      <c r="C438">
        <v>758</v>
      </c>
    </row>
    <row r="439" spans="1:3">
      <c r="A439" t="s">
        <v>187</v>
      </c>
      <c r="B439">
        <v>2023</v>
      </c>
      <c r="C439">
        <v>806</v>
      </c>
    </row>
    <row r="440" spans="1:3">
      <c r="A440" t="s">
        <v>187</v>
      </c>
      <c r="B440">
        <v>2024</v>
      </c>
      <c r="C440">
        <v>823</v>
      </c>
    </row>
    <row r="441" spans="1:3">
      <c r="A441" t="s">
        <v>187</v>
      </c>
      <c r="B441">
        <v>2025</v>
      </c>
      <c r="C441">
        <v>874</v>
      </c>
    </row>
    <row r="442" spans="1:3">
      <c r="A442" t="s">
        <v>188</v>
      </c>
      <c r="B442">
        <v>2015</v>
      </c>
      <c r="C442">
        <v>683</v>
      </c>
    </row>
    <row r="443" spans="1:3">
      <c r="A443" t="s">
        <v>188</v>
      </c>
      <c r="B443">
        <v>2016</v>
      </c>
      <c r="C443">
        <v>746</v>
      </c>
    </row>
    <row r="444" spans="1:3">
      <c r="A444" t="s">
        <v>188</v>
      </c>
      <c r="B444">
        <v>2017</v>
      </c>
      <c r="C444">
        <v>690</v>
      </c>
    </row>
    <row r="445" spans="1:3">
      <c r="A445" t="s">
        <v>188</v>
      </c>
      <c r="B445">
        <v>2018</v>
      </c>
      <c r="C445">
        <v>653</v>
      </c>
    </row>
    <row r="446" spans="1:3">
      <c r="A446" t="s">
        <v>188</v>
      </c>
      <c r="B446">
        <v>2019</v>
      </c>
      <c r="C446">
        <v>690</v>
      </c>
    </row>
    <row r="447" spans="1:3">
      <c r="A447" t="s">
        <v>188</v>
      </c>
      <c r="B447">
        <v>2020</v>
      </c>
      <c r="C447">
        <v>801</v>
      </c>
    </row>
    <row r="448" spans="1:3">
      <c r="A448" t="s">
        <v>188</v>
      </c>
      <c r="B448">
        <v>2021</v>
      </c>
      <c r="C448">
        <v>1067</v>
      </c>
    </row>
    <row r="449" spans="1:3">
      <c r="A449" t="s">
        <v>188</v>
      </c>
      <c r="B449">
        <v>2022</v>
      </c>
      <c r="C449">
        <v>1025</v>
      </c>
    </row>
    <row r="450" spans="1:3">
      <c r="A450" t="s">
        <v>188</v>
      </c>
      <c r="B450">
        <v>2023</v>
      </c>
      <c r="C450">
        <v>1064</v>
      </c>
    </row>
    <row r="451" spans="1:3">
      <c r="A451" t="s">
        <v>188</v>
      </c>
      <c r="B451">
        <v>2024</v>
      </c>
      <c r="C451">
        <v>1135</v>
      </c>
    </row>
    <row r="452" spans="1:3">
      <c r="A452" t="s">
        <v>188</v>
      </c>
      <c r="B452">
        <v>2025</v>
      </c>
      <c r="C452">
        <v>1168</v>
      </c>
    </row>
    <row r="453" spans="1:3">
      <c r="A453" t="s">
        <v>189</v>
      </c>
      <c r="B453">
        <v>2015</v>
      </c>
      <c r="C453">
        <v>517</v>
      </c>
    </row>
    <row r="454" spans="1:3">
      <c r="A454" t="s">
        <v>189</v>
      </c>
      <c r="B454">
        <v>2016</v>
      </c>
      <c r="C454">
        <v>529</v>
      </c>
    </row>
    <row r="455" spans="1:3">
      <c r="A455" t="s">
        <v>189</v>
      </c>
      <c r="B455">
        <v>2017</v>
      </c>
      <c r="C455">
        <v>504</v>
      </c>
    </row>
    <row r="456" spans="1:3">
      <c r="A456" t="s">
        <v>189</v>
      </c>
      <c r="B456">
        <v>2018</v>
      </c>
      <c r="C456">
        <v>518</v>
      </c>
    </row>
    <row r="457" spans="1:3">
      <c r="A457" t="s">
        <v>189</v>
      </c>
      <c r="B457">
        <v>2019</v>
      </c>
      <c r="C457">
        <v>531</v>
      </c>
    </row>
    <row r="458" spans="1:3">
      <c r="A458" t="s">
        <v>189</v>
      </c>
      <c r="B458">
        <v>2020</v>
      </c>
      <c r="C458">
        <v>589</v>
      </c>
    </row>
    <row r="459" spans="1:3">
      <c r="A459" t="s">
        <v>189</v>
      </c>
      <c r="B459">
        <v>2021</v>
      </c>
      <c r="C459">
        <v>599</v>
      </c>
    </row>
    <row r="460" spans="1:3">
      <c r="A460" t="s">
        <v>189</v>
      </c>
      <c r="B460">
        <v>2022</v>
      </c>
      <c r="C460">
        <v>656</v>
      </c>
    </row>
    <row r="461" spans="1:3">
      <c r="A461" t="s">
        <v>189</v>
      </c>
      <c r="B461">
        <v>2023</v>
      </c>
      <c r="C461">
        <v>722</v>
      </c>
    </row>
    <row r="462" spans="1:3">
      <c r="A462" t="s">
        <v>189</v>
      </c>
      <c r="B462">
        <v>2024</v>
      </c>
      <c r="C462">
        <v>777</v>
      </c>
    </row>
    <row r="463" spans="1:3">
      <c r="A463" t="s">
        <v>189</v>
      </c>
      <c r="B463">
        <v>2025</v>
      </c>
      <c r="C463">
        <v>835</v>
      </c>
    </row>
    <row r="464" spans="1:3">
      <c r="A464" t="s">
        <v>190</v>
      </c>
      <c r="B464">
        <v>2015</v>
      </c>
      <c r="C464">
        <v>958</v>
      </c>
    </row>
    <row r="465" spans="1:3">
      <c r="A465" t="s">
        <v>190</v>
      </c>
      <c r="B465">
        <v>2016</v>
      </c>
      <c r="C465">
        <v>1048</v>
      </c>
    </row>
    <row r="466" spans="1:3">
      <c r="A466" t="s">
        <v>190</v>
      </c>
      <c r="B466">
        <v>2017</v>
      </c>
      <c r="C466">
        <v>1139</v>
      </c>
    </row>
    <row r="467" spans="1:3">
      <c r="A467" t="s">
        <v>190</v>
      </c>
      <c r="B467">
        <v>2018</v>
      </c>
      <c r="C467">
        <v>1205</v>
      </c>
    </row>
    <row r="468" spans="1:3">
      <c r="A468" t="s">
        <v>190</v>
      </c>
      <c r="B468">
        <v>2019</v>
      </c>
      <c r="C468">
        <v>1272</v>
      </c>
    </row>
    <row r="469" spans="1:3">
      <c r="A469" t="s">
        <v>190</v>
      </c>
      <c r="B469">
        <v>2020</v>
      </c>
      <c r="C469">
        <v>1359</v>
      </c>
    </row>
    <row r="470" spans="1:3">
      <c r="A470" t="s">
        <v>190</v>
      </c>
      <c r="B470">
        <v>2021</v>
      </c>
      <c r="C470">
        <v>1440</v>
      </c>
    </row>
    <row r="471" spans="1:3">
      <c r="A471" t="s">
        <v>190</v>
      </c>
      <c r="B471">
        <v>2022</v>
      </c>
      <c r="C471">
        <v>1553</v>
      </c>
    </row>
    <row r="472" spans="1:3">
      <c r="A472" t="s">
        <v>190</v>
      </c>
      <c r="B472">
        <v>2023</v>
      </c>
      <c r="C472">
        <v>1741</v>
      </c>
    </row>
    <row r="473" spans="1:3">
      <c r="A473" t="s">
        <v>190</v>
      </c>
      <c r="B473">
        <v>2024</v>
      </c>
      <c r="C473">
        <v>1920</v>
      </c>
    </row>
    <row r="474" spans="1:3">
      <c r="A474" t="s">
        <v>190</v>
      </c>
      <c r="B474">
        <v>2025</v>
      </c>
      <c r="C474">
        <v>2094</v>
      </c>
    </row>
    <row r="475" spans="1:3">
      <c r="A475" t="s">
        <v>191</v>
      </c>
      <c r="B475">
        <v>2015</v>
      </c>
      <c r="C475">
        <v>576</v>
      </c>
    </row>
    <row r="476" spans="1:3">
      <c r="A476" t="s">
        <v>191</v>
      </c>
      <c r="B476">
        <v>2016</v>
      </c>
      <c r="C476">
        <v>636</v>
      </c>
    </row>
    <row r="477" spans="1:3">
      <c r="A477" t="s">
        <v>191</v>
      </c>
      <c r="B477">
        <v>2017</v>
      </c>
      <c r="C477">
        <v>670</v>
      </c>
    </row>
    <row r="478" spans="1:3">
      <c r="A478" t="s">
        <v>191</v>
      </c>
      <c r="B478">
        <v>2018</v>
      </c>
      <c r="C478">
        <v>813</v>
      </c>
    </row>
    <row r="479" spans="1:3">
      <c r="A479" t="s">
        <v>191</v>
      </c>
      <c r="B479">
        <v>2019</v>
      </c>
      <c r="C479">
        <v>943</v>
      </c>
    </row>
    <row r="480" spans="1:3">
      <c r="A480" t="s">
        <v>191</v>
      </c>
      <c r="B480">
        <v>2020</v>
      </c>
      <c r="C480">
        <v>1030</v>
      </c>
    </row>
    <row r="481" spans="1:3">
      <c r="A481" t="s">
        <v>191</v>
      </c>
      <c r="B481">
        <v>2021</v>
      </c>
      <c r="C481">
        <v>1077</v>
      </c>
    </row>
    <row r="482" spans="1:3">
      <c r="A482" t="s">
        <v>191</v>
      </c>
      <c r="B482">
        <v>2022</v>
      </c>
      <c r="C482">
        <v>1141</v>
      </c>
    </row>
    <row r="483" spans="1:3">
      <c r="A483" t="s">
        <v>191</v>
      </c>
      <c r="B483">
        <v>2023</v>
      </c>
      <c r="C483">
        <v>1245</v>
      </c>
    </row>
    <row r="484" spans="1:3">
      <c r="A484" t="s">
        <v>191</v>
      </c>
      <c r="B484">
        <v>2024</v>
      </c>
      <c r="C484">
        <v>1374</v>
      </c>
    </row>
    <row r="485" spans="1:3">
      <c r="A485" t="s">
        <v>191</v>
      </c>
      <c r="B485">
        <v>2025</v>
      </c>
      <c r="C485">
        <v>1360</v>
      </c>
    </row>
    <row r="486" spans="1:3">
      <c r="A486" t="s">
        <v>192</v>
      </c>
      <c r="B486">
        <v>2015</v>
      </c>
      <c r="C486">
        <v>567</v>
      </c>
    </row>
    <row r="487" spans="1:3">
      <c r="A487" t="s">
        <v>192</v>
      </c>
      <c r="B487">
        <v>2016</v>
      </c>
      <c r="C487">
        <v>596</v>
      </c>
    </row>
    <row r="488" spans="1:3">
      <c r="A488" t="s">
        <v>192</v>
      </c>
      <c r="B488">
        <v>2017</v>
      </c>
      <c r="C488">
        <v>723</v>
      </c>
    </row>
    <row r="489" spans="1:3">
      <c r="A489" t="s">
        <v>192</v>
      </c>
      <c r="B489">
        <v>2018</v>
      </c>
      <c r="C489">
        <v>941</v>
      </c>
    </row>
    <row r="490" spans="1:3">
      <c r="A490" t="s">
        <v>192</v>
      </c>
      <c r="B490">
        <v>2019</v>
      </c>
      <c r="C490">
        <v>977</v>
      </c>
    </row>
    <row r="491" spans="1:3">
      <c r="A491" t="s">
        <v>192</v>
      </c>
      <c r="B491">
        <v>2020</v>
      </c>
      <c r="C491">
        <v>1064</v>
      </c>
    </row>
    <row r="492" spans="1:3">
      <c r="A492" t="s">
        <v>192</v>
      </c>
      <c r="B492">
        <v>2021</v>
      </c>
      <c r="C492">
        <v>1289</v>
      </c>
    </row>
    <row r="493" spans="1:3">
      <c r="A493" t="s">
        <v>192</v>
      </c>
      <c r="B493">
        <v>2022</v>
      </c>
      <c r="C493">
        <v>1286</v>
      </c>
    </row>
    <row r="494" spans="1:3">
      <c r="A494" t="s">
        <v>192</v>
      </c>
      <c r="B494">
        <v>2023</v>
      </c>
      <c r="C494">
        <v>1321</v>
      </c>
    </row>
    <row r="495" spans="1:3">
      <c r="A495" t="s">
        <v>192</v>
      </c>
      <c r="B495">
        <v>2024</v>
      </c>
      <c r="C495">
        <v>1340</v>
      </c>
    </row>
    <row r="496" spans="1:3">
      <c r="A496" t="s">
        <v>192</v>
      </c>
      <c r="B496">
        <v>2025</v>
      </c>
      <c r="C496">
        <v>1393</v>
      </c>
    </row>
    <row r="497" spans="1:3">
      <c r="A497" t="s">
        <v>193</v>
      </c>
      <c r="B497">
        <v>2015</v>
      </c>
      <c r="C497">
        <v>820</v>
      </c>
    </row>
    <row r="498" spans="1:3">
      <c r="A498" t="s">
        <v>193</v>
      </c>
      <c r="B498">
        <v>2016</v>
      </c>
      <c r="C498">
        <v>825</v>
      </c>
    </row>
    <row r="499" spans="1:3">
      <c r="A499" t="s">
        <v>193</v>
      </c>
      <c r="B499">
        <v>2017</v>
      </c>
      <c r="C499">
        <v>866</v>
      </c>
    </row>
    <row r="500" spans="1:3">
      <c r="A500" t="s">
        <v>193</v>
      </c>
      <c r="B500">
        <v>2018</v>
      </c>
      <c r="C500">
        <v>940</v>
      </c>
    </row>
    <row r="501" spans="1:3">
      <c r="A501" t="s">
        <v>193</v>
      </c>
      <c r="B501">
        <v>2019</v>
      </c>
      <c r="C501">
        <v>929</v>
      </c>
    </row>
    <row r="502" spans="1:3">
      <c r="A502" t="s">
        <v>193</v>
      </c>
      <c r="B502">
        <v>2020</v>
      </c>
      <c r="C502">
        <v>1197</v>
      </c>
    </row>
    <row r="503" spans="1:3">
      <c r="A503" t="s">
        <v>193</v>
      </c>
      <c r="B503">
        <v>2021</v>
      </c>
      <c r="C503">
        <v>1268</v>
      </c>
    </row>
    <row r="504" spans="1:3">
      <c r="A504" t="s">
        <v>193</v>
      </c>
      <c r="B504">
        <v>2022</v>
      </c>
      <c r="C504">
        <v>1341</v>
      </c>
    </row>
    <row r="505" spans="1:3">
      <c r="A505" t="s">
        <v>193</v>
      </c>
      <c r="B505">
        <v>2023</v>
      </c>
      <c r="C505">
        <v>1272</v>
      </c>
    </row>
    <row r="506" spans="1:3">
      <c r="A506" t="s">
        <v>193</v>
      </c>
      <c r="B506">
        <v>2024</v>
      </c>
      <c r="C506">
        <v>1371</v>
      </c>
    </row>
    <row r="507" spans="1:3">
      <c r="A507" t="s">
        <v>193</v>
      </c>
      <c r="B507">
        <v>2025</v>
      </c>
      <c r="C507">
        <v>1535</v>
      </c>
    </row>
    <row r="508" spans="1:3">
      <c r="A508" t="s">
        <v>194</v>
      </c>
      <c r="B508">
        <v>2015</v>
      </c>
      <c r="C508">
        <v>852</v>
      </c>
    </row>
    <row r="509" spans="1:3">
      <c r="A509" t="s">
        <v>194</v>
      </c>
      <c r="B509">
        <v>2016</v>
      </c>
      <c r="C509">
        <v>926</v>
      </c>
    </row>
    <row r="510" spans="1:3">
      <c r="A510" t="s">
        <v>194</v>
      </c>
      <c r="B510">
        <v>2017</v>
      </c>
      <c r="C510">
        <v>994</v>
      </c>
    </row>
    <row r="511" spans="1:3">
      <c r="A511" t="s">
        <v>194</v>
      </c>
      <c r="B511">
        <v>2018</v>
      </c>
      <c r="C511">
        <v>1067</v>
      </c>
    </row>
    <row r="512" spans="1:3">
      <c r="A512" t="s">
        <v>194</v>
      </c>
      <c r="B512">
        <v>2019</v>
      </c>
      <c r="C512">
        <v>1145</v>
      </c>
    </row>
    <row r="513" spans="1:3">
      <c r="A513" t="s">
        <v>194</v>
      </c>
      <c r="B513">
        <v>2020</v>
      </c>
      <c r="C513">
        <v>1338</v>
      </c>
    </row>
    <row r="514" spans="1:3">
      <c r="A514" t="s">
        <v>194</v>
      </c>
      <c r="B514">
        <v>2021</v>
      </c>
      <c r="C514">
        <v>1478</v>
      </c>
    </row>
    <row r="515" spans="1:3">
      <c r="A515" t="s">
        <v>194</v>
      </c>
      <c r="B515">
        <v>2022</v>
      </c>
      <c r="C515">
        <v>1578</v>
      </c>
    </row>
    <row r="516" spans="1:3">
      <c r="A516" t="s">
        <v>194</v>
      </c>
      <c r="B516">
        <v>2023</v>
      </c>
      <c r="C516">
        <v>1653</v>
      </c>
    </row>
    <row r="517" spans="1:3">
      <c r="A517" t="s">
        <v>194</v>
      </c>
      <c r="B517">
        <v>2024</v>
      </c>
      <c r="C517">
        <v>1703</v>
      </c>
    </row>
    <row r="518" spans="1:3">
      <c r="A518" t="s">
        <v>194</v>
      </c>
      <c r="B518">
        <v>2025</v>
      </c>
      <c r="C518">
        <v>1753</v>
      </c>
    </row>
    <row r="519" spans="1:3">
      <c r="A519" t="s">
        <v>195</v>
      </c>
      <c r="B519">
        <v>2015</v>
      </c>
      <c r="C519">
        <v>786</v>
      </c>
    </row>
    <row r="520" spans="1:3">
      <c r="A520" t="s">
        <v>195</v>
      </c>
      <c r="B520">
        <v>2016</v>
      </c>
      <c r="C520">
        <v>874</v>
      </c>
    </row>
    <row r="521" spans="1:3">
      <c r="A521" t="s">
        <v>195</v>
      </c>
      <c r="B521">
        <v>2017</v>
      </c>
      <c r="C521">
        <v>897</v>
      </c>
    </row>
    <row r="522" spans="1:3">
      <c r="A522" t="s">
        <v>195</v>
      </c>
      <c r="B522">
        <v>2018</v>
      </c>
      <c r="C522">
        <v>1036</v>
      </c>
    </row>
    <row r="523" spans="1:3">
      <c r="A523" t="s">
        <v>195</v>
      </c>
      <c r="B523">
        <v>2019</v>
      </c>
      <c r="C523">
        <v>1229</v>
      </c>
    </row>
    <row r="524" spans="1:3">
      <c r="A524" t="s">
        <v>195</v>
      </c>
      <c r="B524">
        <v>2020</v>
      </c>
      <c r="C524">
        <v>1332</v>
      </c>
    </row>
    <row r="525" spans="1:3">
      <c r="A525" t="s">
        <v>195</v>
      </c>
      <c r="B525">
        <v>2021</v>
      </c>
      <c r="C525">
        <v>1372</v>
      </c>
    </row>
    <row r="526" spans="1:3">
      <c r="A526" t="s">
        <v>195</v>
      </c>
      <c r="B526">
        <v>2022</v>
      </c>
      <c r="C526">
        <v>1465</v>
      </c>
    </row>
    <row r="527" spans="1:3">
      <c r="A527" t="s">
        <v>195</v>
      </c>
      <c r="B527">
        <v>2023</v>
      </c>
      <c r="C527">
        <v>1485</v>
      </c>
    </row>
    <row r="528" spans="1:3">
      <c r="A528" t="s">
        <v>195</v>
      </c>
      <c r="B528">
        <v>2024</v>
      </c>
      <c r="C528">
        <v>1543</v>
      </c>
    </row>
    <row r="529" spans="1:3">
      <c r="A529" t="s">
        <v>195</v>
      </c>
      <c r="B529">
        <v>2025</v>
      </c>
      <c r="C529">
        <v>1630</v>
      </c>
    </row>
    <row r="530" spans="1:3">
      <c r="A530" t="s">
        <v>196</v>
      </c>
      <c r="B530">
        <v>2015</v>
      </c>
      <c r="C530">
        <v>17267</v>
      </c>
    </row>
    <row r="531" spans="1:3">
      <c r="A531" t="s">
        <v>196</v>
      </c>
      <c r="B531">
        <v>2016</v>
      </c>
      <c r="C531">
        <v>18242</v>
      </c>
    </row>
    <row r="532" spans="1:3">
      <c r="A532" t="s">
        <v>196</v>
      </c>
      <c r="B532">
        <v>2017</v>
      </c>
      <c r="C532">
        <v>18943</v>
      </c>
    </row>
    <row r="533" spans="1:3">
      <c r="A533" t="s">
        <v>196</v>
      </c>
      <c r="B533">
        <v>2018</v>
      </c>
      <c r="C533">
        <v>19946</v>
      </c>
    </row>
    <row r="534" spans="1:3">
      <c r="A534" t="s">
        <v>196</v>
      </c>
      <c r="B534">
        <v>2019</v>
      </c>
      <c r="C534">
        <v>21000</v>
      </c>
    </row>
    <row r="535" spans="1:3">
      <c r="A535" t="s">
        <v>196</v>
      </c>
      <c r="B535">
        <v>2020</v>
      </c>
      <c r="C535">
        <v>23330</v>
      </c>
    </row>
    <row r="536" spans="1:3">
      <c r="A536" t="s">
        <v>196</v>
      </c>
      <c r="B536">
        <v>2021</v>
      </c>
      <c r="C536">
        <v>25002</v>
      </c>
    </row>
    <row r="537" spans="1:3">
      <c r="A537" t="s">
        <v>196</v>
      </c>
      <c r="B537">
        <v>2022</v>
      </c>
      <c r="C537">
        <v>25986</v>
      </c>
    </row>
    <row r="538" spans="1:3">
      <c r="A538" t="s">
        <v>196</v>
      </c>
      <c r="B538">
        <v>2023</v>
      </c>
      <c r="C538">
        <v>27383</v>
      </c>
    </row>
    <row r="539" spans="1:3">
      <c r="A539" t="s">
        <v>196</v>
      </c>
      <c r="B539">
        <v>2024</v>
      </c>
      <c r="C539">
        <v>29139</v>
      </c>
    </row>
    <row r="540" spans="1:3">
      <c r="A540" t="s">
        <v>196</v>
      </c>
      <c r="B540">
        <v>2025</v>
      </c>
      <c r="C540">
        <v>29745</v>
      </c>
    </row>
    <row r="541" spans="1:3">
      <c r="A541" t="s">
        <v>197</v>
      </c>
      <c r="B541">
        <v>2015</v>
      </c>
      <c r="C541">
        <v>552</v>
      </c>
    </row>
    <row r="542" spans="1:3">
      <c r="A542" t="s">
        <v>197</v>
      </c>
      <c r="B542">
        <v>2016</v>
      </c>
      <c r="C542">
        <v>567</v>
      </c>
    </row>
    <row r="543" spans="1:3">
      <c r="A543" t="s">
        <v>197</v>
      </c>
      <c r="B543">
        <v>2017</v>
      </c>
      <c r="C543">
        <v>579</v>
      </c>
    </row>
    <row r="544" spans="1:3">
      <c r="A544" t="s">
        <v>197</v>
      </c>
      <c r="B544">
        <v>2018</v>
      </c>
      <c r="C544">
        <v>643</v>
      </c>
    </row>
    <row r="545" spans="1:3">
      <c r="A545" t="s">
        <v>197</v>
      </c>
      <c r="B545">
        <v>2019</v>
      </c>
      <c r="C545">
        <v>754</v>
      </c>
    </row>
    <row r="546" spans="1:3">
      <c r="A546" t="s">
        <v>197</v>
      </c>
      <c r="B546">
        <v>2020</v>
      </c>
      <c r="C546">
        <v>817</v>
      </c>
    </row>
    <row r="547" spans="1:3">
      <c r="A547" t="s">
        <v>197</v>
      </c>
      <c r="B547">
        <v>2021</v>
      </c>
      <c r="C547">
        <v>996</v>
      </c>
    </row>
    <row r="548" spans="1:3">
      <c r="A548" t="s">
        <v>197</v>
      </c>
      <c r="B548">
        <v>2022</v>
      </c>
      <c r="C548">
        <v>1084</v>
      </c>
    </row>
    <row r="549" spans="1:3">
      <c r="A549" t="s">
        <v>197</v>
      </c>
      <c r="B549">
        <v>2023</v>
      </c>
      <c r="C549">
        <v>1416</v>
      </c>
    </row>
    <row r="550" spans="1:3">
      <c r="A550" t="s">
        <v>197</v>
      </c>
      <c r="B550">
        <v>2024</v>
      </c>
      <c r="C550">
        <v>1554</v>
      </c>
    </row>
    <row r="551" spans="1:3">
      <c r="A551" t="s">
        <v>197</v>
      </c>
      <c r="B551">
        <v>2025</v>
      </c>
      <c r="C551">
        <v>1645</v>
      </c>
    </row>
    <row r="552" spans="1:3">
      <c r="A552" t="s">
        <v>198</v>
      </c>
      <c r="B552">
        <v>2015</v>
      </c>
      <c r="C552">
        <v>2403</v>
      </c>
    </row>
    <row r="553" spans="1:3">
      <c r="A553" t="s">
        <v>198</v>
      </c>
      <c r="B553">
        <v>2016</v>
      </c>
      <c r="C553">
        <v>2499</v>
      </c>
    </row>
    <row r="554" spans="1:3">
      <c r="A554" t="s">
        <v>198</v>
      </c>
      <c r="B554">
        <v>2017</v>
      </c>
      <c r="C554">
        <v>2522</v>
      </c>
    </row>
    <row r="555" spans="1:3">
      <c r="A555" t="s">
        <v>198</v>
      </c>
      <c r="B555">
        <v>2018</v>
      </c>
      <c r="C555">
        <v>2799</v>
      </c>
    </row>
    <row r="556" spans="1:3">
      <c r="A556" t="s">
        <v>198</v>
      </c>
      <c r="B556">
        <v>2019</v>
      </c>
      <c r="C556">
        <v>2979</v>
      </c>
    </row>
    <row r="557" spans="1:3">
      <c r="A557" t="s">
        <v>198</v>
      </c>
      <c r="B557">
        <v>2020</v>
      </c>
      <c r="C557">
        <v>3313</v>
      </c>
    </row>
    <row r="558" spans="1:3">
      <c r="A558" t="s">
        <v>198</v>
      </c>
      <c r="B558">
        <v>2021</v>
      </c>
      <c r="C558">
        <v>4081</v>
      </c>
    </row>
    <row r="559" spans="1:3">
      <c r="A559" t="s">
        <v>198</v>
      </c>
      <c r="B559">
        <v>2022</v>
      </c>
      <c r="C559">
        <v>4222</v>
      </c>
    </row>
    <row r="560" spans="1:3">
      <c r="A560" t="s">
        <v>198</v>
      </c>
      <c r="B560">
        <v>2023</v>
      </c>
      <c r="C560">
        <v>4278</v>
      </c>
    </row>
    <row r="561" spans="1:3">
      <c r="A561" t="s">
        <v>198</v>
      </c>
      <c r="B561">
        <v>2024</v>
      </c>
      <c r="C561">
        <v>4542</v>
      </c>
    </row>
    <row r="562" spans="1:3">
      <c r="A562" t="s">
        <v>198</v>
      </c>
      <c r="B562">
        <v>2025</v>
      </c>
      <c r="C562">
        <v>4579</v>
      </c>
    </row>
    <row r="563" spans="1:3">
      <c r="A563" t="s">
        <v>199</v>
      </c>
      <c r="B563">
        <v>2015</v>
      </c>
      <c r="C563">
        <v>982</v>
      </c>
    </row>
    <row r="564" spans="1:3">
      <c r="A564" t="s">
        <v>199</v>
      </c>
      <c r="B564">
        <v>2016</v>
      </c>
      <c r="C564">
        <v>999</v>
      </c>
    </row>
    <row r="565" spans="1:3">
      <c r="A565" t="s">
        <v>199</v>
      </c>
      <c r="B565">
        <v>2017</v>
      </c>
      <c r="C565">
        <v>999</v>
      </c>
    </row>
    <row r="566" spans="1:3">
      <c r="A566" t="s">
        <v>199</v>
      </c>
      <c r="B566">
        <v>2018</v>
      </c>
      <c r="C566">
        <v>1033</v>
      </c>
    </row>
    <row r="567" spans="1:3">
      <c r="A567" t="s">
        <v>199</v>
      </c>
      <c r="B567">
        <v>2019</v>
      </c>
      <c r="C567">
        <v>1128</v>
      </c>
    </row>
    <row r="568" spans="1:3">
      <c r="A568" t="s">
        <v>199</v>
      </c>
      <c r="B568">
        <v>2020</v>
      </c>
      <c r="C568">
        <v>1172</v>
      </c>
    </row>
    <row r="569" spans="1:3">
      <c r="A569" t="s">
        <v>199</v>
      </c>
      <c r="B569">
        <v>2021</v>
      </c>
      <c r="C569">
        <v>1345</v>
      </c>
    </row>
    <row r="570" spans="1:3">
      <c r="A570" t="s">
        <v>199</v>
      </c>
      <c r="B570">
        <v>2022</v>
      </c>
      <c r="C570">
        <v>1424</v>
      </c>
    </row>
    <row r="571" spans="1:3">
      <c r="A571" t="s">
        <v>199</v>
      </c>
      <c r="B571">
        <v>2023</v>
      </c>
      <c r="C571">
        <v>1444</v>
      </c>
    </row>
    <row r="572" spans="1:3">
      <c r="A572" t="s">
        <v>199</v>
      </c>
      <c r="B572">
        <v>2024</v>
      </c>
      <c r="C572">
        <v>1565</v>
      </c>
    </row>
    <row r="573" spans="1:3">
      <c r="A573" t="s">
        <v>199</v>
      </c>
      <c r="B573">
        <v>2025</v>
      </c>
      <c r="C573">
        <v>1697</v>
      </c>
    </row>
    <row r="574" spans="1:3">
      <c r="A574" t="s">
        <v>200</v>
      </c>
      <c r="B574">
        <v>2015</v>
      </c>
      <c r="C574">
        <v>815</v>
      </c>
    </row>
    <row r="575" spans="1:3">
      <c r="A575" t="s">
        <v>200</v>
      </c>
      <c r="B575">
        <v>2016</v>
      </c>
      <c r="C575">
        <v>870</v>
      </c>
    </row>
    <row r="576" spans="1:3">
      <c r="A576" t="s">
        <v>200</v>
      </c>
      <c r="B576">
        <v>2017</v>
      </c>
      <c r="C576">
        <v>856</v>
      </c>
    </row>
    <row r="577" spans="1:3">
      <c r="A577" t="s">
        <v>200</v>
      </c>
      <c r="B577">
        <v>2018</v>
      </c>
      <c r="C577">
        <v>899</v>
      </c>
    </row>
    <row r="578" spans="1:3">
      <c r="A578" t="s">
        <v>200</v>
      </c>
      <c r="B578">
        <v>2019</v>
      </c>
      <c r="C578">
        <v>1067</v>
      </c>
    </row>
    <row r="579" spans="1:3">
      <c r="A579" t="s">
        <v>200</v>
      </c>
      <c r="B579">
        <v>2020</v>
      </c>
      <c r="C579">
        <v>1106</v>
      </c>
    </row>
    <row r="580" spans="1:3">
      <c r="A580" t="s">
        <v>200</v>
      </c>
      <c r="B580">
        <v>2021</v>
      </c>
      <c r="C580">
        <v>1128</v>
      </c>
    </row>
    <row r="581" spans="1:3">
      <c r="A581" t="s">
        <v>200</v>
      </c>
      <c r="B581">
        <v>2022</v>
      </c>
      <c r="C581">
        <v>1164</v>
      </c>
    </row>
    <row r="582" spans="1:3">
      <c r="A582" t="s">
        <v>200</v>
      </c>
      <c r="B582">
        <v>2023</v>
      </c>
      <c r="C582">
        <v>1305</v>
      </c>
    </row>
    <row r="583" spans="1:3">
      <c r="A583" t="s">
        <v>200</v>
      </c>
      <c r="B583">
        <v>2024</v>
      </c>
      <c r="C583">
        <v>1230</v>
      </c>
    </row>
    <row r="584" spans="1:3">
      <c r="A584" t="s">
        <v>200</v>
      </c>
      <c r="B584">
        <v>2025</v>
      </c>
      <c r="C584">
        <v>1337</v>
      </c>
    </row>
    <row r="585" spans="1:3">
      <c r="A585" t="s">
        <v>201</v>
      </c>
      <c r="B585">
        <v>2015</v>
      </c>
      <c r="C585">
        <v>869</v>
      </c>
    </row>
    <row r="586" spans="1:3">
      <c r="A586" t="s">
        <v>201</v>
      </c>
      <c r="B586">
        <v>2016</v>
      </c>
      <c r="C586">
        <v>951</v>
      </c>
    </row>
    <row r="587" spans="1:3">
      <c r="A587" t="s">
        <v>201</v>
      </c>
      <c r="B587">
        <v>2017</v>
      </c>
      <c r="C587">
        <v>1024</v>
      </c>
    </row>
    <row r="588" spans="1:3">
      <c r="A588" t="s">
        <v>201</v>
      </c>
      <c r="B588">
        <v>2018</v>
      </c>
      <c r="C588">
        <v>1092</v>
      </c>
    </row>
    <row r="589" spans="1:3">
      <c r="A589" t="s">
        <v>201</v>
      </c>
      <c r="B589">
        <v>2019</v>
      </c>
      <c r="C589">
        <v>1142</v>
      </c>
    </row>
    <row r="590" spans="1:3">
      <c r="A590" t="s">
        <v>201</v>
      </c>
      <c r="B590">
        <v>2020</v>
      </c>
      <c r="C590">
        <v>1283</v>
      </c>
    </row>
    <row r="591" spans="1:3">
      <c r="A591" t="s">
        <v>201</v>
      </c>
      <c r="B591">
        <v>2021</v>
      </c>
      <c r="C591">
        <v>1347</v>
      </c>
    </row>
    <row r="592" spans="1:3">
      <c r="A592" t="s">
        <v>201</v>
      </c>
      <c r="B592">
        <v>2022</v>
      </c>
      <c r="C592">
        <v>1366</v>
      </c>
    </row>
    <row r="593" spans="1:3">
      <c r="A593" t="s">
        <v>201</v>
      </c>
      <c r="B593">
        <v>2023</v>
      </c>
      <c r="C593">
        <v>1624</v>
      </c>
    </row>
    <row r="594" spans="1:3">
      <c r="A594" t="s">
        <v>201</v>
      </c>
      <c r="B594">
        <v>2024</v>
      </c>
      <c r="C594">
        <v>1639</v>
      </c>
    </row>
    <row r="595" spans="1:3">
      <c r="A595" t="s">
        <v>201</v>
      </c>
      <c r="B595">
        <v>2025</v>
      </c>
      <c r="C595">
        <v>1646</v>
      </c>
    </row>
    <row r="596" spans="1:3">
      <c r="A596" t="s">
        <v>202</v>
      </c>
      <c r="B596">
        <v>2015</v>
      </c>
      <c r="C596">
        <v>498</v>
      </c>
    </row>
    <row r="597" spans="1:3">
      <c r="A597" t="s">
        <v>202</v>
      </c>
      <c r="B597">
        <v>2016</v>
      </c>
      <c r="C597">
        <v>512</v>
      </c>
    </row>
    <row r="598" spans="1:3">
      <c r="A598" t="s">
        <v>202</v>
      </c>
      <c r="B598">
        <v>2017</v>
      </c>
      <c r="C598">
        <v>609</v>
      </c>
    </row>
    <row r="599" spans="1:3">
      <c r="A599" t="s">
        <v>202</v>
      </c>
      <c r="B599">
        <v>2018</v>
      </c>
      <c r="C599">
        <v>705</v>
      </c>
    </row>
    <row r="600" spans="1:3">
      <c r="A600" t="s">
        <v>202</v>
      </c>
      <c r="B600">
        <v>2019</v>
      </c>
      <c r="C600">
        <v>821</v>
      </c>
    </row>
    <row r="601" spans="1:3">
      <c r="A601" t="s">
        <v>202</v>
      </c>
      <c r="B601">
        <v>2020</v>
      </c>
      <c r="C601">
        <v>874</v>
      </c>
    </row>
    <row r="602" spans="1:3">
      <c r="A602" t="s">
        <v>202</v>
      </c>
      <c r="B602">
        <v>2021</v>
      </c>
      <c r="C602">
        <v>971</v>
      </c>
    </row>
    <row r="603" spans="1:3">
      <c r="A603" t="s">
        <v>202</v>
      </c>
      <c r="B603">
        <v>2022</v>
      </c>
      <c r="C603">
        <v>936</v>
      </c>
    </row>
    <row r="604" spans="1:3">
      <c r="A604" t="s">
        <v>202</v>
      </c>
      <c r="B604">
        <v>2023</v>
      </c>
      <c r="C604">
        <v>1006</v>
      </c>
    </row>
    <row r="605" spans="1:3">
      <c r="A605" t="s">
        <v>202</v>
      </c>
      <c r="B605">
        <v>2024</v>
      </c>
      <c r="C605">
        <v>1071</v>
      </c>
    </row>
    <row r="606" spans="1:3">
      <c r="A606" t="s">
        <v>202</v>
      </c>
      <c r="B606">
        <v>2025</v>
      </c>
      <c r="C606">
        <v>1103</v>
      </c>
    </row>
    <row r="607" spans="1:3">
      <c r="A607" t="s">
        <v>203</v>
      </c>
      <c r="B607">
        <v>2015</v>
      </c>
      <c r="C607">
        <v>525</v>
      </c>
    </row>
    <row r="608" spans="1:3">
      <c r="A608" t="s">
        <v>203</v>
      </c>
      <c r="B608">
        <v>2016</v>
      </c>
      <c r="C608">
        <v>592</v>
      </c>
    </row>
    <row r="609" spans="1:3">
      <c r="A609" t="s">
        <v>203</v>
      </c>
      <c r="B609">
        <v>2017</v>
      </c>
      <c r="C609">
        <v>630</v>
      </c>
    </row>
    <row r="610" spans="1:3">
      <c r="A610" t="s">
        <v>203</v>
      </c>
      <c r="B610">
        <v>2018</v>
      </c>
      <c r="C610">
        <v>668</v>
      </c>
    </row>
    <row r="611" spans="1:3">
      <c r="A611" t="s">
        <v>203</v>
      </c>
      <c r="B611">
        <v>2019</v>
      </c>
      <c r="C611">
        <v>719</v>
      </c>
    </row>
    <row r="612" spans="1:3">
      <c r="A612" t="s">
        <v>203</v>
      </c>
      <c r="B612">
        <v>2020</v>
      </c>
      <c r="C612">
        <v>779</v>
      </c>
    </row>
    <row r="613" spans="1:3">
      <c r="A613" t="s">
        <v>203</v>
      </c>
      <c r="B613">
        <v>2021</v>
      </c>
      <c r="C613">
        <v>822</v>
      </c>
    </row>
    <row r="614" spans="1:3">
      <c r="A614" t="s">
        <v>203</v>
      </c>
      <c r="B614">
        <v>2022</v>
      </c>
      <c r="C614">
        <v>812</v>
      </c>
    </row>
    <row r="615" spans="1:3">
      <c r="A615" t="s">
        <v>203</v>
      </c>
      <c r="B615">
        <v>2023</v>
      </c>
      <c r="C615">
        <v>854</v>
      </c>
    </row>
    <row r="616" spans="1:3">
      <c r="A616" t="s">
        <v>203</v>
      </c>
      <c r="B616">
        <v>2024</v>
      </c>
      <c r="C616">
        <v>931</v>
      </c>
    </row>
    <row r="617" spans="1:3">
      <c r="A617" t="s">
        <v>203</v>
      </c>
      <c r="B617">
        <v>2025</v>
      </c>
      <c r="C617">
        <v>978</v>
      </c>
    </row>
    <row r="618" spans="1:3">
      <c r="A618" t="s">
        <v>204</v>
      </c>
      <c r="B618">
        <v>2015</v>
      </c>
      <c r="C618">
        <v>3068</v>
      </c>
    </row>
    <row r="619" spans="1:3">
      <c r="A619" t="s">
        <v>204</v>
      </c>
      <c r="B619">
        <v>2016</v>
      </c>
      <c r="C619">
        <v>3216</v>
      </c>
    </row>
    <row r="620" spans="1:3">
      <c r="A620" t="s">
        <v>204</v>
      </c>
      <c r="B620">
        <v>2017</v>
      </c>
      <c r="C620">
        <v>3324</v>
      </c>
    </row>
    <row r="621" spans="1:3">
      <c r="A621" t="s">
        <v>204</v>
      </c>
      <c r="B621">
        <v>2018</v>
      </c>
      <c r="C621">
        <v>3618</v>
      </c>
    </row>
    <row r="622" spans="1:3">
      <c r="A622" t="s">
        <v>204</v>
      </c>
      <c r="B622">
        <v>2019</v>
      </c>
      <c r="C622">
        <v>3671</v>
      </c>
    </row>
    <row r="623" spans="1:3">
      <c r="A623" t="s">
        <v>204</v>
      </c>
      <c r="B623">
        <v>2020</v>
      </c>
      <c r="C623">
        <v>4007</v>
      </c>
    </row>
    <row r="624" spans="1:3">
      <c r="A624" t="s">
        <v>204</v>
      </c>
      <c r="B624">
        <v>2021</v>
      </c>
      <c r="C624">
        <v>4456</v>
      </c>
    </row>
    <row r="625" spans="1:3">
      <c r="A625" t="s">
        <v>204</v>
      </c>
      <c r="B625">
        <v>2022</v>
      </c>
      <c r="C625">
        <v>4452</v>
      </c>
    </row>
    <row r="626" spans="1:3">
      <c r="A626" t="s">
        <v>204</v>
      </c>
      <c r="B626">
        <v>2023</v>
      </c>
      <c r="C626">
        <v>4532</v>
      </c>
    </row>
    <row r="627" spans="1:3">
      <c r="A627" t="s">
        <v>204</v>
      </c>
      <c r="B627">
        <v>2024</v>
      </c>
      <c r="C627">
        <v>4769</v>
      </c>
    </row>
    <row r="628" spans="1:3">
      <c r="A628" t="s">
        <v>204</v>
      </c>
      <c r="B628">
        <v>2025</v>
      </c>
      <c r="C628">
        <v>5102</v>
      </c>
    </row>
    <row r="629" spans="1:3">
      <c r="A629" t="s">
        <v>205</v>
      </c>
      <c r="B629">
        <v>2015</v>
      </c>
      <c r="C629">
        <v>792</v>
      </c>
    </row>
    <row r="630" spans="1:3">
      <c r="A630" t="s">
        <v>205</v>
      </c>
      <c r="B630">
        <v>2016</v>
      </c>
      <c r="C630">
        <v>966</v>
      </c>
    </row>
    <row r="631" spans="1:3">
      <c r="A631" t="s">
        <v>205</v>
      </c>
      <c r="B631">
        <v>2017</v>
      </c>
      <c r="C631">
        <v>1059</v>
      </c>
    </row>
    <row r="632" spans="1:3">
      <c r="A632" t="s">
        <v>205</v>
      </c>
      <c r="B632">
        <v>2018</v>
      </c>
      <c r="C632">
        <v>1231</v>
      </c>
    </row>
    <row r="633" spans="1:3">
      <c r="A633" t="s">
        <v>205</v>
      </c>
      <c r="B633">
        <v>2019</v>
      </c>
      <c r="C633">
        <v>1361</v>
      </c>
    </row>
    <row r="634" spans="1:3">
      <c r="A634" t="s">
        <v>205</v>
      </c>
      <c r="B634">
        <v>2020</v>
      </c>
      <c r="C634">
        <v>1501</v>
      </c>
    </row>
    <row r="635" spans="1:3">
      <c r="A635" t="s">
        <v>205</v>
      </c>
      <c r="B635">
        <v>2021</v>
      </c>
      <c r="C635">
        <v>1769</v>
      </c>
    </row>
    <row r="636" spans="1:3">
      <c r="A636" t="s">
        <v>205</v>
      </c>
      <c r="B636">
        <v>2022</v>
      </c>
      <c r="C636">
        <v>1890</v>
      </c>
    </row>
    <row r="637" spans="1:3">
      <c r="A637" t="s">
        <v>205</v>
      </c>
      <c r="B637">
        <v>2023</v>
      </c>
      <c r="C637">
        <v>1895</v>
      </c>
    </row>
    <row r="638" spans="1:3">
      <c r="A638" t="s">
        <v>205</v>
      </c>
      <c r="B638">
        <v>2024</v>
      </c>
      <c r="C638">
        <v>1961</v>
      </c>
    </row>
    <row r="639" spans="1:3">
      <c r="A639" t="s">
        <v>205</v>
      </c>
      <c r="B639">
        <v>2025</v>
      </c>
      <c r="C639">
        <v>2025</v>
      </c>
    </row>
    <row r="640" spans="1:3">
      <c r="A640" t="s">
        <v>206</v>
      </c>
      <c r="B640">
        <v>2015</v>
      </c>
      <c r="C640">
        <v>848</v>
      </c>
    </row>
    <row r="641" spans="1:3">
      <c r="A641" t="s">
        <v>206</v>
      </c>
      <c r="B641">
        <v>2016</v>
      </c>
      <c r="C641">
        <v>870</v>
      </c>
    </row>
    <row r="642" spans="1:3">
      <c r="A642" t="s">
        <v>206</v>
      </c>
      <c r="B642">
        <v>2017</v>
      </c>
      <c r="C642">
        <v>939</v>
      </c>
    </row>
    <row r="643" spans="1:3">
      <c r="A643" t="s">
        <v>206</v>
      </c>
      <c r="B643">
        <v>2018</v>
      </c>
      <c r="C643">
        <v>1071</v>
      </c>
    </row>
    <row r="644" spans="1:3">
      <c r="A644" t="s">
        <v>206</v>
      </c>
      <c r="B644">
        <v>2019</v>
      </c>
      <c r="C644">
        <v>1164</v>
      </c>
    </row>
    <row r="645" spans="1:3">
      <c r="A645" t="s">
        <v>206</v>
      </c>
      <c r="B645">
        <v>2020</v>
      </c>
      <c r="C645">
        <v>1454</v>
      </c>
    </row>
    <row r="646" spans="1:3">
      <c r="A646" t="s">
        <v>206</v>
      </c>
      <c r="B646">
        <v>2021</v>
      </c>
      <c r="C646">
        <v>1656</v>
      </c>
    </row>
    <row r="647" spans="1:3">
      <c r="A647" t="s">
        <v>206</v>
      </c>
      <c r="B647">
        <v>2022</v>
      </c>
      <c r="C647">
        <v>1654</v>
      </c>
    </row>
    <row r="648" spans="1:3">
      <c r="A648" t="s">
        <v>206</v>
      </c>
      <c r="B648">
        <v>2023</v>
      </c>
      <c r="C648">
        <v>1703</v>
      </c>
    </row>
    <row r="649" spans="1:3">
      <c r="A649" t="s">
        <v>206</v>
      </c>
      <c r="B649">
        <v>2024</v>
      </c>
      <c r="C649">
        <v>1722</v>
      </c>
    </row>
    <row r="650" spans="1:3">
      <c r="A650" t="s">
        <v>206</v>
      </c>
      <c r="B650">
        <v>2025</v>
      </c>
      <c r="C650">
        <v>1801</v>
      </c>
    </row>
    <row r="651" spans="1:3">
      <c r="A651" t="s">
        <v>207</v>
      </c>
      <c r="B651">
        <v>2015</v>
      </c>
      <c r="C651">
        <v>185</v>
      </c>
    </row>
    <row r="652" spans="1:3">
      <c r="A652" t="s">
        <v>207</v>
      </c>
      <c r="B652">
        <v>2016</v>
      </c>
      <c r="C652">
        <v>206</v>
      </c>
    </row>
    <row r="653" spans="1:3">
      <c r="A653" t="s">
        <v>207</v>
      </c>
      <c r="B653">
        <v>2017</v>
      </c>
      <c r="C653">
        <v>261</v>
      </c>
    </row>
    <row r="654" spans="1:3">
      <c r="A654" t="s">
        <v>207</v>
      </c>
      <c r="B654">
        <v>2018</v>
      </c>
      <c r="C654">
        <v>291</v>
      </c>
    </row>
    <row r="655" spans="1:3">
      <c r="A655" t="s">
        <v>207</v>
      </c>
      <c r="B655">
        <v>2019</v>
      </c>
      <c r="C655">
        <v>337</v>
      </c>
    </row>
    <row r="656" spans="1:3">
      <c r="A656" t="s">
        <v>207</v>
      </c>
      <c r="B656">
        <v>2020</v>
      </c>
      <c r="C656">
        <v>450</v>
      </c>
    </row>
    <row r="657" spans="1:3">
      <c r="A657" t="s">
        <v>207</v>
      </c>
      <c r="B657">
        <v>2021</v>
      </c>
      <c r="C657">
        <v>415</v>
      </c>
    </row>
    <row r="658" spans="1:3">
      <c r="A658" t="s">
        <v>207</v>
      </c>
      <c r="B658">
        <v>2022</v>
      </c>
      <c r="C658">
        <v>435</v>
      </c>
    </row>
    <row r="659" spans="1:3">
      <c r="A659" t="s">
        <v>207</v>
      </c>
      <c r="B659">
        <v>2023</v>
      </c>
      <c r="C659">
        <v>451</v>
      </c>
    </row>
    <row r="660" spans="1:3">
      <c r="A660" t="s">
        <v>207</v>
      </c>
      <c r="B660">
        <v>2024</v>
      </c>
      <c r="C660">
        <v>483</v>
      </c>
    </row>
    <row r="661" spans="1:3">
      <c r="A661" t="s">
        <v>207</v>
      </c>
      <c r="B661">
        <v>2025</v>
      </c>
      <c r="C661">
        <v>551</v>
      </c>
    </row>
    <row r="662" spans="1:3">
      <c r="A662" t="s">
        <v>208</v>
      </c>
      <c r="B662">
        <v>2015</v>
      </c>
      <c r="C662">
        <v>293</v>
      </c>
    </row>
    <row r="663" spans="1:3">
      <c r="A663" t="s">
        <v>208</v>
      </c>
      <c r="B663">
        <v>2016</v>
      </c>
      <c r="C663">
        <v>318</v>
      </c>
    </row>
    <row r="664" spans="1:3">
      <c r="A664" t="s">
        <v>208</v>
      </c>
      <c r="B664">
        <v>2017</v>
      </c>
      <c r="C664">
        <v>358</v>
      </c>
    </row>
    <row r="665" spans="1:3">
      <c r="A665" t="s">
        <v>208</v>
      </c>
      <c r="B665">
        <v>2018</v>
      </c>
      <c r="C665">
        <v>365</v>
      </c>
    </row>
    <row r="666" spans="1:3">
      <c r="A666" t="s">
        <v>208</v>
      </c>
      <c r="B666">
        <v>2019</v>
      </c>
      <c r="C666">
        <v>465</v>
      </c>
    </row>
    <row r="667" spans="1:3">
      <c r="A667" t="s">
        <v>208</v>
      </c>
      <c r="B667">
        <v>2020</v>
      </c>
      <c r="C667">
        <v>523</v>
      </c>
    </row>
    <row r="668" spans="1:3">
      <c r="A668" t="s">
        <v>208</v>
      </c>
      <c r="B668">
        <v>2021</v>
      </c>
      <c r="C668">
        <v>565</v>
      </c>
    </row>
    <row r="669" spans="1:3">
      <c r="A669" t="s">
        <v>208</v>
      </c>
      <c r="B669">
        <v>2022</v>
      </c>
      <c r="C669">
        <v>654</v>
      </c>
    </row>
    <row r="670" spans="1:3">
      <c r="A670" t="s">
        <v>208</v>
      </c>
      <c r="B670">
        <v>2023</v>
      </c>
      <c r="C670">
        <v>715</v>
      </c>
    </row>
    <row r="671" spans="1:3">
      <c r="A671" t="s">
        <v>208</v>
      </c>
      <c r="B671">
        <v>2024</v>
      </c>
      <c r="C671">
        <v>747</v>
      </c>
    </row>
    <row r="672" spans="1:3">
      <c r="A672" t="s">
        <v>208</v>
      </c>
      <c r="B672">
        <v>2025</v>
      </c>
      <c r="C672">
        <v>747</v>
      </c>
    </row>
    <row r="673" spans="1:3">
      <c r="A673" t="s">
        <v>209</v>
      </c>
      <c r="B673">
        <v>2015</v>
      </c>
      <c r="C673">
        <v>1390</v>
      </c>
    </row>
    <row r="674" spans="1:3">
      <c r="A674" t="s">
        <v>209</v>
      </c>
      <c r="B674">
        <v>2016</v>
      </c>
      <c r="C674">
        <v>1619</v>
      </c>
    </row>
    <row r="675" spans="1:3">
      <c r="A675" t="s">
        <v>209</v>
      </c>
      <c r="B675">
        <v>2017</v>
      </c>
      <c r="C675">
        <v>1712</v>
      </c>
    </row>
    <row r="676" spans="1:3">
      <c r="A676" t="s">
        <v>209</v>
      </c>
      <c r="B676">
        <v>2018</v>
      </c>
      <c r="C676">
        <v>1845</v>
      </c>
    </row>
    <row r="677" spans="1:3">
      <c r="A677" t="s">
        <v>209</v>
      </c>
      <c r="B677">
        <v>2019</v>
      </c>
      <c r="C677">
        <v>2019</v>
      </c>
    </row>
    <row r="678" spans="1:3">
      <c r="A678" t="s">
        <v>209</v>
      </c>
      <c r="B678">
        <v>2020</v>
      </c>
      <c r="C678">
        <v>2165</v>
      </c>
    </row>
    <row r="679" spans="1:3">
      <c r="A679" t="s">
        <v>209</v>
      </c>
      <c r="B679">
        <v>2021</v>
      </c>
      <c r="C679">
        <v>2686</v>
      </c>
    </row>
    <row r="680" spans="1:3">
      <c r="A680" t="s">
        <v>209</v>
      </c>
      <c r="B680">
        <v>2022</v>
      </c>
      <c r="C680">
        <v>2974</v>
      </c>
    </row>
    <row r="681" spans="1:3">
      <c r="A681" t="s">
        <v>209</v>
      </c>
      <c r="B681">
        <v>2023</v>
      </c>
      <c r="C681">
        <v>3160</v>
      </c>
    </row>
    <row r="682" spans="1:3">
      <c r="A682" t="s">
        <v>209</v>
      </c>
      <c r="B682">
        <v>2024</v>
      </c>
      <c r="C682">
        <v>3220</v>
      </c>
    </row>
    <row r="683" spans="1:3">
      <c r="A683" t="s">
        <v>209</v>
      </c>
      <c r="B683">
        <v>2025</v>
      </c>
      <c r="C683">
        <v>3486</v>
      </c>
    </row>
    <row r="684" spans="1:3">
      <c r="A684" t="s">
        <v>210</v>
      </c>
      <c r="B684">
        <v>2015</v>
      </c>
      <c r="C684">
        <v>3597</v>
      </c>
    </row>
    <row r="685" spans="1:3">
      <c r="A685" t="s">
        <v>210</v>
      </c>
      <c r="B685">
        <v>2016</v>
      </c>
      <c r="C685">
        <v>3754</v>
      </c>
    </row>
    <row r="686" spans="1:3">
      <c r="A686" t="s">
        <v>210</v>
      </c>
      <c r="B686">
        <v>2017</v>
      </c>
      <c r="C686">
        <v>4156</v>
      </c>
    </row>
    <row r="687" spans="1:3">
      <c r="A687" t="s">
        <v>210</v>
      </c>
      <c r="B687">
        <v>2018</v>
      </c>
      <c r="C687">
        <v>4613</v>
      </c>
    </row>
    <row r="688" spans="1:3">
      <c r="A688" t="s">
        <v>210</v>
      </c>
      <c r="B688">
        <v>2019</v>
      </c>
      <c r="C688">
        <v>5239</v>
      </c>
    </row>
    <row r="689" spans="1:12">
      <c r="A689" t="s">
        <v>210</v>
      </c>
      <c r="B689">
        <v>2020</v>
      </c>
      <c r="C689">
        <v>5744</v>
      </c>
    </row>
    <row r="690" spans="1:12">
      <c r="A690" t="s">
        <v>210</v>
      </c>
      <c r="B690">
        <v>2021</v>
      </c>
      <c r="C690">
        <v>6652</v>
      </c>
    </row>
    <row r="691" spans="1:12">
      <c r="A691" t="s">
        <v>210</v>
      </c>
      <c r="B691">
        <v>2022</v>
      </c>
      <c r="C691">
        <v>6893</v>
      </c>
    </row>
    <row r="692" spans="1:12">
      <c r="A692" t="s">
        <v>210</v>
      </c>
      <c r="B692">
        <v>2023</v>
      </c>
      <c r="C692">
        <v>6834</v>
      </c>
    </row>
    <row r="693" spans="1:12">
      <c r="A693" t="s">
        <v>210</v>
      </c>
      <c r="B693">
        <v>2024</v>
      </c>
      <c r="C693">
        <v>7243</v>
      </c>
    </row>
    <row r="694" spans="1:12">
      <c r="A694" t="s">
        <v>210</v>
      </c>
      <c r="B694">
        <v>2025</v>
      </c>
      <c r="C694">
        <v>7765</v>
      </c>
    </row>
    <row r="696" spans="1:12">
      <c r="A696" t="s">
        <v>243</v>
      </c>
    </row>
    <row r="697" spans="1:12">
      <c r="A697" t="s">
        <v>227</v>
      </c>
    </row>
    <row r="698" spans="1:12">
      <c r="A698" t="s">
        <v>244</v>
      </c>
    </row>
    <row r="699" spans="1:12">
      <c r="A699" t="s">
        <v>245</v>
      </c>
    </row>
    <row r="700" spans="1:12">
      <c r="A700" t="s">
        <v>133</v>
      </c>
    </row>
    <row r="701" spans="1:12">
      <c r="A701" t="s">
        <v>134</v>
      </c>
      <c r="B701" t="s">
        <v>135</v>
      </c>
      <c r="C701" t="s">
        <v>136</v>
      </c>
      <c r="D701" t="s">
        <v>137</v>
      </c>
      <c r="E701" t="s">
        <v>138</v>
      </c>
      <c r="F701" t="s">
        <v>139</v>
      </c>
      <c r="G701" t="s">
        <v>140</v>
      </c>
      <c r="H701" t="s">
        <v>141</v>
      </c>
      <c r="I701" t="s">
        <v>142</v>
      </c>
      <c r="J701" t="s">
        <v>143</v>
      </c>
      <c r="K701" t="s">
        <v>144</v>
      </c>
      <c r="L701" t="s">
        <v>145</v>
      </c>
    </row>
    <row r="702" spans="1:12">
      <c r="A702" t="s">
        <v>146</v>
      </c>
      <c r="B702">
        <v>505</v>
      </c>
      <c r="C702">
        <v>604</v>
      </c>
      <c r="D702">
        <v>645</v>
      </c>
      <c r="E702">
        <v>706</v>
      </c>
      <c r="F702">
        <v>785</v>
      </c>
      <c r="G702">
        <v>1041</v>
      </c>
      <c r="H702">
        <v>1078</v>
      </c>
      <c r="I702">
        <v>1090</v>
      </c>
      <c r="J702">
        <v>1179</v>
      </c>
      <c r="K702">
        <v>1130</v>
      </c>
      <c r="L702">
        <v>1145</v>
      </c>
    </row>
    <row r="703" spans="1:12">
      <c r="A703" t="s">
        <v>147</v>
      </c>
      <c r="B703">
        <v>1521</v>
      </c>
      <c r="C703">
        <v>1451</v>
      </c>
      <c r="D703">
        <v>1877</v>
      </c>
      <c r="E703">
        <v>2063</v>
      </c>
      <c r="F703">
        <v>2041</v>
      </c>
      <c r="G703">
        <v>2679</v>
      </c>
      <c r="H703">
        <v>3094</v>
      </c>
      <c r="I703">
        <v>3232</v>
      </c>
      <c r="J703">
        <v>3946</v>
      </c>
      <c r="K703">
        <v>3716</v>
      </c>
      <c r="L703">
        <v>3879</v>
      </c>
    </row>
    <row r="704" spans="1:12">
      <c r="A704" t="s">
        <v>148</v>
      </c>
      <c r="B704">
        <v>362</v>
      </c>
      <c r="C704">
        <v>357</v>
      </c>
      <c r="D704">
        <v>425</v>
      </c>
      <c r="E704">
        <v>453</v>
      </c>
      <c r="F704">
        <v>482</v>
      </c>
      <c r="G704">
        <v>654</v>
      </c>
      <c r="H704">
        <v>800</v>
      </c>
      <c r="I704">
        <v>918</v>
      </c>
      <c r="J704">
        <v>923</v>
      </c>
      <c r="K704">
        <v>908</v>
      </c>
      <c r="L704">
        <v>935</v>
      </c>
    </row>
    <row r="705" spans="1:12">
      <c r="A705" t="s">
        <v>149</v>
      </c>
      <c r="B705">
        <v>249</v>
      </c>
      <c r="C705">
        <v>268</v>
      </c>
      <c r="D705">
        <v>287</v>
      </c>
      <c r="E705">
        <v>307</v>
      </c>
      <c r="F705">
        <v>385</v>
      </c>
      <c r="G705">
        <v>401</v>
      </c>
      <c r="H705">
        <v>387</v>
      </c>
      <c r="I705">
        <v>396</v>
      </c>
      <c r="J705">
        <v>438</v>
      </c>
      <c r="K705">
        <v>467</v>
      </c>
      <c r="L705">
        <v>499</v>
      </c>
    </row>
    <row r="706" spans="1:12">
      <c r="A706" t="s">
        <v>151</v>
      </c>
      <c r="B706">
        <v>435</v>
      </c>
      <c r="C706">
        <v>446</v>
      </c>
      <c r="D706">
        <v>489</v>
      </c>
      <c r="E706">
        <v>548</v>
      </c>
      <c r="F706">
        <v>545</v>
      </c>
      <c r="G706">
        <v>662</v>
      </c>
      <c r="H706">
        <v>766</v>
      </c>
      <c r="I706">
        <v>977</v>
      </c>
      <c r="J706">
        <v>1296</v>
      </c>
      <c r="K706">
        <v>1384</v>
      </c>
      <c r="L706">
        <v>1436</v>
      </c>
    </row>
    <row r="707" spans="1:12">
      <c r="A707" t="s">
        <v>152</v>
      </c>
      <c r="B707">
        <v>1389</v>
      </c>
      <c r="C707">
        <v>1549</v>
      </c>
      <c r="D707">
        <v>1632</v>
      </c>
      <c r="E707">
        <v>1935</v>
      </c>
      <c r="F707">
        <v>2127</v>
      </c>
      <c r="G707">
        <v>2430</v>
      </c>
      <c r="H707">
        <v>2611</v>
      </c>
      <c r="I707">
        <v>2904</v>
      </c>
      <c r="J707">
        <v>3534</v>
      </c>
      <c r="K707">
        <v>3795</v>
      </c>
      <c r="L707">
        <v>3959</v>
      </c>
    </row>
    <row r="708" spans="1:12">
      <c r="A708" t="s">
        <v>153</v>
      </c>
      <c r="B708">
        <v>888</v>
      </c>
      <c r="C708">
        <v>968</v>
      </c>
      <c r="D708">
        <v>1058</v>
      </c>
      <c r="E708">
        <v>1126</v>
      </c>
      <c r="F708">
        <v>1179</v>
      </c>
      <c r="G708">
        <v>1570</v>
      </c>
      <c r="H708">
        <v>1753</v>
      </c>
      <c r="I708">
        <v>1778</v>
      </c>
      <c r="J708">
        <v>2244</v>
      </c>
      <c r="K708">
        <v>2307</v>
      </c>
      <c r="L708">
        <v>2337</v>
      </c>
    </row>
    <row r="709" spans="1:12">
      <c r="A709" t="s">
        <v>154</v>
      </c>
      <c r="B709">
        <v>2276</v>
      </c>
      <c r="C709">
        <v>2344</v>
      </c>
      <c r="D709">
        <v>2458</v>
      </c>
      <c r="E709">
        <v>2660</v>
      </c>
      <c r="F709">
        <v>3932</v>
      </c>
      <c r="G709">
        <v>4644</v>
      </c>
      <c r="H709">
        <v>5137</v>
      </c>
      <c r="I709">
        <v>5417</v>
      </c>
      <c r="J709">
        <v>6196</v>
      </c>
      <c r="K709">
        <v>6400</v>
      </c>
      <c r="L709">
        <v>6510</v>
      </c>
    </row>
    <row r="710" spans="1:12">
      <c r="A710" t="s">
        <v>155</v>
      </c>
      <c r="B710">
        <v>860</v>
      </c>
      <c r="C710">
        <v>951</v>
      </c>
      <c r="D710">
        <v>957</v>
      </c>
      <c r="E710">
        <v>1071</v>
      </c>
      <c r="F710">
        <v>1177</v>
      </c>
      <c r="G710">
        <v>1199</v>
      </c>
      <c r="H710">
        <v>1518</v>
      </c>
      <c r="I710">
        <v>1567</v>
      </c>
      <c r="J710">
        <v>1895</v>
      </c>
      <c r="K710">
        <v>2003</v>
      </c>
      <c r="L710">
        <v>2104</v>
      </c>
    </row>
    <row r="711" spans="1:12">
      <c r="A711" t="s">
        <v>156</v>
      </c>
      <c r="B711">
        <v>341</v>
      </c>
      <c r="C711">
        <v>477</v>
      </c>
      <c r="D711">
        <v>538</v>
      </c>
      <c r="E711">
        <v>602</v>
      </c>
      <c r="F711">
        <v>665</v>
      </c>
      <c r="G711">
        <v>688</v>
      </c>
      <c r="H711">
        <v>802</v>
      </c>
      <c r="I711">
        <v>847</v>
      </c>
      <c r="J711">
        <v>1170</v>
      </c>
      <c r="K711">
        <v>1317</v>
      </c>
      <c r="L711">
        <v>1367</v>
      </c>
    </row>
    <row r="712" spans="1:12">
      <c r="A712" t="s">
        <v>157</v>
      </c>
      <c r="B712">
        <v>1211</v>
      </c>
      <c r="C712">
        <v>1330</v>
      </c>
      <c r="D712">
        <v>1367</v>
      </c>
      <c r="E712">
        <v>1433</v>
      </c>
      <c r="F712">
        <v>1496</v>
      </c>
      <c r="G712">
        <v>1637</v>
      </c>
      <c r="H712">
        <v>1839</v>
      </c>
      <c r="I712">
        <v>1919</v>
      </c>
      <c r="J712">
        <v>2666</v>
      </c>
      <c r="K712">
        <v>2874</v>
      </c>
      <c r="L712">
        <v>3008</v>
      </c>
    </row>
    <row r="713" spans="1:12">
      <c r="A713" t="s">
        <v>158</v>
      </c>
      <c r="B713">
        <v>411</v>
      </c>
      <c r="C713">
        <v>411</v>
      </c>
      <c r="D713">
        <v>515</v>
      </c>
      <c r="E713">
        <v>579</v>
      </c>
      <c r="F713">
        <v>664</v>
      </c>
      <c r="G713">
        <v>720</v>
      </c>
      <c r="H713">
        <v>925</v>
      </c>
      <c r="I713">
        <v>904</v>
      </c>
      <c r="J713">
        <v>803</v>
      </c>
      <c r="K713">
        <v>845</v>
      </c>
      <c r="L713">
        <v>925</v>
      </c>
    </row>
    <row r="714" spans="1:12">
      <c r="A714" t="s">
        <v>159</v>
      </c>
      <c r="B714">
        <v>318</v>
      </c>
      <c r="C714">
        <v>343</v>
      </c>
      <c r="D714">
        <v>310</v>
      </c>
      <c r="E714">
        <v>320</v>
      </c>
      <c r="F714">
        <v>362</v>
      </c>
      <c r="G714">
        <v>447</v>
      </c>
      <c r="H714">
        <v>537</v>
      </c>
      <c r="I714">
        <v>526</v>
      </c>
      <c r="J714">
        <v>470</v>
      </c>
      <c r="K714">
        <v>497</v>
      </c>
      <c r="L714">
        <v>519</v>
      </c>
    </row>
    <row r="715" spans="1:12">
      <c r="A715" t="s">
        <v>160</v>
      </c>
      <c r="B715">
        <v>299</v>
      </c>
      <c r="C715">
        <v>349</v>
      </c>
      <c r="D715">
        <v>388</v>
      </c>
      <c r="E715">
        <v>405</v>
      </c>
      <c r="F715">
        <v>433</v>
      </c>
      <c r="G715">
        <v>516</v>
      </c>
      <c r="H715">
        <v>615</v>
      </c>
      <c r="I715">
        <v>587</v>
      </c>
      <c r="J715">
        <v>524</v>
      </c>
      <c r="K715">
        <v>597</v>
      </c>
      <c r="L715">
        <v>683</v>
      </c>
    </row>
    <row r="716" spans="1:12">
      <c r="A716" t="s">
        <v>161</v>
      </c>
      <c r="B716">
        <v>2777</v>
      </c>
      <c r="C716">
        <v>3174</v>
      </c>
      <c r="D716">
        <v>3295</v>
      </c>
      <c r="E716">
        <v>3594</v>
      </c>
      <c r="F716">
        <v>3906</v>
      </c>
      <c r="G716">
        <v>4520</v>
      </c>
      <c r="H716">
        <v>5041</v>
      </c>
      <c r="I716">
        <v>5057</v>
      </c>
      <c r="J716">
        <v>5503</v>
      </c>
      <c r="K716">
        <v>5722</v>
      </c>
      <c r="L716">
        <v>6041</v>
      </c>
    </row>
    <row r="717" spans="1:12">
      <c r="A717" t="s">
        <v>162</v>
      </c>
      <c r="B717">
        <v>880</v>
      </c>
      <c r="C717">
        <v>944</v>
      </c>
      <c r="D717">
        <v>1024</v>
      </c>
      <c r="E717">
        <v>1206</v>
      </c>
      <c r="F717">
        <v>1340</v>
      </c>
      <c r="G717">
        <v>1593</v>
      </c>
      <c r="H717">
        <v>1789</v>
      </c>
      <c r="I717">
        <v>2055</v>
      </c>
      <c r="J717">
        <v>2380</v>
      </c>
      <c r="K717">
        <v>2544</v>
      </c>
      <c r="L717">
        <v>2525</v>
      </c>
    </row>
    <row r="718" spans="1:12">
      <c r="A718" t="s">
        <v>163</v>
      </c>
      <c r="B718">
        <v>736</v>
      </c>
      <c r="C718">
        <v>849</v>
      </c>
      <c r="D718">
        <v>932</v>
      </c>
      <c r="E718">
        <v>971</v>
      </c>
      <c r="F718">
        <v>1060</v>
      </c>
      <c r="G718">
        <v>1237</v>
      </c>
      <c r="H718">
        <v>1546</v>
      </c>
      <c r="I718">
        <v>1692</v>
      </c>
      <c r="J718">
        <v>1964</v>
      </c>
      <c r="K718">
        <v>2055</v>
      </c>
      <c r="L718">
        <v>2342</v>
      </c>
    </row>
    <row r="719" spans="1:12">
      <c r="A719" t="s">
        <v>164</v>
      </c>
      <c r="B719">
        <v>588</v>
      </c>
      <c r="C719">
        <v>632</v>
      </c>
      <c r="D719">
        <v>634</v>
      </c>
      <c r="E719">
        <v>753</v>
      </c>
      <c r="F719">
        <v>807</v>
      </c>
      <c r="G719">
        <v>901</v>
      </c>
      <c r="H719">
        <v>1084</v>
      </c>
      <c r="I719">
        <v>1167</v>
      </c>
      <c r="J719">
        <v>1383</v>
      </c>
      <c r="K719">
        <v>1484</v>
      </c>
      <c r="L719">
        <v>1533</v>
      </c>
    </row>
    <row r="720" spans="1:12">
      <c r="A720" t="s">
        <v>165</v>
      </c>
      <c r="B720">
        <v>3928</v>
      </c>
      <c r="C720">
        <v>4475</v>
      </c>
      <c r="D720">
        <v>4828</v>
      </c>
      <c r="E720">
        <v>5362</v>
      </c>
      <c r="F720">
        <v>5590</v>
      </c>
      <c r="G720">
        <v>6278</v>
      </c>
      <c r="H720">
        <v>6565</v>
      </c>
      <c r="I720">
        <v>6977</v>
      </c>
      <c r="J720">
        <v>6985</v>
      </c>
      <c r="K720">
        <v>7362</v>
      </c>
      <c r="L720">
        <v>7779</v>
      </c>
    </row>
    <row r="721" spans="1:12">
      <c r="A721" t="s">
        <v>166</v>
      </c>
      <c r="B721">
        <v>3716</v>
      </c>
      <c r="C721">
        <v>4452</v>
      </c>
      <c r="D721">
        <v>4670</v>
      </c>
      <c r="E721">
        <v>4945</v>
      </c>
      <c r="F721">
        <v>5309</v>
      </c>
      <c r="G721">
        <v>5981</v>
      </c>
      <c r="H721">
        <v>6985</v>
      </c>
      <c r="I721">
        <v>6785</v>
      </c>
      <c r="J721">
        <v>7005</v>
      </c>
      <c r="K721">
        <v>7249</v>
      </c>
      <c r="L721">
        <v>7470</v>
      </c>
    </row>
    <row r="722" spans="1:12">
      <c r="A722" t="s">
        <v>167</v>
      </c>
      <c r="B722">
        <v>271</v>
      </c>
      <c r="C722">
        <v>305</v>
      </c>
      <c r="D722">
        <v>344</v>
      </c>
      <c r="E722">
        <v>386</v>
      </c>
      <c r="F722">
        <v>437</v>
      </c>
      <c r="G722">
        <v>542</v>
      </c>
      <c r="H722">
        <v>637</v>
      </c>
      <c r="I722">
        <v>725</v>
      </c>
      <c r="J722">
        <v>691</v>
      </c>
      <c r="K722">
        <v>758</v>
      </c>
      <c r="L722">
        <v>863</v>
      </c>
    </row>
    <row r="723" spans="1:12">
      <c r="A723" t="s">
        <v>168</v>
      </c>
      <c r="B723">
        <v>293</v>
      </c>
      <c r="C723">
        <v>281</v>
      </c>
      <c r="D723">
        <v>291</v>
      </c>
      <c r="E723">
        <v>340</v>
      </c>
      <c r="F723">
        <v>369</v>
      </c>
      <c r="G723">
        <v>415</v>
      </c>
      <c r="H723">
        <v>609</v>
      </c>
      <c r="I723">
        <v>514</v>
      </c>
      <c r="J723">
        <v>554</v>
      </c>
      <c r="K723">
        <v>596</v>
      </c>
      <c r="L723">
        <v>553</v>
      </c>
    </row>
    <row r="724" spans="1:12">
      <c r="A724" t="s">
        <v>169</v>
      </c>
      <c r="B724">
        <v>675</v>
      </c>
      <c r="C724">
        <v>762</v>
      </c>
      <c r="D724">
        <v>813</v>
      </c>
      <c r="E724">
        <v>922</v>
      </c>
      <c r="F724">
        <v>943</v>
      </c>
      <c r="G724">
        <v>1040</v>
      </c>
      <c r="H724">
        <v>1077</v>
      </c>
      <c r="I724">
        <v>1104</v>
      </c>
      <c r="J724">
        <v>1292</v>
      </c>
      <c r="K724">
        <v>1463</v>
      </c>
      <c r="L724">
        <v>1506</v>
      </c>
    </row>
    <row r="725" spans="1:12">
      <c r="A725" t="s">
        <v>170</v>
      </c>
      <c r="B725">
        <v>319</v>
      </c>
      <c r="C725">
        <v>317</v>
      </c>
      <c r="D725">
        <v>327</v>
      </c>
      <c r="E725">
        <v>360</v>
      </c>
      <c r="F725">
        <v>389</v>
      </c>
      <c r="G725">
        <v>474</v>
      </c>
      <c r="H725">
        <v>512</v>
      </c>
      <c r="I725">
        <v>574</v>
      </c>
      <c r="J725">
        <v>697</v>
      </c>
      <c r="K725">
        <v>738</v>
      </c>
      <c r="L725">
        <v>778</v>
      </c>
    </row>
    <row r="726" spans="1:12">
      <c r="A726" t="s">
        <v>171</v>
      </c>
      <c r="B726">
        <v>610</v>
      </c>
      <c r="C726">
        <v>680</v>
      </c>
      <c r="D726">
        <v>688</v>
      </c>
      <c r="E726">
        <v>794</v>
      </c>
      <c r="F726">
        <v>1080</v>
      </c>
      <c r="G726">
        <v>1244</v>
      </c>
      <c r="H726">
        <v>1692</v>
      </c>
      <c r="I726">
        <v>1794</v>
      </c>
      <c r="J726">
        <v>1844</v>
      </c>
      <c r="K726">
        <v>1877</v>
      </c>
      <c r="L726">
        <v>1910</v>
      </c>
    </row>
    <row r="727" spans="1:12">
      <c r="A727" t="s">
        <v>172</v>
      </c>
      <c r="B727">
        <v>445</v>
      </c>
      <c r="C727">
        <v>461</v>
      </c>
      <c r="D727">
        <v>501</v>
      </c>
      <c r="E727">
        <v>574</v>
      </c>
      <c r="F727">
        <v>563</v>
      </c>
      <c r="G727">
        <v>782</v>
      </c>
      <c r="H727">
        <v>877</v>
      </c>
      <c r="I727">
        <v>778</v>
      </c>
      <c r="J727">
        <v>839</v>
      </c>
      <c r="K727">
        <v>937</v>
      </c>
      <c r="L727">
        <v>1000</v>
      </c>
    </row>
    <row r="728" spans="1:12">
      <c r="A728" t="s">
        <v>174</v>
      </c>
      <c r="B728">
        <v>136</v>
      </c>
      <c r="C728">
        <v>150</v>
      </c>
      <c r="D728">
        <v>111</v>
      </c>
      <c r="E728">
        <v>119</v>
      </c>
      <c r="F728">
        <v>105</v>
      </c>
      <c r="G728">
        <v>122</v>
      </c>
      <c r="H728">
        <v>177</v>
      </c>
      <c r="I728">
        <v>193</v>
      </c>
      <c r="J728">
        <v>222</v>
      </c>
      <c r="K728">
        <v>206</v>
      </c>
      <c r="L728">
        <v>222</v>
      </c>
    </row>
    <row r="729" spans="1:12">
      <c r="A729" t="s">
        <v>175</v>
      </c>
      <c r="B729">
        <v>648</v>
      </c>
      <c r="C729">
        <v>669</v>
      </c>
      <c r="D729">
        <v>699</v>
      </c>
      <c r="E729">
        <v>732</v>
      </c>
      <c r="F729">
        <v>729</v>
      </c>
      <c r="G729">
        <v>737</v>
      </c>
      <c r="H729">
        <v>740</v>
      </c>
      <c r="I729">
        <v>766</v>
      </c>
      <c r="J729">
        <v>946</v>
      </c>
      <c r="K729">
        <v>1030</v>
      </c>
      <c r="L729">
        <v>1018</v>
      </c>
    </row>
    <row r="730" spans="1:12">
      <c r="A730" t="s">
        <v>176</v>
      </c>
      <c r="B730">
        <v>784</v>
      </c>
      <c r="C730">
        <v>834</v>
      </c>
      <c r="D730">
        <v>886</v>
      </c>
      <c r="E730">
        <v>1025</v>
      </c>
      <c r="F730">
        <v>919</v>
      </c>
      <c r="G730">
        <v>1139</v>
      </c>
      <c r="H730">
        <v>1392</v>
      </c>
      <c r="I730">
        <v>1616</v>
      </c>
      <c r="J730">
        <v>1656</v>
      </c>
      <c r="K730">
        <v>1524</v>
      </c>
      <c r="L730">
        <v>1309</v>
      </c>
    </row>
    <row r="731" spans="1:12">
      <c r="A731" t="s">
        <v>177</v>
      </c>
      <c r="B731">
        <v>877</v>
      </c>
      <c r="C731">
        <v>1035</v>
      </c>
      <c r="D731">
        <v>1011</v>
      </c>
      <c r="E731">
        <v>1101</v>
      </c>
      <c r="F731">
        <v>1146</v>
      </c>
      <c r="G731">
        <v>1282</v>
      </c>
      <c r="H731">
        <v>1363</v>
      </c>
      <c r="I731">
        <v>1502</v>
      </c>
      <c r="J731">
        <v>1609</v>
      </c>
      <c r="K731">
        <v>1691</v>
      </c>
      <c r="L731">
        <v>1695</v>
      </c>
    </row>
    <row r="732" spans="1:12">
      <c r="A732" t="s">
        <v>178</v>
      </c>
      <c r="B732">
        <v>530</v>
      </c>
      <c r="C732">
        <v>526</v>
      </c>
      <c r="D732">
        <v>496</v>
      </c>
      <c r="E732">
        <v>519</v>
      </c>
      <c r="F732">
        <v>522</v>
      </c>
      <c r="G732">
        <v>594</v>
      </c>
      <c r="H732">
        <v>715</v>
      </c>
      <c r="I732">
        <v>745</v>
      </c>
      <c r="J732">
        <v>781</v>
      </c>
      <c r="K732">
        <v>928</v>
      </c>
      <c r="L732">
        <v>1016</v>
      </c>
    </row>
    <row r="733" spans="1:12">
      <c r="A733" t="s">
        <v>179</v>
      </c>
      <c r="B733">
        <v>10211</v>
      </c>
      <c r="C733">
        <v>10777</v>
      </c>
      <c r="D733">
        <v>11174</v>
      </c>
      <c r="E733">
        <v>11292</v>
      </c>
      <c r="F733">
        <v>11337</v>
      </c>
      <c r="G733">
        <v>12470</v>
      </c>
      <c r="H733">
        <v>14347</v>
      </c>
      <c r="I733">
        <v>14609</v>
      </c>
      <c r="J733">
        <v>15070</v>
      </c>
      <c r="K733">
        <v>15478</v>
      </c>
      <c r="L733">
        <v>15915</v>
      </c>
    </row>
    <row r="734" spans="1:12">
      <c r="A734" t="s">
        <v>180</v>
      </c>
      <c r="B734">
        <v>314</v>
      </c>
      <c r="C734">
        <v>344</v>
      </c>
      <c r="D734">
        <v>397</v>
      </c>
      <c r="E734">
        <v>479</v>
      </c>
      <c r="F734">
        <v>506</v>
      </c>
      <c r="G734">
        <v>704</v>
      </c>
      <c r="H734">
        <v>715</v>
      </c>
      <c r="I734">
        <v>757</v>
      </c>
      <c r="J734">
        <v>827</v>
      </c>
      <c r="K734">
        <v>890</v>
      </c>
      <c r="L734">
        <v>920</v>
      </c>
    </row>
    <row r="735" spans="1:12">
      <c r="A735" t="s">
        <v>181</v>
      </c>
      <c r="B735">
        <v>133</v>
      </c>
      <c r="C735">
        <v>128</v>
      </c>
      <c r="D735">
        <v>156</v>
      </c>
      <c r="E735">
        <v>164</v>
      </c>
      <c r="F735">
        <v>166</v>
      </c>
      <c r="G735">
        <v>151</v>
      </c>
      <c r="H735">
        <v>148</v>
      </c>
      <c r="I735">
        <v>163</v>
      </c>
      <c r="J735">
        <v>187</v>
      </c>
      <c r="K735">
        <v>215</v>
      </c>
      <c r="L735">
        <v>237</v>
      </c>
    </row>
    <row r="736" spans="1:12">
      <c r="A736" t="s">
        <v>182</v>
      </c>
      <c r="B736">
        <v>1908</v>
      </c>
      <c r="C736">
        <v>2040</v>
      </c>
      <c r="D736">
        <v>2045</v>
      </c>
      <c r="E736">
        <v>2157</v>
      </c>
      <c r="F736">
        <v>2233</v>
      </c>
      <c r="G736">
        <v>2441</v>
      </c>
      <c r="H736">
        <v>2818</v>
      </c>
      <c r="I736">
        <v>2860</v>
      </c>
      <c r="J736">
        <v>2968</v>
      </c>
      <c r="K736">
        <v>3082</v>
      </c>
      <c r="L736">
        <v>3235</v>
      </c>
    </row>
    <row r="737" spans="1:12">
      <c r="A737" t="s">
        <v>183</v>
      </c>
      <c r="B737">
        <v>285</v>
      </c>
      <c r="C737">
        <v>287</v>
      </c>
      <c r="D737">
        <v>276</v>
      </c>
      <c r="E737">
        <v>298</v>
      </c>
      <c r="F737">
        <v>318</v>
      </c>
      <c r="G737">
        <v>332</v>
      </c>
      <c r="H737">
        <v>318</v>
      </c>
      <c r="I737">
        <v>394</v>
      </c>
      <c r="J737">
        <v>409</v>
      </c>
      <c r="K737">
        <v>426</v>
      </c>
      <c r="L737">
        <v>461</v>
      </c>
    </row>
    <row r="738" spans="1:12">
      <c r="A738" t="s">
        <v>184</v>
      </c>
      <c r="B738">
        <v>1044</v>
      </c>
      <c r="C738">
        <v>1137</v>
      </c>
      <c r="D738">
        <v>1288</v>
      </c>
      <c r="E738">
        <v>1371</v>
      </c>
      <c r="F738">
        <v>1362</v>
      </c>
      <c r="G738">
        <v>1481</v>
      </c>
      <c r="H738">
        <v>1501</v>
      </c>
      <c r="I738">
        <v>1528</v>
      </c>
      <c r="J738">
        <v>1599</v>
      </c>
      <c r="K738">
        <v>1752</v>
      </c>
      <c r="L738">
        <v>1881</v>
      </c>
    </row>
    <row r="739" spans="1:12">
      <c r="A739" t="s">
        <v>185</v>
      </c>
      <c r="B739">
        <v>365</v>
      </c>
      <c r="C739">
        <v>435</v>
      </c>
      <c r="D739">
        <v>429</v>
      </c>
      <c r="E739">
        <v>448</v>
      </c>
      <c r="F739">
        <v>489</v>
      </c>
      <c r="G739">
        <v>554</v>
      </c>
      <c r="H739">
        <v>715</v>
      </c>
      <c r="I739">
        <v>786</v>
      </c>
      <c r="J739">
        <v>851</v>
      </c>
      <c r="K739">
        <v>958</v>
      </c>
      <c r="L739">
        <v>959</v>
      </c>
    </row>
    <row r="740" spans="1:12">
      <c r="A740" t="s">
        <v>186</v>
      </c>
      <c r="B740">
        <v>240</v>
      </c>
      <c r="C740">
        <v>272</v>
      </c>
      <c r="D740">
        <v>307</v>
      </c>
      <c r="E740">
        <v>300</v>
      </c>
      <c r="F740">
        <v>350</v>
      </c>
      <c r="G740">
        <v>416</v>
      </c>
      <c r="H740">
        <v>376</v>
      </c>
      <c r="I740">
        <v>411</v>
      </c>
      <c r="J740">
        <v>420</v>
      </c>
      <c r="K740">
        <v>418</v>
      </c>
      <c r="L740">
        <v>412</v>
      </c>
    </row>
    <row r="741" spans="1:12">
      <c r="A741" t="s">
        <v>187</v>
      </c>
      <c r="B741">
        <v>451</v>
      </c>
      <c r="C741">
        <v>471</v>
      </c>
      <c r="D741">
        <v>530</v>
      </c>
      <c r="E741">
        <v>591</v>
      </c>
      <c r="F741">
        <v>634</v>
      </c>
      <c r="G741">
        <v>690</v>
      </c>
      <c r="H741">
        <v>806</v>
      </c>
      <c r="I741">
        <v>758</v>
      </c>
      <c r="J741">
        <v>806</v>
      </c>
      <c r="K741">
        <v>823</v>
      </c>
      <c r="L741">
        <v>874</v>
      </c>
    </row>
    <row r="742" spans="1:12">
      <c r="A742" t="s">
        <v>188</v>
      </c>
      <c r="B742">
        <v>683</v>
      </c>
      <c r="C742">
        <v>746</v>
      </c>
      <c r="D742">
        <v>690</v>
      </c>
      <c r="E742">
        <v>653</v>
      </c>
      <c r="F742">
        <v>690</v>
      </c>
      <c r="G742">
        <v>801</v>
      </c>
      <c r="H742">
        <v>1067</v>
      </c>
      <c r="I742">
        <v>1025</v>
      </c>
      <c r="J742">
        <v>1064</v>
      </c>
      <c r="K742">
        <v>1135</v>
      </c>
      <c r="L742">
        <v>1168</v>
      </c>
    </row>
    <row r="743" spans="1:12">
      <c r="A743" t="s">
        <v>189</v>
      </c>
      <c r="B743">
        <v>517</v>
      </c>
      <c r="C743">
        <v>529</v>
      </c>
      <c r="D743">
        <v>504</v>
      </c>
      <c r="E743">
        <v>518</v>
      </c>
      <c r="F743">
        <v>531</v>
      </c>
      <c r="G743">
        <v>589</v>
      </c>
      <c r="H743">
        <v>599</v>
      </c>
      <c r="I743">
        <v>656</v>
      </c>
      <c r="J743">
        <v>722</v>
      </c>
      <c r="K743">
        <v>777</v>
      </c>
      <c r="L743">
        <v>835</v>
      </c>
    </row>
    <row r="744" spans="1:12">
      <c r="A744" t="s">
        <v>190</v>
      </c>
      <c r="B744">
        <v>958</v>
      </c>
      <c r="C744">
        <v>1048</v>
      </c>
      <c r="D744">
        <v>1139</v>
      </c>
      <c r="E744">
        <v>1205</v>
      </c>
      <c r="F744">
        <v>1272</v>
      </c>
      <c r="G744">
        <v>1359</v>
      </c>
      <c r="H744">
        <v>1440</v>
      </c>
      <c r="I744">
        <v>1553</v>
      </c>
      <c r="J744">
        <v>1741</v>
      </c>
      <c r="K744">
        <v>1920</v>
      </c>
      <c r="L744">
        <v>2094</v>
      </c>
    </row>
    <row r="745" spans="1:12">
      <c r="A745" t="s">
        <v>191</v>
      </c>
      <c r="B745">
        <v>576</v>
      </c>
      <c r="C745">
        <v>636</v>
      </c>
      <c r="D745">
        <v>670</v>
      </c>
      <c r="E745">
        <v>813</v>
      </c>
      <c r="F745">
        <v>943</v>
      </c>
      <c r="G745">
        <v>1030</v>
      </c>
      <c r="H745">
        <v>1077</v>
      </c>
      <c r="I745">
        <v>1141</v>
      </c>
      <c r="J745">
        <v>1245</v>
      </c>
      <c r="K745">
        <v>1374</v>
      </c>
      <c r="L745">
        <v>1360</v>
      </c>
    </row>
    <row r="746" spans="1:12">
      <c r="A746" t="s">
        <v>192</v>
      </c>
      <c r="B746">
        <v>567</v>
      </c>
      <c r="C746">
        <v>596</v>
      </c>
      <c r="D746">
        <v>723</v>
      </c>
      <c r="E746">
        <v>941</v>
      </c>
      <c r="F746">
        <v>977</v>
      </c>
      <c r="G746">
        <v>1064</v>
      </c>
      <c r="H746">
        <v>1289</v>
      </c>
      <c r="I746">
        <v>1286</v>
      </c>
      <c r="J746">
        <v>1321</v>
      </c>
      <c r="K746">
        <v>1340</v>
      </c>
      <c r="L746">
        <v>1393</v>
      </c>
    </row>
    <row r="747" spans="1:12">
      <c r="A747" t="s">
        <v>193</v>
      </c>
      <c r="B747">
        <v>820</v>
      </c>
      <c r="C747">
        <v>825</v>
      </c>
      <c r="D747">
        <v>866</v>
      </c>
      <c r="E747">
        <v>940</v>
      </c>
      <c r="F747">
        <v>929</v>
      </c>
      <c r="G747">
        <v>1197</v>
      </c>
      <c r="H747">
        <v>1268</v>
      </c>
      <c r="I747">
        <v>1341</v>
      </c>
      <c r="J747">
        <v>1272</v>
      </c>
      <c r="K747">
        <v>1371</v>
      </c>
      <c r="L747">
        <v>1535</v>
      </c>
    </row>
    <row r="748" spans="1:12">
      <c r="A748" t="s">
        <v>194</v>
      </c>
      <c r="B748">
        <v>852</v>
      </c>
      <c r="C748">
        <v>926</v>
      </c>
      <c r="D748">
        <v>994</v>
      </c>
      <c r="E748">
        <v>1067</v>
      </c>
      <c r="F748">
        <v>1145</v>
      </c>
      <c r="G748">
        <v>1338</v>
      </c>
      <c r="H748">
        <v>1478</v>
      </c>
      <c r="I748">
        <v>1578</v>
      </c>
      <c r="J748">
        <v>1653</v>
      </c>
      <c r="K748">
        <v>1703</v>
      </c>
      <c r="L748">
        <v>1753</v>
      </c>
    </row>
    <row r="749" spans="1:12">
      <c r="A749" t="s">
        <v>195</v>
      </c>
      <c r="B749">
        <v>786</v>
      </c>
      <c r="C749">
        <v>874</v>
      </c>
      <c r="D749">
        <v>897</v>
      </c>
      <c r="E749">
        <v>1036</v>
      </c>
      <c r="F749">
        <v>1229</v>
      </c>
      <c r="G749">
        <v>1332</v>
      </c>
      <c r="H749">
        <v>1372</v>
      </c>
      <c r="I749">
        <v>1465</v>
      </c>
      <c r="J749">
        <v>1485</v>
      </c>
      <c r="K749">
        <v>1543</v>
      </c>
      <c r="L749">
        <v>1630</v>
      </c>
    </row>
    <row r="750" spans="1:12">
      <c r="A750" t="s">
        <v>196</v>
      </c>
      <c r="B750">
        <v>17267</v>
      </c>
      <c r="C750">
        <v>18242</v>
      </c>
      <c r="D750">
        <v>18943</v>
      </c>
      <c r="E750">
        <v>19946</v>
      </c>
      <c r="F750">
        <v>21000</v>
      </c>
      <c r="G750">
        <v>23330</v>
      </c>
      <c r="H750">
        <v>25002</v>
      </c>
      <c r="I750">
        <v>25986</v>
      </c>
      <c r="J750">
        <v>27383</v>
      </c>
      <c r="K750">
        <v>29139</v>
      </c>
      <c r="L750">
        <v>29745</v>
      </c>
    </row>
    <row r="751" spans="1:12">
      <c r="A751" t="s">
        <v>197</v>
      </c>
      <c r="B751">
        <v>552</v>
      </c>
      <c r="C751">
        <v>567</v>
      </c>
      <c r="D751">
        <v>579</v>
      </c>
      <c r="E751">
        <v>643</v>
      </c>
      <c r="F751">
        <v>754</v>
      </c>
      <c r="G751">
        <v>817</v>
      </c>
      <c r="H751">
        <v>996</v>
      </c>
      <c r="I751">
        <v>1084</v>
      </c>
      <c r="J751">
        <v>1416</v>
      </c>
      <c r="K751">
        <v>1554</v>
      </c>
      <c r="L751">
        <v>1645</v>
      </c>
    </row>
    <row r="752" spans="1:12">
      <c r="A752" t="s">
        <v>198</v>
      </c>
      <c r="B752">
        <v>2403</v>
      </c>
      <c r="C752">
        <v>2499</v>
      </c>
      <c r="D752">
        <v>2522</v>
      </c>
      <c r="E752">
        <v>2799</v>
      </c>
      <c r="F752">
        <v>2979</v>
      </c>
      <c r="G752">
        <v>3313</v>
      </c>
      <c r="H752">
        <v>4081</v>
      </c>
      <c r="I752">
        <v>4222</v>
      </c>
      <c r="J752">
        <v>4278</v>
      </c>
      <c r="K752">
        <v>4542</v>
      </c>
      <c r="L752">
        <v>4579</v>
      </c>
    </row>
    <row r="753" spans="1:12">
      <c r="A753" t="s">
        <v>199</v>
      </c>
      <c r="B753">
        <v>982</v>
      </c>
      <c r="C753">
        <v>999</v>
      </c>
      <c r="D753">
        <v>999</v>
      </c>
      <c r="E753">
        <v>1033</v>
      </c>
      <c r="F753">
        <v>1128</v>
      </c>
      <c r="G753">
        <v>1172</v>
      </c>
      <c r="H753">
        <v>1345</v>
      </c>
      <c r="I753">
        <v>1424</v>
      </c>
      <c r="J753">
        <v>1444</v>
      </c>
      <c r="K753">
        <v>1565</v>
      </c>
      <c r="L753">
        <v>1697</v>
      </c>
    </row>
    <row r="754" spans="1:12">
      <c r="A754" t="s">
        <v>200</v>
      </c>
      <c r="B754">
        <v>815</v>
      </c>
      <c r="C754">
        <v>870</v>
      </c>
      <c r="D754">
        <v>856</v>
      </c>
      <c r="E754">
        <v>899</v>
      </c>
      <c r="F754">
        <v>1067</v>
      </c>
      <c r="G754">
        <v>1106</v>
      </c>
      <c r="H754">
        <v>1128</v>
      </c>
      <c r="I754">
        <v>1164</v>
      </c>
      <c r="J754">
        <v>1305</v>
      </c>
      <c r="K754">
        <v>1230</v>
      </c>
      <c r="L754">
        <v>1337</v>
      </c>
    </row>
    <row r="755" spans="1:12">
      <c r="A755" t="s">
        <v>201</v>
      </c>
      <c r="B755">
        <v>869</v>
      </c>
      <c r="C755">
        <v>951</v>
      </c>
      <c r="D755">
        <v>1024</v>
      </c>
      <c r="E755">
        <v>1092</v>
      </c>
      <c r="F755">
        <v>1142</v>
      </c>
      <c r="G755">
        <v>1283</v>
      </c>
      <c r="H755">
        <v>1347</v>
      </c>
      <c r="I755">
        <v>1366</v>
      </c>
      <c r="J755">
        <v>1624</v>
      </c>
      <c r="K755">
        <v>1639</v>
      </c>
      <c r="L755">
        <v>1646</v>
      </c>
    </row>
    <row r="756" spans="1:12">
      <c r="A756" t="s">
        <v>202</v>
      </c>
      <c r="B756">
        <v>498</v>
      </c>
      <c r="C756">
        <v>512</v>
      </c>
      <c r="D756">
        <v>609</v>
      </c>
      <c r="E756">
        <v>705</v>
      </c>
      <c r="F756">
        <v>821</v>
      </c>
      <c r="G756">
        <v>874</v>
      </c>
      <c r="H756">
        <v>971</v>
      </c>
      <c r="I756">
        <v>936</v>
      </c>
      <c r="J756">
        <v>1006</v>
      </c>
      <c r="K756">
        <v>1071</v>
      </c>
      <c r="L756">
        <v>1103</v>
      </c>
    </row>
    <row r="757" spans="1:12">
      <c r="A757" t="s">
        <v>203</v>
      </c>
      <c r="B757">
        <v>525</v>
      </c>
      <c r="C757">
        <v>592</v>
      </c>
      <c r="D757">
        <v>630</v>
      </c>
      <c r="E757">
        <v>668</v>
      </c>
      <c r="F757">
        <v>719</v>
      </c>
      <c r="G757">
        <v>779</v>
      </c>
      <c r="H757">
        <v>822</v>
      </c>
      <c r="I757">
        <v>812</v>
      </c>
      <c r="J757">
        <v>854</v>
      </c>
      <c r="K757">
        <v>931</v>
      </c>
      <c r="L757">
        <v>978</v>
      </c>
    </row>
    <row r="758" spans="1:12">
      <c r="A758" t="s">
        <v>204</v>
      </c>
      <c r="B758">
        <v>3068</v>
      </c>
      <c r="C758">
        <v>3216</v>
      </c>
      <c r="D758">
        <v>3324</v>
      </c>
      <c r="E758">
        <v>3618</v>
      </c>
      <c r="F758">
        <v>3671</v>
      </c>
      <c r="G758">
        <v>4007</v>
      </c>
      <c r="H758">
        <v>4456</v>
      </c>
      <c r="I758">
        <v>4452</v>
      </c>
      <c r="J758">
        <v>4532</v>
      </c>
      <c r="K758">
        <v>4769</v>
      </c>
      <c r="L758">
        <v>5102</v>
      </c>
    </row>
    <row r="759" spans="1:12">
      <c r="A759" t="s">
        <v>205</v>
      </c>
      <c r="B759">
        <v>792</v>
      </c>
      <c r="C759">
        <v>966</v>
      </c>
      <c r="D759">
        <v>1059</v>
      </c>
      <c r="E759">
        <v>1231</v>
      </c>
      <c r="F759">
        <v>1361</v>
      </c>
      <c r="G759">
        <v>1501</v>
      </c>
      <c r="H759">
        <v>1769</v>
      </c>
      <c r="I759">
        <v>1890</v>
      </c>
      <c r="J759">
        <v>1895</v>
      </c>
      <c r="K759">
        <v>1961</v>
      </c>
      <c r="L759">
        <v>2025</v>
      </c>
    </row>
    <row r="760" spans="1:12">
      <c r="A760" t="s">
        <v>206</v>
      </c>
      <c r="B760">
        <v>848</v>
      </c>
      <c r="C760">
        <v>870</v>
      </c>
      <c r="D760">
        <v>939</v>
      </c>
      <c r="E760">
        <v>1071</v>
      </c>
      <c r="F760">
        <v>1164</v>
      </c>
      <c r="G760">
        <v>1454</v>
      </c>
      <c r="H760">
        <v>1656</v>
      </c>
      <c r="I760">
        <v>1654</v>
      </c>
      <c r="J760">
        <v>1703</v>
      </c>
      <c r="K760">
        <v>1722</v>
      </c>
      <c r="L760">
        <v>1801</v>
      </c>
    </row>
    <row r="761" spans="1:12">
      <c r="A761" t="s">
        <v>207</v>
      </c>
      <c r="B761">
        <v>185</v>
      </c>
      <c r="C761">
        <v>206</v>
      </c>
      <c r="D761">
        <v>261</v>
      </c>
      <c r="E761">
        <v>291</v>
      </c>
      <c r="F761">
        <v>337</v>
      </c>
      <c r="G761">
        <v>450</v>
      </c>
      <c r="H761">
        <v>415</v>
      </c>
      <c r="I761">
        <v>435</v>
      </c>
      <c r="J761">
        <v>451</v>
      </c>
      <c r="K761">
        <v>483</v>
      </c>
      <c r="L761">
        <v>551</v>
      </c>
    </row>
    <row r="762" spans="1:12">
      <c r="A762" t="s">
        <v>208</v>
      </c>
      <c r="B762">
        <v>293</v>
      </c>
      <c r="C762">
        <v>318</v>
      </c>
      <c r="D762">
        <v>358</v>
      </c>
      <c r="E762">
        <v>365</v>
      </c>
      <c r="F762">
        <v>465</v>
      </c>
      <c r="G762">
        <v>523</v>
      </c>
      <c r="H762">
        <v>565</v>
      </c>
      <c r="I762">
        <v>654</v>
      </c>
      <c r="J762">
        <v>715</v>
      </c>
      <c r="K762">
        <v>747</v>
      </c>
      <c r="L762">
        <v>747</v>
      </c>
    </row>
    <row r="763" spans="1:12">
      <c r="A763" t="s">
        <v>209</v>
      </c>
      <c r="B763">
        <v>1390</v>
      </c>
      <c r="C763">
        <v>1619</v>
      </c>
      <c r="D763">
        <v>1712</v>
      </c>
      <c r="E763">
        <v>1845</v>
      </c>
      <c r="F763">
        <v>2019</v>
      </c>
      <c r="G763">
        <v>2165</v>
      </c>
      <c r="H763">
        <v>2686</v>
      </c>
      <c r="I763">
        <v>2974</v>
      </c>
      <c r="J763">
        <v>3160</v>
      </c>
      <c r="K763">
        <v>3220</v>
      </c>
      <c r="L763">
        <v>3486</v>
      </c>
    </row>
    <row r="764" spans="1:12">
      <c r="A764" t="s">
        <v>210</v>
      </c>
      <c r="B764">
        <v>3597</v>
      </c>
      <c r="C764">
        <v>3754</v>
      </c>
      <c r="D764">
        <v>4156</v>
      </c>
      <c r="E764">
        <v>4613</v>
      </c>
      <c r="F764">
        <v>5239</v>
      </c>
      <c r="G764">
        <v>5744</v>
      </c>
      <c r="H764">
        <v>6652</v>
      </c>
      <c r="I764">
        <v>6893</v>
      </c>
      <c r="J764">
        <v>6834</v>
      </c>
      <c r="K764">
        <v>7243</v>
      </c>
      <c r="L764">
        <v>7765</v>
      </c>
    </row>
    <row r="765" spans="1:12">
      <c r="A765" t="s">
        <v>211</v>
      </c>
      <c r="B765">
        <v>84072</v>
      </c>
      <c r="C765">
        <v>90647</v>
      </c>
      <c r="D765">
        <v>95552</v>
      </c>
      <c r="E765">
        <v>103004</v>
      </c>
      <c r="F765">
        <v>110464</v>
      </c>
      <c r="G765">
        <v>124636</v>
      </c>
      <c r="H765">
        <v>139888</v>
      </c>
      <c r="I765">
        <v>145363</v>
      </c>
      <c r="J765">
        <v>155879</v>
      </c>
      <c r="K765">
        <v>163428</v>
      </c>
      <c r="L765">
        <v>169740</v>
      </c>
    </row>
    <row r="766" spans="1:12">
      <c r="A766" t="s">
        <v>215</v>
      </c>
    </row>
    <row r="767" spans="1:12">
      <c r="A767" t="s">
        <v>216</v>
      </c>
    </row>
    <row r="768" spans="1:12">
      <c r="A768" t="s">
        <v>217</v>
      </c>
    </row>
    <row r="769" spans="1:1">
      <c r="A769" t="s">
        <v>218</v>
      </c>
    </row>
    <row r="770" spans="1:1">
      <c r="A770" t="s">
        <v>219</v>
      </c>
    </row>
    <row r="771" spans="1:1">
      <c r="A771" t="s">
        <v>220</v>
      </c>
    </row>
    <row r="772" spans="1:1">
      <c r="A772" t="s">
        <v>221</v>
      </c>
    </row>
    <row r="773" spans="1:1">
      <c r="A773" t="s">
        <v>222</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C36AB-B6C3-B842-84AF-865F611B79BB}">
  <dimension ref="A1:L654"/>
  <sheetViews>
    <sheetView topLeftCell="A549" workbookViewId="0">
      <selection activeCell="A610" sqref="A1:A1048576"/>
    </sheetView>
  </sheetViews>
  <sheetFormatPr baseColWidth="10" defaultColWidth="11.5" defaultRowHeight="15"/>
  <cols>
    <col min="1" max="1" width="30" bestFit="1" customWidth="1"/>
    <col min="2" max="2" width="5.1640625" bestFit="1" customWidth="1"/>
    <col min="3" max="3" width="9.6640625" bestFit="1" customWidth="1"/>
  </cols>
  <sheetData>
    <row r="1" spans="1:3">
      <c r="A1" t="s">
        <v>223</v>
      </c>
      <c r="B1" t="s">
        <v>0</v>
      </c>
      <c r="C1" t="s">
        <v>238</v>
      </c>
    </row>
    <row r="2" spans="1:3">
      <c r="A2" t="s">
        <v>146</v>
      </c>
      <c r="B2">
        <v>2015</v>
      </c>
      <c r="C2" t="s">
        <v>225</v>
      </c>
    </row>
    <row r="3" spans="1:3">
      <c r="A3" t="s">
        <v>146</v>
      </c>
      <c r="B3">
        <v>2016</v>
      </c>
      <c r="C3" t="s">
        <v>225</v>
      </c>
    </row>
    <row r="4" spans="1:3">
      <c r="A4" t="s">
        <v>146</v>
      </c>
      <c r="B4">
        <v>2017</v>
      </c>
      <c r="C4">
        <v>1</v>
      </c>
    </row>
    <row r="5" spans="1:3">
      <c r="A5" t="s">
        <v>146</v>
      </c>
      <c r="B5">
        <v>2018</v>
      </c>
      <c r="C5" t="s">
        <v>225</v>
      </c>
    </row>
    <row r="6" spans="1:3">
      <c r="A6" t="s">
        <v>146</v>
      </c>
      <c r="B6">
        <v>2019</v>
      </c>
      <c r="C6" t="s">
        <v>225</v>
      </c>
    </row>
    <row r="7" spans="1:3">
      <c r="A7" t="s">
        <v>146</v>
      </c>
      <c r="B7">
        <v>2020</v>
      </c>
      <c r="C7" t="s">
        <v>225</v>
      </c>
    </row>
    <row r="8" spans="1:3">
      <c r="A8" t="s">
        <v>146</v>
      </c>
      <c r="B8">
        <v>2021</v>
      </c>
      <c r="C8" t="s">
        <v>225</v>
      </c>
    </row>
    <row r="9" spans="1:3">
      <c r="A9" t="s">
        <v>146</v>
      </c>
      <c r="B9">
        <v>2022</v>
      </c>
      <c r="C9" t="s">
        <v>225</v>
      </c>
    </row>
    <row r="10" spans="1:3">
      <c r="A10" t="s">
        <v>146</v>
      </c>
      <c r="B10">
        <v>2023</v>
      </c>
      <c r="C10" t="s">
        <v>225</v>
      </c>
    </row>
    <row r="11" spans="1:3">
      <c r="A11" t="s">
        <v>146</v>
      </c>
      <c r="B11">
        <v>2024</v>
      </c>
      <c r="C11" t="s">
        <v>225</v>
      </c>
    </row>
    <row r="12" spans="1:3">
      <c r="A12" t="s">
        <v>146</v>
      </c>
      <c r="B12">
        <v>2025</v>
      </c>
      <c r="C12" t="s">
        <v>225</v>
      </c>
    </row>
    <row r="13" spans="1:3">
      <c r="A13" t="s">
        <v>149</v>
      </c>
      <c r="B13">
        <v>2015</v>
      </c>
      <c r="C13">
        <v>14</v>
      </c>
    </row>
    <row r="14" spans="1:3">
      <c r="A14" t="s">
        <v>149</v>
      </c>
      <c r="B14">
        <v>2016</v>
      </c>
      <c r="C14">
        <v>15</v>
      </c>
    </row>
    <row r="15" spans="1:3">
      <c r="A15" t="s">
        <v>149</v>
      </c>
      <c r="B15">
        <v>2017</v>
      </c>
      <c r="C15">
        <v>14</v>
      </c>
    </row>
    <row r="16" spans="1:3">
      <c r="A16" t="s">
        <v>149</v>
      </c>
      <c r="B16">
        <v>2018</v>
      </c>
      <c r="C16">
        <v>18</v>
      </c>
    </row>
    <row r="17" spans="1:3">
      <c r="A17" t="s">
        <v>149</v>
      </c>
      <c r="B17">
        <v>2019</v>
      </c>
      <c r="C17">
        <v>13</v>
      </c>
    </row>
    <row r="18" spans="1:3">
      <c r="A18" t="s">
        <v>149</v>
      </c>
      <c r="B18">
        <v>2020</v>
      </c>
      <c r="C18" t="s">
        <v>225</v>
      </c>
    </row>
    <row r="19" spans="1:3">
      <c r="A19" t="s">
        <v>149</v>
      </c>
      <c r="B19">
        <v>2021</v>
      </c>
      <c r="C19" t="s">
        <v>225</v>
      </c>
    </row>
    <row r="20" spans="1:3">
      <c r="A20" t="s">
        <v>149</v>
      </c>
      <c r="B20">
        <v>2022</v>
      </c>
      <c r="C20" t="s">
        <v>225</v>
      </c>
    </row>
    <row r="21" spans="1:3">
      <c r="A21" t="s">
        <v>149</v>
      </c>
      <c r="B21">
        <v>2023</v>
      </c>
      <c r="C21" t="s">
        <v>225</v>
      </c>
    </row>
    <row r="22" spans="1:3">
      <c r="A22" t="s">
        <v>149</v>
      </c>
      <c r="B22">
        <v>2024</v>
      </c>
      <c r="C22" t="s">
        <v>225</v>
      </c>
    </row>
    <row r="23" spans="1:3">
      <c r="A23" t="s">
        <v>149</v>
      </c>
      <c r="B23">
        <v>2025</v>
      </c>
      <c r="C23" t="s">
        <v>225</v>
      </c>
    </row>
    <row r="24" spans="1:3">
      <c r="A24" t="s">
        <v>150</v>
      </c>
      <c r="B24">
        <v>2015</v>
      </c>
      <c r="C24">
        <v>2</v>
      </c>
    </row>
    <row r="25" spans="1:3">
      <c r="A25" t="s">
        <v>150</v>
      </c>
      <c r="B25">
        <v>2016</v>
      </c>
      <c r="C25" t="s">
        <v>225</v>
      </c>
    </row>
    <row r="26" spans="1:3">
      <c r="A26" t="s">
        <v>150</v>
      </c>
      <c r="B26">
        <v>2017</v>
      </c>
      <c r="C26" t="s">
        <v>225</v>
      </c>
    </row>
    <row r="27" spans="1:3">
      <c r="A27" t="s">
        <v>150</v>
      </c>
      <c r="B27">
        <v>2018</v>
      </c>
      <c r="C27">
        <v>11</v>
      </c>
    </row>
    <row r="28" spans="1:3">
      <c r="A28" t="s">
        <v>150</v>
      </c>
      <c r="B28">
        <v>2019</v>
      </c>
      <c r="C28">
        <v>11</v>
      </c>
    </row>
    <row r="29" spans="1:3">
      <c r="A29" t="s">
        <v>150</v>
      </c>
      <c r="B29">
        <v>2020</v>
      </c>
      <c r="C29" t="s">
        <v>225</v>
      </c>
    </row>
    <row r="30" spans="1:3">
      <c r="A30" t="s">
        <v>150</v>
      </c>
      <c r="B30">
        <v>2021</v>
      </c>
      <c r="C30" t="s">
        <v>225</v>
      </c>
    </row>
    <row r="31" spans="1:3">
      <c r="A31" t="s">
        <v>150</v>
      </c>
      <c r="B31">
        <v>2022</v>
      </c>
      <c r="C31" t="s">
        <v>225</v>
      </c>
    </row>
    <row r="32" spans="1:3">
      <c r="A32" t="s">
        <v>150</v>
      </c>
      <c r="B32">
        <v>2023</v>
      </c>
      <c r="C32" t="s">
        <v>225</v>
      </c>
    </row>
    <row r="33" spans="1:3">
      <c r="A33" t="s">
        <v>150</v>
      </c>
      <c r="B33">
        <v>2024</v>
      </c>
      <c r="C33" t="s">
        <v>225</v>
      </c>
    </row>
    <row r="34" spans="1:3">
      <c r="A34" t="s">
        <v>150</v>
      </c>
      <c r="B34">
        <v>2025</v>
      </c>
      <c r="C34" t="s">
        <v>225</v>
      </c>
    </row>
    <row r="35" spans="1:3">
      <c r="A35" t="s">
        <v>151</v>
      </c>
      <c r="B35">
        <v>2015</v>
      </c>
      <c r="C35" t="s">
        <v>225</v>
      </c>
    </row>
    <row r="36" spans="1:3">
      <c r="A36" t="s">
        <v>151</v>
      </c>
      <c r="B36">
        <v>2016</v>
      </c>
      <c r="C36" t="s">
        <v>225</v>
      </c>
    </row>
    <row r="37" spans="1:3">
      <c r="A37" t="s">
        <v>151</v>
      </c>
      <c r="B37">
        <v>2017</v>
      </c>
      <c r="C37" t="s">
        <v>225</v>
      </c>
    </row>
    <row r="38" spans="1:3">
      <c r="A38" t="s">
        <v>151</v>
      </c>
      <c r="B38">
        <v>2018</v>
      </c>
      <c r="C38" t="s">
        <v>225</v>
      </c>
    </row>
    <row r="39" spans="1:3">
      <c r="A39" t="s">
        <v>151</v>
      </c>
      <c r="B39">
        <v>2019</v>
      </c>
      <c r="C39">
        <v>2</v>
      </c>
    </row>
    <row r="40" spans="1:3">
      <c r="A40" t="s">
        <v>151</v>
      </c>
      <c r="B40">
        <v>2020</v>
      </c>
      <c r="C40" t="s">
        <v>225</v>
      </c>
    </row>
    <row r="41" spans="1:3">
      <c r="A41" t="s">
        <v>151</v>
      </c>
      <c r="B41">
        <v>2021</v>
      </c>
      <c r="C41" t="s">
        <v>225</v>
      </c>
    </row>
    <row r="42" spans="1:3">
      <c r="A42" t="s">
        <v>151</v>
      </c>
      <c r="B42">
        <v>2022</v>
      </c>
      <c r="C42" t="s">
        <v>225</v>
      </c>
    </row>
    <row r="43" spans="1:3">
      <c r="A43" t="s">
        <v>151</v>
      </c>
      <c r="B43">
        <v>2023</v>
      </c>
      <c r="C43" t="s">
        <v>225</v>
      </c>
    </row>
    <row r="44" spans="1:3">
      <c r="A44" t="s">
        <v>151</v>
      </c>
      <c r="B44">
        <v>2024</v>
      </c>
      <c r="C44" t="s">
        <v>225</v>
      </c>
    </row>
    <row r="45" spans="1:3">
      <c r="A45" t="s">
        <v>151</v>
      </c>
      <c r="B45">
        <v>2025</v>
      </c>
      <c r="C45" t="s">
        <v>225</v>
      </c>
    </row>
    <row r="46" spans="1:3">
      <c r="A46" t="s">
        <v>152</v>
      </c>
      <c r="B46">
        <v>2015</v>
      </c>
      <c r="C46">
        <v>16</v>
      </c>
    </row>
    <row r="47" spans="1:3">
      <c r="A47" t="s">
        <v>152</v>
      </c>
      <c r="B47">
        <v>2016</v>
      </c>
      <c r="C47">
        <v>17</v>
      </c>
    </row>
    <row r="48" spans="1:3">
      <c r="A48" t="s">
        <v>152</v>
      </c>
      <c r="B48">
        <v>2017</v>
      </c>
      <c r="C48">
        <v>16</v>
      </c>
    </row>
    <row r="49" spans="1:3">
      <c r="A49" t="s">
        <v>152</v>
      </c>
      <c r="B49">
        <v>2018</v>
      </c>
      <c r="C49">
        <v>16</v>
      </c>
    </row>
    <row r="50" spans="1:3">
      <c r="A50" t="s">
        <v>152</v>
      </c>
      <c r="B50">
        <v>2019</v>
      </c>
      <c r="C50">
        <v>15</v>
      </c>
    </row>
    <row r="51" spans="1:3">
      <c r="A51" t="s">
        <v>152</v>
      </c>
      <c r="B51">
        <v>2020</v>
      </c>
      <c r="C51" t="s">
        <v>225</v>
      </c>
    </row>
    <row r="52" spans="1:3">
      <c r="A52" t="s">
        <v>152</v>
      </c>
      <c r="B52">
        <v>2021</v>
      </c>
      <c r="C52" t="s">
        <v>225</v>
      </c>
    </row>
    <row r="53" spans="1:3">
      <c r="A53" t="s">
        <v>152</v>
      </c>
      <c r="B53">
        <v>2022</v>
      </c>
      <c r="C53" t="s">
        <v>225</v>
      </c>
    </row>
    <row r="54" spans="1:3">
      <c r="A54" t="s">
        <v>152</v>
      </c>
      <c r="B54">
        <v>2023</v>
      </c>
      <c r="C54" t="s">
        <v>225</v>
      </c>
    </row>
    <row r="55" spans="1:3">
      <c r="A55" t="s">
        <v>152</v>
      </c>
      <c r="B55">
        <v>2024</v>
      </c>
      <c r="C55" t="s">
        <v>225</v>
      </c>
    </row>
    <row r="56" spans="1:3">
      <c r="A56" t="s">
        <v>152</v>
      </c>
      <c r="B56">
        <v>2025</v>
      </c>
      <c r="C56" t="s">
        <v>225</v>
      </c>
    </row>
    <row r="57" spans="1:3">
      <c r="A57" t="s">
        <v>153</v>
      </c>
      <c r="B57">
        <v>2015</v>
      </c>
      <c r="C57">
        <v>1</v>
      </c>
    </row>
    <row r="58" spans="1:3">
      <c r="A58" t="s">
        <v>153</v>
      </c>
      <c r="B58">
        <v>2016</v>
      </c>
      <c r="C58">
        <v>1</v>
      </c>
    </row>
    <row r="59" spans="1:3">
      <c r="A59" t="s">
        <v>153</v>
      </c>
      <c r="B59">
        <v>2017</v>
      </c>
      <c r="C59">
        <v>5</v>
      </c>
    </row>
    <row r="60" spans="1:3">
      <c r="A60" t="s">
        <v>153</v>
      </c>
      <c r="B60">
        <v>2018</v>
      </c>
      <c r="C60">
        <v>1</v>
      </c>
    </row>
    <row r="61" spans="1:3">
      <c r="A61" t="s">
        <v>153</v>
      </c>
      <c r="B61">
        <v>2019</v>
      </c>
      <c r="C61" t="s">
        <v>225</v>
      </c>
    </row>
    <row r="62" spans="1:3">
      <c r="A62" t="s">
        <v>153</v>
      </c>
      <c r="B62">
        <v>2020</v>
      </c>
      <c r="C62" t="s">
        <v>225</v>
      </c>
    </row>
    <row r="63" spans="1:3">
      <c r="A63" t="s">
        <v>153</v>
      </c>
      <c r="B63">
        <v>2021</v>
      </c>
      <c r="C63" t="s">
        <v>225</v>
      </c>
    </row>
    <row r="64" spans="1:3">
      <c r="A64" t="s">
        <v>153</v>
      </c>
      <c r="B64">
        <v>2022</v>
      </c>
      <c r="C64" t="s">
        <v>225</v>
      </c>
    </row>
    <row r="65" spans="1:3">
      <c r="A65" t="s">
        <v>153</v>
      </c>
      <c r="B65">
        <v>2023</v>
      </c>
      <c r="C65" t="s">
        <v>225</v>
      </c>
    </row>
    <row r="66" spans="1:3">
      <c r="A66" t="s">
        <v>153</v>
      </c>
      <c r="B66">
        <v>2024</v>
      </c>
      <c r="C66" t="s">
        <v>225</v>
      </c>
    </row>
    <row r="67" spans="1:3">
      <c r="A67" t="s">
        <v>153</v>
      </c>
      <c r="B67">
        <v>2025</v>
      </c>
      <c r="C67" t="s">
        <v>225</v>
      </c>
    </row>
    <row r="68" spans="1:3">
      <c r="A68" t="s">
        <v>154</v>
      </c>
      <c r="B68">
        <v>2015</v>
      </c>
      <c r="C68">
        <v>26</v>
      </c>
    </row>
    <row r="69" spans="1:3">
      <c r="A69" t="s">
        <v>154</v>
      </c>
      <c r="B69">
        <v>2016</v>
      </c>
      <c r="C69">
        <v>40</v>
      </c>
    </row>
    <row r="70" spans="1:3">
      <c r="A70" t="s">
        <v>154</v>
      </c>
      <c r="B70">
        <v>2017</v>
      </c>
      <c r="C70">
        <v>56</v>
      </c>
    </row>
    <row r="71" spans="1:3">
      <c r="A71" t="s">
        <v>154</v>
      </c>
      <c r="B71">
        <v>2018</v>
      </c>
      <c r="C71">
        <v>84</v>
      </c>
    </row>
    <row r="72" spans="1:3">
      <c r="A72" t="s">
        <v>154</v>
      </c>
      <c r="B72">
        <v>2019</v>
      </c>
      <c r="C72">
        <v>56</v>
      </c>
    </row>
    <row r="73" spans="1:3">
      <c r="A73" t="s">
        <v>154</v>
      </c>
      <c r="B73">
        <v>2020</v>
      </c>
      <c r="C73">
        <v>1</v>
      </c>
    </row>
    <row r="74" spans="1:3">
      <c r="A74" t="s">
        <v>154</v>
      </c>
      <c r="B74">
        <v>2021</v>
      </c>
      <c r="C74">
        <v>1</v>
      </c>
    </row>
    <row r="75" spans="1:3">
      <c r="A75" t="s">
        <v>154</v>
      </c>
      <c r="B75">
        <v>2022</v>
      </c>
      <c r="C75">
        <v>1</v>
      </c>
    </row>
    <row r="76" spans="1:3">
      <c r="A76" t="s">
        <v>154</v>
      </c>
      <c r="B76">
        <v>2023</v>
      </c>
      <c r="C76">
        <v>1</v>
      </c>
    </row>
    <row r="77" spans="1:3">
      <c r="A77" t="s">
        <v>154</v>
      </c>
      <c r="B77">
        <v>2024</v>
      </c>
      <c r="C77">
        <v>1</v>
      </c>
    </row>
    <row r="78" spans="1:3">
      <c r="A78" t="s">
        <v>154</v>
      </c>
      <c r="B78">
        <v>2025</v>
      </c>
      <c r="C78">
        <v>1</v>
      </c>
    </row>
    <row r="79" spans="1:3">
      <c r="A79" t="s">
        <v>156</v>
      </c>
      <c r="B79">
        <v>2015</v>
      </c>
      <c r="C79">
        <v>4</v>
      </c>
    </row>
    <row r="80" spans="1:3">
      <c r="A80" t="s">
        <v>156</v>
      </c>
      <c r="B80">
        <v>2016</v>
      </c>
      <c r="C80">
        <v>4</v>
      </c>
    </row>
    <row r="81" spans="1:3">
      <c r="A81" t="s">
        <v>156</v>
      </c>
      <c r="B81">
        <v>2017</v>
      </c>
      <c r="C81">
        <v>4</v>
      </c>
    </row>
    <row r="82" spans="1:3">
      <c r="A82" t="s">
        <v>156</v>
      </c>
      <c r="B82">
        <v>2018</v>
      </c>
      <c r="C82">
        <v>4</v>
      </c>
    </row>
    <row r="83" spans="1:3">
      <c r="A83" t="s">
        <v>156</v>
      </c>
      <c r="B83">
        <v>2019</v>
      </c>
      <c r="C83">
        <v>5</v>
      </c>
    </row>
    <row r="84" spans="1:3">
      <c r="A84" t="s">
        <v>156</v>
      </c>
      <c r="B84">
        <v>2020</v>
      </c>
      <c r="C84" t="s">
        <v>225</v>
      </c>
    </row>
    <row r="85" spans="1:3">
      <c r="A85" t="s">
        <v>156</v>
      </c>
      <c r="B85">
        <v>2021</v>
      </c>
      <c r="C85" t="s">
        <v>225</v>
      </c>
    </row>
    <row r="86" spans="1:3">
      <c r="A86" t="s">
        <v>156</v>
      </c>
      <c r="B86">
        <v>2022</v>
      </c>
      <c r="C86" t="s">
        <v>225</v>
      </c>
    </row>
    <row r="87" spans="1:3">
      <c r="A87" t="s">
        <v>156</v>
      </c>
      <c r="B87">
        <v>2023</v>
      </c>
      <c r="C87" t="s">
        <v>225</v>
      </c>
    </row>
    <row r="88" spans="1:3">
      <c r="A88" t="s">
        <v>156</v>
      </c>
      <c r="B88">
        <v>2024</v>
      </c>
      <c r="C88" t="s">
        <v>225</v>
      </c>
    </row>
    <row r="89" spans="1:3">
      <c r="A89" t="s">
        <v>156</v>
      </c>
      <c r="B89">
        <v>2025</v>
      </c>
      <c r="C89" t="s">
        <v>225</v>
      </c>
    </row>
    <row r="90" spans="1:3">
      <c r="A90" t="s">
        <v>158</v>
      </c>
      <c r="B90">
        <v>2015</v>
      </c>
      <c r="C90">
        <v>11</v>
      </c>
    </row>
    <row r="91" spans="1:3">
      <c r="A91" t="s">
        <v>158</v>
      </c>
      <c r="B91">
        <v>2016</v>
      </c>
      <c r="C91">
        <v>11</v>
      </c>
    </row>
    <row r="92" spans="1:3">
      <c r="A92" t="s">
        <v>158</v>
      </c>
      <c r="B92">
        <v>2017</v>
      </c>
      <c r="C92">
        <v>11</v>
      </c>
    </row>
    <row r="93" spans="1:3">
      <c r="A93" t="s">
        <v>158</v>
      </c>
      <c r="B93">
        <v>2018</v>
      </c>
      <c r="C93">
        <v>11</v>
      </c>
    </row>
    <row r="94" spans="1:3">
      <c r="A94" t="s">
        <v>158</v>
      </c>
      <c r="B94">
        <v>2019</v>
      </c>
      <c r="C94">
        <v>11</v>
      </c>
    </row>
    <row r="95" spans="1:3">
      <c r="A95" t="s">
        <v>158</v>
      </c>
      <c r="B95">
        <v>2020</v>
      </c>
      <c r="C95">
        <v>6</v>
      </c>
    </row>
    <row r="96" spans="1:3">
      <c r="A96" t="s">
        <v>158</v>
      </c>
      <c r="B96">
        <v>2021</v>
      </c>
      <c r="C96">
        <v>6</v>
      </c>
    </row>
    <row r="97" spans="1:3">
      <c r="A97" t="s">
        <v>158</v>
      </c>
      <c r="B97">
        <v>2022</v>
      </c>
      <c r="C97">
        <v>6</v>
      </c>
    </row>
    <row r="98" spans="1:3">
      <c r="A98" t="s">
        <v>158</v>
      </c>
      <c r="B98">
        <v>2023</v>
      </c>
      <c r="C98">
        <v>6</v>
      </c>
    </row>
    <row r="99" spans="1:3">
      <c r="A99" t="s">
        <v>158</v>
      </c>
      <c r="B99">
        <v>2024</v>
      </c>
      <c r="C99">
        <v>6</v>
      </c>
    </row>
    <row r="100" spans="1:3">
      <c r="A100" t="s">
        <v>158</v>
      </c>
      <c r="B100">
        <v>2025</v>
      </c>
      <c r="C100">
        <v>6</v>
      </c>
    </row>
    <row r="101" spans="1:3">
      <c r="A101" t="s">
        <v>159</v>
      </c>
      <c r="B101">
        <v>2015</v>
      </c>
      <c r="C101">
        <v>19</v>
      </c>
    </row>
    <row r="102" spans="1:3">
      <c r="A102" t="s">
        <v>159</v>
      </c>
      <c r="B102">
        <v>2016</v>
      </c>
      <c r="C102">
        <v>18</v>
      </c>
    </row>
    <row r="103" spans="1:3">
      <c r="A103" t="s">
        <v>159</v>
      </c>
      <c r="B103">
        <v>2017</v>
      </c>
      <c r="C103">
        <v>18</v>
      </c>
    </row>
    <row r="104" spans="1:3">
      <c r="A104" t="s">
        <v>159</v>
      </c>
      <c r="B104">
        <v>2018</v>
      </c>
      <c r="C104">
        <v>18</v>
      </c>
    </row>
    <row r="105" spans="1:3">
      <c r="A105" t="s">
        <v>159</v>
      </c>
      <c r="B105">
        <v>2019</v>
      </c>
      <c r="C105">
        <v>18</v>
      </c>
    </row>
    <row r="106" spans="1:3">
      <c r="A106" t="s">
        <v>159</v>
      </c>
      <c r="B106">
        <v>2020</v>
      </c>
      <c r="C106">
        <v>15</v>
      </c>
    </row>
    <row r="107" spans="1:3">
      <c r="A107" t="s">
        <v>159</v>
      </c>
      <c r="B107">
        <v>2021</v>
      </c>
      <c r="C107">
        <v>15</v>
      </c>
    </row>
    <row r="108" spans="1:3">
      <c r="A108" t="s">
        <v>159</v>
      </c>
      <c r="B108">
        <v>2022</v>
      </c>
      <c r="C108">
        <v>15</v>
      </c>
    </row>
    <row r="109" spans="1:3">
      <c r="A109" t="s">
        <v>159</v>
      </c>
      <c r="B109">
        <v>2023</v>
      </c>
      <c r="C109">
        <v>15</v>
      </c>
    </row>
    <row r="110" spans="1:3">
      <c r="A110" t="s">
        <v>159</v>
      </c>
      <c r="B110">
        <v>2024</v>
      </c>
      <c r="C110">
        <v>15</v>
      </c>
    </row>
    <row r="111" spans="1:3">
      <c r="A111" t="s">
        <v>159</v>
      </c>
      <c r="B111">
        <v>2025</v>
      </c>
      <c r="C111">
        <v>15</v>
      </c>
    </row>
    <row r="112" spans="1:3">
      <c r="A112" t="s">
        <v>160</v>
      </c>
      <c r="B112">
        <v>2015</v>
      </c>
      <c r="C112">
        <v>6</v>
      </c>
    </row>
    <row r="113" spans="1:3">
      <c r="A113" t="s">
        <v>160</v>
      </c>
      <c r="B113">
        <v>2016</v>
      </c>
      <c r="C113">
        <v>2</v>
      </c>
    </row>
    <row r="114" spans="1:3">
      <c r="A114" t="s">
        <v>160</v>
      </c>
      <c r="B114">
        <v>2017</v>
      </c>
      <c r="C114" t="s">
        <v>225</v>
      </c>
    </row>
    <row r="115" spans="1:3">
      <c r="A115" t="s">
        <v>160</v>
      </c>
      <c r="B115">
        <v>2018</v>
      </c>
      <c r="C115" t="s">
        <v>225</v>
      </c>
    </row>
    <row r="116" spans="1:3">
      <c r="A116" t="s">
        <v>160</v>
      </c>
      <c r="B116">
        <v>2019</v>
      </c>
      <c r="C116" t="s">
        <v>225</v>
      </c>
    </row>
    <row r="117" spans="1:3">
      <c r="A117" t="s">
        <v>160</v>
      </c>
      <c r="B117">
        <v>2020</v>
      </c>
      <c r="C117" t="s">
        <v>225</v>
      </c>
    </row>
    <row r="118" spans="1:3">
      <c r="A118" t="s">
        <v>160</v>
      </c>
      <c r="B118">
        <v>2021</v>
      </c>
      <c r="C118" t="s">
        <v>225</v>
      </c>
    </row>
    <row r="119" spans="1:3">
      <c r="A119" t="s">
        <v>160</v>
      </c>
      <c r="B119">
        <v>2022</v>
      </c>
      <c r="C119" t="s">
        <v>225</v>
      </c>
    </row>
    <row r="120" spans="1:3">
      <c r="A120" t="s">
        <v>160</v>
      </c>
      <c r="B120">
        <v>2023</v>
      </c>
      <c r="C120" t="s">
        <v>225</v>
      </c>
    </row>
    <row r="121" spans="1:3">
      <c r="A121" t="s">
        <v>160</v>
      </c>
      <c r="B121">
        <v>2024</v>
      </c>
      <c r="C121" t="s">
        <v>225</v>
      </c>
    </row>
    <row r="122" spans="1:3">
      <c r="A122" t="s">
        <v>160</v>
      </c>
      <c r="B122">
        <v>2025</v>
      </c>
      <c r="C122" t="s">
        <v>225</v>
      </c>
    </row>
    <row r="123" spans="1:3">
      <c r="A123" t="s">
        <v>161</v>
      </c>
      <c r="B123">
        <v>2015</v>
      </c>
      <c r="C123">
        <v>78</v>
      </c>
    </row>
    <row r="124" spans="1:3">
      <c r="A124" t="s">
        <v>161</v>
      </c>
      <c r="B124">
        <v>2016</v>
      </c>
      <c r="C124">
        <v>67</v>
      </c>
    </row>
    <row r="125" spans="1:3">
      <c r="A125" t="s">
        <v>161</v>
      </c>
      <c r="B125">
        <v>2017</v>
      </c>
      <c r="C125">
        <v>67</v>
      </c>
    </row>
    <row r="126" spans="1:3">
      <c r="A126" t="s">
        <v>161</v>
      </c>
      <c r="B126">
        <v>2018</v>
      </c>
      <c r="C126">
        <v>68</v>
      </c>
    </row>
    <row r="127" spans="1:3">
      <c r="A127" t="s">
        <v>161</v>
      </c>
      <c r="B127">
        <v>2019</v>
      </c>
      <c r="C127">
        <v>71</v>
      </c>
    </row>
    <row r="128" spans="1:3">
      <c r="A128" t="s">
        <v>161</v>
      </c>
      <c r="B128">
        <v>2020</v>
      </c>
      <c r="C128">
        <v>7</v>
      </c>
    </row>
    <row r="129" spans="1:3">
      <c r="A129" t="s">
        <v>161</v>
      </c>
      <c r="B129">
        <v>2021</v>
      </c>
      <c r="C129">
        <v>7</v>
      </c>
    </row>
    <row r="130" spans="1:3">
      <c r="A130" t="s">
        <v>161</v>
      </c>
      <c r="B130">
        <v>2022</v>
      </c>
      <c r="C130">
        <v>7</v>
      </c>
    </row>
    <row r="131" spans="1:3">
      <c r="A131" t="s">
        <v>161</v>
      </c>
      <c r="B131">
        <v>2023</v>
      </c>
      <c r="C131" t="s">
        <v>225</v>
      </c>
    </row>
    <row r="132" spans="1:3">
      <c r="A132" t="s">
        <v>161</v>
      </c>
      <c r="B132">
        <v>2024</v>
      </c>
      <c r="C132" t="s">
        <v>225</v>
      </c>
    </row>
    <row r="133" spans="1:3">
      <c r="A133" t="s">
        <v>161</v>
      </c>
      <c r="B133">
        <v>2025</v>
      </c>
      <c r="C133" t="s">
        <v>225</v>
      </c>
    </row>
    <row r="134" spans="1:3">
      <c r="A134" t="s">
        <v>163</v>
      </c>
      <c r="B134">
        <v>2015</v>
      </c>
      <c r="C134" t="s">
        <v>225</v>
      </c>
    </row>
    <row r="135" spans="1:3">
      <c r="A135" t="s">
        <v>163</v>
      </c>
      <c r="B135">
        <v>2016</v>
      </c>
      <c r="C135" t="s">
        <v>225</v>
      </c>
    </row>
    <row r="136" spans="1:3">
      <c r="A136" t="s">
        <v>163</v>
      </c>
      <c r="B136">
        <v>2017</v>
      </c>
      <c r="C136">
        <v>7</v>
      </c>
    </row>
    <row r="137" spans="1:3">
      <c r="A137" t="s">
        <v>163</v>
      </c>
      <c r="B137">
        <v>2018</v>
      </c>
      <c r="C137">
        <v>10</v>
      </c>
    </row>
    <row r="138" spans="1:3">
      <c r="A138" t="s">
        <v>163</v>
      </c>
      <c r="B138">
        <v>2019</v>
      </c>
      <c r="C138">
        <v>7</v>
      </c>
    </row>
    <row r="139" spans="1:3">
      <c r="A139" t="s">
        <v>163</v>
      </c>
      <c r="B139">
        <v>2020</v>
      </c>
      <c r="C139" t="s">
        <v>225</v>
      </c>
    </row>
    <row r="140" spans="1:3">
      <c r="A140" t="s">
        <v>163</v>
      </c>
      <c r="B140">
        <v>2021</v>
      </c>
      <c r="C140" t="s">
        <v>225</v>
      </c>
    </row>
    <row r="141" spans="1:3">
      <c r="A141" t="s">
        <v>163</v>
      </c>
      <c r="B141">
        <v>2022</v>
      </c>
      <c r="C141" t="s">
        <v>225</v>
      </c>
    </row>
    <row r="142" spans="1:3">
      <c r="A142" t="s">
        <v>163</v>
      </c>
      <c r="B142">
        <v>2023</v>
      </c>
      <c r="C142" t="s">
        <v>225</v>
      </c>
    </row>
    <row r="143" spans="1:3">
      <c r="A143" t="s">
        <v>163</v>
      </c>
      <c r="B143">
        <v>2024</v>
      </c>
      <c r="C143" t="s">
        <v>225</v>
      </c>
    </row>
    <row r="144" spans="1:3">
      <c r="A144" t="s">
        <v>163</v>
      </c>
      <c r="B144">
        <v>2025</v>
      </c>
      <c r="C144" t="s">
        <v>225</v>
      </c>
    </row>
    <row r="145" spans="1:3">
      <c r="A145" t="s">
        <v>164</v>
      </c>
      <c r="B145">
        <v>2015</v>
      </c>
      <c r="C145">
        <v>29</v>
      </c>
    </row>
    <row r="146" spans="1:3">
      <c r="A146" t="s">
        <v>164</v>
      </c>
      <c r="B146">
        <v>2016</v>
      </c>
      <c r="C146">
        <v>29</v>
      </c>
    </row>
    <row r="147" spans="1:3">
      <c r="A147" t="s">
        <v>164</v>
      </c>
      <c r="B147">
        <v>2017</v>
      </c>
      <c r="C147">
        <v>29</v>
      </c>
    </row>
    <row r="148" spans="1:3">
      <c r="A148" t="s">
        <v>164</v>
      </c>
      <c r="B148">
        <v>2018</v>
      </c>
      <c r="C148">
        <v>25</v>
      </c>
    </row>
    <row r="149" spans="1:3">
      <c r="A149" t="s">
        <v>164</v>
      </c>
      <c r="B149">
        <v>2019</v>
      </c>
      <c r="C149">
        <v>23</v>
      </c>
    </row>
    <row r="150" spans="1:3">
      <c r="A150" t="s">
        <v>164</v>
      </c>
      <c r="B150">
        <v>2020</v>
      </c>
      <c r="C150" t="s">
        <v>225</v>
      </c>
    </row>
    <row r="151" spans="1:3">
      <c r="A151" t="s">
        <v>164</v>
      </c>
      <c r="B151">
        <v>2021</v>
      </c>
      <c r="C151" t="s">
        <v>225</v>
      </c>
    </row>
    <row r="152" spans="1:3">
      <c r="A152" t="s">
        <v>164</v>
      </c>
      <c r="B152">
        <v>2022</v>
      </c>
      <c r="C152" t="s">
        <v>225</v>
      </c>
    </row>
    <row r="153" spans="1:3">
      <c r="A153" t="s">
        <v>164</v>
      </c>
      <c r="B153">
        <v>2023</v>
      </c>
      <c r="C153" t="s">
        <v>225</v>
      </c>
    </row>
    <row r="154" spans="1:3">
      <c r="A154" t="s">
        <v>164</v>
      </c>
      <c r="B154">
        <v>2024</v>
      </c>
      <c r="C154" t="s">
        <v>225</v>
      </c>
    </row>
    <row r="155" spans="1:3">
      <c r="A155" t="s">
        <v>164</v>
      </c>
      <c r="B155">
        <v>2025</v>
      </c>
      <c r="C155" t="s">
        <v>225</v>
      </c>
    </row>
    <row r="156" spans="1:3">
      <c r="A156" t="s">
        <v>165</v>
      </c>
      <c r="B156">
        <v>2015</v>
      </c>
      <c r="C156">
        <v>41</v>
      </c>
    </row>
    <row r="157" spans="1:3">
      <c r="A157" t="s">
        <v>165</v>
      </c>
      <c r="B157">
        <v>2016</v>
      </c>
      <c r="C157">
        <v>41</v>
      </c>
    </row>
    <row r="158" spans="1:3">
      <c r="A158" t="s">
        <v>165</v>
      </c>
      <c r="B158">
        <v>2017</v>
      </c>
      <c r="C158">
        <v>42</v>
      </c>
    </row>
    <row r="159" spans="1:3">
      <c r="A159" t="s">
        <v>165</v>
      </c>
      <c r="B159">
        <v>2018</v>
      </c>
      <c r="C159">
        <v>45</v>
      </c>
    </row>
    <row r="160" spans="1:3">
      <c r="A160" t="s">
        <v>165</v>
      </c>
      <c r="B160">
        <v>2019</v>
      </c>
      <c r="C160">
        <v>53</v>
      </c>
    </row>
    <row r="161" spans="1:3">
      <c r="A161" t="s">
        <v>165</v>
      </c>
      <c r="B161">
        <v>2020</v>
      </c>
      <c r="C161">
        <v>34</v>
      </c>
    </row>
    <row r="162" spans="1:3">
      <c r="A162" t="s">
        <v>165</v>
      </c>
      <c r="B162">
        <v>2021</v>
      </c>
      <c r="C162">
        <v>34</v>
      </c>
    </row>
    <row r="163" spans="1:3">
      <c r="A163" t="s">
        <v>165</v>
      </c>
      <c r="B163">
        <v>2022</v>
      </c>
      <c r="C163">
        <v>33</v>
      </c>
    </row>
    <row r="164" spans="1:3">
      <c r="A164" t="s">
        <v>165</v>
      </c>
      <c r="B164">
        <v>2023</v>
      </c>
      <c r="C164">
        <v>33</v>
      </c>
    </row>
    <row r="165" spans="1:3">
      <c r="A165" t="s">
        <v>165</v>
      </c>
      <c r="B165">
        <v>2024</v>
      </c>
      <c r="C165">
        <v>32</v>
      </c>
    </row>
    <row r="166" spans="1:3">
      <c r="A166" t="s">
        <v>165</v>
      </c>
      <c r="B166">
        <v>2025</v>
      </c>
      <c r="C166">
        <v>32</v>
      </c>
    </row>
    <row r="167" spans="1:3">
      <c r="A167" t="s">
        <v>166</v>
      </c>
      <c r="B167">
        <v>2015</v>
      </c>
      <c r="C167">
        <v>4</v>
      </c>
    </row>
    <row r="168" spans="1:3">
      <c r="A168" t="s">
        <v>166</v>
      </c>
      <c r="B168">
        <v>2016</v>
      </c>
      <c r="C168">
        <v>4</v>
      </c>
    </row>
    <row r="169" spans="1:3">
      <c r="A169" t="s">
        <v>166</v>
      </c>
      <c r="B169">
        <v>2017</v>
      </c>
      <c r="C169">
        <v>4</v>
      </c>
    </row>
    <row r="170" spans="1:3">
      <c r="A170" t="s">
        <v>166</v>
      </c>
      <c r="B170">
        <v>2018</v>
      </c>
      <c r="C170">
        <v>4</v>
      </c>
    </row>
    <row r="171" spans="1:3">
      <c r="A171" t="s">
        <v>166</v>
      </c>
      <c r="B171">
        <v>2019</v>
      </c>
      <c r="C171">
        <v>4</v>
      </c>
    </row>
    <row r="172" spans="1:3">
      <c r="A172" t="s">
        <v>166</v>
      </c>
      <c r="B172">
        <v>2020</v>
      </c>
      <c r="C172">
        <v>1</v>
      </c>
    </row>
    <row r="173" spans="1:3">
      <c r="A173" t="s">
        <v>166</v>
      </c>
      <c r="B173">
        <v>2021</v>
      </c>
      <c r="C173">
        <v>1</v>
      </c>
    </row>
    <row r="174" spans="1:3">
      <c r="A174" t="s">
        <v>166</v>
      </c>
      <c r="B174">
        <v>2022</v>
      </c>
      <c r="C174">
        <v>1</v>
      </c>
    </row>
    <row r="175" spans="1:3">
      <c r="A175" t="s">
        <v>166</v>
      </c>
      <c r="B175">
        <v>2023</v>
      </c>
      <c r="C175">
        <v>1</v>
      </c>
    </row>
    <row r="176" spans="1:3">
      <c r="A176" t="s">
        <v>166</v>
      </c>
      <c r="B176">
        <v>2024</v>
      </c>
      <c r="C176">
        <v>1</v>
      </c>
    </row>
    <row r="177" spans="1:3">
      <c r="A177" t="s">
        <v>166</v>
      </c>
      <c r="B177">
        <v>2025</v>
      </c>
      <c r="C177">
        <v>1</v>
      </c>
    </row>
    <row r="178" spans="1:3">
      <c r="A178" t="s">
        <v>167</v>
      </c>
      <c r="B178">
        <v>2015</v>
      </c>
      <c r="C178">
        <v>10</v>
      </c>
    </row>
    <row r="179" spans="1:3">
      <c r="A179" t="s">
        <v>167</v>
      </c>
      <c r="B179">
        <v>2016</v>
      </c>
      <c r="C179">
        <v>9</v>
      </c>
    </row>
    <row r="180" spans="1:3">
      <c r="A180" t="s">
        <v>167</v>
      </c>
      <c r="B180">
        <v>2017</v>
      </c>
      <c r="C180">
        <v>3</v>
      </c>
    </row>
    <row r="181" spans="1:3">
      <c r="A181" t="s">
        <v>167</v>
      </c>
      <c r="B181">
        <v>2018</v>
      </c>
      <c r="C181" t="s">
        <v>225</v>
      </c>
    </row>
    <row r="182" spans="1:3">
      <c r="A182" t="s">
        <v>167</v>
      </c>
      <c r="B182">
        <v>2019</v>
      </c>
      <c r="C182" t="s">
        <v>225</v>
      </c>
    </row>
    <row r="183" spans="1:3">
      <c r="A183" t="s">
        <v>167</v>
      </c>
      <c r="B183">
        <v>2020</v>
      </c>
      <c r="C183" t="s">
        <v>225</v>
      </c>
    </row>
    <row r="184" spans="1:3">
      <c r="A184" t="s">
        <v>167</v>
      </c>
      <c r="B184">
        <v>2021</v>
      </c>
      <c r="C184" t="s">
        <v>225</v>
      </c>
    </row>
    <row r="185" spans="1:3">
      <c r="A185" t="s">
        <v>167</v>
      </c>
      <c r="B185">
        <v>2022</v>
      </c>
      <c r="C185" t="s">
        <v>225</v>
      </c>
    </row>
    <row r="186" spans="1:3">
      <c r="A186" t="s">
        <v>167</v>
      </c>
      <c r="B186">
        <v>2023</v>
      </c>
      <c r="C186" t="s">
        <v>225</v>
      </c>
    </row>
    <row r="187" spans="1:3">
      <c r="A187" t="s">
        <v>167</v>
      </c>
      <c r="B187">
        <v>2024</v>
      </c>
      <c r="C187" t="s">
        <v>225</v>
      </c>
    </row>
    <row r="188" spans="1:3">
      <c r="A188" t="s">
        <v>167</v>
      </c>
      <c r="B188">
        <v>2025</v>
      </c>
      <c r="C188" t="s">
        <v>225</v>
      </c>
    </row>
    <row r="189" spans="1:3">
      <c r="A189" t="s">
        <v>169</v>
      </c>
      <c r="B189">
        <v>2015</v>
      </c>
      <c r="C189">
        <v>1</v>
      </c>
    </row>
    <row r="190" spans="1:3">
      <c r="A190" t="s">
        <v>169</v>
      </c>
      <c r="B190">
        <v>2016</v>
      </c>
      <c r="C190" t="s">
        <v>225</v>
      </c>
    </row>
    <row r="191" spans="1:3">
      <c r="A191" t="s">
        <v>169</v>
      </c>
      <c r="B191">
        <v>2017</v>
      </c>
      <c r="C191" t="s">
        <v>225</v>
      </c>
    </row>
    <row r="192" spans="1:3">
      <c r="A192" t="s">
        <v>169</v>
      </c>
      <c r="B192">
        <v>2018</v>
      </c>
      <c r="C192" t="s">
        <v>225</v>
      </c>
    </row>
    <row r="193" spans="1:3">
      <c r="A193" t="s">
        <v>169</v>
      </c>
      <c r="B193">
        <v>2019</v>
      </c>
      <c r="C193" t="s">
        <v>225</v>
      </c>
    </row>
    <row r="194" spans="1:3">
      <c r="A194" t="s">
        <v>169</v>
      </c>
      <c r="B194">
        <v>2020</v>
      </c>
      <c r="C194" t="s">
        <v>225</v>
      </c>
    </row>
    <row r="195" spans="1:3">
      <c r="A195" t="s">
        <v>169</v>
      </c>
      <c r="B195">
        <v>2021</v>
      </c>
      <c r="C195" t="s">
        <v>225</v>
      </c>
    </row>
    <row r="196" spans="1:3">
      <c r="A196" t="s">
        <v>169</v>
      </c>
      <c r="B196">
        <v>2022</v>
      </c>
      <c r="C196" t="s">
        <v>225</v>
      </c>
    </row>
    <row r="197" spans="1:3">
      <c r="A197" t="s">
        <v>169</v>
      </c>
      <c r="B197">
        <v>2023</v>
      </c>
      <c r="C197" t="s">
        <v>225</v>
      </c>
    </row>
    <row r="198" spans="1:3">
      <c r="A198" t="s">
        <v>169</v>
      </c>
      <c r="B198">
        <v>2024</v>
      </c>
      <c r="C198" t="s">
        <v>225</v>
      </c>
    </row>
    <row r="199" spans="1:3">
      <c r="A199" t="s">
        <v>169</v>
      </c>
      <c r="B199">
        <v>2025</v>
      </c>
      <c r="C199" t="s">
        <v>225</v>
      </c>
    </row>
    <row r="200" spans="1:3">
      <c r="A200" t="s">
        <v>170</v>
      </c>
      <c r="B200">
        <v>2015</v>
      </c>
      <c r="C200">
        <v>2</v>
      </c>
    </row>
    <row r="201" spans="1:3">
      <c r="A201" t="s">
        <v>170</v>
      </c>
      <c r="B201">
        <v>2016</v>
      </c>
      <c r="C201" t="s">
        <v>225</v>
      </c>
    </row>
    <row r="202" spans="1:3">
      <c r="A202" t="s">
        <v>170</v>
      </c>
      <c r="B202">
        <v>2017</v>
      </c>
      <c r="C202" t="s">
        <v>225</v>
      </c>
    </row>
    <row r="203" spans="1:3">
      <c r="A203" t="s">
        <v>170</v>
      </c>
      <c r="B203">
        <v>2018</v>
      </c>
      <c r="C203" t="s">
        <v>225</v>
      </c>
    </row>
    <row r="204" spans="1:3">
      <c r="A204" t="s">
        <v>170</v>
      </c>
      <c r="B204">
        <v>2019</v>
      </c>
      <c r="C204" t="s">
        <v>225</v>
      </c>
    </row>
    <row r="205" spans="1:3">
      <c r="A205" t="s">
        <v>170</v>
      </c>
      <c r="B205">
        <v>2020</v>
      </c>
      <c r="C205" t="s">
        <v>225</v>
      </c>
    </row>
    <row r="206" spans="1:3">
      <c r="A206" t="s">
        <v>170</v>
      </c>
      <c r="B206">
        <v>2021</v>
      </c>
      <c r="C206" t="s">
        <v>225</v>
      </c>
    </row>
    <row r="207" spans="1:3">
      <c r="A207" t="s">
        <v>170</v>
      </c>
      <c r="B207">
        <v>2022</v>
      </c>
      <c r="C207" t="s">
        <v>225</v>
      </c>
    </row>
    <row r="208" spans="1:3">
      <c r="A208" t="s">
        <v>170</v>
      </c>
      <c r="B208">
        <v>2023</v>
      </c>
      <c r="C208" t="s">
        <v>225</v>
      </c>
    </row>
    <row r="209" spans="1:3">
      <c r="A209" t="s">
        <v>170</v>
      </c>
      <c r="B209">
        <v>2024</v>
      </c>
      <c r="C209" t="s">
        <v>225</v>
      </c>
    </row>
    <row r="210" spans="1:3">
      <c r="A210" t="s">
        <v>170</v>
      </c>
      <c r="B210">
        <v>2025</v>
      </c>
      <c r="C210" t="s">
        <v>225</v>
      </c>
    </row>
    <row r="211" spans="1:3">
      <c r="A211" t="s">
        <v>171</v>
      </c>
      <c r="B211">
        <v>2015</v>
      </c>
      <c r="C211">
        <v>4</v>
      </c>
    </row>
    <row r="212" spans="1:3">
      <c r="A212" t="s">
        <v>171</v>
      </c>
      <c r="B212">
        <v>2016</v>
      </c>
      <c r="C212">
        <v>4</v>
      </c>
    </row>
    <row r="213" spans="1:3">
      <c r="A213" t="s">
        <v>171</v>
      </c>
      <c r="B213">
        <v>2017</v>
      </c>
      <c r="C213">
        <v>4</v>
      </c>
    </row>
    <row r="214" spans="1:3">
      <c r="A214" t="s">
        <v>171</v>
      </c>
      <c r="B214">
        <v>2018</v>
      </c>
      <c r="C214">
        <v>1</v>
      </c>
    </row>
    <row r="215" spans="1:3">
      <c r="A215" t="s">
        <v>171</v>
      </c>
      <c r="B215">
        <v>2019</v>
      </c>
      <c r="C215">
        <v>1</v>
      </c>
    </row>
    <row r="216" spans="1:3">
      <c r="A216" t="s">
        <v>171</v>
      </c>
      <c r="B216">
        <v>2020</v>
      </c>
      <c r="C216" t="s">
        <v>225</v>
      </c>
    </row>
    <row r="217" spans="1:3">
      <c r="A217" t="s">
        <v>171</v>
      </c>
      <c r="B217">
        <v>2021</v>
      </c>
      <c r="C217" t="s">
        <v>225</v>
      </c>
    </row>
    <row r="218" spans="1:3">
      <c r="A218" t="s">
        <v>171</v>
      </c>
      <c r="B218">
        <v>2022</v>
      </c>
      <c r="C218" t="s">
        <v>225</v>
      </c>
    </row>
    <row r="219" spans="1:3">
      <c r="A219" t="s">
        <v>171</v>
      </c>
      <c r="B219">
        <v>2023</v>
      </c>
      <c r="C219" t="s">
        <v>225</v>
      </c>
    </row>
    <row r="220" spans="1:3">
      <c r="A220" t="s">
        <v>171</v>
      </c>
      <c r="B220">
        <v>2024</v>
      </c>
      <c r="C220" t="s">
        <v>225</v>
      </c>
    </row>
    <row r="221" spans="1:3">
      <c r="A221" t="s">
        <v>171</v>
      </c>
      <c r="B221">
        <v>2025</v>
      </c>
      <c r="C221" t="s">
        <v>225</v>
      </c>
    </row>
    <row r="222" spans="1:3">
      <c r="A222" t="s">
        <v>172</v>
      </c>
      <c r="B222">
        <v>2015</v>
      </c>
      <c r="C222">
        <v>7</v>
      </c>
    </row>
    <row r="223" spans="1:3">
      <c r="A223" t="s">
        <v>172</v>
      </c>
      <c r="B223">
        <v>2016</v>
      </c>
      <c r="C223">
        <v>5</v>
      </c>
    </row>
    <row r="224" spans="1:3">
      <c r="A224" t="s">
        <v>172</v>
      </c>
      <c r="B224">
        <v>2017</v>
      </c>
      <c r="C224">
        <v>5</v>
      </c>
    </row>
    <row r="225" spans="1:3">
      <c r="A225" t="s">
        <v>172</v>
      </c>
      <c r="B225">
        <v>2018</v>
      </c>
      <c r="C225">
        <v>5</v>
      </c>
    </row>
    <row r="226" spans="1:3">
      <c r="A226" t="s">
        <v>172</v>
      </c>
      <c r="B226">
        <v>2019</v>
      </c>
      <c r="C226" t="s">
        <v>225</v>
      </c>
    </row>
    <row r="227" spans="1:3">
      <c r="A227" t="s">
        <v>172</v>
      </c>
      <c r="B227">
        <v>2020</v>
      </c>
      <c r="C227" t="s">
        <v>225</v>
      </c>
    </row>
    <row r="228" spans="1:3">
      <c r="A228" t="s">
        <v>172</v>
      </c>
      <c r="B228">
        <v>2021</v>
      </c>
      <c r="C228" t="s">
        <v>225</v>
      </c>
    </row>
    <row r="229" spans="1:3">
      <c r="A229" t="s">
        <v>172</v>
      </c>
      <c r="B229">
        <v>2022</v>
      </c>
      <c r="C229" t="s">
        <v>225</v>
      </c>
    </row>
    <row r="230" spans="1:3">
      <c r="A230" t="s">
        <v>172</v>
      </c>
      <c r="B230">
        <v>2023</v>
      </c>
      <c r="C230" t="s">
        <v>225</v>
      </c>
    </row>
    <row r="231" spans="1:3">
      <c r="A231" t="s">
        <v>172</v>
      </c>
      <c r="B231">
        <v>2024</v>
      </c>
      <c r="C231" t="s">
        <v>225</v>
      </c>
    </row>
    <row r="232" spans="1:3">
      <c r="A232" t="s">
        <v>172</v>
      </c>
      <c r="B232">
        <v>2025</v>
      </c>
      <c r="C232" t="s">
        <v>225</v>
      </c>
    </row>
    <row r="233" spans="1:3">
      <c r="A233" t="s">
        <v>173</v>
      </c>
      <c r="B233">
        <v>2015</v>
      </c>
      <c r="C233">
        <v>3</v>
      </c>
    </row>
    <row r="234" spans="1:3">
      <c r="A234" t="s">
        <v>173</v>
      </c>
      <c r="B234">
        <v>2016</v>
      </c>
      <c r="C234">
        <v>3</v>
      </c>
    </row>
    <row r="235" spans="1:3">
      <c r="A235" t="s">
        <v>173</v>
      </c>
      <c r="B235">
        <v>2017</v>
      </c>
      <c r="C235" t="s">
        <v>225</v>
      </c>
    </row>
    <row r="236" spans="1:3">
      <c r="A236" t="s">
        <v>173</v>
      </c>
      <c r="B236">
        <v>2018</v>
      </c>
      <c r="C236" t="s">
        <v>225</v>
      </c>
    </row>
    <row r="237" spans="1:3">
      <c r="A237" t="s">
        <v>173</v>
      </c>
      <c r="B237">
        <v>2019</v>
      </c>
      <c r="C237" t="s">
        <v>225</v>
      </c>
    </row>
    <row r="238" spans="1:3">
      <c r="A238" t="s">
        <v>173</v>
      </c>
      <c r="B238">
        <v>2020</v>
      </c>
      <c r="C238" t="s">
        <v>225</v>
      </c>
    </row>
    <row r="239" spans="1:3">
      <c r="A239" t="s">
        <v>173</v>
      </c>
      <c r="B239">
        <v>2021</v>
      </c>
      <c r="C239" t="s">
        <v>225</v>
      </c>
    </row>
    <row r="240" spans="1:3">
      <c r="A240" t="s">
        <v>173</v>
      </c>
      <c r="B240">
        <v>2022</v>
      </c>
      <c r="C240" t="s">
        <v>225</v>
      </c>
    </row>
    <row r="241" spans="1:3">
      <c r="A241" t="s">
        <v>173</v>
      </c>
      <c r="B241">
        <v>2023</v>
      </c>
      <c r="C241" t="s">
        <v>225</v>
      </c>
    </row>
    <row r="242" spans="1:3">
      <c r="A242" t="s">
        <v>173</v>
      </c>
      <c r="B242">
        <v>2024</v>
      </c>
      <c r="C242" t="s">
        <v>225</v>
      </c>
    </row>
    <row r="243" spans="1:3">
      <c r="A243" t="s">
        <v>173</v>
      </c>
      <c r="B243">
        <v>2025</v>
      </c>
      <c r="C243" t="s">
        <v>225</v>
      </c>
    </row>
    <row r="244" spans="1:3">
      <c r="A244" t="s">
        <v>174</v>
      </c>
      <c r="B244">
        <v>2015</v>
      </c>
      <c r="C244">
        <v>5</v>
      </c>
    </row>
    <row r="245" spans="1:3">
      <c r="A245" t="s">
        <v>174</v>
      </c>
      <c r="B245">
        <v>2016</v>
      </c>
      <c r="C245">
        <v>5</v>
      </c>
    </row>
    <row r="246" spans="1:3">
      <c r="A246" t="s">
        <v>174</v>
      </c>
      <c r="B246">
        <v>2017</v>
      </c>
      <c r="C246">
        <v>5</v>
      </c>
    </row>
    <row r="247" spans="1:3">
      <c r="A247" t="s">
        <v>174</v>
      </c>
      <c r="B247">
        <v>2018</v>
      </c>
      <c r="C247">
        <v>5</v>
      </c>
    </row>
    <row r="248" spans="1:3">
      <c r="A248" t="s">
        <v>174</v>
      </c>
      <c r="B248">
        <v>2019</v>
      </c>
      <c r="C248">
        <v>5</v>
      </c>
    </row>
    <row r="249" spans="1:3">
      <c r="A249" t="s">
        <v>174</v>
      </c>
      <c r="B249">
        <v>2020</v>
      </c>
      <c r="C249" t="s">
        <v>225</v>
      </c>
    </row>
    <row r="250" spans="1:3">
      <c r="A250" t="s">
        <v>174</v>
      </c>
      <c r="B250">
        <v>2021</v>
      </c>
      <c r="C250" t="s">
        <v>225</v>
      </c>
    </row>
    <row r="251" spans="1:3">
      <c r="A251" t="s">
        <v>174</v>
      </c>
      <c r="B251">
        <v>2022</v>
      </c>
      <c r="C251" t="s">
        <v>225</v>
      </c>
    </row>
    <row r="252" spans="1:3">
      <c r="A252" t="s">
        <v>174</v>
      </c>
      <c r="B252">
        <v>2023</v>
      </c>
      <c r="C252" t="s">
        <v>225</v>
      </c>
    </row>
    <row r="253" spans="1:3">
      <c r="A253" t="s">
        <v>174</v>
      </c>
      <c r="B253">
        <v>2024</v>
      </c>
      <c r="C253" t="s">
        <v>225</v>
      </c>
    </row>
    <row r="254" spans="1:3">
      <c r="A254" t="s">
        <v>174</v>
      </c>
      <c r="B254">
        <v>2025</v>
      </c>
      <c r="C254" t="s">
        <v>225</v>
      </c>
    </row>
    <row r="255" spans="1:3">
      <c r="A255" t="s">
        <v>175</v>
      </c>
      <c r="B255">
        <v>2015</v>
      </c>
      <c r="C255">
        <v>14</v>
      </c>
    </row>
    <row r="256" spans="1:3">
      <c r="A256" t="s">
        <v>175</v>
      </c>
      <c r="B256">
        <v>2016</v>
      </c>
      <c r="C256">
        <v>14</v>
      </c>
    </row>
    <row r="257" spans="1:3">
      <c r="A257" t="s">
        <v>175</v>
      </c>
      <c r="B257">
        <v>2017</v>
      </c>
      <c r="C257">
        <v>10</v>
      </c>
    </row>
    <row r="258" spans="1:3">
      <c r="A258" t="s">
        <v>175</v>
      </c>
      <c r="B258">
        <v>2018</v>
      </c>
      <c r="C258">
        <v>11</v>
      </c>
    </row>
    <row r="259" spans="1:3">
      <c r="A259" t="s">
        <v>175</v>
      </c>
      <c r="B259">
        <v>2019</v>
      </c>
      <c r="C259">
        <v>10</v>
      </c>
    </row>
    <row r="260" spans="1:3">
      <c r="A260" t="s">
        <v>175</v>
      </c>
      <c r="B260">
        <v>2020</v>
      </c>
      <c r="C260">
        <v>11</v>
      </c>
    </row>
    <row r="261" spans="1:3">
      <c r="A261" t="s">
        <v>175</v>
      </c>
      <c r="B261">
        <v>2021</v>
      </c>
      <c r="C261">
        <v>10</v>
      </c>
    </row>
    <row r="262" spans="1:3">
      <c r="A262" t="s">
        <v>175</v>
      </c>
      <c r="B262">
        <v>2022</v>
      </c>
      <c r="C262">
        <v>10</v>
      </c>
    </row>
    <row r="263" spans="1:3">
      <c r="A263" t="s">
        <v>175</v>
      </c>
      <c r="B263">
        <v>2023</v>
      </c>
      <c r="C263">
        <v>10</v>
      </c>
    </row>
    <row r="264" spans="1:3">
      <c r="A264" t="s">
        <v>175</v>
      </c>
      <c r="B264">
        <v>2024</v>
      </c>
      <c r="C264">
        <v>10</v>
      </c>
    </row>
    <row r="265" spans="1:3">
      <c r="A265" t="s">
        <v>175</v>
      </c>
      <c r="B265">
        <v>2025</v>
      </c>
      <c r="C265">
        <v>10</v>
      </c>
    </row>
    <row r="266" spans="1:3">
      <c r="A266" t="s">
        <v>176</v>
      </c>
      <c r="B266">
        <v>2015</v>
      </c>
      <c r="C266" t="s">
        <v>225</v>
      </c>
    </row>
    <row r="267" spans="1:3">
      <c r="A267" t="s">
        <v>176</v>
      </c>
      <c r="B267">
        <v>2016</v>
      </c>
      <c r="C267">
        <v>2</v>
      </c>
    </row>
    <row r="268" spans="1:3">
      <c r="A268" t="s">
        <v>176</v>
      </c>
      <c r="B268">
        <v>2017</v>
      </c>
      <c r="C268">
        <v>5</v>
      </c>
    </row>
    <row r="269" spans="1:3">
      <c r="A269" t="s">
        <v>176</v>
      </c>
      <c r="B269">
        <v>2018</v>
      </c>
      <c r="C269">
        <v>5</v>
      </c>
    </row>
    <row r="270" spans="1:3">
      <c r="A270" t="s">
        <v>176</v>
      </c>
      <c r="B270">
        <v>2019</v>
      </c>
      <c r="C270">
        <v>2</v>
      </c>
    </row>
    <row r="271" spans="1:3">
      <c r="A271" t="s">
        <v>176</v>
      </c>
      <c r="B271">
        <v>2020</v>
      </c>
      <c r="C271" t="s">
        <v>225</v>
      </c>
    </row>
    <row r="272" spans="1:3">
      <c r="A272" t="s">
        <v>176</v>
      </c>
      <c r="B272">
        <v>2021</v>
      </c>
      <c r="C272" t="s">
        <v>225</v>
      </c>
    </row>
    <row r="273" spans="1:3">
      <c r="A273" t="s">
        <v>176</v>
      </c>
      <c r="B273">
        <v>2022</v>
      </c>
      <c r="C273" t="s">
        <v>225</v>
      </c>
    </row>
    <row r="274" spans="1:3">
      <c r="A274" t="s">
        <v>176</v>
      </c>
      <c r="B274">
        <v>2023</v>
      </c>
      <c r="C274" t="s">
        <v>225</v>
      </c>
    </row>
    <row r="275" spans="1:3">
      <c r="A275" t="s">
        <v>176</v>
      </c>
      <c r="B275">
        <v>2024</v>
      </c>
      <c r="C275" t="s">
        <v>225</v>
      </c>
    </row>
    <row r="276" spans="1:3">
      <c r="A276" t="s">
        <v>176</v>
      </c>
      <c r="B276">
        <v>2025</v>
      </c>
      <c r="C276" t="s">
        <v>225</v>
      </c>
    </row>
    <row r="277" spans="1:3">
      <c r="A277" t="s">
        <v>178</v>
      </c>
      <c r="B277">
        <v>2015</v>
      </c>
      <c r="C277">
        <v>17</v>
      </c>
    </row>
    <row r="278" spans="1:3">
      <c r="A278" t="s">
        <v>178</v>
      </c>
      <c r="B278">
        <v>2016</v>
      </c>
      <c r="C278">
        <v>15</v>
      </c>
    </row>
    <row r="279" spans="1:3">
      <c r="A279" t="s">
        <v>178</v>
      </c>
      <c r="B279">
        <v>2017</v>
      </c>
      <c r="C279">
        <v>15</v>
      </c>
    </row>
    <row r="280" spans="1:3">
      <c r="A280" t="s">
        <v>178</v>
      </c>
      <c r="B280">
        <v>2018</v>
      </c>
      <c r="C280">
        <v>1</v>
      </c>
    </row>
    <row r="281" spans="1:3">
      <c r="A281" t="s">
        <v>178</v>
      </c>
      <c r="B281">
        <v>2019</v>
      </c>
      <c r="C281">
        <v>1</v>
      </c>
    </row>
    <row r="282" spans="1:3">
      <c r="A282" t="s">
        <v>178</v>
      </c>
      <c r="B282">
        <v>2020</v>
      </c>
      <c r="C282">
        <v>1</v>
      </c>
    </row>
    <row r="283" spans="1:3">
      <c r="A283" t="s">
        <v>178</v>
      </c>
      <c r="B283">
        <v>2021</v>
      </c>
      <c r="C283">
        <v>1</v>
      </c>
    </row>
    <row r="284" spans="1:3">
      <c r="A284" t="s">
        <v>178</v>
      </c>
      <c r="B284">
        <v>2022</v>
      </c>
      <c r="C284">
        <v>1</v>
      </c>
    </row>
    <row r="285" spans="1:3">
      <c r="A285" t="s">
        <v>178</v>
      </c>
      <c r="B285">
        <v>2023</v>
      </c>
      <c r="C285">
        <v>1</v>
      </c>
    </row>
    <row r="286" spans="1:3">
      <c r="A286" t="s">
        <v>178</v>
      </c>
      <c r="B286">
        <v>2024</v>
      </c>
      <c r="C286">
        <v>1</v>
      </c>
    </row>
    <row r="287" spans="1:3">
      <c r="A287" t="s">
        <v>178</v>
      </c>
      <c r="B287">
        <v>2025</v>
      </c>
      <c r="C287">
        <v>1</v>
      </c>
    </row>
    <row r="288" spans="1:3">
      <c r="A288" t="s">
        <v>179</v>
      </c>
      <c r="B288">
        <v>2015</v>
      </c>
      <c r="C288">
        <v>12</v>
      </c>
    </row>
    <row r="289" spans="1:3">
      <c r="A289" t="s">
        <v>179</v>
      </c>
      <c r="B289">
        <v>2016</v>
      </c>
      <c r="C289">
        <v>54</v>
      </c>
    </row>
    <row r="290" spans="1:3">
      <c r="A290" t="s">
        <v>179</v>
      </c>
      <c r="B290">
        <v>2017</v>
      </c>
      <c r="C290">
        <v>10</v>
      </c>
    </row>
    <row r="291" spans="1:3">
      <c r="A291" t="s">
        <v>179</v>
      </c>
      <c r="B291">
        <v>2018</v>
      </c>
      <c r="C291">
        <v>72</v>
      </c>
    </row>
    <row r="292" spans="1:3">
      <c r="A292" t="s">
        <v>179</v>
      </c>
      <c r="B292">
        <v>2019</v>
      </c>
      <c r="C292">
        <v>134</v>
      </c>
    </row>
    <row r="293" spans="1:3">
      <c r="A293" t="s">
        <v>179</v>
      </c>
      <c r="B293">
        <v>2020</v>
      </c>
      <c r="C293">
        <v>18</v>
      </c>
    </row>
    <row r="294" spans="1:3">
      <c r="A294" t="s">
        <v>179</v>
      </c>
      <c r="B294">
        <v>2021</v>
      </c>
      <c r="C294">
        <v>17</v>
      </c>
    </row>
    <row r="295" spans="1:3">
      <c r="A295" t="s">
        <v>179</v>
      </c>
      <c r="B295">
        <v>2022</v>
      </c>
      <c r="C295">
        <v>17</v>
      </c>
    </row>
    <row r="296" spans="1:3">
      <c r="A296" t="s">
        <v>179</v>
      </c>
      <c r="B296">
        <v>2023</v>
      </c>
      <c r="C296">
        <v>17</v>
      </c>
    </row>
    <row r="297" spans="1:3">
      <c r="A297" t="s">
        <v>179</v>
      </c>
      <c r="B297">
        <v>2024</v>
      </c>
      <c r="C297">
        <v>17</v>
      </c>
    </row>
    <row r="298" spans="1:3">
      <c r="A298" t="s">
        <v>179</v>
      </c>
      <c r="B298">
        <v>2025</v>
      </c>
      <c r="C298">
        <v>17</v>
      </c>
    </row>
    <row r="299" spans="1:3">
      <c r="A299" t="s">
        <v>182</v>
      </c>
      <c r="B299">
        <v>2015</v>
      </c>
      <c r="C299">
        <v>3</v>
      </c>
    </row>
    <row r="300" spans="1:3">
      <c r="A300" t="s">
        <v>182</v>
      </c>
      <c r="B300">
        <v>2016</v>
      </c>
      <c r="C300">
        <v>9</v>
      </c>
    </row>
    <row r="301" spans="1:3">
      <c r="A301" t="s">
        <v>182</v>
      </c>
      <c r="B301">
        <v>2017</v>
      </c>
      <c r="C301">
        <v>14</v>
      </c>
    </row>
    <row r="302" spans="1:3">
      <c r="A302" t="s">
        <v>182</v>
      </c>
      <c r="B302">
        <v>2018</v>
      </c>
      <c r="C302">
        <v>18</v>
      </c>
    </row>
    <row r="303" spans="1:3">
      <c r="A303" t="s">
        <v>182</v>
      </c>
      <c r="B303">
        <v>2019</v>
      </c>
      <c r="C303">
        <v>38</v>
      </c>
    </row>
    <row r="304" spans="1:3">
      <c r="A304" t="s">
        <v>182</v>
      </c>
      <c r="B304">
        <v>2020</v>
      </c>
      <c r="C304">
        <v>21</v>
      </c>
    </row>
    <row r="305" spans="1:3">
      <c r="A305" t="s">
        <v>182</v>
      </c>
      <c r="B305">
        <v>2021</v>
      </c>
      <c r="C305">
        <v>19</v>
      </c>
    </row>
    <row r="306" spans="1:3">
      <c r="A306" t="s">
        <v>182</v>
      </c>
      <c r="B306">
        <v>2022</v>
      </c>
      <c r="C306">
        <v>19</v>
      </c>
    </row>
    <row r="307" spans="1:3">
      <c r="A307" t="s">
        <v>182</v>
      </c>
      <c r="B307">
        <v>2023</v>
      </c>
      <c r="C307">
        <v>19</v>
      </c>
    </row>
    <row r="308" spans="1:3">
      <c r="A308" t="s">
        <v>182</v>
      </c>
      <c r="B308">
        <v>2024</v>
      </c>
      <c r="C308">
        <v>18</v>
      </c>
    </row>
    <row r="309" spans="1:3">
      <c r="A309" t="s">
        <v>182</v>
      </c>
      <c r="B309">
        <v>2025</v>
      </c>
      <c r="C309">
        <v>18</v>
      </c>
    </row>
    <row r="310" spans="1:3">
      <c r="A310" t="s">
        <v>183</v>
      </c>
      <c r="B310">
        <v>2015</v>
      </c>
      <c r="C310">
        <v>9</v>
      </c>
    </row>
    <row r="311" spans="1:3">
      <c r="A311" t="s">
        <v>183</v>
      </c>
      <c r="B311">
        <v>2016</v>
      </c>
      <c r="C311">
        <v>6</v>
      </c>
    </row>
    <row r="312" spans="1:3">
      <c r="A312" t="s">
        <v>183</v>
      </c>
      <c r="B312">
        <v>2017</v>
      </c>
      <c r="C312" t="s">
        <v>225</v>
      </c>
    </row>
    <row r="313" spans="1:3">
      <c r="A313" t="s">
        <v>183</v>
      </c>
      <c r="B313">
        <v>2018</v>
      </c>
      <c r="C313">
        <v>1</v>
      </c>
    </row>
    <row r="314" spans="1:3">
      <c r="A314" t="s">
        <v>183</v>
      </c>
      <c r="B314">
        <v>2019</v>
      </c>
      <c r="C314" t="s">
        <v>225</v>
      </c>
    </row>
    <row r="315" spans="1:3">
      <c r="A315" t="s">
        <v>183</v>
      </c>
      <c r="B315">
        <v>2020</v>
      </c>
      <c r="C315" t="s">
        <v>225</v>
      </c>
    </row>
    <row r="316" spans="1:3">
      <c r="A316" t="s">
        <v>183</v>
      </c>
      <c r="B316">
        <v>2021</v>
      </c>
      <c r="C316" t="s">
        <v>225</v>
      </c>
    </row>
    <row r="317" spans="1:3">
      <c r="A317" t="s">
        <v>183</v>
      </c>
      <c r="B317">
        <v>2022</v>
      </c>
      <c r="C317" t="s">
        <v>225</v>
      </c>
    </row>
    <row r="318" spans="1:3">
      <c r="A318" t="s">
        <v>183</v>
      </c>
      <c r="B318">
        <v>2023</v>
      </c>
      <c r="C318" t="s">
        <v>225</v>
      </c>
    </row>
    <row r="319" spans="1:3">
      <c r="A319" t="s">
        <v>183</v>
      </c>
      <c r="B319">
        <v>2024</v>
      </c>
      <c r="C319" t="s">
        <v>225</v>
      </c>
    </row>
    <row r="320" spans="1:3">
      <c r="A320" t="s">
        <v>183</v>
      </c>
      <c r="B320">
        <v>2025</v>
      </c>
      <c r="C320" t="s">
        <v>225</v>
      </c>
    </row>
    <row r="321" spans="1:3">
      <c r="A321" t="s">
        <v>184</v>
      </c>
      <c r="B321">
        <v>2015</v>
      </c>
      <c r="C321">
        <v>26</v>
      </c>
    </row>
    <row r="322" spans="1:3">
      <c r="A322" t="s">
        <v>184</v>
      </c>
      <c r="B322">
        <v>2016</v>
      </c>
      <c r="C322">
        <v>33</v>
      </c>
    </row>
    <row r="323" spans="1:3">
      <c r="A323" t="s">
        <v>184</v>
      </c>
      <c r="B323">
        <v>2017</v>
      </c>
      <c r="C323">
        <v>33</v>
      </c>
    </row>
    <row r="324" spans="1:3">
      <c r="A324" t="s">
        <v>184</v>
      </c>
      <c r="B324">
        <v>2018</v>
      </c>
      <c r="C324">
        <v>21</v>
      </c>
    </row>
    <row r="325" spans="1:3">
      <c r="A325" t="s">
        <v>184</v>
      </c>
      <c r="B325">
        <v>2019</v>
      </c>
      <c r="C325">
        <v>34</v>
      </c>
    </row>
    <row r="326" spans="1:3">
      <c r="A326" t="s">
        <v>184</v>
      </c>
      <c r="B326">
        <v>2020</v>
      </c>
      <c r="C326">
        <v>1</v>
      </c>
    </row>
    <row r="327" spans="1:3">
      <c r="A327" t="s">
        <v>184</v>
      </c>
      <c r="B327">
        <v>2021</v>
      </c>
      <c r="C327">
        <v>1</v>
      </c>
    </row>
    <row r="328" spans="1:3">
      <c r="A328" t="s">
        <v>184</v>
      </c>
      <c r="B328">
        <v>2022</v>
      </c>
      <c r="C328">
        <v>1</v>
      </c>
    </row>
    <row r="329" spans="1:3">
      <c r="A329" t="s">
        <v>184</v>
      </c>
      <c r="B329">
        <v>2023</v>
      </c>
      <c r="C329">
        <v>1</v>
      </c>
    </row>
    <row r="330" spans="1:3">
      <c r="A330" t="s">
        <v>184</v>
      </c>
      <c r="B330">
        <v>2024</v>
      </c>
      <c r="C330">
        <v>1</v>
      </c>
    </row>
    <row r="331" spans="1:3">
      <c r="A331" t="s">
        <v>184</v>
      </c>
      <c r="B331">
        <v>2025</v>
      </c>
      <c r="C331">
        <v>1</v>
      </c>
    </row>
    <row r="332" spans="1:3">
      <c r="A332" t="s">
        <v>185</v>
      </c>
      <c r="B332">
        <v>2015</v>
      </c>
      <c r="C332">
        <v>10</v>
      </c>
    </row>
    <row r="333" spans="1:3">
      <c r="A333" t="s">
        <v>185</v>
      </c>
      <c r="B333">
        <v>2016</v>
      </c>
      <c r="C333">
        <v>10</v>
      </c>
    </row>
    <row r="334" spans="1:3">
      <c r="A334" t="s">
        <v>185</v>
      </c>
      <c r="B334">
        <v>2017</v>
      </c>
      <c r="C334">
        <v>12</v>
      </c>
    </row>
    <row r="335" spans="1:3">
      <c r="A335" t="s">
        <v>185</v>
      </c>
      <c r="B335">
        <v>2018</v>
      </c>
      <c r="C335">
        <v>12</v>
      </c>
    </row>
    <row r="336" spans="1:3">
      <c r="A336" t="s">
        <v>185</v>
      </c>
      <c r="B336">
        <v>2019</v>
      </c>
      <c r="C336">
        <v>12</v>
      </c>
    </row>
    <row r="337" spans="1:3">
      <c r="A337" t="s">
        <v>185</v>
      </c>
      <c r="B337">
        <v>2020</v>
      </c>
      <c r="C337" t="s">
        <v>225</v>
      </c>
    </row>
    <row r="338" spans="1:3">
      <c r="A338" t="s">
        <v>185</v>
      </c>
      <c r="B338">
        <v>2021</v>
      </c>
      <c r="C338" t="s">
        <v>225</v>
      </c>
    </row>
    <row r="339" spans="1:3">
      <c r="A339" t="s">
        <v>185</v>
      </c>
      <c r="B339">
        <v>2022</v>
      </c>
      <c r="C339" t="s">
        <v>225</v>
      </c>
    </row>
    <row r="340" spans="1:3">
      <c r="A340" t="s">
        <v>185</v>
      </c>
      <c r="B340">
        <v>2023</v>
      </c>
      <c r="C340" t="s">
        <v>225</v>
      </c>
    </row>
    <row r="341" spans="1:3">
      <c r="A341" t="s">
        <v>185</v>
      </c>
      <c r="B341">
        <v>2024</v>
      </c>
      <c r="C341" t="s">
        <v>225</v>
      </c>
    </row>
    <row r="342" spans="1:3">
      <c r="A342" t="s">
        <v>185</v>
      </c>
      <c r="B342">
        <v>2025</v>
      </c>
      <c r="C342" t="s">
        <v>225</v>
      </c>
    </row>
    <row r="343" spans="1:3">
      <c r="A343" t="s">
        <v>186</v>
      </c>
      <c r="B343">
        <v>2015</v>
      </c>
      <c r="C343">
        <v>2</v>
      </c>
    </row>
    <row r="344" spans="1:3">
      <c r="A344" t="s">
        <v>186</v>
      </c>
      <c r="B344">
        <v>2016</v>
      </c>
      <c r="C344">
        <v>2</v>
      </c>
    </row>
    <row r="345" spans="1:3">
      <c r="A345" t="s">
        <v>186</v>
      </c>
      <c r="B345">
        <v>2017</v>
      </c>
      <c r="C345">
        <v>2</v>
      </c>
    </row>
    <row r="346" spans="1:3">
      <c r="A346" t="s">
        <v>186</v>
      </c>
      <c r="B346">
        <v>2018</v>
      </c>
      <c r="C346">
        <v>2</v>
      </c>
    </row>
    <row r="347" spans="1:3">
      <c r="A347" t="s">
        <v>186</v>
      </c>
      <c r="B347">
        <v>2019</v>
      </c>
      <c r="C347">
        <v>2</v>
      </c>
    </row>
    <row r="348" spans="1:3">
      <c r="A348" t="s">
        <v>186</v>
      </c>
      <c r="B348">
        <v>2020</v>
      </c>
      <c r="C348" t="s">
        <v>225</v>
      </c>
    </row>
    <row r="349" spans="1:3">
      <c r="A349" t="s">
        <v>186</v>
      </c>
      <c r="B349">
        <v>2021</v>
      </c>
      <c r="C349" t="s">
        <v>225</v>
      </c>
    </row>
    <row r="350" spans="1:3">
      <c r="A350" t="s">
        <v>186</v>
      </c>
      <c r="B350">
        <v>2022</v>
      </c>
      <c r="C350" t="s">
        <v>225</v>
      </c>
    </row>
    <row r="351" spans="1:3">
      <c r="A351" t="s">
        <v>186</v>
      </c>
      <c r="B351">
        <v>2023</v>
      </c>
      <c r="C351" t="s">
        <v>225</v>
      </c>
    </row>
    <row r="352" spans="1:3">
      <c r="A352" t="s">
        <v>186</v>
      </c>
      <c r="B352">
        <v>2024</v>
      </c>
      <c r="C352" t="s">
        <v>225</v>
      </c>
    </row>
    <row r="353" spans="1:3">
      <c r="A353" t="s">
        <v>186</v>
      </c>
      <c r="B353">
        <v>2025</v>
      </c>
      <c r="C353" t="s">
        <v>225</v>
      </c>
    </row>
    <row r="354" spans="1:3">
      <c r="A354" t="s">
        <v>187</v>
      </c>
      <c r="B354">
        <v>2015</v>
      </c>
      <c r="C354">
        <v>2</v>
      </c>
    </row>
    <row r="355" spans="1:3">
      <c r="A355" t="s">
        <v>187</v>
      </c>
      <c r="B355">
        <v>2016</v>
      </c>
      <c r="C355">
        <v>2</v>
      </c>
    </row>
    <row r="356" spans="1:3">
      <c r="A356" t="s">
        <v>187</v>
      </c>
      <c r="B356">
        <v>2017</v>
      </c>
      <c r="C356">
        <v>2</v>
      </c>
    </row>
    <row r="357" spans="1:3">
      <c r="A357" t="s">
        <v>187</v>
      </c>
      <c r="B357">
        <v>2018</v>
      </c>
      <c r="C357">
        <v>2</v>
      </c>
    </row>
    <row r="358" spans="1:3">
      <c r="A358" t="s">
        <v>187</v>
      </c>
      <c r="B358">
        <v>2019</v>
      </c>
      <c r="C358">
        <v>2</v>
      </c>
    </row>
    <row r="359" spans="1:3">
      <c r="A359" t="s">
        <v>187</v>
      </c>
      <c r="B359">
        <v>2020</v>
      </c>
      <c r="C359" t="s">
        <v>225</v>
      </c>
    </row>
    <row r="360" spans="1:3">
      <c r="A360" t="s">
        <v>187</v>
      </c>
      <c r="B360">
        <v>2021</v>
      </c>
      <c r="C360" t="s">
        <v>225</v>
      </c>
    </row>
    <row r="361" spans="1:3">
      <c r="A361" t="s">
        <v>187</v>
      </c>
      <c r="B361">
        <v>2022</v>
      </c>
      <c r="C361" t="s">
        <v>225</v>
      </c>
    </row>
    <row r="362" spans="1:3">
      <c r="A362" t="s">
        <v>187</v>
      </c>
      <c r="B362">
        <v>2023</v>
      </c>
      <c r="C362" t="s">
        <v>225</v>
      </c>
    </row>
    <row r="363" spans="1:3">
      <c r="A363" t="s">
        <v>187</v>
      </c>
      <c r="B363">
        <v>2024</v>
      </c>
      <c r="C363" t="s">
        <v>225</v>
      </c>
    </row>
    <row r="364" spans="1:3">
      <c r="A364" t="s">
        <v>187</v>
      </c>
      <c r="B364">
        <v>2025</v>
      </c>
      <c r="C364" t="s">
        <v>225</v>
      </c>
    </row>
    <row r="365" spans="1:3">
      <c r="A365" t="s">
        <v>188</v>
      </c>
      <c r="B365">
        <v>2015</v>
      </c>
      <c r="C365">
        <v>1</v>
      </c>
    </row>
    <row r="366" spans="1:3">
      <c r="A366" t="s">
        <v>188</v>
      </c>
      <c r="B366">
        <v>2016</v>
      </c>
      <c r="C366">
        <v>8</v>
      </c>
    </row>
    <row r="367" spans="1:3">
      <c r="A367" t="s">
        <v>188</v>
      </c>
      <c r="B367">
        <v>2017</v>
      </c>
      <c r="C367">
        <v>19</v>
      </c>
    </row>
    <row r="368" spans="1:3">
      <c r="A368" t="s">
        <v>188</v>
      </c>
      <c r="B368">
        <v>2018</v>
      </c>
      <c r="C368">
        <v>44</v>
      </c>
    </row>
    <row r="369" spans="1:3">
      <c r="A369" t="s">
        <v>188</v>
      </c>
      <c r="B369">
        <v>2019</v>
      </c>
      <c r="C369">
        <v>35</v>
      </c>
    </row>
    <row r="370" spans="1:3">
      <c r="A370" t="s">
        <v>188</v>
      </c>
      <c r="B370">
        <v>2020</v>
      </c>
      <c r="C370">
        <v>25</v>
      </c>
    </row>
    <row r="371" spans="1:3">
      <c r="A371" t="s">
        <v>188</v>
      </c>
      <c r="B371">
        <v>2021</v>
      </c>
      <c r="C371">
        <v>25</v>
      </c>
    </row>
    <row r="372" spans="1:3">
      <c r="A372" t="s">
        <v>188</v>
      </c>
      <c r="B372">
        <v>2022</v>
      </c>
      <c r="C372" t="s">
        <v>225</v>
      </c>
    </row>
    <row r="373" spans="1:3">
      <c r="A373" t="s">
        <v>188</v>
      </c>
      <c r="B373">
        <v>2023</v>
      </c>
      <c r="C373" t="s">
        <v>225</v>
      </c>
    </row>
    <row r="374" spans="1:3">
      <c r="A374" t="s">
        <v>188</v>
      </c>
      <c r="B374">
        <v>2024</v>
      </c>
      <c r="C374" t="s">
        <v>225</v>
      </c>
    </row>
    <row r="375" spans="1:3">
      <c r="A375" t="s">
        <v>188</v>
      </c>
      <c r="B375">
        <v>2025</v>
      </c>
      <c r="C375" t="s">
        <v>225</v>
      </c>
    </row>
    <row r="376" spans="1:3">
      <c r="A376" t="s">
        <v>190</v>
      </c>
      <c r="B376">
        <v>2015</v>
      </c>
      <c r="C376">
        <v>13</v>
      </c>
    </row>
    <row r="377" spans="1:3">
      <c r="A377" t="s">
        <v>190</v>
      </c>
      <c r="B377">
        <v>2016</v>
      </c>
      <c r="C377">
        <v>14</v>
      </c>
    </row>
    <row r="378" spans="1:3">
      <c r="A378" t="s">
        <v>190</v>
      </c>
      <c r="B378">
        <v>2017</v>
      </c>
      <c r="C378">
        <v>13</v>
      </c>
    </row>
    <row r="379" spans="1:3">
      <c r="A379" t="s">
        <v>190</v>
      </c>
      <c r="B379">
        <v>2018</v>
      </c>
      <c r="C379">
        <v>13</v>
      </c>
    </row>
    <row r="380" spans="1:3">
      <c r="A380" t="s">
        <v>190</v>
      </c>
      <c r="B380">
        <v>2019</v>
      </c>
      <c r="C380">
        <v>13</v>
      </c>
    </row>
    <row r="381" spans="1:3">
      <c r="A381" t="s">
        <v>190</v>
      </c>
      <c r="B381">
        <v>2020</v>
      </c>
      <c r="C381">
        <v>13</v>
      </c>
    </row>
    <row r="382" spans="1:3">
      <c r="A382" t="s">
        <v>190</v>
      </c>
      <c r="B382">
        <v>2021</v>
      </c>
      <c r="C382">
        <v>13</v>
      </c>
    </row>
    <row r="383" spans="1:3">
      <c r="A383" t="s">
        <v>190</v>
      </c>
      <c r="B383">
        <v>2022</v>
      </c>
      <c r="C383">
        <v>13</v>
      </c>
    </row>
    <row r="384" spans="1:3">
      <c r="A384" t="s">
        <v>190</v>
      </c>
      <c r="B384">
        <v>2023</v>
      </c>
      <c r="C384">
        <v>13</v>
      </c>
    </row>
    <row r="385" spans="1:3">
      <c r="A385" t="s">
        <v>190</v>
      </c>
      <c r="B385">
        <v>2024</v>
      </c>
      <c r="C385">
        <v>13</v>
      </c>
    </row>
    <row r="386" spans="1:3">
      <c r="A386" t="s">
        <v>190</v>
      </c>
      <c r="B386">
        <v>2025</v>
      </c>
      <c r="C386">
        <v>13</v>
      </c>
    </row>
    <row r="387" spans="1:3">
      <c r="A387" t="s">
        <v>191</v>
      </c>
      <c r="B387">
        <v>2015</v>
      </c>
      <c r="C387">
        <v>2</v>
      </c>
    </row>
    <row r="388" spans="1:3">
      <c r="A388" t="s">
        <v>191</v>
      </c>
      <c r="B388">
        <v>2016</v>
      </c>
      <c r="C388">
        <v>2</v>
      </c>
    </row>
    <row r="389" spans="1:3">
      <c r="A389" t="s">
        <v>191</v>
      </c>
      <c r="B389">
        <v>2017</v>
      </c>
      <c r="C389">
        <v>2</v>
      </c>
    </row>
    <row r="390" spans="1:3">
      <c r="A390" t="s">
        <v>191</v>
      </c>
      <c r="B390">
        <v>2018</v>
      </c>
      <c r="C390">
        <v>1</v>
      </c>
    </row>
    <row r="391" spans="1:3">
      <c r="A391" t="s">
        <v>191</v>
      </c>
      <c r="B391">
        <v>2019</v>
      </c>
      <c r="C391">
        <v>1</v>
      </c>
    </row>
    <row r="392" spans="1:3">
      <c r="A392" t="s">
        <v>191</v>
      </c>
      <c r="B392">
        <v>2020</v>
      </c>
      <c r="C392" t="s">
        <v>225</v>
      </c>
    </row>
    <row r="393" spans="1:3">
      <c r="A393" t="s">
        <v>191</v>
      </c>
      <c r="B393">
        <v>2021</v>
      </c>
      <c r="C393" t="s">
        <v>225</v>
      </c>
    </row>
    <row r="394" spans="1:3">
      <c r="A394" t="s">
        <v>191</v>
      </c>
      <c r="B394">
        <v>2022</v>
      </c>
      <c r="C394" t="s">
        <v>225</v>
      </c>
    </row>
    <row r="395" spans="1:3">
      <c r="A395" t="s">
        <v>191</v>
      </c>
      <c r="B395">
        <v>2023</v>
      </c>
      <c r="C395" t="s">
        <v>225</v>
      </c>
    </row>
    <row r="396" spans="1:3">
      <c r="A396" t="s">
        <v>191</v>
      </c>
      <c r="B396">
        <v>2024</v>
      </c>
      <c r="C396" t="s">
        <v>225</v>
      </c>
    </row>
    <row r="397" spans="1:3">
      <c r="A397" t="s">
        <v>191</v>
      </c>
      <c r="B397">
        <v>2025</v>
      </c>
      <c r="C397" t="s">
        <v>225</v>
      </c>
    </row>
    <row r="398" spans="1:3">
      <c r="A398" t="s">
        <v>192</v>
      </c>
      <c r="B398">
        <v>2015</v>
      </c>
      <c r="C398">
        <v>15</v>
      </c>
    </row>
    <row r="399" spans="1:3">
      <c r="A399" t="s">
        <v>192</v>
      </c>
      <c r="B399">
        <v>2016</v>
      </c>
      <c r="C399">
        <v>11</v>
      </c>
    </row>
    <row r="400" spans="1:3">
      <c r="A400" t="s">
        <v>192</v>
      </c>
      <c r="B400">
        <v>2017</v>
      </c>
      <c r="C400">
        <v>11</v>
      </c>
    </row>
    <row r="401" spans="1:3">
      <c r="A401" t="s">
        <v>192</v>
      </c>
      <c r="B401">
        <v>2018</v>
      </c>
      <c r="C401">
        <v>11</v>
      </c>
    </row>
    <row r="402" spans="1:3">
      <c r="A402" t="s">
        <v>192</v>
      </c>
      <c r="B402">
        <v>2019</v>
      </c>
      <c r="C402">
        <v>11</v>
      </c>
    </row>
    <row r="403" spans="1:3">
      <c r="A403" t="s">
        <v>192</v>
      </c>
      <c r="B403">
        <v>2020</v>
      </c>
      <c r="C403">
        <v>1</v>
      </c>
    </row>
    <row r="404" spans="1:3">
      <c r="A404" t="s">
        <v>192</v>
      </c>
      <c r="B404">
        <v>2021</v>
      </c>
      <c r="C404">
        <v>1</v>
      </c>
    </row>
    <row r="405" spans="1:3">
      <c r="A405" t="s">
        <v>192</v>
      </c>
      <c r="B405">
        <v>2022</v>
      </c>
      <c r="C405">
        <v>1</v>
      </c>
    </row>
    <row r="406" spans="1:3">
      <c r="A406" t="s">
        <v>192</v>
      </c>
      <c r="B406">
        <v>2023</v>
      </c>
      <c r="C406">
        <v>1</v>
      </c>
    </row>
    <row r="407" spans="1:3">
      <c r="A407" t="s">
        <v>192</v>
      </c>
      <c r="B407">
        <v>2024</v>
      </c>
      <c r="C407">
        <v>1</v>
      </c>
    </row>
    <row r="408" spans="1:3">
      <c r="A408" t="s">
        <v>192</v>
      </c>
      <c r="B408">
        <v>2025</v>
      </c>
      <c r="C408">
        <v>1</v>
      </c>
    </row>
    <row r="409" spans="1:3">
      <c r="A409" t="s">
        <v>193</v>
      </c>
      <c r="B409">
        <v>2015</v>
      </c>
      <c r="C409">
        <v>10</v>
      </c>
    </row>
    <row r="410" spans="1:3">
      <c r="A410" t="s">
        <v>193</v>
      </c>
      <c r="B410">
        <v>2016</v>
      </c>
      <c r="C410">
        <v>10</v>
      </c>
    </row>
    <row r="411" spans="1:3">
      <c r="A411" t="s">
        <v>193</v>
      </c>
      <c r="B411">
        <v>2017</v>
      </c>
      <c r="C411">
        <v>10</v>
      </c>
    </row>
    <row r="412" spans="1:3">
      <c r="A412" t="s">
        <v>193</v>
      </c>
      <c r="B412">
        <v>2018</v>
      </c>
      <c r="C412">
        <v>10</v>
      </c>
    </row>
    <row r="413" spans="1:3">
      <c r="A413" t="s">
        <v>193</v>
      </c>
      <c r="B413">
        <v>2019</v>
      </c>
      <c r="C413">
        <v>10</v>
      </c>
    </row>
    <row r="414" spans="1:3">
      <c r="A414" t="s">
        <v>193</v>
      </c>
      <c r="B414">
        <v>2020</v>
      </c>
      <c r="C414">
        <v>8</v>
      </c>
    </row>
    <row r="415" spans="1:3">
      <c r="A415" t="s">
        <v>193</v>
      </c>
      <c r="B415">
        <v>2021</v>
      </c>
      <c r="C415">
        <v>8</v>
      </c>
    </row>
    <row r="416" spans="1:3">
      <c r="A416" t="s">
        <v>193</v>
      </c>
      <c r="B416">
        <v>2022</v>
      </c>
      <c r="C416">
        <v>8</v>
      </c>
    </row>
    <row r="417" spans="1:3">
      <c r="A417" t="s">
        <v>193</v>
      </c>
      <c r="B417">
        <v>2023</v>
      </c>
      <c r="C417">
        <v>8</v>
      </c>
    </row>
    <row r="418" spans="1:3">
      <c r="A418" t="s">
        <v>193</v>
      </c>
      <c r="B418">
        <v>2024</v>
      </c>
      <c r="C418">
        <v>8</v>
      </c>
    </row>
    <row r="419" spans="1:3">
      <c r="A419" t="s">
        <v>193</v>
      </c>
      <c r="B419">
        <v>2025</v>
      </c>
      <c r="C419">
        <v>8</v>
      </c>
    </row>
    <row r="420" spans="1:3">
      <c r="A420" t="s">
        <v>194</v>
      </c>
      <c r="B420">
        <v>2015</v>
      </c>
      <c r="C420">
        <v>14</v>
      </c>
    </row>
    <row r="421" spans="1:3">
      <c r="A421" t="s">
        <v>194</v>
      </c>
      <c r="B421">
        <v>2016</v>
      </c>
      <c r="C421">
        <v>15</v>
      </c>
    </row>
    <row r="422" spans="1:3">
      <c r="A422" t="s">
        <v>194</v>
      </c>
      <c r="B422">
        <v>2017</v>
      </c>
      <c r="C422">
        <v>8</v>
      </c>
    </row>
    <row r="423" spans="1:3">
      <c r="A423" t="s">
        <v>194</v>
      </c>
      <c r="B423">
        <v>2018</v>
      </c>
      <c r="C423">
        <v>5</v>
      </c>
    </row>
    <row r="424" spans="1:3">
      <c r="A424" t="s">
        <v>194</v>
      </c>
      <c r="B424">
        <v>2019</v>
      </c>
      <c r="C424">
        <v>4</v>
      </c>
    </row>
    <row r="425" spans="1:3">
      <c r="A425" t="s">
        <v>194</v>
      </c>
      <c r="B425">
        <v>2020</v>
      </c>
      <c r="C425">
        <v>1</v>
      </c>
    </row>
    <row r="426" spans="1:3">
      <c r="A426" t="s">
        <v>194</v>
      </c>
      <c r="B426">
        <v>2021</v>
      </c>
      <c r="C426">
        <v>1</v>
      </c>
    </row>
    <row r="427" spans="1:3">
      <c r="A427" t="s">
        <v>194</v>
      </c>
      <c r="B427">
        <v>2022</v>
      </c>
      <c r="C427">
        <v>1</v>
      </c>
    </row>
    <row r="428" spans="1:3">
      <c r="A428" t="s">
        <v>194</v>
      </c>
      <c r="B428">
        <v>2023</v>
      </c>
      <c r="C428">
        <v>1</v>
      </c>
    </row>
    <row r="429" spans="1:3">
      <c r="A429" t="s">
        <v>194</v>
      </c>
      <c r="B429">
        <v>2024</v>
      </c>
      <c r="C429">
        <v>1</v>
      </c>
    </row>
    <row r="430" spans="1:3">
      <c r="A430" t="s">
        <v>194</v>
      </c>
      <c r="B430">
        <v>2025</v>
      </c>
      <c r="C430">
        <v>1</v>
      </c>
    </row>
    <row r="431" spans="1:3">
      <c r="A431" t="s">
        <v>195</v>
      </c>
      <c r="B431">
        <v>2015</v>
      </c>
      <c r="C431">
        <v>9</v>
      </c>
    </row>
    <row r="432" spans="1:3">
      <c r="A432" t="s">
        <v>195</v>
      </c>
      <c r="B432">
        <v>2016</v>
      </c>
      <c r="C432">
        <v>9</v>
      </c>
    </row>
    <row r="433" spans="1:3">
      <c r="A433" t="s">
        <v>195</v>
      </c>
      <c r="B433">
        <v>2017</v>
      </c>
      <c r="C433">
        <v>9</v>
      </c>
    </row>
    <row r="434" spans="1:3">
      <c r="A434" t="s">
        <v>195</v>
      </c>
      <c r="B434">
        <v>2018</v>
      </c>
      <c r="C434">
        <v>9</v>
      </c>
    </row>
    <row r="435" spans="1:3">
      <c r="A435" t="s">
        <v>195</v>
      </c>
      <c r="B435">
        <v>2019</v>
      </c>
      <c r="C435">
        <v>9</v>
      </c>
    </row>
    <row r="436" spans="1:3">
      <c r="A436" t="s">
        <v>195</v>
      </c>
      <c r="B436">
        <v>2020</v>
      </c>
      <c r="C436">
        <v>7</v>
      </c>
    </row>
    <row r="437" spans="1:3">
      <c r="A437" t="s">
        <v>195</v>
      </c>
      <c r="B437">
        <v>2021</v>
      </c>
      <c r="C437">
        <v>7</v>
      </c>
    </row>
    <row r="438" spans="1:3">
      <c r="A438" t="s">
        <v>195</v>
      </c>
      <c r="B438">
        <v>2022</v>
      </c>
      <c r="C438">
        <v>7</v>
      </c>
    </row>
    <row r="439" spans="1:3">
      <c r="A439" t="s">
        <v>195</v>
      </c>
      <c r="B439">
        <v>2023</v>
      </c>
      <c r="C439">
        <v>7</v>
      </c>
    </row>
    <row r="440" spans="1:3">
      <c r="A440" t="s">
        <v>195</v>
      </c>
      <c r="B440">
        <v>2024</v>
      </c>
      <c r="C440">
        <v>6</v>
      </c>
    </row>
    <row r="441" spans="1:3">
      <c r="A441" t="s">
        <v>195</v>
      </c>
      <c r="B441">
        <v>2025</v>
      </c>
      <c r="C441">
        <v>6</v>
      </c>
    </row>
    <row r="442" spans="1:3">
      <c r="A442" t="s">
        <v>196</v>
      </c>
      <c r="B442">
        <v>2015</v>
      </c>
      <c r="C442">
        <v>139</v>
      </c>
    </row>
    <row r="443" spans="1:3">
      <c r="A443" t="s">
        <v>196</v>
      </c>
      <c r="B443">
        <v>2016</v>
      </c>
      <c r="C443">
        <v>43</v>
      </c>
    </row>
    <row r="444" spans="1:3">
      <c r="A444" t="s">
        <v>196</v>
      </c>
      <c r="B444">
        <v>2017</v>
      </c>
      <c r="C444">
        <v>49</v>
      </c>
    </row>
    <row r="445" spans="1:3">
      <c r="A445" t="s">
        <v>196</v>
      </c>
      <c r="B445">
        <v>2018</v>
      </c>
      <c r="C445">
        <v>58</v>
      </c>
    </row>
    <row r="446" spans="1:3">
      <c r="A446" t="s">
        <v>196</v>
      </c>
      <c r="B446">
        <v>2019</v>
      </c>
      <c r="C446">
        <v>72</v>
      </c>
    </row>
    <row r="447" spans="1:3">
      <c r="A447" t="s">
        <v>196</v>
      </c>
      <c r="B447">
        <v>2020</v>
      </c>
      <c r="C447">
        <v>1</v>
      </c>
    </row>
    <row r="448" spans="1:3">
      <c r="A448" t="s">
        <v>196</v>
      </c>
      <c r="B448">
        <v>2021</v>
      </c>
      <c r="C448">
        <v>1</v>
      </c>
    </row>
    <row r="449" spans="1:3">
      <c r="A449" t="s">
        <v>196</v>
      </c>
      <c r="B449">
        <v>2022</v>
      </c>
      <c r="C449">
        <v>1</v>
      </c>
    </row>
    <row r="450" spans="1:3">
      <c r="A450" t="s">
        <v>196</v>
      </c>
      <c r="B450">
        <v>2023</v>
      </c>
      <c r="C450">
        <v>1</v>
      </c>
    </row>
    <row r="451" spans="1:3">
      <c r="A451" t="s">
        <v>196</v>
      </c>
      <c r="B451">
        <v>2024</v>
      </c>
      <c r="C451">
        <v>1</v>
      </c>
    </row>
    <row r="452" spans="1:3">
      <c r="A452" t="s">
        <v>196</v>
      </c>
      <c r="B452">
        <v>2025</v>
      </c>
      <c r="C452">
        <v>1</v>
      </c>
    </row>
    <row r="453" spans="1:3">
      <c r="A453" t="s">
        <v>197</v>
      </c>
      <c r="B453">
        <v>2015</v>
      </c>
      <c r="C453" t="s">
        <v>225</v>
      </c>
    </row>
    <row r="454" spans="1:3">
      <c r="A454" t="s">
        <v>197</v>
      </c>
      <c r="B454">
        <v>2016</v>
      </c>
      <c r="C454" t="s">
        <v>225</v>
      </c>
    </row>
    <row r="455" spans="1:3">
      <c r="A455" t="s">
        <v>197</v>
      </c>
      <c r="B455">
        <v>2017</v>
      </c>
      <c r="C455">
        <v>1</v>
      </c>
    </row>
    <row r="456" spans="1:3">
      <c r="A456" t="s">
        <v>197</v>
      </c>
      <c r="B456">
        <v>2018</v>
      </c>
      <c r="C456">
        <v>1</v>
      </c>
    </row>
    <row r="457" spans="1:3">
      <c r="A457" t="s">
        <v>197</v>
      </c>
      <c r="B457">
        <v>2019</v>
      </c>
      <c r="C457">
        <v>1</v>
      </c>
    </row>
    <row r="458" spans="1:3">
      <c r="A458" t="s">
        <v>197</v>
      </c>
      <c r="B458">
        <v>2020</v>
      </c>
      <c r="C458" t="s">
        <v>225</v>
      </c>
    </row>
    <row r="459" spans="1:3">
      <c r="A459" t="s">
        <v>197</v>
      </c>
      <c r="B459">
        <v>2021</v>
      </c>
      <c r="C459" t="s">
        <v>225</v>
      </c>
    </row>
    <row r="460" spans="1:3">
      <c r="A460" t="s">
        <v>197</v>
      </c>
      <c r="B460">
        <v>2022</v>
      </c>
      <c r="C460" t="s">
        <v>225</v>
      </c>
    </row>
    <row r="461" spans="1:3">
      <c r="A461" t="s">
        <v>197</v>
      </c>
      <c r="B461">
        <v>2023</v>
      </c>
      <c r="C461" t="s">
        <v>225</v>
      </c>
    </row>
    <row r="462" spans="1:3">
      <c r="A462" t="s">
        <v>197</v>
      </c>
      <c r="B462">
        <v>2024</v>
      </c>
      <c r="C462" t="s">
        <v>225</v>
      </c>
    </row>
    <row r="463" spans="1:3">
      <c r="A463" t="s">
        <v>197</v>
      </c>
      <c r="B463">
        <v>2025</v>
      </c>
      <c r="C463" t="s">
        <v>225</v>
      </c>
    </row>
    <row r="464" spans="1:3">
      <c r="A464" t="s">
        <v>198</v>
      </c>
      <c r="B464">
        <v>2015</v>
      </c>
      <c r="C464">
        <v>48</v>
      </c>
    </row>
    <row r="465" spans="1:3">
      <c r="A465" t="s">
        <v>198</v>
      </c>
      <c r="B465">
        <v>2016</v>
      </c>
      <c r="C465">
        <v>48</v>
      </c>
    </row>
    <row r="466" spans="1:3">
      <c r="A466" t="s">
        <v>198</v>
      </c>
      <c r="B466">
        <v>2017</v>
      </c>
      <c r="C466">
        <v>47</v>
      </c>
    </row>
    <row r="467" spans="1:3">
      <c r="A467" t="s">
        <v>198</v>
      </c>
      <c r="B467">
        <v>2018</v>
      </c>
      <c r="C467">
        <v>49</v>
      </c>
    </row>
    <row r="468" spans="1:3">
      <c r="A468" t="s">
        <v>198</v>
      </c>
      <c r="B468">
        <v>2019</v>
      </c>
      <c r="C468">
        <v>47</v>
      </c>
    </row>
    <row r="469" spans="1:3">
      <c r="A469" t="s">
        <v>198</v>
      </c>
      <c r="B469">
        <v>2020</v>
      </c>
      <c r="C469" t="s">
        <v>225</v>
      </c>
    </row>
    <row r="470" spans="1:3">
      <c r="A470" t="s">
        <v>198</v>
      </c>
      <c r="B470">
        <v>2021</v>
      </c>
      <c r="C470" t="s">
        <v>225</v>
      </c>
    </row>
    <row r="471" spans="1:3">
      <c r="A471" t="s">
        <v>198</v>
      </c>
      <c r="B471">
        <v>2022</v>
      </c>
      <c r="C471" t="s">
        <v>225</v>
      </c>
    </row>
    <row r="472" spans="1:3">
      <c r="A472" t="s">
        <v>198</v>
      </c>
      <c r="B472">
        <v>2023</v>
      </c>
      <c r="C472" t="s">
        <v>225</v>
      </c>
    </row>
    <row r="473" spans="1:3">
      <c r="A473" t="s">
        <v>198</v>
      </c>
      <c r="B473">
        <v>2024</v>
      </c>
      <c r="C473" t="s">
        <v>225</v>
      </c>
    </row>
    <row r="474" spans="1:3">
      <c r="A474" t="s">
        <v>198</v>
      </c>
      <c r="B474">
        <v>2025</v>
      </c>
      <c r="C474" t="s">
        <v>225</v>
      </c>
    </row>
    <row r="475" spans="1:3">
      <c r="A475" t="s">
        <v>199</v>
      </c>
      <c r="B475">
        <v>2015</v>
      </c>
      <c r="C475">
        <v>3</v>
      </c>
    </row>
    <row r="476" spans="1:3">
      <c r="A476" t="s">
        <v>199</v>
      </c>
      <c r="B476">
        <v>2016</v>
      </c>
      <c r="C476">
        <v>2</v>
      </c>
    </row>
    <row r="477" spans="1:3">
      <c r="A477" t="s">
        <v>199</v>
      </c>
      <c r="B477">
        <v>2017</v>
      </c>
      <c r="C477">
        <v>7</v>
      </c>
    </row>
    <row r="478" spans="1:3">
      <c r="A478" t="s">
        <v>199</v>
      </c>
      <c r="B478">
        <v>2018</v>
      </c>
      <c r="C478">
        <v>9</v>
      </c>
    </row>
    <row r="479" spans="1:3">
      <c r="A479" t="s">
        <v>199</v>
      </c>
      <c r="B479">
        <v>2019</v>
      </c>
      <c r="C479">
        <v>9</v>
      </c>
    </row>
    <row r="480" spans="1:3">
      <c r="A480" t="s">
        <v>199</v>
      </c>
      <c r="B480">
        <v>2020</v>
      </c>
      <c r="C480">
        <v>1</v>
      </c>
    </row>
    <row r="481" spans="1:3">
      <c r="A481" t="s">
        <v>199</v>
      </c>
      <c r="B481">
        <v>2021</v>
      </c>
      <c r="C481">
        <v>1</v>
      </c>
    </row>
    <row r="482" spans="1:3">
      <c r="A482" t="s">
        <v>199</v>
      </c>
      <c r="B482">
        <v>2022</v>
      </c>
      <c r="C482">
        <v>1</v>
      </c>
    </row>
    <row r="483" spans="1:3">
      <c r="A483" t="s">
        <v>199</v>
      </c>
      <c r="B483">
        <v>2023</v>
      </c>
      <c r="C483">
        <v>1</v>
      </c>
    </row>
    <row r="484" spans="1:3">
      <c r="A484" t="s">
        <v>199</v>
      </c>
      <c r="B484">
        <v>2024</v>
      </c>
      <c r="C484">
        <v>1</v>
      </c>
    </row>
    <row r="485" spans="1:3">
      <c r="A485" t="s">
        <v>199</v>
      </c>
      <c r="B485">
        <v>2025</v>
      </c>
      <c r="C485">
        <v>1</v>
      </c>
    </row>
    <row r="486" spans="1:3">
      <c r="A486" t="s">
        <v>200</v>
      </c>
      <c r="B486">
        <v>2015</v>
      </c>
      <c r="C486" t="s">
        <v>225</v>
      </c>
    </row>
    <row r="487" spans="1:3">
      <c r="A487" t="s">
        <v>200</v>
      </c>
      <c r="B487">
        <v>2016</v>
      </c>
      <c r="C487" t="s">
        <v>225</v>
      </c>
    </row>
    <row r="488" spans="1:3">
      <c r="A488" t="s">
        <v>200</v>
      </c>
      <c r="B488">
        <v>2017</v>
      </c>
      <c r="C488" t="s">
        <v>225</v>
      </c>
    </row>
    <row r="489" spans="1:3">
      <c r="A489" t="s">
        <v>200</v>
      </c>
      <c r="B489">
        <v>2018</v>
      </c>
      <c r="C489">
        <v>1</v>
      </c>
    </row>
    <row r="490" spans="1:3">
      <c r="A490" t="s">
        <v>200</v>
      </c>
      <c r="B490">
        <v>2019</v>
      </c>
      <c r="C490">
        <v>1</v>
      </c>
    </row>
    <row r="491" spans="1:3">
      <c r="A491" t="s">
        <v>200</v>
      </c>
      <c r="B491">
        <v>2020</v>
      </c>
      <c r="C491">
        <v>1</v>
      </c>
    </row>
    <row r="492" spans="1:3">
      <c r="A492" t="s">
        <v>200</v>
      </c>
      <c r="B492">
        <v>2021</v>
      </c>
      <c r="C492">
        <v>1</v>
      </c>
    </row>
    <row r="493" spans="1:3">
      <c r="A493" t="s">
        <v>200</v>
      </c>
      <c r="B493">
        <v>2022</v>
      </c>
      <c r="C493">
        <v>1</v>
      </c>
    </row>
    <row r="494" spans="1:3">
      <c r="A494" t="s">
        <v>200</v>
      </c>
      <c r="B494">
        <v>2023</v>
      </c>
      <c r="C494">
        <v>1</v>
      </c>
    </row>
    <row r="495" spans="1:3">
      <c r="A495" t="s">
        <v>200</v>
      </c>
      <c r="B495">
        <v>2024</v>
      </c>
      <c r="C495">
        <v>1</v>
      </c>
    </row>
    <row r="496" spans="1:3">
      <c r="A496" t="s">
        <v>200</v>
      </c>
      <c r="B496">
        <v>2025</v>
      </c>
      <c r="C496">
        <v>1</v>
      </c>
    </row>
    <row r="497" spans="1:3">
      <c r="A497" t="s">
        <v>201</v>
      </c>
      <c r="B497">
        <v>2015</v>
      </c>
      <c r="C497">
        <v>2</v>
      </c>
    </row>
    <row r="498" spans="1:3">
      <c r="A498" t="s">
        <v>201</v>
      </c>
      <c r="B498">
        <v>2016</v>
      </c>
      <c r="C498">
        <v>2</v>
      </c>
    </row>
    <row r="499" spans="1:3">
      <c r="A499" t="s">
        <v>201</v>
      </c>
      <c r="B499">
        <v>2017</v>
      </c>
      <c r="C499">
        <v>4</v>
      </c>
    </row>
    <row r="500" spans="1:3">
      <c r="A500" t="s">
        <v>201</v>
      </c>
      <c r="B500">
        <v>2018</v>
      </c>
      <c r="C500">
        <v>8</v>
      </c>
    </row>
    <row r="501" spans="1:3">
      <c r="A501" t="s">
        <v>201</v>
      </c>
      <c r="B501">
        <v>2019</v>
      </c>
      <c r="C501">
        <v>6</v>
      </c>
    </row>
    <row r="502" spans="1:3">
      <c r="A502" t="s">
        <v>201</v>
      </c>
      <c r="B502">
        <v>2020</v>
      </c>
      <c r="C502">
        <v>2</v>
      </c>
    </row>
    <row r="503" spans="1:3">
      <c r="A503" t="s">
        <v>201</v>
      </c>
      <c r="B503">
        <v>2021</v>
      </c>
      <c r="C503">
        <v>2</v>
      </c>
    </row>
    <row r="504" spans="1:3">
      <c r="A504" t="s">
        <v>201</v>
      </c>
      <c r="B504">
        <v>2022</v>
      </c>
      <c r="C504">
        <v>2</v>
      </c>
    </row>
    <row r="505" spans="1:3">
      <c r="A505" t="s">
        <v>201</v>
      </c>
      <c r="B505">
        <v>2023</v>
      </c>
      <c r="C505">
        <v>2</v>
      </c>
    </row>
    <row r="506" spans="1:3">
      <c r="A506" t="s">
        <v>201</v>
      </c>
      <c r="B506">
        <v>2024</v>
      </c>
      <c r="C506">
        <v>2</v>
      </c>
    </row>
    <row r="507" spans="1:3">
      <c r="A507" t="s">
        <v>201</v>
      </c>
      <c r="B507">
        <v>2025</v>
      </c>
      <c r="C507">
        <v>2</v>
      </c>
    </row>
    <row r="508" spans="1:3">
      <c r="A508" t="s">
        <v>202</v>
      </c>
      <c r="B508">
        <v>2015</v>
      </c>
      <c r="C508">
        <v>11</v>
      </c>
    </row>
    <row r="509" spans="1:3">
      <c r="A509" t="s">
        <v>202</v>
      </c>
      <c r="B509">
        <v>2016</v>
      </c>
      <c r="C509">
        <v>11</v>
      </c>
    </row>
    <row r="510" spans="1:3">
      <c r="A510" t="s">
        <v>202</v>
      </c>
      <c r="B510">
        <v>2017</v>
      </c>
      <c r="C510">
        <v>10</v>
      </c>
    </row>
    <row r="511" spans="1:3">
      <c r="A511" t="s">
        <v>202</v>
      </c>
      <c r="B511">
        <v>2018</v>
      </c>
      <c r="C511">
        <v>7</v>
      </c>
    </row>
    <row r="512" spans="1:3">
      <c r="A512" t="s">
        <v>202</v>
      </c>
      <c r="B512">
        <v>2019</v>
      </c>
      <c r="C512">
        <v>6</v>
      </c>
    </row>
    <row r="513" spans="1:3">
      <c r="A513" t="s">
        <v>202</v>
      </c>
      <c r="B513">
        <v>2020</v>
      </c>
      <c r="C513">
        <v>2</v>
      </c>
    </row>
    <row r="514" spans="1:3">
      <c r="A514" t="s">
        <v>202</v>
      </c>
      <c r="B514">
        <v>2021</v>
      </c>
      <c r="C514">
        <v>2</v>
      </c>
    </row>
    <row r="515" spans="1:3">
      <c r="A515" t="s">
        <v>202</v>
      </c>
      <c r="B515">
        <v>2022</v>
      </c>
      <c r="C515">
        <v>2</v>
      </c>
    </row>
    <row r="516" spans="1:3">
      <c r="A516" t="s">
        <v>202</v>
      </c>
      <c r="B516">
        <v>2023</v>
      </c>
      <c r="C516">
        <v>2</v>
      </c>
    </row>
    <row r="517" spans="1:3">
      <c r="A517" t="s">
        <v>202</v>
      </c>
      <c r="B517">
        <v>2024</v>
      </c>
      <c r="C517">
        <v>2</v>
      </c>
    </row>
    <row r="518" spans="1:3">
      <c r="A518" t="s">
        <v>202</v>
      </c>
      <c r="B518">
        <v>2025</v>
      </c>
      <c r="C518">
        <v>2</v>
      </c>
    </row>
    <row r="519" spans="1:3">
      <c r="A519" t="s">
        <v>203</v>
      </c>
      <c r="B519">
        <v>2015</v>
      </c>
      <c r="C519">
        <v>14</v>
      </c>
    </row>
    <row r="520" spans="1:3">
      <c r="A520" t="s">
        <v>203</v>
      </c>
      <c r="B520">
        <v>2016</v>
      </c>
      <c r="C520">
        <v>14</v>
      </c>
    </row>
    <row r="521" spans="1:3">
      <c r="A521" t="s">
        <v>203</v>
      </c>
      <c r="B521">
        <v>2017</v>
      </c>
      <c r="C521">
        <v>10</v>
      </c>
    </row>
    <row r="522" spans="1:3">
      <c r="A522" t="s">
        <v>203</v>
      </c>
      <c r="B522">
        <v>2018</v>
      </c>
      <c r="C522">
        <v>6</v>
      </c>
    </row>
    <row r="523" spans="1:3">
      <c r="A523" t="s">
        <v>203</v>
      </c>
      <c r="B523">
        <v>2019</v>
      </c>
      <c r="C523">
        <v>6</v>
      </c>
    </row>
    <row r="524" spans="1:3">
      <c r="A524" t="s">
        <v>203</v>
      </c>
      <c r="B524">
        <v>2020</v>
      </c>
      <c r="C524" t="s">
        <v>225</v>
      </c>
    </row>
    <row r="525" spans="1:3">
      <c r="A525" t="s">
        <v>203</v>
      </c>
      <c r="B525">
        <v>2021</v>
      </c>
      <c r="C525" t="s">
        <v>225</v>
      </c>
    </row>
    <row r="526" spans="1:3">
      <c r="A526" t="s">
        <v>203</v>
      </c>
      <c r="B526">
        <v>2022</v>
      </c>
      <c r="C526" t="s">
        <v>225</v>
      </c>
    </row>
    <row r="527" spans="1:3">
      <c r="A527" t="s">
        <v>203</v>
      </c>
      <c r="B527">
        <v>2023</v>
      </c>
      <c r="C527" t="s">
        <v>225</v>
      </c>
    </row>
    <row r="528" spans="1:3">
      <c r="A528" t="s">
        <v>203</v>
      </c>
      <c r="B528">
        <v>2024</v>
      </c>
      <c r="C528" t="s">
        <v>225</v>
      </c>
    </row>
    <row r="529" spans="1:3">
      <c r="A529" t="s">
        <v>203</v>
      </c>
      <c r="B529">
        <v>2025</v>
      </c>
      <c r="C529" t="s">
        <v>225</v>
      </c>
    </row>
    <row r="530" spans="1:3">
      <c r="A530" t="s">
        <v>204</v>
      </c>
      <c r="B530">
        <v>2015</v>
      </c>
      <c r="C530">
        <v>11</v>
      </c>
    </row>
    <row r="531" spans="1:3">
      <c r="A531" t="s">
        <v>204</v>
      </c>
      <c r="B531">
        <v>2016</v>
      </c>
      <c r="C531">
        <v>7</v>
      </c>
    </row>
    <row r="532" spans="1:3">
      <c r="A532" t="s">
        <v>204</v>
      </c>
      <c r="B532">
        <v>2017</v>
      </c>
      <c r="C532">
        <v>18</v>
      </c>
    </row>
    <row r="533" spans="1:3">
      <c r="A533" t="s">
        <v>204</v>
      </c>
      <c r="B533">
        <v>2018</v>
      </c>
      <c r="C533">
        <v>15</v>
      </c>
    </row>
    <row r="534" spans="1:3">
      <c r="A534" t="s">
        <v>204</v>
      </c>
      <c r="B534">
        <v>2019</v>
      </c>
      <c r="C534">
        <v>14</v>
      </c>
    </row>
    <row r="535" spans="1:3">
      <c r="A535" t="s">
        <v>204</v>
      </c>
      <c r="B535">
        <v>2020</v>
      </c>
      <c r="C535">
        <v>2</v>
      </c>
    </row>
    <row r="536" spans="1:3">
      <c r="A536" t="s">
        <v>204</v>
      </c>
      <c r="B536">
        <v>2021</v>
      </c>
      <c r="C536">
        <v>2</v>
      </c>
    </row>
    <row r="537" spans="1:3">
      <c r="A537" t="s">
        <v>204</v>
      </c>
      <c r="B537">
        <v>2022</v>
      </c>
      <c r="C537" t="s">
        <v>225</v>
      </c>
    </row>
    <row r="538" spans="1:3">
      <c r="A538" t="s">
        <v>204</v>
      </c>
      <c r="B538">
        <v>2023</v>
      </c>
      <c r="C538" t="s">
        <v>225</v>
      </c>
    </row>
    <row r="539" spans="1:3">
      <c r="A539" t="s">
        <v>204</v>
      </c>
      <c r="B539">
        <v>2024</v>
      </c>
      <c r="C539" t="s">
        <v>225</v>
      </c>
    </row>
    <row r="540" spans="1:3">
      <c r="A540" t="s">
        <v>204</v>
      </c>
      <c r="B540">
        <v>2025</v>
      </c>
      <c r="C540" t="s">
        <v>225</v>
      </c>
    </row>
    <row r="541" spans="1:3">
      <c r="A541" t="s">
        <v>206</v>
      </c>
      <c r="B541">
        <v>2015</v>
      </c>
      <c r="C541">
        <v>19</v>
      </c>
    </row>
    <row r="542" spans="1:3">
      <c r="A542" t="s">
        <v>206</v>
      </c>
      <c r="B542">
        <v>2016</v>
      </c>
      <c r="C542">
        <v>19</v>
      </c>
    </row>
    <row r="543" spans="1:3">
      <c r="A543" t="s">
        <v>206</v>
      </c>
      <c r="B543">
        <v>2017</v>
      </c>
      <c r="C543">
        <v>19</v>
      </c>
    </row>
    <row r="544" spans="1:3">
      <c r="A544" t="s">
        <v>206</v>
      </c>
      <c r="B544">
        <v>2018</v>
      </c>
      <c r="C544">
        <v>16</v>
      </c>
    </row>
    <row r="545" spans="1:3">
      <c r="A545" t="s">
        <v>206</v>
      </c>
      <c r="B545">
        <v>2019</v>
      </c>
      <c r="C545">
        <v>16</v>
      </c>
    </row>
    <row r="546" spans="1:3">
      <c r="A546" t="s">
        <v>206</v>
      </c>
      <c r="B546">
        <v>2020</v>
      </c>
      <c r="C546">
        <v>1</v>
      </c>
    </row>
    <row r="547" spans="1:3">
      <c r="A547" t="s">
        <v>206</v>
      </c>
      <c r="B547">
        <v>2021</v>
      </c>
      <c r="C547">
        <v>1</v>
      </c>
    </row>
    <row r="548" spans="1:3">
      <c r="A548" t="s">
        <v>206</v>
      </c>
      <c r="B548">
        <v>2022</v>
      </c>
      <c r="C548">
        <v>1</v>
      </c>
    </row>
    <row r="549" spans="1:3">
      <c r="A549" t="s">
        <v>206</v>
      </c>
      <c r="B549">
        <v>2023</v>
      </c>
      <c r="C549">
        <v>1</v>
      </c>
    </row>
    <row r="550" spans="1:3">
      <c r="A550" t="s">
        <v>206</v>
      </c>
      <c r="B550">
        <v>2024</v>
      </c>
      <c r="C550">
        <v>1</v>
      </c>
    </row>
    <row r="551" spans="1:3">
      <c r="A551" t="s">
        <v>206</v>
      </c>
      <c r="B551">
        <v>2025</v>
      </c>
      <c r="C551">
        <v>1</v>
      </c>
    </row>
    <row r="552" spans="1:3">
      <c r="A552" t="s">
        <v>207</v>
      </c>
      <c r="B552">
        <v>2015</v>
      </c>
      <c r="C552">
        <v>3</v>
      </c>
    </row>
    <row r="553" spans="1:3">
      <c r="A553" t="s">
        <v>207</v>
      </c>
      <c r="B553">
        <v>2016</v>
      </c>
      <c r="C553">
        <v>4</v>
      </c>
    </row>
    <row r="554" spans="1:3">
      <c r="A554" t="s">
        <v>207</v>
      </c>
      <c r="B554">
        <v>2017</v>
      </c>
      <c r="C554" t="s">
        <v>225</v>
      </c>
    </row>
    <row r="555" spans="1:3">
      <c r="A555" t="s">
        <v>207</v>
      </c>
      <c r="B555">
        <v>2018</v>
      </c>
      <c r="C555">
        <v>3</v>
      </c>
    </row>
    <row r="556" spans="1:3">
      <c r="A556" t="s">
        <v>207</v>
      </c>
      <c r="B556">
        <v>2019</v>
      </c>
      <c r="C556" t="s">
        <v>225</v>
      </c>
    </row>
    <row r="557" spans="1:3">
      <c r="A557" t="s">
        <v>207</v>
      </c>
      <c r="B557">
        <v>2020</v>
      </c>
      <c r="C557" t="s">
        <v>225</v>
      </c>
    </row>
    <row r="558" spans="1:3">
      <c r="A558" t="s">
        <v>207</v>
      </c>
      <c r="B558">
        <v>2021</v>
      </c>
      <c r="C558" t="s">
        <v>225</v>
      </c>
    </row>
    <row r="559" spans="1:3">
      <c r="A559" t="s">
        <v>207</v>
      </c>
      <c r="B559">
        <v>2022</v>
      </c>
      <c r="C559" t="s">
        <v>225</v>
      </c>
    </row>
    <row r="560" spans="1:3">
      <c r="A560" t="s">
        <v>207</v>
      </c>
      <c r="B560">
        <v>2023</v>
      </c>
      <c r="C560" t="s">
        <v>225</v>
      </c>
    </row>
    <row r="561" spans="1:3">
      <c r="A561" t="s">
        <v>207</v>
      </c>
      <c r="B561">
        <v>2024</v>
      </c>
      <c r="C561" t="s">
        <v>225</v>
      </c>
    </row>
    <row r="562" spans="1:3">
      <c r="A562" t="s">
        <v>207</v>
      </c>
      <c r="B562">
        <v>2025</v>
      </c>
      <c r="C562" t="s">
        <v>225</v>
      </c>
    </row>
    <row r="563" spans="1:3">
      <c r="A563" t="s">
        <v>208</v>
      </c>
      <c r="B563">
        <v>2015</v>
      </c>
      <c r="C563">
        <v>2</v>
      </c>
    </row>
    <row r="564" spans="1:3">
      <c r="A564" t="s">
        <v>208</v>
      </c>
      <c r="B564">
        <v>2016</v>
      </c>
      <c r="C564">
        <v>2</v>
      </c>
    </row>
    <row r="565" spans="1:3">
      <c r="A565" t="s">
        <v>208</v>
      </c>
      <c r="B565">
        <v>2017</v>
      </c>
      <c r="C565">
        <v>2</v>
      </c>
    </row>
    <row r="566" spans="1:3">
      <c r="A566" t="s">
        <v>208</v>
      </c>
      <c r="B566">
        <v>2018</v>
      </c>
      <c r="C566">
        <v>1</v>
      </c>
    </row>
    <row r="567" spans="1:3">
      <c r="A567" t="s">
        <v>208</v>
      </c>
      <c r="B567">
        <v>2019</v>
      </c>
      <c r="C567">
        <v>1</v>
      </c>
    </row>
    <row r="568" spans="1:3">
      <c r="A568" t="s">
        <v>208</v>
      </c>
      <c r="B568">
        <v>2020</v>
      </c>
      <c r="C568">
        <v>1</v>
      </c>
    </row>
    <row r="569" spans="1:3">
      <c r="A569" t="s">
        <v>208</v>
      </c>
      <c r="B569">
        <v>2021</v>
      </c>
      <c r="C569">
        <v>1</v>
      </c>
    </row>
    <row r="570" spans="1:3">
      <c r="A570" t="s">
        <v>208</v>
      </c>
      <c r="B570">
        <v>2022</v>
      </c>
      <c r="C570">
        <v>1</v>
      </c>
    </row>
    <row r="571" spans="1:3">
      <c r="A571" t="s">
        <v>208</v>
      </c>
      <c r="B571">
        <v>2023</v>
      </c>
      <c r="C571" t="s">
        <v>225</v>
      </c>
    </row>
    <row r="572" spans="1:3">
      <c r="A572" t="s">
        <v>208</v>
      </c>
      <c r="B572">
        <v>2024</v>
      </c>
      <c r="C572" t="s">
        <v>225</v>
      </c>
    </row>
    <row r="573" spans="1:3">
      <c r="A573" t="s">
        <v>208</v>
      </c>
      <c r="B573">
        <v>2025</v>
      </c>
      <c r="C573" t="s">
        <v>225</v>
      </c>
    </row>
    <row r="574" spans="1:3">
      <c r="A574" t="s">
        <v>210</v>
      </c>
      <c r="B574">
        <v>2015</v>
      </c>
      <c r="C574">
        <v>17</v>
      </c>
    </row>
    <row r="575" spans="1:3">
      <c r="A575" t="s">
        <v>210</v>
      </c>
      <c r="B575">
        <v>2016</v>
      </c>
      <c r="C575">
        <v>13</v>
      </c>
    </row>
    <row r="576" spans="1:3">
      <c r="A576" t="s">
        <v>210</v>
      </c>
      <c r="B576">
        <v>2017</v>
      </c>
      <c r="C576">
        <v>10</v>
      </c>
    </row>
    <row r="577" spans="1:12">
      <c r="A577" t="s">
        <v>210</v>
      </c>
      <c r="B577">
        <v>2018</v>
      </c>
      <c r="C577">
        <v>9</v>
      </c>
    </row>
    <row r="578" spans="1:12">
      <c r="A578" t="s">
        <v>210</v>
      </c>
      <c r="B578">
        <v>2019</v>
      </c>
      <c r="C578">
        <v>14</v>
      </c>
    </row>
    <row r="579" spans="1:12">
      <c r="A579" t="s">
        <v>210</v>
      </c>
      <c r="B579">
        <v>2020</v>
      </c>
      <c r="C579" t="s">
        <v>225</v>
      </c>
    </row>
    <row r="580" spans="1:12">
      <c r="A580" t="s">
        <v>210</v>
      </c>
      <c r="B580">
        <v>2021</v>
      </c>
      <c r="C580" t="s">
        <v>225</v>
      </c>
    </row>
    <row r="581" spans="1:12">
      <c r="A581" t="s">
        <v>210</v>
      </c>
      <c r="B581">
        <v>2022</v>
      </c>
      <c r="C581" t="s">
        <v>225</v>
      </c>
    </row>
    <row r="582" spans="1:12">
      <c r="A582" t="s">
        <v>210</v>
      </c>
      <c r="B582">
        <v>2023</v>
      </c>
      <c r="C582" t="s">
        <v>225</v>
      </c>
    </row>
    <row r="583" spans="1:12">
      <c r="A583" t="s">
        <v>210</v>
      </c>
      <c r="B583">
        <v>2024</v>
      </c>
      <c r="C583" t="s">
        <v>225</v>
      </c>
    </row>
    <row r="584" spans="1:12">
      <c r="A584" t="s">
        <v>210</v>
      </c>
      <c r="B584">
        <v>2025</v>
      </c>
      <c r="C584" t="s">
        <v>225</v>
      </c>
    </row>
    <row r="586" spans="1:12">
      <c r="A586" t="s">
        <v>234</v>
      </c>
    </row>
    <row r="587" spans="1:12">
      <c r="A587" t="s">
        <v>227</v>
      </c>
    </row>
    <row r="588" spans="1:12">
      <c r="A588" t="s">
        <v>239</v>
      </c>
    </row>
    <row r="589" spans="1:12">
      <c r="A589" t="s">
        <v>241</v>
      </c>
    </row>
    <row r="590" spans="1:12">
      <c r="A590" t="s">
        <v>133</v>
      </c>
    </row>
    <row r="591" spans="1:12">
      <c r="A591" t="s">
        <v>134</v>
      </c>
      <c r="B591" t="s">
        <v>135</v>
      </c>
      <c r="C591" t="s">
        <v>136</v>
      </c>
      <c r="D591" t="s">
        <v>137</v>
      </c>
      <c r="E591" t="s">
        <v>138</v>
      </c>
      <c r="F591" t="s">
        <v>139</v>
      </c>
      <c r="G591" t="s">
        <v>140</v>
      </c>
      <c r="H591" t="s">
        <v>141</v>
      </c>
      <c r="I591" t="s">
        <v>142</v>
      </c>
      <c r="J591" t="s">
        <v>143</v>
      </c>
      <c r="K591" t="s">
        <v>144</v>
      </c>
      <c r="L591" t="s">
        <v>145</v>
      </c>
    </row>
    <row r="592" spans="1:12">
      <c r="A592" t="s">
        <v>146</v>
      </c>
      <c r="B592" t="s">
        <v>225</v>
      </c>
      <c r="C592" t="s">
        <v>225</v>
      </c>
      <c r="D592">
        <v>1</v>
      </c>
      <c r="E592" t="s">
        <v>225</v>
      </c>
      <c r="F592" t="s">
        <v>225</v>
      </c>
      <c r="G592" t="s">
        <v>225</v>
      </c>
      <c r="H592" t="s">
        <v>225</v>
      </c>
      <c r="I592" t="s">
        <v>225</v>
      </c>
      <c r="J592" t="s">
        <v>225</v>
      </c>
      <c r="K592" t="s">
        <v>225</v>
      </c>
      <c r="L592" t="s">
        <v>225</v>
      </c>
    </row>
    <row r="593" spans="1:12">
      <c r="A593" t="s">
        <v>149</v>
      </c>
      <c r="B593">
        <v>14</v>
      </c>
      <c r="C593">
        <v>15</v>
      </c>
      <c r="D593">
        <v>14</v>
      </c>
      <c r="E593">
        <v>18</v>
      </c>
      <c r="F593">
        <v>13</v>
      </c>
      <c r="G593" t="s">
        <v>225</v>
      </c>
      <c r="H593" t="s">
        <v>225</v>
      </c>
      <c r="I593" t="s">
        <v>225</v>
      </c>
      <c r="J593" t="s">
        <v>225</v>
      </c>
      <c r="K593" t="s">
        <v>225</v>
      </c>
      <c r="L593" t="s">
        <v>225</v>
      </c>
    </row>
    <row r="594" spans="1:12">
      <c r="A594" t="s">
        <v>150</v>
      </c>
      <c r="B594">
        <v>2</v>
      </c>
      <c r="C594" t="s">
        <v>225</v>
      </c>
      <c r="D594" t="s">
        <v>225</v>
      </c>
      <c r="E594">
        <v>11</v>
      </c>
      <c r="F594">
        <v>11</v>
      </c>
      <c r="G594" t="s">
        <v>225</v>
      </c>
      <c r="H594" t="s">
        <v>225</v>
      </c>
      <c r="I594" t="s">
        <v>225</v>
      </c>
      <c r="J594" t="s">
        <v>225</v>
      </c>
      <c r="K594" t="s">
        <v>225</v>
      </c>
      <c r="L594" t="s">
        <v>225</v>
      </c>
    </row>
    <row r="595" spans="1:12">
      <c r="A595" t="s">
        <v>151</v>
      </c>
      <c r="B595" t="s">
        <v>225</v>
      </c>
      <c r="C595" t="s">
        <v>225</v>
      </c>
      <c r="D595" t="s">
        <v>225</v>
      </c>
      <c r="E595" t="s">
        <v>225</v>
      </c>
      <c r="F595">
        <v>2</v>
      </c>
      <c r="G595" t="s">
        <v>225</v>
      </c>
      <c r="H595" t="s">
        <v>225</v>
      </c>
      <c r="I595" t="s">
        <v>225</v>
      </c>
      <c r="J595" t="s">
        <v>225</v>
      </c>
      <c r="K595" t="s">
        <v>225</v>
      </c>
      <c r="L595" t="s">
        <v>225</v>
      </c>
    </row>
    <row r="596" spans="1:12">
      <c r="A596" t="s">
        <v>152</v>
      </c>
      <c r="B596">
        <v>16</v>
      </c>
      <c r="C596">
        <v>17</v>
      </c>
      <c r="D596">
        <v>16</v>
      </c>
      <c r="E596">
        <v>16</v>
      </c>
      <c r="F596">
        <v>15</v>
      </c>
      <c r="G596" t="s">
        <v>225</v>
      </c>
      <c r="H596" t="s">
        <v>225</v>
      </c>
      <c r="I596" t="s">
        <v>225</v>
      </c>
      <c r="J596" t="s">
        <v>225</v>
      </c>
      <c r="K596" t="s">
        <v>225</v>
      </c>
      <c r="L596" t="s">
        <v>225</v>
      </c>
    </row>
    <row r="597" spans="1:12">
      <c r="A597" t="s">
        <v>153</v>
      </c>
      <c r="B597">
        <v>1</v>
      </c>
      <c r="C597">
        <v>1</v>
      </c>
      <c r="D597">
        <v>5</v>
      </c>
      <c r="E597">
        <v>1</v>
      </c>
      <c r="F597" t="s">
        <v>225</v>
      </c>
      <c r="G597" t="s">
        <v>225</v>
      </c>
      <c r="H597" t="s">
        <v>225</v>
      </c>
      <c r="I597" t="s">
        <v>225</v>
      </c>
      <c r="J597" t="s">
        <v>225</v>
      </c>
      <c r="K597" t="s">
        <v>225</v>
      </c>
      <c r="L597" t="s">
        <v>225</v>
      </c>
    </row>
    <row r="598" spans="1:12">
      <c r="A598" t="s">
        <v>154</v>
      </c>
      <c r="B598">
        <v>26</v>
      </c>
      <c r="C598">
        <v>40</v>
      </c>
      <c r="D598">
        <v>56</v>
      </c>
      <c r="E598">
        <v>84</v>
      </c>
      <c r="F598">
        <v>56</v>
      </c>
      <c r="G598">
        <v>1</v>
      </c>
      <c r="H598">
        <v>1</v>
      </c>
      <c r="I598">
        <v>1</v>
      </c>
      <c r="J598">
        <v>1</v>
      </c>
      <c r="K598">
        <v>1</v>
      </c>
      <c r="L598">
        <v>1</v>
      </c>
    </row>
    <row r="599" spans="1:12">
      <c r="A599" t="s">
        <v>156</v>
      </c>
      <c r="B599">
        <v>4</v>
      </c>
      <c r="C599">
        <v>4</v>
      </c>
      <c r="D599">
        <v>4</v>
      </c>
      <c r="E599">
        <v>4</v>
      </c>
      <c r="F599">
        <v>5</v>
      </c>
      <c r="G599" t="s">
        <v>225</v>
      </c>
      <c r="H599" t="s">
        <v>225</v>
      </c>
      <c r="I599" t="s">
        <v>225</v>
      </c>
      <c r="J599" t="s">
        <v>225</v>
      </c>
      <c r="K599" t="s">
        <v>225</v>
      </c>
      <c r="L599" t="s">
        <v>225</v>
      </c>
    </row>
    <row r="600" spans="1:12">
      <c r="A600" t="s">
        <v>158</v>
      </c>
      <c r="B600">
        <v>11</v>
      </c>
      <c r="C600">
        <v>11</v>
      </c>
      <c r="D600">
        <v>11</v>
      </c>
      <c r="E600">
        <v>11</v>
      </c>
      <c r="F600">
        <v>11</v>
      </c>
      <c r="G600">
        <v>6</v>
      </c>
      <c r="H600">
        <v>6</v>
      </c>
      <c r="I600">
        <v>6</v>
      </c>
      <c r="J600">
        <v>6</v>
      </c>
      <c r="K600">
        <v>6</v>
      </c>
      <c r="L600">
        <v>6</v>
      </c>
    </row>
    <row r="601" spans="1:12">
      <c r="A601" t="s">
        <v>159</v>
      </c>
      <c r="B601">
        <v>19</v>
      </c>
      <c r="C601">
        <v>18</v>
      </c>
      <c r="D601">
        <v>18</v>
      </c>
      <c r="E601">
        <v>18</v>
      </c>
      <c r="F601">
        <v>18</v>
      </c>
      <c r="G601">
        <v>15</v>
      </c>
      <c r="H601">
        <v>15</v>
      </c>
      <c r="I601">
        <v>15</v>
      </c>
      <c r="J601">
        <v>15</v>
      </c>
      <c r="K601">
        <v>15</v>
      </c>
      <c r="L601">
        <v>15</v>
      </c>
    </row>
    <row r="602" spans="1:12">
      <c r="A602" t="s">
        <v>160</v>
      </c>
      <c r="B602">
        <v>6</v>
      </c>
      <c r="C602">
        <v>2</v>
      </c>
      <c r="D602" t="s">
        <v>225</v>
      </c>
      <c r="E602" t="s">
        <v>225</v>
      </c>
      <c r="F602" t="s">
        <v>225</v>
      </c>
      <c r="G602" t="s">
        <v>225</v>
      </c>
      <c r="H602" t="s">
        <v>225</v>
      </c>
      <c r="I602" t="s">
        <v>225</v>
      </c>
      <c r="J602" t="s">
        <v>225</v>
      </c>
      <c r="K602" t="s">
        <v>225</v>
      </c>
      <c r="L602" t="s">
        <v>225</v>
      </c>
    </row>
    <row r="603" spans="1:12">
      <c r="A603" t="s">
        <v>161</v>
      </c>
      <c r="B603">
        <v>78</v>
      </c>
      <c r="C603">
        <v>67</v>
      </c>
      <c r="D603">
        <v>67</v>
      </c>
      <c r="E603">
        <v>68</v>
      </c>
      <c r="F603">
        <v>71</v>
      </c>
      <c r="G603">
        <v>7</v>
      </c>
      <c r="H603">
        <v>7</v>
      </c>
      <c r="I603">
        <v>7</v>
      </c>
      <c r="J603" t="s">
        <v>225</v>
      </c>
      <c r="K603" t="s">
        <v>225</v>
      </c>
      <c r="L603" t="s">
        <v>225</v>
      </c>
    </row>
    <row r="604" spans="1:12">
      <c r="A604" t="s">
        <v>163</v>
      </c>
      <c r="B604" t="s">
        <v>225</v>
      </c>
      <c r="C604" t="s">
        <v>225</v>
      </c>
      <c r="D604">
        <v>7</v>
      </c>
      <c r="E604">
        <v>10</v>
      </c>
      <c r="F604">
        <v>7</v>
      </c>
      <c r="G604" t="s">
        <v>225</v>
      </c>
      <c r="H604" t="s">
        <v>225</v>
      </c>
      <c r="I604" t="s">
        <v>225</v>
      </c>
      <c r="J604" t="s">
        <v>225</v>
      </c>
      <c r="K604" t="s">
        <v>225</v>
      </c>
      <c r="L604" t="s">
        <v>225</v>
      </c>
    </row>
    <row r="605" spans="1:12">
      <c r="A605" t="s">
        <v>164</v>
      </c>
      <c r="B605">
        <v>29</v>
      </c>
      <c r="C605">
        <v>29</v>
      </c>
      <c r="D605">
        <v>29</v>
      </c>
      <c r="E605">
        <v>25</v>
      </c>
      <c r="F605">
        <v>23</v>
      </c>
      <c r="G605" t="s">
        <v>225</v>
      </c>
      <c r="H605" t="s">
        <v>225</v>
      </c>
      <c r="I605" t="s">
        <v>225</v>
      </c>
      <c r="J605" t="s">
        <v>225</v>
      </c>
      <c r="K605" t="s">
        <v>225</v>
      </c>
      <c r="L605" t="s">
        <v>225</v>
      </c>
    </row>
    <row r="606" spans="1:12">
      <c r="A606" t="s">
        <v>165</v>
      </c>
      <c r="B606">
        <v>41</v>
      </c>
      <c r="C606">
        <v>41</v>
      </c>
      <c r="D606">
        <v>42</v>
      </c>
      <c r="E606">
        <v>45</v>
      </c>
      <c r="F606">
        <v>53</v>
      </c>
      <c r="G606">
        <v>34</v>
      </c>
      <c r="H606">
        <v>34</v>
      </c>
      <c r="I606">
        <v>33</v>
      </c>
      <c r="J606">
        <v>33</v>
      </c>
      <c r="K606">
        <v>32</v>
      </c>
      <c r="L606">
        <v>32</v>
      </c>
    </row>
    <row r="607" spans="1:12">
      <c r="A607" t="s">
        <v>166</v>
      </c>
      <c r="B607">
        <v>4</v>
      </c>
      <c r="C607">
        <v>4</v>
      </c>
      <c r="D607">
        <v>4</v>
      </c>
      <c r="E607">
        <v>4</v>
      </c>
      <c r="F607">
        <v>4</v>
      </c>
      <c r="G607">
        <v>1</v>
      </c>
      <c r="H607">
        <v>1</v>
      </c>
      <c r="I607">
        <v>1</v>
      </c>
      <c r="J607">
        <v>1</v>
      </c>
      <c r="K607">
        <v>1</v>
      </c>
      <c r="L607">
        <v>1</v>
      </c>
    </row>
    <row r="608" spans="1:12">
      <c r="A608" t="s">
        <v>167</v>
      </c>
      <c r="B608">
        <v>10</v>
      </c>
      <c r="C608">
        <v>9</v>
      </c>
      <c r="D608">
        <v>3</v>
      </c>
      <c r="E608" t="s">
        <v>225</v>
      </c>
      <c r="F608" t="s">
        <v>225</v>
      </c>
      <c r="G608" t="s">
        <v>225</v>
      </c>
      <c r="H608" t="s">
        <v>225</v>
      </c>
      <c r="I608" t="s">
        <v>225</v>
      </c>
      <c r="J608" t="s">
        <v>225</v>
      </c>
      <c r="K608" t="s">
        <v>225</v>
      </c>
      <c r="L608" t="s">
        <v>225</v>
      </c>
    </row>
    <row r="609" spans="1:12">
      <c r="A609" t="s">
        <v>169</v>
      </c>
      <c r="B609">
        <v>1</v>
      </c>
      <c r="C609" t="s">
        <v>225</v>
      </c>
      <c r="D609" t="s">
        <v>225</v>
      </c>
      <c r="E609" t="s">
        <v>225</v>
      </c>
      <c r="F609" t="s">
        <v>225</v>
      </c>
      <c r="G609" t="s">
        <v>225</v>
      </c>
      <c r="H609" t="s">
        <v>225</v>
      </c>
      <c r="I609" t="s">
        <v>225</v>
      </c>
      <c r="J609" t="s">
        <v>225</v>
      </c>
      <c r="K609" t="s">
        <v>225</v>
      </c>
      <c r="L609" t="s">
        <v>225</v>
      </c>
    </row>
    <row r="610" spans="1:12">
      <c r="A610" t="s">
        <v>170</v>
      </c>
      <c r="B610">
        <v>2</v>
      </c>
      <c r="C610" t="s">
        <v>225</v>
      </c>
      <c r="D610" t="s">
        <v>225</v>
      </c>
      <c r="E610" t="s">
        <v>225</v>
      </c>
      <c r="F610" t="s">
        <v>225</v>
      </c>
      <c r="G610" t="s">
        <v>225</v>
      </c>
      <c r="H610" t="s">
        <v>225</v>
      </c>
      <c r="I610" t="s">
        <v>225</v>
      </c>
      <c r="J610" t="s">
        <v>225</v>
      </c>
      <c r="K610" t="s">
        <v>225</v>
      </c>
      <c r="L610" t="s">
        <v>225</v>
      </c>
    </row>
    <row r="611" spans="1:12">
      <c r="A611" t="s">
        <v>171</v>
      </c>
      <c r="B611">
        <v>4</v>
      </c>
      <c r="C611">
        <v>4</v>
      </c>
      <c r="D611">
        <v>4</v>
      </c>
      <c r="E611">
        <v>1</v>
      </c>
      <c r="F611">
        <v>1</v>
      </c>
      <c r="G611" t="s">
        <v>225</v>
      </c>
      <c r="H611" t="s">
        <v>225</v>
      </c>
      <c r="I611" t="s">
        <v>225</v>
      </c>
      <c r="J611" t="s">
        <v>225</v>
      </c>
      <c r="K611" t="s">
        <v>225</v>
      </c>
      <c r="L611" t="s">
        <v>225</v>
      </c>
    </row>
    <row r="612" spans="1:12">
      <c r="A612" t="s">
        <v>172</v>
      </c>
      <c r="B612">
        <v>7</v>
      </c>
      <c r="C612">
        <v>5</v>
      </c>
      <c r="D612">
        <v>5</v>
      </c>
      <c r="E612">
        <v>5</v>
      </c>
      <c r="F612" t="s">
        <v>225</v>
      </c>
      <c r="G612" t="s">
        <v>225</v>
      </c>
      <c r="H612" t="s">
        <v>225</v>
      </c>
      <c r="I612" t="s">
        <v>225</v>
      </c>
      <c r="J612" t="s">
        <v>225</v>
      </c>
      <c r="K612" t="s">
        <v>225</v>
      </c>
      <c r="L612" t="s">
        <v>225</v>
      </c>
    </row>
    <row r="613" spans="1:12">
      <c r="A613" t="s">
        <v>173</v>
      </c>
      <c r="B613">
        <v>3</v>
      </c>
      <c r="C613">
        <v>3</v>
      </c>
      <c r="D613" t="s">
        <v>225</v>
      </c>
      <c r="E613" t="s">
        <v>225</v>
      </c>
      <c r="F613" t="s">
        <v>225</v>
      </c>
      <c r="G613" t="s">
        <v>225</v>
      </c>
      <c r="H613" t="s">
        <v>225</v>
      </c>
      <c r="I613" t="s">
        <v>225</v>
      </c>
      <c r="J613" t="s">
        <v>225</v>
      </c>
      <c r="K613" t="s">
        <v>225</v>
      </c>
      <c r="L613" t="s">
        <v>225</v>
      </c>
    </row>
    <row r="614" spans="1:12">
      <c r="A614" t="s">
        <v>174</v>
      </c>
      <c r="B614">
        <v>5</v>
      </c>
      <c r="C614">
        <v>5</v>
      </c>
      <c r="D614">
        <v>5</v>
      </c>
      <c r="E614">
        <v>5</v>
      </c>
      <c r="F614">
        <v>5</v>
      </c>
      <c r="G614" t="s">
        <v>225</v>
      </c>
      <c r="H614" t="s">
        <v>225</v>
      </c>
      <c r="I614" t="s">
        <v>225</v>
      </c>
      <c r="J614" t="s">
        <v>225</v>
      </c>
      <c r="K614" t="s">
        <v>225</v>
      </c>
      <c r="L614" t="s">
        <v>225</v>
      </c>
    </row>
    <row r="615" spans="1:12">
      <c r="A615" t="s">
        <v>175</v>
      </c>
      <c r="B615">
        <v>14</v>
      </c>
      <c r="C615">
        <v>14</v>
      </c>
      <c r="D615">
        <v>10</v>
      </c>
      <c r="E615">
        <v>11</v>
      </c>
      <c r="F615">
        <v>10</v>
      </c>
      <c r="G615">
        <v>11</v>
      </c>
      <c r="H615">
        <v>10</v>
      </c>
      <c r="I615">
        <v>10</v>
      </c>
      <c r="J615">
        <v>10</v>
      </c>
      <c r="K615">
        <v>10</v>
      </c>
      <c r="L615">
        <v>10</v>
      </c>
    </row>
    <row r="616" spans="1:12">
      <c r="A616" t="s">
        <v>176</v>
      </c>
      <c r="B616" t="s">
        <v>225</v>
      </c>
      <c r="C616">
        <v>2</v>
      </c>
      <c r="D616">
        <v>5</v>
      </c>
      <c r="E616">
        <v>5</v>
      </c>
      <c r="F616">
        <v>2</v>
      </c>
      <c r="G616" t="s">
        <v>225</v>
      </c>
      <c r="H616" t="s">
        <v>225</v>
      </c>
      <c r="I616" t="s">
        <v>225</v>
      </c>
      <c r="J616" t="s">
        <v>225</v>
      </c>
      <c r="K616" t="s">
        <v>225</v>
      </c>
      <c r="L616" t="s">
        <v>225</v>
      </c>
    </row>
    <row r="617" spans="1:12">
      <c r="A617" t="s">
        <v>178</v>
      </c>
      <c r="B617">
        <v>17</v>
      </c>
      <c r="C617">
        <v>15</v>
      </c>
      <c r="D617">
        <v>15</v>
      </c>
      <c r="E617">
        <v>1</v>
      </c>
      <c r="F617">
        <v>1</v>
      </c>
      <c r="G617">
        <v>1</v>
      </c>
      <c r="H617">
        <v>1</v>
      </c>
      <c r="I617">
        <v>1</v>
      </c>
      <c r="J617">
        <v>1</v>
      </c>
      <c r="K617">
        <v>1</v>
      </c>
      <c r="L617">
        <v>1</v>
      </c>
    </row>
    <row r="618" spans="1:12">
      <c r="A618" t="s">
        <v>179</v>
      </c>
      <c r="B618">
        <v>12</v>
      </c>
      <c r="C618">
        <v>54</v>
      </c>
      <c r="D618">
        <v>10</v>
      </c>
      <c r="E618">
        <v>72</v>
      </c>
      <c r="F618">
        <v>134</v>
      </c>
      <c r="G618">
        <v>18</v>
      </c>
      <c r="H618">
        <v>17</v>
      </c>
      <c r="I618">
        <v>17</v>
      </c>
      <c r="J618">
        <v>17</v>
      </c>
      <c r="K618">
        <v>17</v>
      </c>
      <c r="L618">
        <v>17</v>
      </c>
    </row>
    <row r="619" spans="1:12">
      <c r="A619" t="s">
        <v>182</v>
      </c>
      <c r="B619">
        <v>3</v>
      </c>
      <c r="C619">
        <v>9</v>
      </c>
      <c r="D619">
        <v>14</v>
      </c>
      <c r="E619">
        <v>18</v>
      </c>
      <c r="F619">
        <v>38</v>
      </c>
      <c r="G619">
        <v>21</v>
      </c>
      <c r="H619">
        <v>19</v>
      </c>
      <c r="I619">
        <v>19</v>
      </c>
      <c r="J619">
        <v>19</v>
      </c>
      <c r="K619">
        <v>18</v>
      </c>
      <c r="L619">
        <v>18</v>
      </c>
    </row>
    <row r="620" spans="1:12">
      <c r="A620" t="s">
        <v>183</v>
      </c>
      <c r="B620">
        <v>9</v>
      </c>
      <c r="C620">
        <v>6</v>
      </c>
      <c r="D620" t="s">
        <v>225</v>
      </c>
      <c r="E620">
        <v>1</v>
      </c>
      <c r="F620" t="s">
        <v>225</v>
      </c>
      <c r="G620" t="s">
        <v>225</v>
      </c>
      <c r="H620" t="s">
        <v>225</v>
      </c>
      <c r="I620" t="s">
        <v>225</v>
      </c>
      <c r="J620" t="s">
        <v>225</v>
      </c>
      <c r="K620" t="s">
        <v>225</v>
      </c>
      <c r="L620" t="s">
        <v>225</v>
      </c>
    </row>
    <row r="621" spans="1:12">
      <c r="A621" t="s">
        <v>184</v>
      </c>
      <c r="B621">
        <v>26</v>
      </c>
      <c r="C621">
        <v>33</v>
      </c>
      <c r="D621">
        <v>33</v>
      </c>
      <c r="E621">
        <v>21</v>
      </c>
      <c r="F621">
        <v>34</v>
      </c>
      <c r="G621">
        <v>1</v>
      </c>
      <c r="H621">
        <v>1</v>
      </c>
      <c r="I621">
        <v>1</v>
      </c>
      <c r="J621">
        <v>1</v>
      </c>
      <c r="K621">
        <v>1</v>
      </c>
      <c r="L621">
        <v>1</v>
      </c>
    </row>
    <row r="622" spans="1:12">
      <c r="A622" t="s">
        <v>185</v>
      </c>
      <c r="B622">
        <v>10</v>
      </c>
      <c r="C622">
        <v>10</v>
      </c>
      <c r="D622">
        <v>12</v>
      </c>
      <c r="E622">
        <v>12</v>
      </c>
      <c r="F622">
        <v>12</v>
      </c>
      <c r="G622" t="s">
        <v>225</v>
      </c>
      <c r="H622" t="s">
        <v>225</v>
      </c>
      <c r="I622" t="s">
        <v>225</v>
      </c>
      <c r="J622" t="s">
        <v>225</v>
      </c>
      <c r="K622" t="s">
        <v>225</v>
      </c>
      <c r="L622" t="s">
        <v>225</v>
      </c>
    </row>
    <row r="623" spans="1:12">
      <c r="A623" t="s">
        <v>186</v>
      </c>
      <c r="B623">
        <v>2</v>
      </c>
      <c r="C623">
        <v>2</v>
      </c>
      <c r="D623">
        <v>2</v>
      </c>
      <c r="E623">
        <v>2</v>
      </c>
      <c r="F623">
        <v>2</v>
      </c>
      <c r="G623" t="s">
        <v>225</v>
      </c>
      <c r="H623" t="s">
        <v>225</v>
      </c>
      <c r="I623" t="s">
        <v>225</v>
      </c>
      <c r="J623" t="s">
        <v>225</v>
      </c>
      <c r="K623" t="s">
        <v>225</v>
      </c>
      <c r="L623" t="s">
        <v>225</v>
      </c>
    </row>
    <row r="624" spans="1:12">
      <c r="A624" t="s">
        <v>187</v>
      </c>
      <c r="B624">
        <v>2</v>
      </c>
      <c r="C624">
        <v>2</v>
      </c>
      <c r="D624">
        <v>2</v>
      </c>
      <c r="E624">
        <v>2</v>
      </c>
      <c r="F624">
        <v>2</v>
      </c>
      <c r="G624" t="s">
        <v>225</v>
      </c>
      <c r="H624" t="s">
        <v>225</v>
      </c>
      <c r="I624" t="s">
        <v>225</v>
      </c>
      <c r="J624" t="s">
        <v>225</v>
      </c>
      <c r="K624" t="s">
        <v>225</v>
      </c>
      <c r="L624" t="s">
        <v>225</v>
      </c>
    </row>
    <row r="625" spans="1:12">
      <c r="A625" t="s">
        <v>188</v>
      </c>
      <c r="B625">
        <v>1</v>
      </c>
      <c r="C625">
        <v>8</v>
      </c>
      <c r="D625">
        <v>19</v>
      </c>
      <c r="E625">
        <v>44</v>
      </c>
      <c r="F625">
        <v>35</v>
      </c>
      <c r="G625">
        <v>25</v>
      </c>
      <c r="H625">
        <v>25</v>
      </c>
      <c r="I625" t="s">
        <v>225</v>
      </c>
      <c r="J625" t="s">
        <v>225</v>
      </c>
      <c r="K625" t="s">
        <v>225</v>
      </c>
      <c r="L625" t="s">
        <v>225</v>
      </c>
    </row>
    <row r="626" spans="1:12">
      <c r="A626" t="s">
        <v>190</v>
      </c>
      <c r="B626">
        <v>13</v>
      </c>
      <c r="C626">
        <v>14</v>
      </c>
      <c r="D626">
        <v>13</v>
      </c>
      <c r="E626">
        <v>13</v>
      </c>
      <c r="F626">
        <v>13</v>
      </c>
      <c r="G626">
        <v>13</v>
      </c>
      <c r="H626">
        <v>13</v>
      </c>
      <c r="I626">
        <v>13</v>
      </c>
      <c r="J626">
        <v>13</v>
      </c>
      <c r="K626">
        <v>13</v>
      </c>
      <c r="L626">
        <v>13</v>
      </c>
    </row>
    <row r="627" spans="1:12">
      <c r="A627" t="s">
        <v>191</v>
      </c>
      <c r="B627">
        <v>2</v>
      </c>
      <c r="C627">
        <v>2</v>
      </c>
      <c r="D627">
        <v>2</v>
      </c>
      <c r="E627">
        <v>1</v>
      </c>
      <c r="F627">
        <v>1</v>
      </c>
      <c r="G627" t="s">
        <v>225</v>
      </c>
      <c r="H627" t="s">
        <v>225</v>
      </c>
      <c r="I627" t="s">
        <v>225</v>
      </c>
      <c r="J627" t="s">
        <v>225</v>
      </c>
      <c r="K627" t="s">
        <v>225</v>
      </c>
      <c r="L627" t="s">
        <v>225</v>
      </c>
    </row>
    <row r="628" spans="1:12">
      <c r="A628" t="s">
        <v>192</v>
      </c>
      <c r="B628">
        <v>15</v>
      </c>
      <c r="C628">
        <v>11</v>
      </c>
      <c r="D628">
        <v>11</v>
      </c>
      <c r="E628">
        <v>11</v>
      </c>
      <c r="F628">
        <v>11</v>
      </c>
      <c r="G628">
        <v>1</v>
      </c>
      <c r="H628">
        <v>1</v>
      </c>
      <c r="I628">
        <v>1</v>
      </c>
      <c r="J628">
        <v>1</v>
      </c>
      <c r="K628">
        <v>1</v>
      </c>
      <c r="L628">
        <v>1</v>
      </c>
    </row>
    <row r="629" spans="1:12">
      <c r="A629" t="s">
        <v>193</v>
      </c>
      <c r="B629">
        <v>10</v>
      </c>
      <c r="C629">
        <v>10</v>
      </c>
      <c r="D629">
        <v>10</v>
      </c>
      <c r="E629">
        <v>10</v>
      </c>
      <c r="F629">
        <v>10</v>
      </c>
      <c r="G629">
        <v>8</v>
      </c>
      <c r="H629">
        <v>8</v>
      </c>
      <c r="I629">
        <v>8</v>
      </c>
      <c r="J629">
        <v>8</v>
      </c>
      <c r="K629">
        <v>8</v>
      </c>
      <c r="L629">
        <v>8</v>
      </c>
    </row>
    <row r="630" spans="1:12">
      <c r="A630" t="s">
        <v>194</v>
      </c>
      <c r="B630">
        <v>14</v>
      </c>
      <c r="C630">
        <v>15</v>
      </c>
      <c r="D630">
        <v>8</v>
      </c>
      <c r="E630">
        <v>5</v>
      </c>
      <c r="F630">
        <v>4</v>
      </c>
      <c r="G630">
        <v>1</v>
      </c>
      <c r="H630">
        <v>1</v>
      </c>
      <c r="I630">
        <v>1</v>
      </c>
      <c r="J630">
        <v>1</v>
      </c>
      <c r="K630">
        <v>1</v>
      </c>
      <c r="L630">
        <v>1</v>
      </c>
    </row>
    <row r="631" spans="1:12">
      <c r="A631" t="s">
        <v>195</v>
      </c>
      <c r="B631">
        <v>9</v>
      </c>
      <c r="C631">
        <v>9</v>
      </c>
      <c r="D631">
        <v>9</v>
      </c>
      <c r="E631">
        <v>9</v>
      </c>
      <c r="F631">
        <v>9</v>
      </c>
      <c r="G631">
        <v>7</v>
      </c>
      <c r="H631">
        <v>7</v>
      </c>
      <c r="I631">
        <v>7</v>
      </c>
      <c r="J631">
        <v>7</v>
      </c>
      <c r="K631">
        <v>6</v>
      </c>
      <c r="L631">
        <v>6</v>
      </c>
    </row>
    <row r="632" spans="1:12">
      <c r="A632" t="s">
        <v>196</v>
      </c>
      <c r="B632">
        <v>139</v>
      </c>
      <c r="C632">
        <v>43</v>
      </c>
      <c r="D632">
        <v>49</v>
      </c>
      <c r="E632">
        <v>58</v>
      </c>
      <c r="F632">
        <v>72</v>
      </c>
      <c r="G632">
        <v>1</v>
      </c>
      <c r="H632">
        <v>1</v>
      </c>
      <c r="I632">
        <v>1</v>
      </c>
      <c r="J632">
        <v>1</v>
      </c>
      <c r="K632">
        <v>1</v>
      </c>
      <c r="L632">
        <v>1</v>
      </c>
    </row>
    <row r="633" spans="1:12">
      <c r="A633" t="s">
        <v>197</v>
      </c>
      <c r="B633" t="s">
        <v>225</v>
      </c>
      <c r="C633" t="s">
        <v>225</v>
      </c>
      <c r="D633">
        <v>1</v>
      </c>
      <c r="E633">
        <v>1</v>
      </c>
      <c r="F633">
        <v>1</v>
      </c>
      <c r="G633" t="s">
        <v>225</v>
      </c>
      <c r="H633" t="s">
        <v>225</v>
      </c>
      <c r="I633" t="s">
        <v>225</v>
      </c>
      <c r="J633" t="s">
        <v>225</v>
      </c>
      <c r="K633" t="s">
        <v>225</v>
      </c>
      <c r="L633" t="s">
        <v>225</v>
      </c>
    </row>
    <row r="634" spans="1:12">
      <c r="A634" t="s">
        <v>198</v>
      </c>
      <c r="B634">
        <v>48</v>
      </c>
      <c r="C634">
        <v>48</v>
      </c>
      <c r="D634">
        <v>47</v>
      </c>
      <c r="E634">
        <v>49</v>
      </c>
      <c r="F634">
        <v>47</v>
      </c>
      <c r="G634" t="s">
        <v>225</v>
      </c>
      <c r="H634" t="s">
        <v>225</v>
      </c>
      <c r="I634" t="s">
        <v>225</v>
      </c>
      <c r="J634" t="s">
        <v>225</v>
      </c>
      <c r="K634" t="s">
        <v>225</v>
      </c>
      <c r="L634" t="s">
        <v>225</v>
      </c>
    </row>
    <row r="635" spans="1:12">
      <c r="A635" t="s">
        <v>199</v>
      </c>
      <c r="B635">
        <v>3</v>
      </c>
      <c r="C635">
        <v>2</v>
      </c>
      <c r="D635">
        <v>7</v>
      </c>
      <c r="E635">
        <v>9</v>
      </c>
      <c r="F635">
        <v>9</v>
      </c>
      <c r="G635">
        <v>1</v>
      </c>
      <c r="H635">
        <v>1</v>
      </c>
      <c r="I635">
        <v>1</v>
      </c>
      <c r="J635">
        <v>1</v>
      </c>
      <c r="K635">
        <v>1</v>
      </c>
      <c r="L635">
        <v>1</v>
      </c>
    </row>
    <row r="636" spans="1:12">
      <c r="A636" t="s">
        <v>200</v>
      </c>
      <c r="B636" t="s">
        <v>225</v>
      </c>
      <c r="C636" t="s">
        <v>225</v>
      </c>
      <c r="D636" t="s">
        <v>225</v>
      </c>
      <c r="E636">
        <v>1</v>
      </c>
      <c r="F636">
        <v>1</v>
      </c>
      <c r="G636">
        <v>1</v>
      </c>
      <c r="H636">
        <v>1</v>
      </c>
      <c r="I636">
        <v>1</v>
      </c>
      <c r="J636">
        <v>1</v>
      </c>
      <c r="K636">
        <v>1</v>
      </c>
      <c r="L636">
        <v>1</v>
      </c>
    </row>
    <row r="637" spans="1:12">
      <c r="A637" t="s">
        <v>201</v>
      </c>
      <c r="B637">
        <v>2</v>
      </c>
      <c r="C637">
        <v>2</v>
      </c>
      <c r="D637">
        <v>4</v>
      </c>
      <c r="E637">
        <v>8</v>
      </c>
      <c r="F637">
        <v>6</v>
      </c>
      <c r="G637">
        <v>2</v>
      </c>
      <c r="H637">
        <v>2</v>
      </c>
      <c r="I637">
        <v>2</v>
      </c>
      <c r="J637">
        <v>2</v>
      </c>
      <c r="K637">
        <v>2</v>
      </c>
      <c r="L637">
        <v>2</v>
      </c>
    </row>
    <row r="638" spans="1:12">
      <c r="A638" t="s">
        <v>202</v>
      </c>
      <c r="B638">
        <v>11</v>
      </c>
      <c r="C638">
        <v>11</v>
      </c>
      <c r="D638">
        <v>10</v>
      </c>
      <c r="E638">
        <v>7</v>
      </c>
      <c r="F638">
        <v>6</v>
      </c>
      <c r="G638">
        <v>2</v>
      </c>
      <c r="H638">
        <v>2</v>
      </c>
      <c r="I638">
        <v>2</v>
      </c>
      <c r="J638">
        <v>2</v>
      </c>
      <c r="K638">
        <v>2</v>
      </c>
      <c r="L638">
        <v>2</v>
      </c>
    </row>
    <row r="639" spans="1:12">
      <c r="A639" t="s">
        <v>203</v>
      </c>
      <c r="B639">
        <v>14</v>
      </c>
      <c r="C639">
        <v>14</v>
      </c>
      <c r="D639">
        <v>10</v>
      </c>
      <c r="E639">
        <v>6</v>
      </c>
      <c r="F639">
        <v>6</v>
      </c>
      <c r="G639" t="s">
        <v>225</v>
      </c>
      <c r="H639" t="s">
        <v>225</v>
      </c>
      <c r="I639" t="s">
        <v>225</v>
      </c>
      <c r="J639" t="s">
        <v>225</v>
      </c>
      <c r="K639" t="s">
        <v>225</v>
      </c>
      <c r="L639" t="s">
        <v>225</v>
      </c>
    </row>
    <row r="640" spans="1:12">
      <c r="A640" t="s">
        <v>204</v>
      </c>
      <c r="B640">
        <v>11</v>
      </c>
      <c r="C640">
        <v>7</v>
      </c>
      <c r="D640">
        <v>18</v>
      </c>
      <c r="E640">
        <v>15</v>
      </c>
      <c r="F640">
        <v>14</v>
      </c>
      <c r="G640">
        <v>2</v>
      </c>
      <c r="H640">
        <v>2</v>
      </c>
      <c r="I640" t="s">
        <v>225</v>
      </c>
      <c r="J640" t="s">
        <v>225</v>
      </c>
      <c r="K640" t="s">
        <v>225</v>
      </c>
      <c r="L640" t="s">
        <v>225</v>
      </c>
    </row>
    <row r="641" spans="1:12">
      <c r="A641" t="s">
        <v>206</v>
      </c>
      <c r="B641">
        <v>19</v>
      </c>
      <c r="C641">
        <v>19</v>
      </c>
      <c r="D641">
        <v>19</v>
      </c>
      <c r="E641">
        <v>16</v>
      </c>
      <c r="F641">
        <v>16</v>
      </c>
      <c r="G641">
        <v>1</v>
      </c>
      <c r="H641">
        <v>1</v>
      </c>
      <c r="I641">
        <v>1</v>
      </c>
      <c r="J641">
        <v>1</v>
      </c>
      <c r="K641">
        <v>1</v>
      </c>
      <c r="L641">
        <v>1</v>
      </c>
    </row>
    <row r="642" spans="1:12">
      <c r="A642" t="s">
        <v>207</v>
      </c>
      <c r="B642">
        <v>3</v>
      </c>
      <c r="C642">
        <v>4</v>
      </c>
      <c r="D642" t="s">
        <v>225</v>
      </c>
      <c r="E642">
        <v>3</v>
      </c>
      <c r="F642" t="s">
        <v>225</v>
      </c>
      <c r="G642" t="s">
        <v>225</v>
      </c>
      <c r="H642" t="s">
        <v>225</v>
      </c>
      <c r="I642" t="s">
        <v>225</v>
      </c>
      <c r="J642" t="s">
        <v>225</v>
      </c>
      <c r="K642" t="s">
        <v>225</v>
      </c>
      <c r="L642" t="s">
        <v>225</v>
      </c>
    </row>
    <row r="643" spans="1:12">
      <c r="A643" t="s">
        <v>208</v>
      </c>
      <c r="B643">
        <v>2</v>
      </c>
      <c r="C643">
        <v>2</v>
      </c>
      <c r="D643">
        <v>2</v>
      </c>
      <c r="E643">
        <v>1</v>
      </c>
      <c r="F643">
        <v>1</v>
      </c>
      <c r="G643">
        <v>1</v>
      </c>
      <c r="H643">
        <v>1</v>
      </c>
      <c r="I643">
        <v>1</v>
      </c>
      <c r="J643" t="s">
        <v>225</v>
      </c>
      <c r="K643" t="s">
        <v>225</v>
      </c>
      <c r="L643" t="s">
        <v>225</v>
      </c>
    </row>
    <row r="644" spans="1:12">
      <c r="A644" t="s">
        <v>210</v>
      </c>
      <c r="B644">
        <v>17</v>
      </c>
      <c r="C644">
        <v>13</v>
      </c>
      <c r="D644">
        <v>10</v>
      </c>
      <c r="E644">
        <v>9</v>
      </c>
      <c r="F644">
        <v>14</v>
      </c>
      <c r="G644" t="s">
        <v>225</v>
      </c>
      <c r="H644" t="s">
        <v>225</v>
      </c>
      <c r="I644" t="s">
        <v>225</v>
      </c>
      <c r="J644" t="s">
        <v>225</v>
      </c>
      <c r="K644" t="s">
        <v>225</v>
      </c>
      <c r="L644" t="s">
        <v>225</v>
      </c>
    </row>
    <row r="645" spans="1:12">
      <c r="A645" t="s">
        <v>211</v>
      </c>
      <c r="B645">
        <v>711</v>
      </c>
      <c r="C645">
        <v>656</v>
      </c>
      <c r="D645">
        <v>643</v>
      </c>
      <c r="E645">
        <v>747</v>
      </c>
      <c r="F645">
        <v>806</v>
      </c>
      <c r="G645">
        <v>182</v>
      </c>
      <c r="H645">
        <v>178</v>
      </c>
      <c r="I645">
        <v>150</v>
      </c>
      <c r="J645">
        <v>142</v>
      </c>
      <c r="K645">
        <v>139</v>
      </c>
      <c r="L645">
        <v>139</v>
      </c>
    </row>
    <row r="646" spans="1:12">
      <c r="A646" t="s">
        <v>215</v>
      </c>
    </row>
    <row r="647" spans="1:12">
      <c r="A647" t="s">
        <v>216</v>
      </c>
    </row>
    <row r="648" spans="1:12">
      <c r="A648" t="s">
        <v>217</v>
      </c>
    </row>
    <row r="649" spans="1:12">
      <c r="A649" t="s">
        <v>218</v>
      </c>
    </row>
    <row r="650" spans="1:12">
      <c r="A650" t="s">
        <v>219</v>
      </c>
    </row>
    <row r="651" spans="1:12">
      <c r="A651" t="s">
        <v>220</v>
      </c>
    </row>
    <row r="652" spans="1:12">
      <c r="A652" t="s">
        <v>221</v>
      </c>
    </row>
    <row r="653" spans="1:12">
      <c r="A653" t="s">
        <v>222</v>
      </c>
    </row>
    <row r="654" spans="1:12">
      <c r="A654" t="s">
        <v>219</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E705C-28A8-A647-A685-FA0DBED51359}">
  <dimension ref="A1:L806"/>
  <sheetViews>
    <sheetView topLeftCell="A682" workbookViewId="0">
      <selection activeCell="A729" sqref="A729:XFD806"/>
    </sheetView>
  </sheetViews>
  <sheetFormatPr baseColWidth="10" defaultColWidth="11.5" defaultRowHeight="15"/>
  <cols>
    <col min="1" max="1" width="30" bestFit="1" customWidth="1"/>
    <col min="2" max="2" width="5.1640625" bestFit="1" customWidth="1"/>
    <col min="3" max="3" width="7.1640625" bestFit="1" customWidth="1"/>
  </cols>
  <sheetData>
    <row r="1" spans="1:3">
      <c r="A1" t="s">
        <v>223</v>
      </c>
      <c r="B1" t="s">
        <v>0</v>
      </c>
      <c r="C1" t="s">
        <v>224</v>
      </c>
    </row>
    <row r="2" spans="1:3">
      <c r="A2" t="s">
        <v>146</v>
      </c>
      <c r="B2">
        <v>2015</v>
      </c>
      <c r="C2">
        <v>1654</v>
      </c>
    </row>
    <row r="3" spans="1:3">
      <c r="A3" t="s">
        <v>146</v>
      </c>
      <c r="B3">
        <v>2016</v>
      </c>
      <c r="C3">
        <v>1666</v>
      </c>
    </row>
    <row r="4" spans="1:3">
      <c r="A4" t="s">
        <v>146</v>
      </c>
      <c r="B4">
        <v>2017</v>
      </c>
      <c r="C4">
        <v>1715</v>
      </c>
    </row>
    <row r="5" spans="1:3">
      <c r="A5" t="s">
        <v>146</v>
      </c>
      <c r="B5">
        <v>2018</v>
      </c>
      <c r="C5">
        <v>1772</v>
      </c>
    </row>
    <row r="6" spans="1:3">
      <c r="A6" t="s">
        <v>146</v>
      </c>
      <c r="B6">
        <v>2019</v>
      </c>
      <c r="C6">
        <v>1851</v>
      </c>
    </row>
    <row r="7" spans="1:3">
      <c r="A7" t="s">
        <v>146</v>
      </c>
      <c r="B7">
        <v>2020</v>
      </c>
      <c r="C7">
        <v>1871</v>
      </c>
    </row>
    <row r="8" spans="1:3">
      <c r="A8" t="s">
        <v>146</v>
      </c>
      <c r="B8">
        <v>2021</v>
      </c>
      <c r="C8">
        <v>1887</v>
      </c>
    </row>
    <row r="9" spans="1:3">
      <c r="A9" t="s">
        <v>146</v>
      </c>
      <c r="B9">
        <v>2022</v>
      </c>
      <c r="C9">
        <v>1899</v>
      </c>
    </row>
    <row r="10" spans="1:3">
      <c r="A10" t="s">
        <v>146</v>
      </c>
      <c r="B10">
        <v>2023</v>
      </c>
      <c r="C10">
        <v>1892</v>
      </c>
    </row>
    <row r="11" spans="1:3">
      <c r="A11" t="s">
        <v>146</v>
      </c>
      <c r="B11">
        <v>2024</v>
      </c>
      <c r="C11">
        <v>1909</v>
      </c>
    </row>
    <row r="12" spans="1:3">
      <c r="A12" t="s">
        <v>146</v>
      </c>
      <c r="B12">
        <v>2025</v>
      </c>
      <c r="C12">
        <v>1967</v>
      </c>
    </row>
    <row r="13" spans="1:3">
      <c r="A13" t="s">
        <v>147</v>
      </c>
      <c r="B13">
        <v>2015</v>
      </c>
      <c r="C13">
        <v>3425</v>
      </c>
    </row>
    <row r="14" spans="1:3">
      <c r="A14" t="s">
        <v>147</v>
      </c>
      <c r="B14">
        <v>2016</v>
      </c>
      <c r="C14">
        <v>3482</v>
      </c>
    </row>
    <row r="15" spans="1:3">
      <c r="A15" t="s">
        <v>147</v>
      </c>
      <c r="B15">
        <v>2017</v>
      </c>
      <c r="C15">
        <v>3453</v>
      </c>
    </row>
    <row r="16" spans="1:3">
      <c r="A16" t="s">
        <v>147</v>
      </c>
      <c r="B16">
        <v>2018</v>
      </c>
      <c r="C16">
        <v>3425</v>
      </c>
    </row>
    <row r="17" spans="1:3">
      <c r="A17" t="s">
        <v>147</v>
      </c>
      <c r="B17">
        <v>2019</v>
      </c>
      <c r="C17">
        <v>3338</v>
      </c>
    </row>
    <row r="18" spans="1:3">
      <c r="A18" t="s">
        <v>147</v>
      </c>
      <c r="B18">
        <v>2020</v>
      </c>
      <c r="C18">
        <v>3389</v>
      </c>
    </row>
    <row r="19" spans="1:3">
      <c r="A19" t="s">
        <v>147</v>
      </c>
      <c r="B19">
        <v>2021</v>
      </c>
      <c r="C19">
        <v>3607</v>
      </c>
    </row>
    <row r="20" spans="1:3">
      <c r="A20" t="s">
        <v>147</v>
      </c>
      <c r="B20">
        <v>2022</v>
      </c>
      <c r="C20">
        <v>3648</v>
      </c>
    </row>
    <row r="21" spans="1:3">
      <c r="A21" t="s">
        <v>147</v>
      </c>
      <c r="B21">
        <v>2023</v>
      </c>
      <c r="C21">
        <v>3715</v>
      </c>
    </row>
    <row r="22" spans="1:3">
      <c r="A22" t="s">
        <v>147</v>
      </c>
      <c r="B22">
        <v>2024</v>
      </c>
      <c r="C22">
        <v>3959</v>
      </c>
    </row>
    <row r="23" spans="1:3">
      <c r="A23" t="s">
        <v>147</v>
      </c>
      <c r="B23">
        <v>2025</v>
      </c>
      <c r="C23">
        <v>4095</v>
      </c>
    </row>
    <row r="24" spans="1:3">
      <c r="A24" t="s">
        <v>148</v>
      </c>
      <c r="B24">
        <v>2015</v>
      </c>
      <c r="C24">
        <v>689</v>
      </c>
    </row>
    <row r="25" spans="1:3">
      <c r="A25" t="s">
        <v>148</v>
      </c>
      <c r="B25">
        <v>2016</v>
      </c>
      <c r="C25">
        <v>705</v>
      </c>
    </row>
    <row r="26" spans="1:3">
      <c r="A26" t="s">
        <v>148</v>
      </c>
      <c r="B26">
        <v>2017</v>
      </c>
      <c r="C26">
        <v>744</v>
      </c>
    </row>
    <row r="27" spans="1:3">
      <c r="A27" t="s">
        <v>148</v>
      </c>
      <c r="B27">
        <v>2018</v>
      </c>
      <c r="C27">
        <v>857</v>
      </c>
    </row>
    <row r="28" spans="1:3">
      <c r="A28" t="s">
        <v>148</v>
      </c>
      <c r="B28">
        <v>2019</v>
      </c>
      <c r="C28">
        <v>894</v>
      </c>
    </row>
    <row r="29" spans="1:3">
      <c r="A29" t="s">
        <v>148</v>
      </c>
      <c r="B29">
        <v>2020</v>
      </c>
      <c r="C29">
        <v>1290</v>
      </c>
    </row>
    <row r="30" spans="1:3">
      <c r="A30" t="s">
        <v>148</v>
      </c>
      <c r="B30">
        <v>2021</v>
      </c>
      <c r="C30">
        <v>1095</v>
      </c>
    </row>
    <row r="31" spans="1:3">
      <c r="A31" t="s">
        <v>148</v>
      </c>
      <c r="B31">
        <v>2022</v>
      </c>
      <c r="C31">
        <v>1101</v>
      </c>
    </row>
    <row r="32" spans="1:3">
      <c r="A32" t="s">
        <v>148</v>
      </c>
      <c r="B32">
        <v>2023</v>
      </c>
      <c r="C32">
        <v>1181</v>
      </c>
    </row>
    <row r="33" spans="1:3">
      <c r="A33" t="s">
        <v>148</v>
      </c>
      <c r="B33">
        <v>2024</v>
      </c>
      <c r="C33">
        <v>1199</v>
      </c>
    </row>
    <row r="34" spans="1:3">
      <c r="A34" t="s">
        <v>148</v>
      </c>
      <c r="B34">
        <v>2025</v>
      </c>
      <c r="C34">
        <v>1275</v>
      </c>
    </row>
    <row r="35" spans="1:3">
      <c r="A35" t="s">
        <v>149</v>
      </c>
      <c r="B35">
        <v>2015</v>
      </c>
      <c r="C35">
        <v>994</v>
      </c>
    </row>
    <row r="36" spans="1:3">
      <c r="A36" t="s">
        <v>149</v>
      </c>
      <c r="B36">
        <v>2016</v>
      </c>
      <c r="C36">
        <v>990</v>
      </c>
    </row>
    <row r="37" spans="1:3">
      <c r="A37" t="s">
        <v>149</v>
      </c>
      <c r="B37">
        <v>2017</v>
      </c>
      <c r="C37">
        <v>916</v>
      </c>
    </row>
    <row r="38" spans="1:3">
      <c r="A38" t="s">
        <v>149</v>
      </c>
      <c r="B38">
        <v>2018</v>
      </c>
      <c r="C38">
        <v>842</v>
      </c>
    </row>
    <row r="39" spans="1:3">
      <c r="A39" t="s">
        <v>149</v>
      </c>
      <c r="B39">
        <v>2019</v>
      </c>
      <c r="C39">
        <v>853</v>
      </c>
    </row>
    <row r="40" spans="1:3">
      <c r="A40" t="s">
        <v>149</v>
      </c>
      <c r="B40">
        <v>2020</v>
      </c>
      <c r="C40">
        <v>829</v>
      </c>
    </row>
    <row r="41" spans="1:3">
      <c r="A41" t="s">
        <v>149</v>
      </c>
      <c r="B41">
        <v>2021</v>
      </c>
      <c r="C41">
        <v>829</v>
      </c>
    </row>
    <row r="42" spans="1:3">
      <c r="A42" t="s">
        <v>149</v>
      </c>
      <c r="B42">
        <v>2022</v>
      </c>
      <c r="C42">
        <v>868</v>
      </c>
    </row>
    <row r="43" spans="1:3">
      <c r="A43" t="s">
        <v>149</v>
      </c>
      <c r="B43">
        <v>2023</v>
      </c>
      <c r="C43">
        <v>866</v>
      </c>
    </row>
    <row r="44" spans="1:3">
      <c r="A44" t="s">
        <v>149</v>
      </c>
      <c r="B44">
        <v>2024</v>
      </c>
      <c r="C44">
        <v>842</v>
      </c>
    </row>
    <row r="45" spans="1:3">
      <c r="A45" t="s">
        <v>149</v>
      </c>
      <c r="B45">
        <v>2025</v>
      </c>
      <c r="C45">
        <v>748</v>
      </c>
    </row>
    <row r="46" spans="1:3">
      <c r="A46" t="s">
        <v>150</v>
      </c>
      <c r="B46">
        <v>2015</v>
      </c>
      <c r="C46">
        <v>4834</v>
      </c>
    </row>
    <row r="47" spans="1:3">
      <c r="A47" t="s">
        <v>150</v>
      </c>
      <c r="B47">
        <v>2016</v>
      </c>
      <c r="C47">
        <v>5099</v>
      </c>
    </row>
    <row r="48" spans="1:3">
      <c r="A48" t="s">
        <v>150</v>
      </c>
      <c r="B48">
        <v>2017</v>
      </c>
      <c r="C48">
        <v>4626</v>
      </c>
    </row>
    <row r="49" spans="1:3">
      <c r="A49" t="s">
        <v>150</v>
      </c>
      <c r="B49">
        <v>2018</v>
      </c>
      <c r="C49">
        <v>4528</v>
      </c>
    </row>
    <row r="50" spans="1:3">
      <c r="A50" t="s">
        <v>150</v>
      </c>
      <c r="B50">
        <v>2019</v>
      </c>
      <c r="C50">
        <v>4014</v>
      </c>
    </row>
    <row r="51" spans="1:3">
      <c r="A51" t="s">
        <v>150</v>
      </c>
      <c r="B51">
        <v>2020</v>
      </c>
      <c r="C51">
        <v>4267</v>
      </c>
    </row>
    <row r="52" spans="1:3">
      <c r="A52" t="s">
        <v>150</v>
      </c>
      <c r="B52">
        <v>2021</v>
      </c>
      <c r="C52">
        <v>4110</v>
      </c>
    </row>
    <row r="53" spans="1:3">
      <c r="A53" t="s">
        <v>150</v>
      </c>
      <c r="B53">
        <v>2022</v>
      </c>
      <c r="C53">
        <v>3982</v>
      </c>
    </row>
    <row r="54" spans="1:3">
      <c r="A54" t="s">
        <v>150</v>
      </c>
      <c r="B54">
        <v>2023</v>
      </c>
      <c r="C54">
        <v>3663</v>
      </c>
    </row>
    <row r="55" spans="1:3">
      <c r="A55" t="s">
        <v>150</v>
      </c>
      <c r="B55">
        <v>2024</v>
      </c>
      <c r="C55">
        <v>4175</v>
      </c>
    </row>
    <row r="56" spans="1:3">
      <c r="A56" t="s">
        <v>150</v>
      </c>
      <c r="B56">
        <v>2025</v>
      </c>
      <c r="C56">
        <v>4533</v>
      </c>
    </row>
    <row r="57" spans="1:3">
      <c r="A57" t="s">
        <v>151</v>
      </c>
      <c r="B57">
        <v>2015</v>
      </c>
      <c r="C57">
        <v>764</v>
      </c>
    </row>
    <row r="58" spans="1:3">
      <c r="A58" t="s">
        <v>151</v>
      </c>
      <c r="B58">
        <v>2016</v>
      </c>
      <c r="C58">
        <v>764</v>
      </c>
    </row>
    <row r="59" spans="1:3">
      <c r="A59" t="s">
        <v>151</v>
      </c>
      <c r="B59">
        <v>2017</v>
      </c>
      <c r="C59">
        <v>743</v>
      </c>
    </row>
    <row r="60" spans="1:3">
      <c r="A60" t="s">
        <v>151</v>
      </c>
      <c r="B60">
        <v>2018</v>
      </c>
      <c r="C60">
        <v>752</v>
      </c>
    </row>
    <row r="61" spans="1:3">
      <c r="A61" t="s">
        <v>151</v>
      </c>
      <c r="B61">
        <v>2019</v>
      </c>
      <c r="C61">
        <v>710</v>
      </c>
    </row>
    <row r="62" spans="1:3">
      <c r="A62" t="s">
        <v>151</v>
      </c>
      <c r="B62">
        <v>2020</v>
      </c>
      <c r="C62">
        <v>828</v>
      </c>
    </row>
    <row r="63" spans="1:3">
      <c r="A63" t="s">
        <v>151</v>
      </c>
      <c r="B63">
        <v>2021</v>
      </c>
      <c r="C63">
        <v>808</v>
      </c>
    </row>
    <row r="64" spans="1:3">
      <c r="A64" t="s">
        <v>151</v>
      </c>
      <c r="B64">
        <v>2022</v>
      </c>
      <c r="C64">
        <v>967</v>
      </c>
    </row>
    <row r="65" spans="1:3">
      <c r="A65" t="s">
        <v>151</v>
      </c>
      <c r="B65">
        <v>2023</v>
      </c>
      <c r="C65">
        <v>1071</v>
      </c>
    </row>
    <row r="66" spans="1:3">
      <c r="A66" t="s">
        <v>151</v>
      </c>
      <c r="B66">
        <v>2024</v>
      </c>
      <c r="C66">
        <v>1156</v>
      </c>
    </row>
    <row r="67" spans="1:3">
      <c r="A67" t="s">
        <v>151</v>
      </c>
      <c r="B67">
        <v>2025</v>
      </c>
      <c r="C67">
        <v>1085</v>
      </c>
    </row>
    <row r="68" spans="1:3">
      <c r="A68" t="s">
        <v>152</v>
      </c>
      <c r="B68">
        <v>2015</v>
      </c>
      <c r="C68">
        <v>3956</v>
      </c>
    </row>
    <row r="69" spans="1:3">
      <c r="A69" t="s">
        <v>152</v>
      </c>
      <c r="B69">
        <v>2016</v>
      </c>
      <c r="C69">
        <v>3863</v>
      </c>
    </row>
    <row r="70" spans="1:3">
      <c r="A70" t="s">
        <v>152</v>
      </c>
      <c r="B70">
        <v>2017</v>
      </c>
      <c r="C70">
        <v>3889</v>
      </c>
    </row>
    <row r="71" spans="1:3">
      <c r="A71" t="s">
        <v>152</v>
      </c>
      <c r="B71">
        <v>2018</v>
      </c>
      <c r="C71">
        <v>3614</v>
      </c>
    </row>
    <row r="72" spans="1:3">
      <c r="A72" t="s">
        <v>152</v>
      </c>
      <c r="B72">
        <v>2019</v>
      </c>
      <c r="C72">
        <v>3731</v>
      </c>
    </row>
    <row r="73" spans="1:3">
      <c r="A73" t="s">
        <v>152</v>
      </c>
      <c r="B73">
        <v>2020</v>
      </c>
      <c r="C73">
        <v>4231</v>
      </c>
    </row>
    <row r="74" spans="1:3">
      <c r="A74" t="s">
        <v>152</v>
      </c>
      <c r="B74">
        <v>2021</v>
      </c>
      <c r="C74">
        <v>4179</v>
      </c>
    </row>
    <row r="75" spans="1:3">
      <c r="A75" t="s">
        <v>152</v>
      </c>
      <c r="B75">
        <v>2022</v>
      </c>
      <c r="C75">
        <v>4579</v>
      </c>
    </row>
    <row r="76" spans="1:3">
      <c r="A76" t="s">
        <v>152</v>
      </c>
      <c r="B76">
        <v>2023</v>
      </c>
      <c r="C76">
        <v>4643</v>
      </c>
    </row>
    <row r="77" spans="1:3">
      <c r="A77" t="s">
        <v>152</v>
      </c>
      <c r="B77">
        <v>2024</v>
      </c>
      <c r="C77">
        <v>4466</v>
      </c>
    </row>
    <row r="78" spans="1:3">
      <c r="A78" t="s">
        <v>152</v>
      </c>
      <c r="B78">
        <v>2025</v>
      </c>
      <c r="C78">
        <v>4498</v>
      </c>
    </row>
    <row r="79" spans="1:3">
      <c r="A79" t="s">
        <v>153</v>
      </c>
      <c r="B79">
        <v>2015</v>
      </c>
      <c r="C79">
        <v>2906</v>
      </c>
    </row>
    <row r="80" spans="1:3">
      <c r="A80" t="s">
        <v>153</v>
      </c>
      <c r="B80">
        <v>2016</v>
      </c>
      <c r="C80">
        <v>2969</v>
      </c>
    </row>
    <row r="81" spans="1:3">
      <c r="A81" t="s">
        <v>153</v>
      </c>
      <c r="B81">
        <v>2017</v>
      </c>
      <c r="C81">
        <v>3003</v>
      </c>
    </row>
    <row r="82" spans="1:3">
      <c r="A82" t="s">
        <v>153</v>
      </c>
      <c r="B82">
        <v>2018</v>
      </c>
      <c r="C82">
        <v>3171</v>
      </c>
    </row>
    <row r="83" spans="1:3">
      <c r="A83" t="s">
        <v>153</v>
      </c>
      <c r="B83">
        <v>2019</v>
      </c>
      <c r="C83">
        <v>3041</v>
      </c>
    </row>
    <row r="84" spans="1:3">
      <c r="A84" t="s">
        <v>153</v>
      </c>
      <c r="B84">
        <v>2020</v>
      </c>
      <c r="C84">
        <v>3456</v>
      </c>
    </row>
    <row r="85" spans="1:3">
      <c r="A85" t="s">
        <v>153</v>
      </c>
      <c r="B85">
        <v>2021</v>
      </c>
      <c r="C85">
        <v>3412</v>
      </c>
    </row>
    <row r="86" spans="1:3">
      <c r="A86" t="s">
        <v>153</v>
      </c>
      <c r="B86">
        <v>2022</v>
      </c>
      <c r="C86">
        <v>3086</v>
      </c>
    </row>
    <row r="87" spans="1:3">
      <c r="A87" t="s">
        <v>153</v>
      </c>
      <c r="B87">
        <v>2023</v>
      </c>
      <c r="C87">
        <v>3112</v>
      </c>
    </row>
    <row r="88" spans="1:3">
      <c r="A88" t="s">
        <v>153</v>
      </c>
      <c r="B88">
        <v>2024</v>
      </c>
      <c r="C88">
        <v>3080</v>
      </c>
    </row>
    <row r="89" spans="1:3">
      <c r="A89" t="s">
        <v>153</v>
      </c>
      <c r="B89">
        <v>2025</v>
      </c>
      <c r="C89">
        <v>3012</v>
      </c>
    </row>
    <row r="90" spans="1:3">
      <c r="A90" t="s">
        <v>154</v>
      </c>
      <c r="B90">
        <v>2015</v>
      </c>
      <c r="C90">
        <v>7494</v>
      </c>
    </row>
    <row r="91" spans="1:3">
      <c r="A91" t="s">
        <v>154</v>
      </c>
      <c r="B91">
        <v>2016</v>
      </c>
      <c r="C91">
        <v>7463</v>
      </c>
    </row>
    <row r="92" spans="1:3">
      <c r="A92" t="s">
        <v>154</v>
      </c>
      <c r="B92">
        <v>2017</v>
      </c>
      <c r="C92">
        <v>7802</v>
      </c>
    </row>
    <row r="93" spans="1:3">
      <c r="A93" t="s">
        <v>154</v>
      </c>
      <c r="B93">
        <v>2018</v>
      </c>
      <c r="C93">
        <v>8058</v>
      </c>
    </row>
    <row r="94" spans="1:3">
      <c r="A94" t="s">
        <v>154</v>
      </c>
      <c r="B94">
        <v>2019</v>
      </c>
      <c r="C94">
        <v>8171</v>
      </c>
    </row>
    <row r="95" spans="1:3">
      <c r="A95" t="s">
        <v>154</v>
      </c>
      <c r="B95">
        <v>2020</v>
      </c>
      <c r="C95">
        <v>8954</v>
      </c>
    </row>
    <row r="96" spans="1:3">
      <c r="A96" t="s">
        <v>154</v>
      </c>
      <c r="B96">
        <v>2021</v>
      </c>
      <c r="C96">
        <v>8987</v>
      </c>
    </row>
    <row r="97" spans="1:3">
      <c r="A97" t="s">
        <v>154</v>
      </c>
      <c r="B97">
        <v>2022</v>
      </c>
      <c r="C97">
        <v>8984</v>
      </c>
    </row>
    <row r="98" spans="1:3">
      <c r="A98" t="s">
        <v>154</v>
      </c>
      <c r="B98">
        <v>2023</v>
      </c>
      <c r="C98">
        <v>8525</v>
      </c>
    </row>
    <row r="99" spans="1:3">
      <c r="A99" t="s">
        <v>154</v>
      </c>
      <c r="B99">
        <v>2024</v>
      </c>
      <c r="C99">
        <v>8355</v>
      </c>
    </row>
    <row r="100" spans="1:3">
      <c r="A100" t="s">
        <v>154</v>
      </c>
      <c r="B100">
        <v>2025</v>
      </c>
      <c r="C100">
        <v>8777</v>
      </c>
    </row>
    <row r="101" spans="1:3">
      <c r="A101" t="s">
        <v>155</v>
      </c>
      <c r="B101">
        <v>2015</v>
      </c>
      <c r="C101">
        <v>3106</v>
      </c>
    </row>
    <row r="102" spans="1:3">
      <c r="A102" t="s">
        <v>155</v>
      </c>
      <c r="B102">
        <v>2016</v>
      </c>
      <c r="C102">
        <v>3018</v>
      </c>
    </row>
    <row r="103" spans="1:3">
      <c r="A103" t="s">
        <v>155</v>
      </c>
      <c r="B103">
        <v>2017</v>
      </c>
      <c r="C103">
        <v>3150</v>
      </c>
    </row>
    <row r="104" spans="1:3">
      <c r="A104" t="s">
        <v>155</v>
      </c>
      <c r="B104">
        <v>2018</v>
      </c>
      <c r="C104">
        <v>2933</v>
      </c>
    </row>
    <row r="105" spans="1:3">
      <c r="A105" t="s">
        <v>155</v>
      </c>
      <c r="B105">
        <v>2019</v>
      </c>
      <c r="C105">
        <v>3132</v>
      </c>
    </row>
    <row r="106" spans="1:3">
      <c r="A106" t="s">
        <v>155</v>
      </c>
      <c r="B106">
        <v>2020</v>
      </c>
      <c r="C106">
        <v>3373</v>
      </c>
    </row>
    <row r="107" spans="1:3">
      <c r="A107" t="s">
        <v>155</v>
      </c>
      <c r="B107">
        <v>2021</v>
      </c>
      <c r="C107">
        <v>3431</v>
      </c>
    </row>
    <row r="108" spans="1:3">
      <c r="A108" t="s">
        <v>155</v>
      </c>
      <c r="B108">
        <v>2022</v>
      </c>
      <c r="C108">
        <v>3555</v>
      </c>
    </row>
    <row r="109" spans="1:3">
      <c r="A109" t="s">
        <v>155</v>
      </c>
      <c r="B109">
        <v>2023</v>
      </c>
      <c r="C109">
        <v>3329</v>
      </c>
    </row>
    <row r="110" spans="1:3">
      <c r="A110" t="s">
        <v>155</v>
      </c>
      <c r="B110">
        <v>2024</v>
      </c>
      <c r="C110">
        <v>3446</v>
      </c>
    </row>
    <row r="111" spans="1:3">
      <c r="A111" t="s">
        <v>155</v>
      </c>
      <c r="B111">
        <v>2025</v>
      </c>
      <c r="C111">
        <v>3580</v>
      </c>
    </row>
    <row r="112" spans="1:3">
      <c r="A112" t="s">
        <v>156</v>
      </c>
      <c r="B112">
        <v>2015</v>
      </c>
      <c r="C112">
        <v>1754</v>
      </c>
    </row>
    <row r="113" spans="1:3">
      <c r="A113" t="s">
        <v>156</v>
      </c>
      <c r="B113">
        <v>2016</v>
      </c>
      <c r="C113">
        <v>1803</v>
      </c>
    </row>
    <row r="114" spans="1:3">
      <c r="A114" t="s">
        <v>156</v>
      </c>
      <c r="B114">
        <v>2017</v>
      </c>
      <c r="C114">
        <v>1780</v>
      </c>
    </row>
    <row r="115" spans="1:3">
      <c r="A115" t="s">
        <v>156</v>
      </c>
      <c r="B115">
        <v>2018</v>
      </c>
      <c r="C115">
        <v>1593</v>
      </c>
    </row>
    <row r="116" spans="1:3">
      <c r="A116" t="s">
        <v>156</v>
      </c>
      <c r="B116">
        <v>2019</v>
      </c>
      <c r="C116">
        <v>1569</v>
      </c>
    </row>
    <row r="117" spans="1:3">
      <c r="A117" t="s">
        <v>156</v>
      </c>
      <c r="B117">
        <v>2020</v>
      </c>
      <c r="C117">
        <v>1803</v>
      </c>
    </row>
    <row r="118" spans="1:3">
      <c r="A118" t="s">
        <v>156</v>
      </c>
      <c r="B118">
        <v>2021</v>
      </c>
      <c r="C118">
        <v>1939</v>
      </c>
    </row>
    <row r="119" spans="1:3">
      <c r="A119" t="s">
        <v>156</v>
      </c>
      <c r="B119">
        <v>2022</v>
      </c>
      <c r="C119">
        <v>1958</v>
      </c>
    </row>
    <row r="120" spans="1:3">
      <c r="A120" t="s">
        <v>156</v>
      </c>
      <c r="B120">
        <v>2023</v>
      </c>
      <c r="C120">
        <v>2219</v>
      </c>
    </row>
    <row r="121" spans="1:3">
      <c r="A121" t="s">
        <v>156</v>
      </c>
      <c r="B121">
        <v>2024</v>
      </c>
      <c r="C121">
        <v>2088</v>
      </c>
    </row>
    <row r="122" spans="1:3">
      <c r="A122" t="s">
        <v>156</v>
      </c>
      <c r="B122">
        <v>2025</v>
      </c>
      <c r="C122">
        <v>2225</v>
      </c>
    </row>
    <row r="123" spans="1:3">
      <c r="A123" t="s">
        <v>157</v>
      </c>
      <c r="B123">
        <v>2015</v>
      </c>
      <c r="C123">
        <v>2791</v>
      </c>
    </row>
    <row r="124" spans="1:3">
      <c r="A124" t="s">
        <v>157</v>
      </c>
      <c r="B124">
        <v>2016</v>
      </c>
      <c r="C124">
        <v>2944</v>
      </c>
    </row>
    <row r="125" spans="1:3">
      <c r="A125" t="s">
        <v>157</v>
      </c>
      <c r="B125">
        <v>2017</v>
      </c>
      <c r="C125">
        <v>2993</v>
      </c>
    </row>
    <row r="126" spans="1:3">
      <c r="A126" t="s">
        <v>157</v>
      </c>
      <c r="B126">
        <v>2018</v>
      </c>
      <c r="C126">
        <v>2811</v>
      </c>
    </row>
    <row r="127" spans="1:3">
      <c r="A127" t="s">
        <v>157</v>
      </c>
      <c r="B127">
        <v>2019</v>
      </c>
      <c r="C127">
        <v>2775</v>
      </c>
    </row>
    <row r="128" spans="1:3">
      <c r="A128" t="s">
        <v>157</v>
      </c>
      <c r="B128">
        <v>2020</v>
      </c>
      <c r="C128">
        <v>2986</v>
      </c>
    </row>
    <row r="129" spans="1:3">
      <c r="A129" t="s">
        <v>157</v>
      </c>
      <c r="B129">
        <v>2021</v>
      </c>
      <c r="C129">
        <v>3291</v>
      </c>
    </row>
    <row r="130" spans="1:3">
      <c r="A130" t="s">
        <v>157</v>
      </c>
      <c r="B130">
        <v>2022</v>
      </c>
      <c r="C130">
        <v>3168</v>
      </c>
    </row>
    <row r="131" spans="1:3">
      <c r="A131" t="s">
        <v>157</v>
      </c>
      <c r="B131">
        <v>2023</v>
      </c>
      <c r="C131">
        <v>3249</v>
      </c>
    </row>
    <row r="132" spans="1:3">
      <c r="A132" t="s">
        <v>157</v>
      </c>
      <c r="B132">
        <v>2024</v>
      </c>
      <c r="C132">
        <v>3387</v>
      </c>
    </row>
    <row r="133" spans="1:3">
      <c r="A133" t="s">
        <v>157</v>
      </c>
      <c r="B133">
        <v>2025</v>
      </c>
      <c r="C133">
        <v>3412</v>
      </c>
    </row>
    <row r="134" spans="1:3">
      <c r="A134" t="s">
        <v>158</v>
      </c>
      <c r="B134">
        <v>2015</v>
      </c>
      <c r="C134">
        <v>947</v>
      </c>
    </row>
    <row r="135" spans="1:3">
      <c r="A135" t="s">
        <v>158</v>
      </c>
      <c r="B135">
        <v>2016</v>
      </c>
      <c r="C135">
        <v>961</v>
      </c>
    </row>
    <row r="136" spans="1:3">
      <c r="A136" t="s">
        <v>158</v>
      </c>
      <c r="B136">
        <v>2017</v>
      </c>
      <c r="C136">
        <v>808</v>
      </c>
    </row>
    <row r="137" spans="1:3">
      <c r="A137" t="s">
        <v>158</v>
      </c>
      <c r="B137">
        <v>2018</v>
      </c>
      <c r="C137">
        <v>917</v>
      </c>
    </row>
    <row r="138" spans="1:3">
      <c r="A138" t="s">
        <v>158</v>
      </c>
      <c r="B138">
        <v>2019</v>
      </c>
      <c r="C138">
        <v>899</v>
      </c>
    </row>
    <row r="139" spans="1:3">
      <c r="A139" t="s">
        <v>158</v>
      </c>
      <c r="B139">
        <v>2020</v>
      </c>
      <c r="C139">
        <v>884</v>
      </c>
    </row>
    <row r="140" spans="1:3">
      <c r="A140" t="s">
        <v>158</v>
      </c>
      <c r="B140">
        <v>2021</v>
      </c>
      <c r="C140">
        <v>973</v>
      </c>
    </row>
    <row r="141" spans="1:3">
      <c r="A141" t="s">
        <v>158</v>
      </c>
      <c r="B141">
        <v>2022</v>
      </c>
      <c r="C141">
        <v>1112</v>
      </c>
    </row>
    <row r="142" spans="1:3">
      <c r="A142" t="s">
        <v>158</v>
      </c>
      <c r="B142">
        <v>2023</v>
      </c>
      <c r="C142">
        <v>1069</v>
      </c>
    </row>
    <row r="143" spans="1:3">
      <c r="A143" t="s">
        <v>158</v>
      </c>
      <c r="B143">
        <v>2024</v>
      </c>
      <c r="C143">
        <v>1186</v>
      </c>
    </row>
    <row r="144" spans="1:3">
      <c r="A144" t="s">
        <v>158</v>
      </c>
      <c r="B144">
        <v>2025</v>
      </c>
      <c r="C144">
        <v>1300</v>
      </c>
    </row>
    <row r="145" spans="1:3">
      <c r="A145" t="s">
        <v>159</v>
      </c>
      <c r="B145">
        <v>2015</v>
      </c>
      <c r="C145">
        <v>576</v>
      </c>
    </row>
    <row r="146" spans="1:3">
      <c r="A146" t="s">
        <v>159</v>
      </c>
      <c r="B146">
        <v>2016</v>
      </c>
      <c r="C146">
        <v>523</v>
      </c>
    </row>
    <row r="147" spans="1:3">
      <c r="A147" t="s">
        <v>159</v>
      </c>
      <c r="B147">
        <v>2017</v>
      </c>
      <c r="C147">
        <v>535</v>
      </c>
    </row>
    <row r="148" spans="1:3">
      <c r="A148" t="s">
        <v>159</v>
      </c>
      <c r="B148">
        <v>2018</v>
      </c>
      <c r="C148">
        <v>656</v>
      </c>
    </row>
    <row r="149" spans="1:3">
      <c r="A149" t="s">
        <v>159</v>
      </c>
      <c r="B149">
        <v>2019</v>
      </c>
      <c r="C149">
        <v>726</v>
      </c>
    </row>
    <row r="150" spans="1:3">
      <c r="A150" t="s">
        <v>159</v>
      </c>
      <c r="B150">
        <v>2020</v>
      </c>
      <c r="C150">
        <v>879</v>
      </c>
    </row>
    <row r="151" spans="1:3">
      <c r="A151" t="s">
        <v>159</v>
      </c>
      <c r="B151">
        <v>2021</v>
      </c>
      <c r="C151">
        <v>868</v>
      </c>
    </row>
    <row r="152" spans="1:3">
      <c r="A152" t="s">
        <v>159</v>
      </c>
      <c r="B152">
        <v>2022</v>
      </c>
      <c r="C152">
        <v>844</v>
      </c>
    </row>
    <row r="153" spans="1:3">
      <c r="A153" t="s">
        <v>159</v>
      </c>
      <c r="B153">
        <v>2023</v>
      </c>
      <c r="C153">
        <v>578</v>
      </c>
    </row>
    <row r="154" spans="1:3">
      <c r="A154" t="s">
        <v>159</v>
      </c>
      <c r="B154">
        <v>2024</v>
      </c>
      <c r="C154">
        <v>569</v>
      </c>
    </row>
    <row r="155" spans="1:3">
      <c r="A155" t="s">
        <v>159</v>
      </c>
      <c r="B155">
        <v>2025</v>
      </c>
      <c r="C155">
        <v>564</v>
      </c>
    </row>
    <row r="156" spans="1:3">
      <c r="A156" t="s">
        <v>160</v>
      </c>
      <c r="B156">
        <v>2015</v>
      </c>
      <c r="C156">
        <v>492</v>
      </c>
    </row>
    <row r="157" spans="1:3">
      <c r="A157" t="s">
        <v>160</v>
      </c>
      <c r="B157">
        <v>2016</v>
      </c>
      <c r="C157">
        <v>511</v>
      </c>
    </row>
    <row r="158" spans="1:3">
      <c r="A158" t="s">
        <v>160</v>
      </c>
      <c r="B158">
        <v>2017</v>
      </c>
      <c r="C158">
        <v>536</v>
      </c>
    </row>
    <row r="159" spans="1:3">
      <c r="A159" t="s">
        <v>160</v>
      </c>
      <c r="B159">
        <v>2018</v>
      </c>
      <c r="C159">
        <v>589</v>
      </c>
    </row>
    <row r="160" spans="1:3">
      <c r="A160" t="s">
        <v>160</v>
      </c>
      <c r="B160">
        <v>2019</v>
      </c>
      <c r="C160">
        <v>710</v>
      </c>
    </row>
    <row r="161" spans="1:3">
      <c r="A161" t="s">
        <v>160</v>
      </c>
      <c r="B161">
        <v>2020</v>
      </c>
      <c r="C161">
        <v>905</v>
      </c>
    </row>
    <row r="162" spans="1:3">
      <c r="A162" t="s">
        <v>160</v>
      </c>
      <c r="B162">
        <v>2021</v>
      </c>
      <c r="C162">
        <v>900</v>
      </c>
    </row>
    <row r="163" spans="1:3">
      <c r="A163" t="s">
        <v>160</v>
      </c>
      <c r="B163">
        <v>2022</v>
      </c>
      <c r="C163">
        <v>774</v>
      </c>
    </row>
    <row r="164" spans="1:3">
      <c r="A164" t="s">
        <v>160</v>
      </c>
      <c r="B164">
        <v>2023</v>
      </c>
      <c r="C164">
        <v>779</v>
      </c>
    </row>
    <row r="165" spans="1:3">
      <c r="A165" t="s">
        <v>160</v>
      </c>
      <c r="B165">
        <v>2024</v>
      </c>
      <c r="C165">
        <v>801</v>
      </c>
    </row>
    <row r="166" spans="1:3">
      <c r="A166" t="s">
        <v>160</v>
      </c>
      <c r="B166">
        <v>2025</v>
      </c>
      <c r="C166">
        <v>770</v>
      </c>
    </row>
    <row r="167" spans="1:3">
      <c r="A167" t="s">
        <v>161</v>
      </c>
      <c r="B167">
        <v>2015</v>
      </c>
      <c r="C167">
        <v>8501</v>
      </c>
    </row>
    <row r="168" spans="1:3">
      <c r="A168" t="s">
        <v>161</v>
      </c>
      <c r="B168">
        <v>2016</v>
      </c>
      <c r="C168">
        <v>8858</v>
      </c>
    </row>
    <row r="169" spans="1:3">
      <c r="A169" t="s">
        <v>161</v>
      </c>
      <c r="B169">
        <v>2017</v>
      </c>
      <c r="C169">
        <v>8883</v>
      </c>
    </row>
    <row r="170" spans="1:3">
      <c r="A170" t="s">
        <v>161</v>
      </c>
      <c r="B170">
        <v>2018</v>
      </c>
      <c r="C170">
        <v>8781</v>
      </c>
    </row>
    <row r="171" spans="1:3">
      <c r="A171" t="s">
        <v>161</v>
      </c>
      <c r="B171">
        <v>2019</v>
      </c>
      <c r="C171">
        <v>8852</v>
      </c>
    </row>
    <row r="172" spans="1:3">
      <c r="A172" t="s">
        <v>161</v>
      </c>
      <c r="B172">
        <v>2020</v>
      </c>
      <c r="C172">
        <v>8705</v>
      </c>
    </row>
    <row r="173" spans="1:3">
      <c r="A173" t="s">
        <v>161</v>
      </c>
      <c r="B173">
        <v>2021</v>
      </c>
      <c r="C173">
        <v>8951</v>
      </c>
    </row>
    <row r="174" spans="1:3">
      <c r="A174" t="s">
        <v>161</v>
      </c>
      <c r="B174">
        <v>2022</v>
      </c>
      <c r="C174">
        <v>9462</v>
      </c>
    </row>
    <row r="175" spans="1:3">
      <c r="A175" t="s">
        <v>161</v>
      </c>
      <c r="B175">
        <v>2023</v>
      </c>
      <c r="C175">
        <v>9442</v>
      </c>
    </row>
    <row r="176" spans="1:3">
      <c r="A176" t="s">
        <v>161</v>
      </c>
      <c r="B176">
        <v>2024</v>
      </c>
      <c r="C176">
        <v>9499</v>
      </c>
    </row>
    <row r="177" spans="1:3">
      <c r="A177" t="s">
        <v>161</v>
      </c>
      <c r="B177">
        <v>2025</v>
      </c>
      <c r="C177">
        <v>9549</v>
      </c>
    </row>
    <row r="178" spans="1:3">
      <c r="A178" t="s">
        <v>162</v>
      </c>
      <c r="B178">
        <v>2015</v>
      </c>
      <c r="C178">
        <v>3392</v>
      </c>
    </row>
    <row r="179" spans="1:3">
      <c r="A179" t="s">
        <v>162</v>
      </c>
      <c r="B179">
        <v>2016</v>
      </c>
      <c r="C179">
        <v>3405</v>
      </c>
    </row>
    <row r="180" spans="1:3">
      <c r="A180" t="s">
        <v>162</v>
      </c>
      <c r="B180">
        <v>2017</v>
      </c>
      <c r="C180">
        <v>3390</v>
      </c>
    </row>
    <row r="181" spans="1:3">
      <c r="A181" t="s">
        <v>162</v>
      </c>
      <c r="B181">
        <v>2018</v>
      </c>
      <c r="C181">
        <v>2578</v>
      </c>
    </row>
    <row r="182" spans="1:3">
      <c r="A182" t="s">
        <v>162</v>
      </c>
      <c r="B182">
        <v>2019</v>
      </c>
      <c r="C182">
        <v>2861</v>
      </c>
    </row>
    <row r="183" spans="1:3">
      <c r="A183" t="s">
        <v>162</v>
      </c>
      <c r="B183">
        <v>2020</v>
      </c>
      <c r="C183">
        <v>3332</v>
      </c>
    </row>
    <row r="184" spans="1:3">
      <c r="A184" t="s">
        <v>162</v>
      </c>
      <c r="B184">
        <v>2021</v>
      </c>
      <c r="C184">
        <v>3008</v>
      </c>
    </row>
    <row r="185" spans="1:3">
      <c r="A185" t="s">
        <v>162</v>
      </c>
      <c r="B185">
        <v>2022</v>
      </c>
      <c r="C185">
        <v>3203</v>
      </c>
    </row>
    <row r="186" spans="1:3">
      <c r="A186" t="s">
        <v>162</v>
      </c>
      <c r="B186">
        <v>2023</v>
      </c>
      <c r="C186">
        <v>3036</v>
      </c>
    </row>
    <row r="187" spans="1:3">
      <c r="A187" t="s">
        <v>162</v>
      </c>
      <c r="B187">
        <v>2024</v>
      </c>
      <c r="C187">
        <v>3130</v>
      </c>
    </row>
    <row r="188" spans="1:3">
      <c r="A188" t="s">
        <v>162</v>
      </c>
      <c r="B188">
        <v>2025</v>
      </c>
      <c r="C188">
        <v>3184</v>
      </c>
    </row>
    <row r="189" spans="1:3">
      <c r="A189" t="s">
        <v>163</v>
      </c>
      <c r="B189">
        <v>2015</v>
      </c>
      <c r="C189">
        <v>2072</v>
      </c>
    </row>
    <row r="190" spans="1:3">
      <c r="A190" t="s">
        <v>163</v>
      </c>
      <c r="B190">
        <v>2016</v>
      </c>
      <c r="C190">
        <v>2117</v>
      </c>
    </row>
    <row r="191" spans="1:3">
      <c r="A191" t="s">
        <v>163</v>
      </c>
      <c r="B191">
        <v>2017</v>
      </c>
      <c r="C191">
        <v>2109</v>
      </c>
    </row>
    <row r="192" spans="1:3">
      <c r="A192" t="s">
        <v>163</v>
      </c>
      <c r="B192">
        <v>2018</v>
      </c>
      <c r="C192">
        <v>2173</v>
      </c>
    </row>
    <row r="193" spans="1:3">
      <c r="A193" t="s">
        <v>163</v>
      </c>
      <c r="B193">
        <v>2019</v>
      </c>
      <c r="C193">
        <v>2115</v>
      </c>
    </row>
    <row r="194" spans="1:3">
      <c r="A194" t="s">
        <v>163</v>
      </c>
      <c r="B194">
        <v>2020</v>
      </c>
      <c r="C194">
        <v>2189</v>
      </c>
    </row>
    <row r="195" spans="1:3">
      <c r="A195" t="s">
        <v>163</v>
      </c>
      <c r="B195">
        <v>2021</v>
      </c>
      <c r="C195">
        <v>2198</v>
      </c>
    </row>
    <row r="196" spans="1:3">
      <c r="A196" t="s">
        <v>163</v>
      </c>
      <c r="B196">
        <v>2022</v>
      </c>
      <c r="C196">
        <v>2144</v>
      </c>
    </row>
    <row r="197" spans="1:3">
      <c r="A197" t="s">
        <v>163</v>
      </c>
      <c r="B197">
        <v>2023</v>
      </c>
      <c r="C197">
        <v>2177</v>
      </c>
    </row>
    <row r="198" spans="1:3">
      <c r="A198" t="s">
        <v>163</v>
      </c>
      <c r="B198">
        <v>2024</v>
      </c>
      <c r="C198">
        <v>2203</v>
      </c>
    </row>
    <row r="199" spans="1:3">
      <c r="A199" t="s">
        <v>163</v>
      </c>
      <c r="B199">
        <v>2025</v>
      </c>
      <c r="C199">
        <v>2458</v>
      </c>
    </row>
    <row r="200" spans="1:3">
      <c r="A200" t="s">
        <v>164</v>
      </c>
      <c r="B200">
        <v>2015</v>
      </c>
      <c r="C200">
        <v>1404</v>
      </c>
    </row>
    <row r="201" spans="1:3">
      <c r="A201" t="s">
        <v>164</v>
      </c>
      <c r="B201">
        <v>2016</v>
      </c>
      <c r="C201">
        <v>1366</v>
      </c>
    </row>
    <row r="202" spans="1:3">
      <c r="A202" t="s">
        <v>164</v>
      </c>
      <c r="B202">
        <v>2017</v>
      </c>
      <c r="C202">
        <v>1346</v>
      </c>
    </row>
    <row r="203" spans="1:3">
      <c r="A203" t="s">
        <v>164</v>
      </c>
      <c r="B203">
        <v>2018</v>
      </c>
      <c r="C203">
        <v>1343</v>
      </c>
    </row>
    <row r="204" spans="1:3">
      <c r="A204" t="s">
        <v>164</v>
      </c>
      <c r="B204">
        <v>2019</v>
      </c>
      <c r="C204">
        <v>1309</v>
      </c>
    </row>
    <row r="205" spans="1:3">
      <c r="A205" t="s">
        <v>164</v>
      </c>
      <c r="B205">
        <v>2020</v>
      </c>
      <c r="C205">
        <v>1407</v>
      </c>
    </row>
    <row r="206" spans="1:3">
      <c r="A206" t="s">
        <v>164</v>
      </c>
      <c r="B206">
        <v>2021</v>
      </c>
      <c r="C206">
        <v>1359</v>
      </c>
    </row>
    <row r="207" spans="1:3">
      <c r="A207" t="s">
        <v>164</v>
      </c>
      <c r="B207">
        <v>2022</v>
      </c>
      <c r="C207">
        <v>1301</v>
      </c>
    </row>
    <row r="208" spans="1:3">
      <c r="A208" t="s">
        <v>164</v>
      </c>
      <c r="B208">
        <v>2023</v>
      </c>
      <c r="C208">
        <v>1610</v>
      </c>
    </row>
    <row r="209" spans="1:3">
      <c r="A209" t="s">
        <v>164</v>
      </c>
      <c r="B209">
        <v>2024</v>
      </c>
      <c r="C209">
        <v>1747</v>
      </c>
    </row>
    <row r="210" spans="1:3">
      <c r="A210" t="s">
        <v>164</v>
      </c>
      <c r="B210">
        <v>2025</v>
      </c>
      <c r="C210">
        <v>1784</v>
      </c>
    </row>
    <row r="211" spans="1:3">
      <c r="A211" t="s">
        <v>165</v>
      </c>
      <c r="B211">
        <v>2015</v>
      </c>
      <c r="C211">
        <v>7800</v>
      </c>
    </row>
    <row r="212" spans="1:3">
      <c r="A212" t="s">
        <v>165</v>
      </c>
      <c r="B212">
        <v>2016</v>
      </c>
      <c r="C212">
        <v>7868</v>
      </c>
    </row>
    <row r="213" spans="1:3">
      <c r="A213" t="s">
        <v>165</v>
      </c>
      <c r="B213">
        <v>2017</v>
      </c>
      <c r="C213">
        <v>8129</v>
      </c>
    </row>
    <row r="214" spans="1:3">
      <c r="A214" t="s">
        <v>165</v>
      </c>
      <c r="B214">
        <v>2018</v>
      </c>
      <c r="C214">
        <v>8093</v>
      </c>
    </row>
    <row r="215" spans="1:3">
      <c r="A215" t="s">
        <v>165</v>
      </c>
      <c r="B215">
        <v>2019</v>
      </c>
      <c r="C215">
        <v>8167</v>
      </c>
    </row>
    <row r="216" spans="1:3">
      <c r="A216" t="s">
        <v>165</v>
      </c>
      <c r="B216">
        <v>2020</v>
      </c>
      <c r="C216">
        <v>8740</v>
      </c>
    </row>
    <row r="217" spans="1:3">
      <c r="A217" t="s">
        <v>165</v>
      </c>
      <c r="B217">
        <v>2021</v>
      </c>
      <c r="C217">
        <v>8321</v>
      </c>
    </row>
    <row r="218" spans="1:3">
      <c r="A218" t="s">
        <v>165</v>
      </c>
      <c r="B218">
        <v>2022</v>
      </c>
      <c r="C218">
        <v>7991</v>
      </c>
    </row>
    <row r="219" spans="1:3">
      <c r="A219" t="s">
        <v>165</v>
      </c>
      <c r="B219">
        <v>2023</v>
      </c>
      <c r="C219">
        <v>8020</v>
      </c>
    </row>
    <row r="220" spans="1:3">
      <c r="A220" t="s">
        <v>165</v>
      </c>
      <c r="B220">
        <v>2024</v>
      </c>
      <c r="C220">
        <v>7887</v>
      </c>
    </row>
    <row r="221" spans="1:3">
      <c r="A221" t="s">
        <v>165</v>
      </c>
      <c r="B221">
        <v>2025</v>
      </c>
      <c r="C221">
        <v>7790</v>
      </c>
    </row>
    <row r="222" spans="1:3">
      <c r="A222" t="s">
        <v>166</v>
      </c>
      <c r="B222">
        <v>2015</v>
      </c>
      <c r="C222">
        <v>8917</v>
      </c>
    </row>
    <row r="223" spans="1:3">
      <c r="A223" t="s">
        <v>166</v>
      </c>
      <c r="B223">
        <v>2016</v>
      </c>
      <c r="C223">
        <v>8819</v>
      </c>
    </row>
    <row r="224" spans="1:3">
      <c r="A224" t="s">
        <v>166</v>
      </c>
      <c r="B224">
        <v>2017</v>
      </c>
      <c r="C224">
        <v>9050</v>
      </c>
    </row>
    <row r="225" spans="1:3">
      <c r="A225" t="s">
        <v>166</v>
      </c>
      <c r="B225">
        <v>2018</v>
      </c>
      <c r="C225">
        <v>8660</v>
      </c>
    </row>
    <row r="226" spans="1:3">
      <c r="A226" t="s">
        <v>166</v>
      </c>
      <c r="B226">
        <v>2019</v>
      </c>
      <c r="C226">
        <v>8879</v>
      </c>
    </row>
    <row r="227" spans="1:3">
      <c r="A227" t="s">
        <v>166</v>
      </c>
      <c r="B227">
        <v>2020</v>
      </c>
      <c r="C227">
        <v>8936</v>
      </c>
    </row>
    <row r="228" spans="1:3">
      <c r="A228" t="s">
        <v>166</v>
      </c>
      <c r="B228">
        <v>2021</v>
      </c>
      <c r="C228">
        <v>8955</v>
      </c>
    </row>
    <row r="229" spans="1:3">
      <c r="A229" t="s">
        <v>166</v>
      </c>
      <c r="B229">
        <v>2022</v>
      </c>
      <c r="C229">
        <v>9265</v>
      </c>
    </row>
    <row r="230" spans="1:3">
      <c r="A230" t="s">
        <v>166</v>
      </c>
      <c r="B230">
        <v>2023</v>
      </c>
      <c r="C230">
        <v>8945</v>
      </c>
    </row>
    <row r="231" spans="1:3">
      <c r="A231" t="s">
        <v>166</v>
      </c>
      <c r="B231">
        <v>2024</v>
      </c>
      <c r="C231">
        <v>9110</v>
      </c>
    </row>
    <row r="232" spans="1:3">
      <c r="A232" t="s">
        <v>166</v>
      </c>
      <c r="B232">
        <v>2025</v>
      </c>
      <c r="C232">
        <v>9281</v>
      </c>
    </row>
    <row r="233" spans="1:3">
      <c r="A233" t="s">
        <v>167</v>
      </c>
      <c r="B233">
        <v>2015</v>
      </c>
      <c r="C233">
        <v>608</v>
      </c>
    </row>
    <row r="234" spans="1:3">
      <c r="A234" t="s">
        <v>167</v>
      </c>
      <c r="B234">
        <v>2016</v>
      </c>
      <c r="C234">
        <v>608</v>
      </c>
    </row>
    <row r="235" spans="1:3">
      <c r="A235" t="s">
        <v>167</v>
      </c>
      <c r="B235">
        <v>2017</v>
      </c>
      <c r="C235">
        <v>514</v>
      </c>
    </row>
    <row r="236" spans="1:3">
      <c r="A236" t="s">
        <v>167</v>
      </c>
      <c r="B236">
        <v>2018</v>
      </c>
      <c r="C236">
        <v>541</v>
      </c>
    </row>
    <row r="237" spans="1:3">
      <c r="A237" t="s">
        <v>167</v>
      </c>
      <c r="B237">
        <v>2019</v>
      </c>
      <c r="C237">
        <v>638</v>
      </c>
    </row>
    <row r="238" spans="1:3">
      <c r="A238" t="s">
        <v>167</v>
      </c>
      <c r="B238">
        <v>2020</v>
      </c>
      <c r="C238">
        <v>795</v>
      </c>
    </row>
    <row r="239" spans="1:3">
      <c r="A239" t="s">
        <v>167</v>
      </c>
      <c r="B239">
        <v>2021</v>
      </c>
      <c r="C239">
        <v>725</v>
      </c>
    </row>
    <row r="240" spans="1:3">
      <c r="A240" t="s">
        <v>167</v>
      </c>
      <c r="B240">
        <v>2022</v>
      </c>
      <c r="C240">
        <v>723</v>
      </c>
    </row>
    <row r="241" spans="1:3">
      <c r="A241" t="s">
        <v>167</v>
      </c>
      <c r="B241">
        <v>2023</v>
      </c>
      <c r="C241">
        <v>724</v>
      </c>
    </row>
    <row r="242" spans="1:3">
      <c r="A242" t="s">
        <v>167</v>
      </c>
      <c r="B242">
        <v>2024</v>
      </c>
      <c r="C242">
        <v>718</v>
      </c>
    </row>
    <row r="243" spans="1:3">
      <c r="A243" t="s">
        <v>167</v>
      </c>
      <c r="B243">
        <v>2025</v>
      </c>
      <c r="C243">
        <v>1028</v>
      </c>
    </row>
    <row r="244" spans="1:3">
      <c r="A244" t="s">
        <v>168</v>
      </c>
      <c r="B244">
        <v>2015</v>
      </c>
      <c r="C244">
        <v>488</v>
      </c>
    </row>
    <row r="245" spans="1:3">
      <c r="A245" t="s">
        <v>168</v>
      </c>
      <c r="B245">
        <v>2016</v>
      </c>
      <c r="C245">
        <v>501</v>
      </c>
    </row>
    <row r="246" spans="1:3">
      <c r="A246" t="s">
        <v>168</v>
      </c>
      <c r="B246">
        <v>2017</v>
      </c>
      <c r="C246">
        <v>554</v>
      </c>
    </row>
    <row r="247" spans="1:3">
      <c r="A247" t="s">
        <v>168</v>
      </c>
      <c r="B247">
        <v>2018</v>
      </c>
      <c r="C247">
        <v>560</v>
      </c>
    </row>
    <row r="248" spans="1:3">
      <c r="A248" t="s">
        <v>168</v>
      </c>
      <c r="B248">
        <v>2019</v>
      </c>
      <c r="C248">
        <v>551</v>
      </c>
    </row>
    <row r="249" spans="1:3">
      <c r="A249" t="s">
        <v>168</v>
      </c>
      <c r="B249">
        <v>2020</v>
      </c>
      <c r="C249">
        <v>539</v>
      </c>
    </row>
    <row r="250" spans="1:3">
      <c r="A250" t="s">
        <v>168</v>
      </c>
      <c r="B250">
        <v>2021</v>
      </c>
      <c r="C250">
        <v>585</v>
      </c>
    </row>
    <row r="251" spans="1:3">
      <c r="A251" t="s">
        <v>168</v>
      </c>
      <c r="B251">
        <v>2022</v>
      </c>
      <c r="C251">
        <v>640</v>
      </c>
    </row>
    <row r="252" spans="1:3">
      <c r="A252" t="s">
        <v>168</v>
      </c>
      <c r="B252">
        <v>2023</v>
      </c>
      <c r="C252">
        <v>622</v>
      </c>
    </row>
    <row r="253" spans="1:3">
      <c r="A253" t="s">
        <v>168</v>
      </c>
      <c r="B253">
        <v>2024</v>
      </c>
      <c r="C253">
        <v>541</v>
      </c>
    </row>
    <row r="254" spans="1:3">
      <c r="A254" t="s">
        <v>168</v>
      </c>
      <c r="B254">
        <v>2025</v>
      </c>
      <c r="C254">
        <v>553</v>
      </c>
    </row>
    <row r="255" spans="1:3">
      <c r="A255" t="s">
        <v>169</v>
      </c>
      <c r="B255">
        <v>2015</v>
      </c>
      <c r="C255">
        <v>2275</v>
      </c>
    </row>
    <row r="256" spans="1:3">
      <c r="A256" t="s">
        <v>169</v>
      </c>
      <c r="B256">
        <v>2016</v>
      </c>
      <c r="C256">
        <v>2477</v>
      </c>
    </row>
    <row r="257" spans="1:3">
      <c r="A257" t="s">
        <v>169</v>
      </c>
      <c r="B257">
        <v>2017</v>
      </c>
      <c r="C257">
        <v>2422</v>
      </c>
    </row>
    <row r="258" spans="1:3">
      <c r="A258" t="s">
        <v>169</v>
      </c>
      <c r="B258">
        <v>2018</v>
      </c>
      <c r="C258">
        <v>2408</v>
      </c>
    </row>
    <row r="259" spans="1:3">
      <c r="A259" t="s">
        <v>169</v>
      </c>
      <c r="B259">
        <v>2019</v>
      </c>
      <c r="C259">
        <v>2396</v>
      </c>
    </row>
    <row r="260" spans="1:3">
      <c r="A260" t="s">
        <v>169</v>
      </c>
      <c r="B260">
        <v>2020</v>
      </c>
      <c r="C260">
        <v>2388</v>
      </c>
    </row>
    <row r="261" spans="1:3">
      <c r="A261" t="s">
        <v>169</v>
      </c>
      <c r="B261">
        <v>2021</v>
      </c>
      <c r="C261">
        <v>2490</v>
      </c>
    </row>
    <row r="262" spans="1:3">
      <c r="A262" t="s">
        <v>169</v>
      </c>
      <c r="B262">
        <v>2022</v>
      </c>
      <c r="C262">
        <v>2482</v>
      </c>
    </row>
    <row r="263" spans="1:3">
      <c r="A263" t="s">
        <v>169</v>
      </c>
      <c r="B263">
        <v>2023</v>
      </c>
      <c r="C263">
        <v>2501</v>
      </c>
    </row>
    <row r="264" spans="1:3">
      <c r="A264" t="s">
        <v>169</v>
      </c>
      <c r="B264">
        <v>2024</v>
      </c>
      <c r="C264">
        <v>2444</v>
      </c>
    </row>
    <row r="265" spans="1:3">
      <c r="A265" t="s">
        <v>169</v>
      </c>
      <c r="B265">
        <v>2025</v>
      </c>
      <c r="C265">
        <v>2450</v>
      </c>
    </row>
    <row r="266" spans="1:3">
      <c r="A266" t="s">
        <v>170</v>
      </c>
      <c r="B266">
        <v>2015</v>
      </c>
      <c r="C266">
        <v>1160</v>
      </c>
    </row>
    <row r="267" spans="1:3">
      <c r="A267" t="s">
        <v>170</v>
      </c>
      <c r="B267">
        <v>2016</v>
      </c>
      <c r="C267">
        <v>1092</v>
      </c>
    </row>
    <row r="268" spans="1:3">
      <c r="A268" t="s">
        <v>170</v>
      </c>
      <c r="B268">
        <v>2017</v>
      </c>
      <c r="C268">
        <v>1090</v>
      </c>
    </row>
    <row r="269" spans="1:3">
      <c r="A269" t="s">
        <v>170</v>
      </c>
      <c r="B269">
        <v>2018</v>
      </c>
      <c r="C269">
        <v>904</v>
      </c>
    </row>
    <row r="270" spans="1:3">
      <c r="A270" t="s">
        <v>170</v>
      </c>
      <c r="B270">
        <v>2019</v>
      </c>
      <c r="C270">
        <v>945</v>
      </c>
    </row>
    <row r="271" spans="1:3">
      <c r="A271" t="s">
        <v>170</v>
      </c>
      <c r="B271">
        <v>2020</v>
      </c>
      <c r="C271">
        <v>898</v>
      </c>
    </row>
    <row r="272" spans="1:3">
      <c r="A272" t="s">
        <v>170</v>
      </c>
      <c r="B272">
        <v>2021</v>
      </c>
      <c r="C272">
        <v>982</v>
      </c>
    </row>
    <row r="273" spans="1:3">
      <c r="A273" t="s">
        <v>170</v>
      </c>
      <c r="B273">
        <v>2022</v>
      </c>
      <c r="C273">
        <v>1004</v>
      </c>
    </row>
    <row r="274" spans="1:3">
      <c r="A274" t="s">
        <v>170</v>
      </c>
      <c r="B274">
        <v>2023</v>
      </c>
      <c r="C274">
        <v>1008</v>
      </c>
    </row>
    <row r="275" spans="1:3">
      <c r="A275" t="s">
        <v>170</v>
      </c>
      <c r="B275">
        <v>2024</v>
      </c>
      <c r="C275">
        <v>1045</v>
      </c>
    </row>
    <row r="276" spans="1:3">
      <c r="A276" t="s">
        <v>170</v>
      </c>
      <c r="B276">
        <v>2025</v>
      </c>
      <c r="C276">
        <v>1078</v>
      </c>
    </row>
    <row r="277" spans="1:3">
      <c r="A277" t="s">
        <v>171</v>
      </c>
      <c r="B277">
        <v>2015</v>
      </c>
      <c r="C277">
        <v>1281</v>
      </c>
    </row>
    <row r="278" spans="1:3">
      <c r="A278" t="s">
        <v>171</v>
      </c>
      <c r="B278">
        <v>2016</v>
      </c>
      <c r="C278">
        <v>1284</v>
      </c>
    </row>
    <row r="279" spans="1:3">
      <c r="A279" t="s">
        <v>171</v>
      </c>
      <c r="B279">
        <v>2017</v>
      </c>
      <c r="C279">
        <v>1288</v>
      </c>
    </row>
    <row r="280" spans="1:3">
      <c r="A280" t="s">
        <v>171</v>
      </c>
      <c r="B280">
        <v>2018</v>
      </c>
      <c r="C280">
        <v>1191</v>
      </c>
    </row>
    <row r="281" spans="1:3">
      <c r="A281" t="s">
        <v>171</v>
      </c>
      <c r="B281">
        <v>2019</v>
      </c>
      <c r="C281">
        <v>1272</v>
      </c>
    </row>
    <row r="282" spans="1:3">
      <c r="A282" t="s">
        <v>171</v>
      </c>
      <c r="B282">
        <v>2020</v>
      </c>
      <c r="C282">
        <v>1415</v>
      </c>
    </row>
    <row r="283" spans="1:3">
      <c r="A283" t="s">
        <v>171</v>
      </c>
      <c r="B283">
        <v>2021</v>
      </c>
      <c r="C283">
        <v>1507</v>
      </c>
    </row>
    <row r="284" spans="1:3">
      <c r="A284" t="s">
        <v>171</v>
      </c>
      <c r="B284">
        <v>2022</v>
      </c>
      <c r="C284">
        <v>1439</v>
      </c>
    </row>
    <row r="285" spans="1:3">
      <c r="A285" t="s">
        <v>171</v>
      </c>
      <c r="B285">
        <v>2023</v>
      </c>
      <c r="C285">
        <v>1442</v>
      </c>
    </row>
    <row r="286" spans="1:3">
      <c r="A286" t="s">
        <v>171</v>
      </c>
      <c r="B286">
        <v>2024</v>
      </c>
      <c r="C286">
        <v>1489</v>
      </c>
    </row>
    <row r="287" spans="1:3">
      <c r="A287" t="s">
        <v>171</v>
      </c>
      <c r="B287">
        <v>2025</v>
      </c>
      <c r="C287">
        <v>1487</v>
      </c>
    </row>
    <row r="288" spans="1:3">
      <c r="A288" t="s">
        <v>172</v>
      </c>
      <c r="B288">
        <v>2015</v>
      </c>
      <c r="C288">
        <v>727</v>
      </c>
    </row>
    <row r="289" spans="1:3">
      <c r="A289" t="s">
        <v>172</v>
      </c>
      <c r="B289">
        <v>2016</v>
      </c>
      <c r="C289">
        <v>759</v>
      </c>
    </row>
    <row r="290" spans="1:3">
      <c r="A290" t="s">
        <v>172</v>
      </c>
      <c r="B290">
        <v>2017</v>
      </c>
      <c r="C290">
        <v>755</v>
      </c>
    </row>
    <row r="291" spans="1:3">
      <c r="A291" t="s">
        <v>172</v>
      </c>
      <c r="B291">
        <v>2018</v>
      </c>
      <c r="C291">
        <v>699</v>
      </c>
    </row>
    <row r="292" spans="1:3">
      <c r="A292" t="s">
        <v>172</v>
      </c>
      <c r="B292">
        <v>2019</v>
      </c>
      <c r="C292">
        <v>755</v>
      </c>
    </row>
    <row r="293" spans="1:3">
      <c r="A293" t="s">
        <v>172</v>
      </c>
      <c r="B293">
        <v>2020</v>
      </c>
      <c r="C293">
        <v>586</v>
      </c>
    </row>
    <row r="294" spans="1:3">
      <c r="A294" t="s">
        <v>172</v>
      </c>
      <c r="B294">
        <v>2021</v>
      </c>
      <c r="C294">
        <v>651</v>
      </c>
    </row>
    <row r="295" spans="1:3">
      <c r="A295" t="s">
        <v>172</v>
      </c>
      <c r="B295">
        <v>2022</v>
      </c>
      <c r="C295">
        <v>767</v>
      </c>
    </row>
    <row r="296" spans="1:3">
      <c r="A296" t="s">
        <v>172</v>
      </c>
      <c r="B296">
        <v>2023</v>
      </c>
      <c r="C296">
        <v>900</v>
      </c>
    </row>
    <row r="297" spans="1:3">
      <c r="A297" t="s">
        <v>172</v>
      </c>
      <c r="B297">
        <v>2024</v>
      </c>
      <c r="C297">
        <v>1056</v>
      </c>
    </row>
    <row r="298" spans="1:3">
      <c r="A298" t="s">
        <v>172</v>
      </c>
      <c r="B298">
        <v>2025</v>
      </c>
      <c r="C298">
        <v>1046</v>
      </c>
    </row>
    <row r="299" spans="1:3">
      <c r="A299" t="s">
        <v>173</v>
      </c>
      <c r="B299">
        <v>2015</v>
      </c>
      <c r="C299">
        <v>780</v>
      </c>
    </row>
    <row r="300" spans="1:3">
      <c r="A300" t="s">
        <v>173</v>
      </c>
      <c r="B300">
        <v>2016</v>
      </c>
      <c r="C300">
        <v>803</v>
      </c>
    </row>
    <row r="301" spans="1:3">
      <c r="A301" t="s">
        <v>173</v>
      </c>
      <c r="B301">
        <v>2017</v>
      </c>
      <c r="C301">
        <v>794</v>
      </c>
    </row>
    <row r="302" spans="1:3">
      <c r="A302" t="s">
        <v>173</v>
      </c>
      <c r="B302">
        <v>2018</v>
      </c>
      <c r="C302">
        <v>865</v>
      </c>
    </row>
    <row r="303" spans="1:3">
      <c r="A303" t="s">
        <v>173</v>
      </c>
      <c r="B303">
        <v>2019</v>
      </c>
      <c r="C303">
        <v>876</v>
      </c>
    </row>
    <row r="304" spans="1:3">
      <c r="A304" t="s">
        <v>173</v>
      </c>
      <c r="B304">
        <v>2020</v>
      </c>
      <c r="C304">
        <v>1016</v>
      </c>
    </row>
    <row r="305" spans="1:3">
      <c r="A305" t="s">
        <v>173</v>
      </c>
      <c r="B305">
        <v>2021</v>
      </c>
      <c r="C305">
        <v>1035</v>
      </c>
    </row>
    <row r="306" spans="1:3">
      <c r="A306" t="s">
        <v>173</v>
      </c>
      <c r="B306">
        <v>2022</v>
      </c>
      <c r="C306">
        <v>1046</v>
      </c>
    </row>
    <row r="307" spans="1:3">
      <c r="A307" t="s">
        <v>173</v>
      </c>
      <c r="B307">
        <v>2023</v>
      </c>
      <c r="C307">
        <v>1102</v>
      </c>
    </row>
    <row r="308" spans="1:3">
      <c r="A308" t="s">
        <v>173</v>
      </c>
      <c r="B308">
        <v>2024</v>
      </c>
      <c r="C308">
        <v>1132</v>
      </c>
    </row>
    <row r="309" spans="1:3">
      <c r="A309" t="s">
        <v>173</v>
      </c>
      <c r="B309">
        <v>2025</v>
      </c>
      <c r="C309">
        <v>1126</v>
      </c>
    </row>
    <row r="310" spans="1:3">
      <c r="A310" t="s">
        <v>174</v>
      </c>
      <c r="B310">
        <v>2015</v>
      </c>
      <c r="C310">
        <v>402</v>
      </c>
    </row>
    <row r="311" spans="1:3">
      <c r="A311" t="s">
        <v>174</v>
      </c>
      <c r="B311">
        <v>2016</v>
      </c>
      <c r="C311">
        <v>348</v>
      </c>
    </row>
    <row r="312" spans="1:3">
      <c r="A312" t="s">
        <v>174</v>
      </c>
      <c r="B312">
        <v>2017</v>
      </c>
      <c r="C312">
        <v>331</v>
      </c>
    </row>
    <row r="313" spans="1:3">
      <c r="A313" t="s">
        <v>174</v>
      </c>
      <c r="B313">
        <v>2018</v>
      </c>
      <c r="C313">
        <v>285</v>
      </c>
    </row>
    <row r="314" spans="1:3">
      <c r="A314" t="s">
        <v>174</v>
      </c>
      <c r="B314">
        <v>2019</v>
      </c>
      <c r="C314">
        <v>285</v>
      </c>
    </row>
    <row r="315" spans="1:3">
      <c r="A315" t="s">
        <v>174</v>
      </c>
      <c r="B315">
        <v>2020</v>
      </c>
      <c r="C315">
        <v>405</v>
      </c>
    </row>
    <row r="316" spans="1:3">
      <c r="A316" t="s">
        <v>174</v>
      </c>
      <c r="B316">
        <v>2021</v>
      </c>
      <c r="C316">
        <v>432</v>
      </c>
    </row>
    <row r="317" spans="1:3">
      <c r="A317" t="s">
        <v>174</v>
      </c>
      <c r="B317">
        <v>2022</v>
      </c>
      <c r="C317">
        <v>535</v>
      </c>
    </row>
    <row r="318" spans="1:3">
      <c r="A318" t="s">
        <v>174</v>
      </c>
      <c r="B318">
        <v>2023</v>
      </c>
      <c r="C318">
        <v>360</v>
      </c>
    </row>
    <row r="319" spans="1:3">
      <c r="A319" t="s">
        <v>174</v>
      </c>
      <c r="B319">
        <v>2024</v>
      </c>
      <c r="C319">
        <v>417</v>
      </c>
    </row>
    <row r="320" spans="1:3">
      <c r="A320" t="s">
        <v>174</v>
      </c>
      <c r="B320">
        <v>2025</v>
      </c>
      <c r="C320">
        <v>433</v>
      </c>
    </row>
    <row r="321" spans="1:3">
      <c r="A321" t="s">
        <v>175</v>
      </c>
      <c r="B321">
        <v>2015</v>
      </c>
      <c r="C321">
        <v>1812</v>
      </c>
    </row>
    <row r="322" spans="1:3">
      <c r="A322" t="s">
        <v>175</v>
      </c>
      <c r="B322">
        <v>2016</v>
      </c>
      <c r="C322">
        <v>1753</v>
      </c>
    </row>
    <row r="323" spans="1:3">
      <c r="A323" t="s">
        <v>175</v>
      </c>
      <c r="B323">
        <v>2017</v>
      </c>
      <c r="C323">
        <v>1799</v>
      </c>
    </row>
    <row r="324" spans="1:3">
      <c r="A324" t="s">
        <v>175</v>
      </c>
      <c r="B324">
        <v>2018</v>
      </c>
      <c r="C324">
        <v>1666</v>
      </c>
    </row>
    <row r="325" spans="1:3">
      <c r="A325" t="s">
        <v>175</v>
      </c>
      <c r="B325">
        <v>2019</v>
      </c>
      <c r="C325">
        <v>1664</v>
      </c>
    </row>
    <row r="326" spans="1:3">
      <c r="A326" t="s">
        <v>175</v>
      </c>
      <c r="B326">
        <v>2020</v>
      </c>
      <c r="C326">
        <v>1709</v>
      </c>
    </row>
    <row r="327" spans="1:3">
      <c r="A327" t="s">
        <v>175</v>
      </c>
      <c r="B327">
        <v>2021</v>
      </c>
      <c r="C327">
        <v>1732</v>
      </c>
    </row>
    <row r="328" spans="1:3">
      <c r="A328" t="s">
        <v>175</v>
      </c>
      <c r="B328">
        <v>2022</v>
      </c>
      <c r="C328">
        <v>1568</v>
      </c>
    </row>
    <row r="329" spans="1:3">
      <c r="A329" t="s">
        <v>175</v>
      </c>
      <c r="B329">
        <v>2023</v>
      </c>
      <c r="C329">
        <v>1671</v>
      </c>
    </row>
    <row r="330" spans="1:3">
      <c r="A330" t="s">
        <v>175</v>
      </c>
      <c r="B330">
        <v>2024</v>
      </c>
      <c r="C330">
        <v>1610</v>
      </c>
    </row>
    <row r="331" spans="1:3">
      <c r="A331" t="s">
        <v>175</v>
      </c>
      <c r="B331">
        <v>2025</v>
      </c>
      <c r="C331">
        <v>1566</v>
      </c>
    </row>
    <row r="332" spans="1:3">
      <c r="A332" t="s">
        <v>176</v>
      </c>
      <c r="B332">
        <v>2015</v>
      </c>
      <c r="C332">
        <v>1168</v>
      </c>
    </row>
    <row r="333" spans="1:3">
      <c r="A333" t="s">
        <v>176</v>
      </c>
      <c r="B333">
        <v>2016</v>
      </c>
      <c r="C333">
        <v>1136</v>
      </c>
    </row>
    <row r="334" spans="1:3">
      <c r="A334" t="s">
        <v>176</v>
      </c>
      <c r="B334">
        <v>2017</v>
      </c>
      <c r="C334">
        <v>1042</v>
      </c>
    </row>
    <row r="335" spans="1:3">
      <c r="A335" t="s">
        <v>176</v>
      </c>
      <c r="B335">
        <v>2018</v>
      </c>
      <c r="C335">
        <v>1064</v>
      </c>
    </row>
    <row r="336" spans="1:3">
      <c r="A336" t="s">
        <v>176</v>
      </c>
      <c r="B336">
        <v>2019</v>
      </c>
      <c r="C336">
        <v>868</v>
      </c>
    </row>
    <row r="337" spans="1:3">
      <c r="A337" t="s">
        <v>176</v>
      </c>
      <c r="B337">
        <v>2020</v>
      </c>
      <c r="C337">
        <v>1098</v>
      </c>
    </row>
    <row r="338" spans="1:3">
      <c r="A338" t="s">
        <v>176</v>
      </c>
      <c r="B338">
        <v>2021</v>
      </c>
      <c r="C338">
        <v>1123</v>
      </c>
    </row>
    <row r="339" spans="1:3">
      <c r="A339" t="s">
        <v>176</v>
      </c>
      <c r="B339">
        <v>2022</v>
      </c>
      <c r="C339">
        <v>1341</v>
      </c>
    </row>
    <row r="340" spans="1:3">
      <c r="A340" t="s">
        <v>176</v>
      </c>
      <c r="B340">
        <v>2023</v>
      </c>
      <c r="C340">
        <v>1163</v>
      </c>
    </row>
    <row r="341" spans="1:3">
      <c r="A341" t="s">
        <v>176</v>
      </c>
      <c r="B341">
        <v>2024</v>
      </c>
      <c r="C341">
        <v>1333</v>
      </c>
    </row>
    <row r="342" spans="1:3">
      <c r="A342" t="s">
        <v>176</v>
      </c>
      <c r="B342">
        <v>2025</v>
      </c>
      <c r="C342">
        <v>1224</v>
      </c>
    </row>
    <row r="343" spans="1:3">
      <c r="A343" t="s">
        <v>177</v>
      </c>
      <c r="B343">
        <v>2015</v>
      </c>
      <c r="C343">
        <v>2642</v>
      </c>
    </row>
    <row r="344" spans="1:3">
      <c r="A344" t="s">
        <v>177</v>
      </c>
      <c r="B344">
        <v>2016</v>
      </c>
      <c r="C344">
        <v>2619</v>
      </c>
    </row>
    <row r="345" spans="1:3">
      <c r="A345" t="s">
        <v>177</v>
      </c>
      <c r="B345">
        <v>2017</v>
      </c>
      <c r="C345">
        <v>2559</v>
      </c>
    </row>
    <row r="346" spans="1:3">
      <c r="A346" t="s">
        <v>177</v>
      </c>
      <c r="B346">
        <v>2018</v>
      </c>
      <c r="C346">
        <v>2467</v>
      </c>
    </row>
    <row r="347" spans="1:3">
      <c r="A347" t="s">
        <v>177</v>
      </c>
      <c r="B347">
        <v>2019</v>
      </c>
      <c r="C347">
        <v>2498</v>
      </c>
    </row>
    <row r="348" spans="1:3">
      <c r="A348" t="s">
        <v>177</v>
      </c>
      <c r="B348">
        <v>2020</v>
      </c>
      <c r="C348">
        <v>2110</v>
      </c>
    </row>
    <row r="349" spans="1:3">
      <c r="A349" t="s">
        <v>177</v>
      </c>
      <c r="B349">
        <v>2021</v>
      </c>
      <c r="C349">
        <v>1840</v>
      </c>
    </row>
    <row r="350" spans="1:3">
      <c r="A350" t="s">
        <v>177</v>
      </c>
      <c r="B350">
        <v>2022</v>
      </c>
      <c r="C350">
        <v>1995</v>
      </c>
    </row>
    <row r="351" spans="1:3">
      <c r="A351" t="s">
        <v>177</v>
      </c>
      <c r="B351">
        <v>2023</v>
      </c>
      <c r="C351">
        <v>2382</v>
      </c>
    </row>
    <row r="352" spans="1:3">
      <c r="A352" t="s">
        <v>177</v>
      </c>
      <c r="B352">
        <v>2024</v>
      </c>
      <c r="C352">
        <v>2120</v>
      </c>
    </row>
    <row r="353" spans="1:3">
      <c r="A353" t="s">
        <v>177</v>
      </c>
      <c r="B353">
        <v>2025</v>
      </c>
      <c r="C353">
        <v>2180</v>
      </c>
    </row>
    <row r="354" spans="1:3">
      <c r="A354" t="s">
        <v>178</v>
      </c>
      <c r="B354">
        <v>2015</v>
      </c>
      <c r="C354">
        <v>945</v>
      </c>
    </row>
    <row r="355" spans="1:3">
      <c r="A355" t="s">
        <v>178</v>
      </c>
      <c r="B355">
        <v>2016</v>
      </c>
      <c r="C355">
        <v>952</v>
      </c>
    </row>
    <row r="356" spans="1:3">
      <c r="A356" t="s">
        <v>178</v>
      </c>
      <c r="B356">
        <v>2017</v>
      </c>
      <c r="C356">
        <v>997</v>
      </c>
    </row>
    <row r="357" spans="1:3">
      <c r="A357" t="s">
        <v>178</v>
      </c>
      <c r="B357">
        <v>2018</v>
      </c>
      <c r="C357">
        <v>933</v>
      </c>
    </row>
    <row r="358" spans="1:3">
      <c r="A358" t="s">
        <v>178</v>
      </c>
      <c r="B358">
        <v>2019</v>
      </c>
      <c r="C358">
        <v>971</v>
      </c>
    </row>
    <row r="359" spans="1:3">
      <c r="A359" t="s">
        <v>178</v>
      </c>
      <c r="B359">
        <v>2020</v>
      </c>
      <c r="C359">
        <v>915</v>
      </c>
    </row>
    <row r="360" spans="1:3">
      <c r="A360" t="s">
        <v>178</v>
      </c>
      <c r="B360">
        <v>2021</v>
      </c>
      <c r="C360">
        <v>976</v>
      </c>
    </row>
    <row r="361" spans="1:3">
      <c r="A361" t="s">
        <v>178</v>
      </c>
      <c r="B361">
        <v>2022</v>
      </c>
      <c r="C361">
        <v>1165</v>
      </c>
    </row>
    <row r="362" spans="1:3">
      <c r="A362" t="s">
        <v>178</v>
      </c>
      <c r="B362">
        <v>2023</v>
      </c>
      <c r="C362">
        <v>1163</v>
      </c>
    </row>
    <row r="363" spans="1:3">
      <c r="A363" t="s">
        <v>178</v>
      </c>
      <c r="B363">
        <v>2024</v>
      </c>
      <c r="C363">
        <v>886</v>
      </c>
    </row>
    <row r="364" spans="1:3">
      <c r="A364" t="s">
        <v>178</v>
      </c>
      <c r="B364">
        <v>2025</v>
      </c>
      <c r="C364">
        <v>949</v>
      </c>
    </row>
    <row r="365" spans="1:3">
      <c r="A365" t="s">
        <v>179</v>
      </c>
      <c r="B365">
        <v>2015</v>
      </c>
      <c r="C365">
        <v>18420</v>
      </c>
    </row>
    <row r="366" spans="1:3">
      <c r="A366" t="s">
        <v>179</v>
      </c>
      <c r="B366">
        <v>2016</v>
      </c>
      <c r="C366">
        <v>17210</v>
      </c>
    </row>
    <row r="367" spans="1:3">
      <c r="A367" t="s">
        <v>179</v>
      </c>
      <c r="B367">
        <v>2017</v>
      </c>
      <c r="C367">
        <v>16695</v>
      </c>
    </row>
    <row r="368" spans="1:3">
      <c r="A368" t="s">
        <v>179</v>
      </c>
      <c r="B368">
        <v>2018</v>
      </c>
      <c r="C368">
        <v>16755</v>
      </c>
    </row>
    <row r="369" spans="1:3">
      <c r="A369" t="s">
        <v>179</v>
      </c>
      <c r="B369">
        <v>2019</v>
      </c>
      <c r="C369">
        <v>16476</v>
      </c>
    </row>
    <row r="370" spans="1:3">
      <c r="A370" t="s">
        <v>179</v>
      </c>
      <c r="B370">
        <v>2020</v>
      </c>
      <c r="C370">
        <v>15857</v>
      </c>
    </row>
    <row r="371" spans="1:3">
      <c r="A371" t="s">
        <v>179</v>
      </c>
      <c r="B371">
        <v>2021</v>
      </c>
      <c r="C371">
        <v>16013</v>
      </c>
    </row>
    <row r="372" spans="1:3">
      <c r="A372" t="s">
        <v>179</v>
      </c>
      <c r="B372">
        <v>2022</v>
      </c>
      <c r="C372">
        <v>16305</v>
      </c>
    </row>
    <row r="373" spans="1:3">
      <c r="A373" t="s">
        <v>179</v>
      </c>
      <c r="B373">
        <v>2023</v>
      </c>
      <c r="C373">
        <v>16442</v>
      </c>
    </row>
    <row r="374" spans="1:3">
      <c r="A374" t="s">
        <v>179</v>
      </c>
      <c r="B374">
        <v>2024</v>
      </c>
      <c r="C374">
        <v>16344</v>
      </c>
    </row>
    <row r="375" spans="1:3">
      <c r="A375" t="s">
        <v>179</v>
      </c>
      <c r="B375">
        <v>2025</v>
      </c>
      <c r="C375">
        <v>15735</v>
      </c>
    </row>
    <row r="376" spans="1:3">
      <c r="A376" t="s">
        <v>180</v>
      </c>
      <c r="B376">
        <v>2015</v>
      </c>
      <c r="C376">
        <v>2095</v>
      </c>
    </row>
    <row r="377" spans="1:3">
      <c r="A377" t="s">
        <v>180</v>
      </c>
      <c r="B377">
        <v>2016</v>
      </c>
      <c r="C377">
        <v>2125</v>
      </c>
    </row>
    <row r="378" spans="1:3">
      <c r="A378" t="s">
        <v>180</v>
      </c>
      <c r="B378">
        <v>2017</v>
      </c>
      <c r="C378">
        <v>2022</v>
      </c>
    </row>
    <row r="379" spans="1:3">
      <c r="A379" t="s">
        <v>180</v>
      </c>
      <c r="B379">
        <v>2018</v>
      </c>
      <c r="C379">
        <v>1435</v>
      </c>
    </row>
    <row r="380" spans="1:3">
      <c r="A380" t="s">
        <v>180</v>
      </c>
      <c r="B380">
        <v>2019</v>
      </c>
      <c r="C380">
        <v>1457</v>
      </c>
    </row>
    <row r="381" spans="1:3">
      <c r="A381" t="s">
        <v>180</v>
      </c>
      <c r="B381">
        <v>2020</v>
      </c>
      <c r="C381">
        <v>1553</v>
      </c>
    </row>
    <row r="382" spans="1:3">
      <c r="A382" t="s">
        <v>180</v>
      </c>
      <c r="B382">
        <v>2021</v>
      </c>
      <c r="C382">
        <v>1176</v>
      </c>
    </row>
    <row r="383" spans="1:3">
      <c r="A383" t="s">
        <v>180</v>
      </c>
      <c r="B383">
        <v>2022</v>
      </c>
      <c r="C383">
        <v>1004</v>
      </c>
    </row>
    <row r="384" spans="1:3">
      <c r="A384" t="s">
        <v>180</v>
      </c>
      <c r="B384">
        <v>2023</v>
      </c>
      <c r="C384">
        <v>1045</v>
      </c>
    </row>
    <row r="385" spans="1:3">
      <c r="A385" t="s">
        <v>180</v>
      </c>
      <c r="B385">
        <v>2024</v>
      </c>
      <c r="C385">
        <v>865</v>
      </c>
    </row>
    <row r="386" spans="1:3">
      <c r="A386" t="s">
        <v>180</v>
      </c>
      <c r="B386">
        <v>2025</v>
      </c>
      <c r="C386">
        <v>813</v>
      </c>
    </row>
    <row r="387" spans="1:3">
      <c r="A387" t="s">
        <v>181</v>
      </c>
      <c r="B387">
        <v>2015</v>
      </c>
      <c r="C387">
        <v>355</v>
      </c>
    </row>
    <row r="388" spans="1:3">
      <c r="A388" t="s">
        <v>181</v>
      </c>
      <c r="B388">
        <v>2016</v>
      </c>
      <c r="C388">
        <v>358</v>
      </c>
    </row>
    <row r="389" spans="1:3">
      <c r="A389" t="s">
        <v>181</v>
      </c>
      <c r="B389">
        <v>2017</v>
      </c>
      <c r="C389">
        <v>348</v>
      </c>
    </row>
    <row r="390" spans="1:3">
      <c r="A390" t="s">
        <v>181</v>
      </c>
      <c r="B390">
        <v>2018</v>
      </c>
      <c r="C390">
        <v>185</v>
      </c>
    </row>
    <row r="391" spans="1:3">
      <c r="A391" t="s">
        <v>181</v>
      </c>
      <c r="B391">
        <v>2019</v>
      </c>
      <c r="C391">
        <v>136</v>
      </c>
    </row>
    <row r="392" spans="1:3">
      <c r="A392" t="s">
        <v>181</v>
      </c>
      <c r="B392">
        <v>2020</v>
      </c>
      <c r="C392">
        <v>136</v>
      </c>
    </row>
    <row r="393" spans="1:3">
      <c r="A393" t="s">
        <v>181</v>
      </c>
      <c r="B393">
        <v>2021</v>
      </c>
      <c r="C393">
        <v>196</v>
      </c>
    </row>
    <row r="394" spans="1:3">
      <c r="A394" t="s">
        <v>181</v>
      </c>
      <c r="B394">
        <v>2022</v>
      </c>
      <c r="C394">
        <v>199</v>
      </c>
    </row>
    <row r="395" spans="1:3">
      <c r="A395" t="s">
        <v>181</v>
      </c>
      <c r="B395">
        <v>2023</v>
      </c>
      <c r="C395">
        <v>310</v>
      </c>
    </row>
    <row r="396" spans="1:3">
      <c r="A396" t="s">
        <v>181</v>
      </c>
      <c r="B396">
        <v>2024</v>
      </c>
      <c r="C396">
        <v>330</v>
      </c>
    </row>
    <row r="397" spans="1:3">
      <c r="A397" t="s">
        <v>181</v>
      </c>
      <c r="B397">
        <v>2025</v>
      </c>
      <c r="C397">
        <v>339</v>
      </c>
    </row>
    <row r="398" spans="1:3">
      <c r="A398" t="s">
        <v>182</v>
      </c>
      <c r="B398">
        <v>2015</v>
      </c>
      <c r="C398">
        <v>2957</v>
      </c>
    </row>
    <row r="399" spans="1:3">
      <c r="A399" t="s">
        <v>182</v>
      </c>
      <c r="B399">
        <v>2016</v>
      </c>
      <c r="C399">
        <v>2918</v>
      </c>
    </row>
    <row r="400" spans="1:3">
      <c r="A400" t="s">
        <v>182</v>
      </c>
      <c r="B400">
        <v>2017</v>
      </c>
      <c r="C400">
        <v>2749</v>
      </c>
    </row>
    <row r="401" spans="1:3">
      <c r="A401" t="s">
        <v>182</v>
      </c>
      <c r="B401">
        <v>2018</v>
      </c>
      <c r="C401">
        <v>2755</v>
      </c>
    </row>
    <row r="402" spans="1:3">
      <c r="A402" t="s">
        <v>182</v>
      </c>
      <c r="B402">
        <v>2019</v>
      </c>
      <c r="C402">
        <v>2578</v>
      </c>
    </row>
    <row r="403" spans="1:3">
      <c r="A403" t="s">
        <v>182</v>
      </c>
      <c r="B403">
        <v>2020</v>
      </c>
      <c r="C403">
        <v>2671</v>
      </c>
    </row>
    <row r="404" spans="1:3">
      <c r="A404" t="s">
        <v>182</v>
      </c>
      <c r="B404">
        <v>2021</v>
      </c>
      <c r="C404">
        <v>2771</v>
      </c>
    </row>
    <row r="405" spans="1:3">
      <c r="A405" t="s">
        <v>182</v>
      </c>
      <c r="B405">
        <v>2022</v>
      </c>
      <c r="C405">
        <v>2620</v>
      </c>
    </row>
    <row r="406" spans="1:3">
      <c r="A406" t="s">
        <v>182</v>
      </c>
      <c r="B406">
        <v>2023</v>
      </c>
      <c r="C406">
        <v>2791</v>
      </c>
    </row>
    <row r="407" spans="1:3">
      <c r="A407" t="s">
        <v>182</v>
      </c>
      <c r="B407">
        <v>2024</v>
      </c>
      <c r="C407">
        <v>2846</v>
      </c>
    </row>
    <row r="408" spans="1:3">
      <c r="A408" t="s">
        <v>182</v>
      </c>
      <c r="B408">
        <v>2025</v>
      </c>
      <c r="C408">
        <v>2843</v>
      </c>
    </row>
    <row r="409" spans="1:3">
      <c r="A409" t="s">
        <v>183</v>
      </c>
      <c r="B409">
        <v>2015</v>
      </c>
      <c r="C409">
        <v>635</v>
      </c>
    </row>
    <row r="410" spans="1:3">
      <c r="A410" t="s">
        <v>183</v>
      </c>
      <c r="B410">
        <v>2016</v>
      </c>
      <c r="C410">
        <v>635</v>
      </c>
    </row>
    <row r="411" spans="1:3">
      <c r="A411" t="s">
        <v>183</v>
      </c>
      <c r="B411">
        <v>2017</v>
      </c>
      <c r="C411">
        <v>620</v>
      </c>
    </row>
    <row r="412" spans="1:3">
      <c r="A412" t="s">
        <v>183</v>
      </c>
      <c r="B412">
        <v>2018</v>
      </c>
      <c r="C412">
        <v>634</v>
      </c>
    </row>
    <row r="413" spans="1:3">
      <c r="A413" t="s">
        <v>183</v>
      </c>
      <c r="B413">
        <v>2019</v>
      </c>
      <c r="C413">
        <v>634</v>
      </c>
    </row>
    <row r="414" spans="1:3">
      <c r="A414" t="s">
        <v>183</v>
      </c>
      <c r="B414">
        <v>2020</v>
      </c>
      <c r="C414">
        <v>642</v>
      </c>
    </row>
    <row r="415" spans="1:3">
      <c r="A415" t="s">
        <v>183</v>
      </c>
      <c r="B415">
        <v>2021</v>
      </c>
      <c r="C415">
        <v>638</v>
      </c>
    </row>
    <row r="416" spans="1:3">
      <c r="A416" t="s">
        <v>183</v>
      </c>
      <c r="B416">
        <v>2022</v>
      </c>
      <c r="C416">
        <v>632</v>
      </c>
    </row>
    <row r="417" spans="1:3">
      <c r="A417" t="s">
        <v>183</v>
      </c>
      <c r="B417">
        <v>2023</v>
      </c>
      <c r="C417">
        <v>594</v>
      </c>
    </row>
    <row r="418" spans="1:3">
      <c r="A418" t="s">
        <v>183</v>
      </c>
      <c r="B418">
        <v>2024</v>
      </c>
      <c r="C418">
        <v>488</v>
      </c>
    </row>
    <row r="419" spans="1:3">
      <c r="A419" t="s">
        <v>183</v>
      </c>
      <c r="B419">
        <v>2025</v>
      </c>
      <c r="C419">
        <v>471</v>
      </c>
    </row>
    <row r="420" spans="1:3">
      <c r="A420" t="s">
        <v>184</v>
      </c>
      <c r="B420">
        <v>2015</v>
      </c>
      <c r="C420">
        <v>1847</v>
      </c>
    </row>
    <row r="421" spans="1:3">
      <c r="A421" t="s">
        <v>184</v>
      </c>
      <c r="B421">
        <v>2016</v>
      </c>
      <c r="C421">
        <v>1909</v>
      </c>
    </row>
    <row r="422" spans="1:3">
      <c r="A422" t="s">
        <v>184</v>
      </c>
      <c r="B422">
        <v>2017</v>
      </c>
      <c r="C422">
        <v>1991</v>
      </c>
    </row>
    <row r="423" spans="1:3">
      <c r="A423" t="s">
        <v>184</v>
      </c>
      <c r="B423">
        <v>2018</v>
      </c>
      <c r="C423">
        <v>2008</v>
      </c>
    </row>
    <row r="424" spans="1:3">
      <c r="A424" t="s">
        <v>184</v>
      </c>
      <c r="B424">
        <v>2019</v>
      </c>
      <c r="C424">
        <v>1987</v>
      </c>
    </row>
    <row r="425" spans="1:3">
      <c r="A425" t="s">
        <v>184</v>
      </c>
      <c r="B425">
        <v>2020</v>
      </c>
      <c r="C425">
        <v>2047</v>
      </c>
    </row>
    <row r="426" spans="1:3">
      <c r="A426" t="s">
        <v>184</v>
      </c>
      <c r="B426">
        <v>2021</v>
      </c>
      <c r="C426">
        <v>1935</v>
      </c>
    </row>
    <row r="427" spans="1:3">
      <c r="A427" t="s">
        <v>184</v>
      </c>
      <c r="B427">
        <v>2022</v>
      </c>
      <c r="C427">
        <v>1917</v>
      </c>
    </row>
    <row r="428" spans="1:3">
      <c r="A428" t="s">
        <v>184</v>
      </c>
      <c r="B428">
        <v>2023</v>
      </c>
      <c r="C428">
        <v>1901</v>
      </c>
    </row>
    <row r="429" spans="1:3">
      <c r="A429" t="s">
        <v>184</v>
      </c>
      <c r="B429">
        <v>2024</v>
      </c>
      <c r="C429">
        <v>1933</v>
      </c>
    </row>
    <row r="430" spans="1:3">
      <c r="A430" t="s">
        <v>184</v>
      </c>
      <c r="B430">
        <v>2025</v>
      </c>
      <c r="C430">
        <v>1894</v>
      </c>
    </row>
    <row r="431" spans="1:3">
      <c r="A431" t="s">
        <v>185</v>
      </c>
      <c r="B431">
        <v>2015</v>
      </c>
      <c r="C431">
        <v>800</v>
      </c>
    </row>
    <row r="432" spans="1:3">
      <c r="A432" t="s">
        <v>185</v>
      </c>
      <c r="B432">
        <v>2016</v>
      </c>
      <c r="C432">
        <v>796</v>
      </c>
    </row>
    <row r="433" spans="1:3">
      <c r="A433" t="s">
        <v>185</v>
      </c>
      <c r="B433">
        <v>2017</v>
      </c>
      <c r="C433">
        <v>828</v>
      </c>
    </row>
    <row r="434" spans="1:3">
      <c r="A434" t="s">
        <v>185</v>
      </c>
      <c r="B434">
        <v>2018</v>
      </c>
      <c r="C434">
        <v>824</v>
      </c>
    </row>
    <row r="435" spans="1:3">
      <c r="A435" t="s">
        <v>185</v>
      </c>
      <c r="B435">
        <v>2019</v>
      </c>
      <c r="C435">
        <v>824</v>
      </c>
    </row>
    <row r="436" spans="1:3">
      <c r="A436" t="s">
        <v>185</v>
      </c>
      <c r="B436">
        <v>2020</v>
      </c>
      <c r="C436">
        <v>773</v>
      </c>
    </row>
    <row r="437" spans="1:3">
      <c r="A437" t="s">
        <v>185</v>
      </c>
      <c r="B437">
        <v>2021</v>
      </c>
      <c r="C437">
        <v>832</v>
      </c>
    </row>
    <row r="438" spans="1:3">
      <c r="A438" t="s">
        <v>185</v>
      </c>
      <c r="B438">
        <v>2022</v>
      </c>
      <c r="C438">
        <v>841</v>
      </c>
    </row>
    <row r="439" spans="1:3">
      <c r="A439" t="s">
        <v>185</v>
      </c>
      <c r="B439">
        <v>2023</v>
      </c>
      <c r="C439">
        <v>876</v>
      </c>
    </row>
    <row r="440" spans="1:3">
      <c r="A440" t="s">
        <v>185</v>
      </c>
      <c r="B440">
        <v>2024</v>
      </c>
      <c r="C440">
        <v>986</v>
      </c>
    </row>
    <row r="441" spans="1:3">
      <c r="A441" t="s">
        <v>185</v>
      </c>
      <c r="B441">
        <v>2025</v>
      </c>
      <c r="C441">
        <v>968</v>
      </c>
    </row>
    <row r="442" spans="1:3">
      <c r="A442" t="s">
        <v>186</v>
      </c>
      <c r="B442">
        <v>2015</v>
      </c>
      <c r="C442">
        <v>415</v>
      </c>
    </row>
    <row r="443" spans="1:3">
      <c r="A443" t="s">
        <v>186</v>
      </c>
      <c r="B443">
        <v>2016</v>
      </c>
      <c r="C443">
        <v>445</v>
      </c>
    </row>
    <row r="444" spans="1:3">
      <c r="A444" t="s">
        <v>186</v>
      </c>
      <c r="B444">
        <v>2017</v>
      </c>
      <c r="C444">
        <v>401</v>
      </c>
    </row>
    <row r="445" spans="1:3">
      <c r="A445" t="s">
        <v>186</v>
      </c>
      <c r="B445">
        <v>2018</v>
      </c>
      <c r="C445">
        <v>401</v>
      </c>
    </row>
    <row r="446" spans="1:3">
      <c r="A446" t="s">
        <v>186</v>
      </c>
      <c r="B446">
        <v>2019</v>
      </c>
      <c r="C446">
        <v>402</v>
      </c>
    </row>
    <row r="447" spans="1:3">
      <c r="A447" t="s">
        <v>186</v>
      </c>
      <c r="B447">
        <v>2020</v>
      </c>
      <c r="C447">
        <v>432</v>
      </c>
    </row>
    <row r="448" spans="1:3">
      <c r="A448" t="s">
        <v>186</v>
      </c>
      <c r="B448">
        <v>2021</v>
      </c>
      <c r="C448">
        <v>481</v>
      </c>
    </row>
    <row r="449" spans="1:3">
      <c r="A449" t="s">
        <v>186</v>
      </c>
      <c r="B449">
        <v>2022</v>
      </c>
      <c r="C449">
        <v>481</v>
      </c>
    </row>
    <row r="450" spans="1:3">
      <c r="A450" t="s">
        <v>186</v>
      </c>
      <c r="B450">
        <v>2023</v>
      </c>
      <c r="C450">
        <v>528</v>
      </c>
    </row>
    <row r="451" spans="1:3">
      <c r="A451" t="s">
        <v>186</v>
      </c>
      <c r="B451">
        <v>2024</v>
      </c>
      <c r="C451">
        <v>502</v>
      </c>
    </row>
    <row r="452" spans="1:3">
      <c r="A452" t="s">
        <v>186</v>
      </c>
      <c r="B452">
        <v>2025</v>
      </c>
      <c r="C452">
        <v>488</v>
      </c>
    </row>
    <row r="453" spans="1:3">
      <c r="A453" t="s">
        <v>187</v>
      </c>
      <c r="B453">
        <v>2015</v>
      </c>
      <c r="C453">
        <v>875</v>
      </c>
    </row>
    <row r="454" spans="1:3">
      <c r="A454" t="s">
        <v>187</v>
      </c>
      <c r="B454">
        <v>2016</v>
      </c>
      <c r="C454">
        <v>759</v>
      </c>
    </row>
    <row r="455" spans="1:3">
      <c r="A455" t="s">
        <v>187</v>
      </c>
      <c r="B455">
        <v>2017</v>
      </c>
      <c r="C455">
        <v>763</v>
      </c>
    </row>
    <row r="456" spans="1:3">
      <c r="A456" t="s">
        <v>187</v>
      </c>
      <c r="B456">
        <v>2018</v>
      </c>
      <c r="C456">
        <v>898</v>
      </c>
    </row>
    <row r="457" spans="1:3">
      <c r="A457" t="s">
        <v>187</v>
      </c>
      <c r="B457">
        <v>2019</v>
      </c>
      <c r="C457">
        <v>896</v>
      </c>
    </row>
    <row r="458" spans="1:3">
      <c r="A458" t="s">
        <v>187</v>
      </c>
      <c r="B458">
        <v>2020</v>
      </c>
      <c r="C458">
        <v>877</v>
      </c>
    </row>
    <row r="459" spans="1:3">
      <c r="A459" t="s">
        <v>187</v>
      </c>
      <c r="B459">
        <v>2021</v>
      </c>
      <c r="C459">
        <v>914</v>
      </c>
    </row>
    <row r="460" spans="1:3">
      <c r="A460" t="s">
        <v>187</v>
      </c>
      <c r="B460">
        <v>2022</v>
      </c>
      <c r="C460">
        <v>852</v>
      </c>
    </row>
    <row r="461" spans="1:3">
      <c r="A461" t="s">
        <v>187</v>
      </c>
      <c r="B461">
        <v>2023</v>
      </c>
      <c r="C461">
        <v>848</v>
      </c>
    </row>
    <row r="462" spans="1:3">
      <c r="A462" t="s">
        <v>187</v>
      </c>
      <c r="B462">
        <v>2024</v>
      </c>
      <c r="C462">
        <v>854</v>
      </c>
    </row>
    <row r="463" spans="1:3">
      <c r="A463" t="s">
        <v>187</v>
      </c>
      <c r="B463">
        <v>2025</v>
      </c>
      <c r="C463">
        <v>841</v>
      </c>
    </row>
    <row r="464" spans="1:3">
      <c r="A464" t="s">
        <v>188</v>
      </c>
      <c r="B464">
        <v>2015</v>
      </c>
      <c r="C464">
        <v>1008</v>
      </c>
    </row>
    <row r="465" spans="1:3">
      <c r="A465" t="s">
        <v>188</v>
      </c>
      <c r="B465">
        <v>2016</v>
      </c>
      <c r="C465">
        <v>1006</v>
      </c>
    </row>
    <row r="466" spans="1:3">
      <c r="A466" t="s">
        <v>188</v>
      </c>
      <c r="B466">
        <v>2017</v>
      </c>
      <c r="C466">
        <v>1000</v>
      </c>
    </row>
    <row r="467" spans="1:3">
      <c r="A467" t="s">
        <v>188</v>
      </c>
      <c r="B467">
        <v>2018</v>
      </c>
      <c r="C467">
        <v>916</v>
      </c>
    </row>
    <row r="468" spans="1:3">
      <c r="A468" t="s">
        <v>188</v>
      </c>
      <c r="B468">
        <v>2019</v>
      </c>
      <c r="C468">
        <v>878</v>
      </c>
    </row>
    <row r="469" spans="1:3">
      <c r="A469" t="s">
        <v>188</v>
      </c>
      <c r="B469">
        <v>2020</v>
      </c>
      <c r="C469">
        <v>957</v>
      </c>
    </row>
    <row r="470" spans="1:3">
      <c r="A470" t="s">
        <v>188</v>
      </c>
      <c r="B470">
        <v>2021</v>
      </c>
      <c r="C470">
        <v>908</v>
      </c>
    </row>
    <row r="471" spans="1:3">
      <c r="A471" t="s">
        <v>188</v>
      </c>
      <c r="B471">
        <v>2022</v>
      </c>
      <c r="C471">
        <v>980</v>
      </c>
    </row>
    <row r="472" spans="1:3">
      <c r="A472" t="s">
        <v>188</v>
      </c>
      <c r="B472">
        <v>2023</v>
      </c>
      <c r="C472">
        <v>949</v>
      </c>
    </row>
    <row r="473" spans="1:3">
      <c r="A473" t="s">
        <v>188</v>
      </c>
      <c r="B473">
        <v>2024</v>
      </c>
      <c r="C473">
        <v>978</v>
      </c>
    </row>
    <row r="474" spans="1:3">
      <c r="A474" t="s">
        <v>188</v>
      </c>
      <c r="B474">
        <v>2025</v>
      </c>
      <c r="C474">
        <v>979</v>
      </c>
    </row>
    <row r="475" spans="1:3">
      <c r="A475" t="s">
        <v>189</v>
      </c>
      <c r="B475">
        <v>2015</v>
      </c>
      <c r="C475">
        <v>761</v>
      </c>
    </row>
    <row r="476" spans="1:3">
      <c r="A476" t="s">
        <v>189</v>
      </c>
      <c r="B476">
        <v>2016</v>
      </c>
      <c r="C476">
        <v>754</v>
      </c>
    </row>
    <row r="477" spans="1:3">
      <c r="A477" t="s">
        <v>189</v>
      </c>
      <c r="B477">
        <v>2017</v>
      </c>
      <c r="C477">
        <v>715</v>
      </c>
    </row>
    <row r="478" spans="1:3">
      <c r="A478" t="s">
        <v>189</v>
      </c>
      <c r="B478">
        <v>2018</v>
      </c>
      <c r="C478">
        <v>757</v>
      </c>
    </row>
    <row r="479" spans="1:3">
      <c r="A479" t="s">
        <v>189</v>
      </c>
      <c r="B479">
        <v>2019</v>
      </c>
      <c r="C479">
        <v>711</v>
      </c>
    </row>
    <row r="480" spans="1:3">
      <c r="A480" t="s">
        <v>189</v>
      </c>
      <c r="B480">
        <v>2020</v>
      </c>
      <c r="C480">
        <v>699</v>
      </c>
    </row>
    <row r="481" spans="1:3">
      <c r="A481" t="s">
        <v>189</v>
      </c>
      <c r="B481">
        <v>2021</v>
      </c>
      <c r="C481">
        <v>690</v>
      </c>
    </row>
    <row r="482" spans="1:3">
      <c r="A482" t="s">
        <v>189</v>
      </c>
      <c r="B482">
        <v>2022</v>
      </c>
      <c r="C482">
        <v>760</v>
      </c>
    </row>
    <row r="483" spans="1:3">
      <c r="A483" t="s">
        <v>189</v>
      </c>
      <c r="B483">
        <v>2023</v>
      </c>
      <c r="C483">
        <v>734</v>
      </c>
    </row>
    <row r="484" spans="1:3">
      <c r="A484" t="s">
        <v>189</v>
      </c>
      <c r="B484">
        <v>2024</v>
      </c>
      <c r="C484">
        <v>766</v>
      </c>
    </row>
    <row r="485" spans="1:3">
      <c r="A485" t="s">
        <v>189</v>
      </c>
      <c r="B485">
        <v>2025</v>
      </c>
      <c r="C485">
        <v>766</v>
      </c>
    </row>
    <row r="486" spans="1:3">
      <c r="A486" t="s">
        <v>190</v>
      </c>
      <c r="B486">
        <v>2015</v>
      </c>
      <c r="C486">
        <v>2044</v>
      </c>
    </row>
    <row r="487" spans="1:3">
      <c r="A487" t="s">
        <v>190</v>
      </c>
      <c r="B487">
        <v>2016</v>
      </c>
      <c r="C487">
        <v>2160</v>
      </c>
    </row>
    <row r="488" spans="1:3">
      <c r="A488" t="s">
        <v>190</v>
      </c>
      <c r="B488">
        <v>2017</v>
      </c>
      <c r="C488">
        <v>2160</v>
      </c>
    </row>
    <row r="489" spans="1:3">
      <c r="A489" t="s">
        <v>190</v>
      </c>
      <c r="B489">
        <v>2018</v>
      </c>
      <c r="C489">
        <v>2188</v>
      </c>
    </row>
    <row r="490" spans="1:3">
      <c r="A490" t="s">
        <v>190</v>
      </c>
      <c r="B490">
        <v>2019</v>
      </c>
      <c r="C490">
        <v>2183</v>
      </c>
    </row>
    <row r="491" spans="1:3">
      <c r="A491" t="s">
        <v>190</v>
      </c>
      <c r="B491">
        <v>2020</v>
      </c>
      <c r="C491">
        <v>2194</v>
      </c>
    </row>
    <row r="492" spans="1:3">
      <c r="A492" t="s">
        <v>190</v>
      </c>
      <c r="B492">
        <v>2021</v>
      </c>
      <c r="C492">
        <v>2205</v>
      </c>
    </row>
    <row r="493" spans="1:3">
      <c r="A493" t="s">
        <v>190</v>
      </c>
      <c r="B493">
        <v>2022</v>
      </c>
      <c r="C493">
        <v>2265</v>
      </c>
    </row>
    <row r="494" spans="1:3">
      <c r="A494" t="s">
        <v>190</v>
      </c>
      <c r="B494">
        <v>2023</v>
      </c>
      <c r="C494">
        <v>2265</v>
      </c>
    </row>
    <row r="495" spans="1:3">
      <c r="A495" t="s">
        <v>190</v>
      </c>
      <c r="B495">
        <v>2024</v>
      </c>
      <c r="C495">
        <v>2249</v>
      </c>
    </row>
    <row r="496" spans="1:3">
      <c r="A496" t="s">
        <v>190</v>
      </c>
      <c r="B496">
        <v>2025</v>
      </c>
      <c r="C496">
        <v>2275</v>
      </c>
    </row>
    <row r="497" spans="1:3">
      <c r="A497" t="s">
        <v>191</v>
      </c>
      <c r="B497">
        <v>2015</v>
      </c>
      <c r="C497">
        <v>1245</v>
      </c>
    </row>
    <row r="498" spans="1:3">
      <c r="A498" t="s">
        <v>191</v>
      </c>
      <c r="B498">
        <v>2016</v>
      </c>
      <c r="C498">
        <v>1331</v>
      </c>
    </row>
    <row r="499" spans="1:3">
      <c r="A499" t="s">
        <v>191</v>
      </c>
      <c r="B499">
        <v>2017</v>
      </c>
      <c r="C499">
        <v>1327</v>
      </c>
    </row>
    <row r="500" spans="1:3">
      <c r="A500" t="s">
        <v>191</v>
      </c>
      <c r="B500">
        <v>2018</v>
      </c>
      <c r="C500">
        <v>1455</v>
      </c>
    </row>
    <row r="501" spans="1:3">
      <c r="A501" t="s">
        <v>191</v>
      </c>
      <c r="B501">
        <v>2019</v>
      </c>
      <c r="C501">
        <v>1540</v>
      </c>
    </row>
    <row r="502" spans="1:3">
      <c r="A502" t="s">
        <v>191</v>
      </c>
      <c r="B502">
        <v>2020</v>
      </c>
      <c r="C502">
        <v>1833</v>
      </c>
    </row>
    <row r="503" spans="1:3">
      <c r="A503" t="s">
        <v>191</v>
      </c>
      <c r="B503">
        <v>2021</v>
      </c>
      <c r="C503">
        <v>1520</v>
      </c>
    </row>
    <row r="504" spans="1:3">
      <c r="A504" t="s">
        <v>191</v>
      </c>
      <c r="B504">
        <v>2022</v>
      </c>
      <c r="C504">
        <v>1575</v>
      </c>
    </row>
    <row r="505" spans="1:3">
      <c r="A505" t="s">
        <v>191</v>
      </c>
      <c r="B505">
        <v>2023</v>
      </c>
      <c r="C505">
        <v>1560</v>
      </c>
    </row>
    <row r="506" spans="1:3">
      <c r="A506" t="s">
        <v>191</v>
      </c>
      <c r="B506">
        <v>2024</v>
      </c>
      <c r="C506">
        <v>1561</v>
      </c>
    </row>
    <row r="507" spans="1:3">
      <c r="A507" t="s">
        <v>191</v>
      </c>
      <c r="B507">
        <v>2025</v>
      </c>
      <c r="C507">
        <v>1508</v>
      </c>
    </row>
    <row r="508" spans="1:3">
      <c r="A508" t="s">
        <v>192</v>
      </c>
      <c r="B508">
        <v>2015</v>
      </c>
      <c r="C508">
        <v>1636</v>
      </c>
    </row>
    <row r="509" spans="1:3">
      <c r="A509" t="s">
        <v>192</v>
      </c>
      <c r="B509">
        <v>2016</v>
      </c>
      <c r="C509">
        <v>1678</v>
      </c>
    </row>
    <row r="510" spans="1:3">
      <c r="A510" t="s">
        <v>192</v>
      </c>
      <c r="B510">
        <v>2017</v>
      </c>
      <c r="C510">
        <v>1672</v>
      </c>
    </row>
    <row r="511" spans="1:3">
      <c r="A511" t="s">
        <v>192</v>
      </c>
      <c r="B511">
        <v>2018</v>
      </c>
      <c r="C511">
        <v>1738</v>
      </c>
    </row>
    <row r="512" spans="1:3">
      <c r="A512" t="s">
        <v>192</v>
      </c>
      <c r="B512">
        <v>2019</v>
      </c>
      <c r="C512">
        <v>1716</v>
      </c>
    </row>
    <row r="513" spans="1:3">
      <c r="A513" t="s">
        <v>192</v>
      </c>
      <c r="B513">
        <v>2020</v>
      </c>
      <c r="C513">
        <v>1858</v>
      </c>
    </row>
    <row r="514" spans="1:3">
      <c r="A514" t="s">
        <v>192</v>
      </c>
      <c r="B514">
        <v>2021</v>
      </c>
      <c r="C514">
        <v>1650</v>
      </c>
    </row>
    <row r="515" spans="1:3">
      <c r="A515" t="s">
        <v>192</v>
      </c>
      <c r="B515">
        <v>2022</v>
      </c>
      <c r="C515">
        <v>1609</v>
      </c>
    </row>
    <row r="516" spans="1:3">
      <c r="A516" t="s">
        <v>192</v>
      </c>
      <c r="B516">
        <v>2023</v>
      </c>
      <c r="C516">
        <v>1627</v>
      </c>
    </row>
    <row r="517" spans="1:3">
      <c r="A517" t="s">
        <v>192</v>
      </c>
      <c r="B517">
        <v>2024</v>
      </c>
      <c r="C517">
        <v>1645</v>
      </c>
    </row>
    <row r="518" spans="1:3">
      <c r="A518" t="s">
        <v>192</v>
      </c>
      <c r="B518">
        <v>2025</v>
      </c>
      <c r="C518">
        <v>1681</v>
      </c>
    </row>
    <row r="519" spans="1:3">
      <c r="A519" t="s">
        <v>193</v>
      </c>
      <c r="B519">
        <v>2015</v>
      </c>
      <c r="C519">
        <v>1528</v>
      </c>
    </row>
    <row r="520" spans="1:3">
      <c r="A520" t="s">
        <v>193</v>
      </c>
      <c r="B520">
        <v>2016</v>
      </c>
      <c r="C520">
        <v>1511</v>
      </c>
    </row>
    <row r="521" spans="1:3">
      <c r="A521" t="s">
        <v>193</v>
      </c>
      <c r="B521">
        <v>2017</v>
      </c>
      <c r="C521">
        <v>1558</v>
      </c>
    </row>
    <row r="522" spans="1:3">
      <c r="A522" t="s">
        <v>193</v>
      </c>
      <c r="B522">
        <v>2018</v>
      </c>
      <c r="C522">
        <v>1510</v>
      </c>
    </row>
    <row r="523" spans="1:3">
      <c r="A523" t="s">
        <v>193</v>
      </c>
      <c r="B523">
        <v>2019</v>
      </c>
      <c r="C523">
        <v>1583</v>
      </c>
    </row>
    <row r="524" spans="1:3">
      <c r="A524" t="s">
        <v>193</v>
      </c>
      <c r="B524">
        <v>2020</v>
      </c>
      <c r="C524">
        <v>1926</v>
      </c>
    </row>
    <row r="525" spans="1:3">
      <c r="A525" t="s">
        <v>193</v>
      </c>
      <c r="B525">
        <v>2021</v>
      </c>
      <c r="C525">
        <v>1863</v>
      </c>
    </row>
    <row r="526" spans="1:3">
      <c r="A526" t="s">
        <v>193</v>
      </c>
      <c r="B526">
        <v>2022</v>
      </c>
      <c r="C526">
        <v>1743</v>
      </c>
    </row>
    <row r="527" spans="1:3">
      <c r="A527" t="s">
        <v>193</v>
      </c>
      <c r="B527">
        <v>2023</v>
      </c>
      <c r="C527">
        <v>1761</v>
      </c>
    </row>
    <row r="528" spans="1:3">
      <c r="A528" t="s">
        <v>193</v>
      </c>
      <c r="B528">
        <v>2024</v>
      </c>
      <c r="C528">
        <v>1775</v>
      </c>
    </row>
    <row r="529" spans="1:3">
      <c r="A529" t="s">
        <v>193</v>
      </c>
      <c r="B529">
        <v>2025</v>
      </c>
      <c r="C529">
        <v>1791</v>
      </c>
    </row>
    <row r="530" spans="1:3">
      <c r="A530" t="s">
        <v>194</v>
      </c>
      <c r="B530">
        <v>2015</v>
      </c>
      <c r="C530">
        <v>1861</v>
      </c>
    </row>
    <row r="531" spans="1:3">
      <c r="A531" t="s">
        <v>194</v>
      </c>
      <c r="B531">
        <v>2016</v>
      </c>
      <c r="C531">
        <v>1803</v>
      </c>
    </row>
    <row r="532" spans="1:3">
      <c r="A532" t="s">
        <v>194</v>
      </c>
      <c r="B532">
        <v>2017</v>
      </c>
      <c r="C532">
        <v>1856</v>
      </c>
    </row>
    <row r="533" spans="1:3">
      <c r="A533" t="s">
        <v>194</v>
      </c>
      <c r="B533">
        <v>2018</v>
      </c>
      <c r="C533">
        <v>1850</v>
      </c>
    </row>
    <row r="534" spans="1:3">
      <c r="A534" t="s">
        <v>194</v>
      </c>
      <c r="B534">
        <v>2019</v>
      </c>
      <c r="C534">
        <v>1905</v>
      </c>
    </row>
    <row r="535" spans="1:3">
      <c r="A535" t="s">
        <v>194</v>
      </c>
      <c r="B535">
        <v>2020</v>
      </c>
      <c r="C535">
        <v>2099</v>
      </c>
    </row>
    <row r="536" spans="1:3">
      <c r="A536" t="s">
        <v>194</v>
      </c>
      <c r="B536">
        <v>2021</v>
      </c>
      <c r="C536">
        <v>2102</v>
      </c>
    </row>
    <row r="537" spans="1:3">
      <c r="A537" t="s">
        <v>194</v>
      </c>
      <c r="B537">
        <v>2022</v>
      </c>
      <c r="C537">
        <v>2148</v>
      </c>
    </row>
    <row r="538" spans="1:3">
      <c r="A538" t="s">
        <v>194</v>
      </c>
      <c r="B538">
        <v>2023</v>
      </c>
      <c r="C538">
        <v>2169</v>
      </c>
    </row>
    <row r="539" spans="1:3">
      <c r="A539" t="s">
        <v>194</v>
      </c>
      <c r="B539">
        <v>2024</v>
      </c>
      <c r="C539">
        <v>2224</v>
      </c>
    </row>
    <row r="540" spans="1:3">
      <c r="A540" t="s">
        <v>194</v>
      </c>
      <c r="B540">
        <v>2025</v>
      </c>
      <c r="C540">
        <v>2292</v>
      </c>
    </row>
    <row r="541" spans="1:3">
      <c r="A541" t="s">
        <v>195</v>
      </c>
      <c r="B541">
        <v>2015</v>
      </c>
      <c r="C541">
        <v>1425</v>
      </c>
    </row>
    <row r="542" spans="1:3">
      <c r="A542" t="s">
        <v>195</v>
      </c>
      <c r="B542">
        <v>2016</v>
      </c>
      <c r="C542">
        <v>1501</v>
      </c>
    </row>
    <row r="543" spans="1:3">
      <c r="A543" t="s">
        <v>195</v>
      </c>
      <c r="B543">
        <v>2017</v>
      </c>
      <c r="C543">
        <v>1534</v>
      </c>
    </row>
    <row r="544" spans="1:3">
      <c r="A544" t="s">
        <v>195</v>
      </c>
      <c r="B544">
        <v>2018</v>
      </c>
      <c r="C544">
        <v>1646</v>
      </c>
    </row>
    <row r="545" spans="1:3">
      <c r="A545" t="s">
        <v>195</v>
      </c>
      <c r="B545">
        <v>2019</v>
      </c>
      <c r="C545">
        <v>1659</v>
      </c>
    </row>
    <row r="546" spans="1:3">
      <c r="A546" t="s">
        <v>195</v>
      </c>
      <c r="B546">
        <v>2020</v>
      </c>
      <c r="C546">
        <v>1614</v>
      </c>
    </row>
    <row r="547" spans="1:3">
      <c r="A547" t="s">
        <v>195</v>
      </c>
      <c r="B547">
        <v>2021</v>
      </c>
      <c r="C547">
        <v>1607</v>
      </c>
    </row>
    <row r="548" spans="1:3">
      <c r="A548" t="s">
        <v>195</v>
      </c>
      <c r="B548">
        <v>2022</v>
      </c>
      <c r="C548">
        <v>1588</v>
      </c>
    </row>
    <row r="549" spans="1:3">
      <c r="A549" t="s">
        <v>195</v>
      </c>
      <c r="B549">
        <v>2023</v>
      </c>
      <c r="C549">
        <v>1590</v>
      </c>
    </row>
    <row r="550" spans="1:3">
      <c r="A550" t="s">
        <v>195</v>
      </c>
      <c r="B550">
        <v>2024</v>
      </c>
      <c r="C550">
        <v>1554</v>
      </c>
    </row>
    <row r="551" spans="1:3">
      <c r="A551" t="s">
        <v>195</v>
      </c>
      <c r="B551">
        <v>2025</v>
      </c>
      <c r="C551">
        <v>1587</v>
      </c>
    </row>
    <row r="552" spans="1:3">
      <c r="A552" t="s">
        <v>196</v>
      </c>
      <c r="B552">
        <v>2015</v>
      </c>
      <c r="C552">
        <v>29476</v>
      </c>
    </row>
    <row r="553" spans="1:3">
      <c r="A553" t="s">
        <v>196</v>
      </c>
      <c r="B553">
        <v>2016</v>
      </c>
      <c r="C553">
        <v>28788</v>
      </c>
    </row>
    <row r="554" spans="1:3">
      <c r="A554" t="s">
        <v>196</v>
      </c>
      <c r="B554">
        <v>2017</v>
      </c>
      <c r="C554">
        <v>29386</v>
      </c>
    </row>
    <row r="555" spans="1:3">
      <c r="A555" t="s">
        <v>196</v>
      </c>
      <c r="B555">
        <v>2018</v>
      </c>
      <c r="C555">
        <v>29044</v>
      </c>
    </row>
    <row r="556" spans="1:3">
      <c r="A556" t="s">
        <v>196</v>
      </c>
      <c r="B556">
        <v>2019</v>
      </c>
      <c r="C556">
        <v>28529</v>
      </c>
    </row>
    <row r="557" spans="1:3">
      <c r="A557" t="s">
        <v>196</v>
      </c>
      <c r="B557">
        <v>2020</v>
      </c>
      <c r="C557">
        <v>28872</v>
      </c>
    </row>
    <row r="558" spans="1:3">
      <c r="A558" t="s">
        <v>196</v>
      </c>
      <c r="B558">
        <v>2021</v>
      </c>
      <c r="C558">
        <v>29783</v>
      </c>
    </row>
    <row r="559" spans="1:3">
      <c r="A559" t="s">
        <v>196</v>
      </c>
      <c r="B559">
        <v>2022</v>
      </c>
      <c r="C559">
        <v>29746</v>
      </c>
    </row>
    <row r="560" spans="1:3">
      <c r="A560" t="s">
        <v>196</v>
      </c>
      <c r="B560">
        <v>2023</v>
      </c>
      <c r="C560">
        <v>30215</v>
      </c>
    </row>
    <row r="561" spans="1:3">
      <c r="A561" t="s">
        <v>196</v>
      </c>
      <c r="B561">
        <v>2024</v>
      </c>
      <c r="C561">
        <v>30640</v>
      </c>
    </row>
    <row r="562" spans="1:3">
      <c r="A562" t="s">
        <v>196</v>
      </c>
      <c r="B562">
        <v>2025</v>
      </c>
      <c r="C562">
        <v>30351</v>
      </c>
    </row>
    <row r="563" spans="1:3">
      <c r="A563" t="s">
        <v>197</v>
      </c>
      <c r="B563">
        <v>2015</v>
      </c>
      <c r="C563">
        <v>1924</v>
      </c>
    </row>
    <row r="564" spans="1:3">
      <c r="A564" t="s">
        <v>197</v>
      </c>
      <c r="B564">
        <v>2016</v>
      </c>
      <c r="C564">
        <v>1615</v>
      </c>
    </row>
    <row r="565" spans="1:3">
      <c r="A565" t="s">
        <v>197</v>
      </c>
      <c r="B565">
        <v>2017</v>
      </c>
      <c r="C565">
        <v>1455</v>
      </c>
    </row>
    <row r="566" spans="1:3">
      <c r="A566" t="s">
        <v>197</v>
      </c>
      <c r="B566">
        <v>2018</v>
      </c>
      <c r="C566">
        <v>1403</v>
      </c>
    </row>
    <row r="567" spans="1:3">
      <c r="A567" t="s">
        <v>197</v>
      </c>
      <c r="B567">
        <v>2019</v>
      </c>
      <c r="C567">
        <v>1429</v>
      </c>
    </row>
    <row r="568" spans="1:3">
      <c r="A568" t="s">
        <v>197</v>
      </c>
      <c r="B568">
        <v>2020</v>
      </c>
      <c r="C568">
        <v>1484</v>
      </c>
    </row>
    <row r="569" spans="1:3">
      <c r="A569" t="s">
        <v>197</v>
      </c>
      <c r="B569">
        <v>2021</v>
      </c>
      <c r="C569">
        <v>1449</v>
      </c>
    </row>
    <row r="570" spans="1:3">
      <c r="A570" t="s">
        <v>197</v>
      </c>
      <c r="B570">
        <v>2022</v>
      </c>
      <c r="C570">
        <v>1433</v>
      </c>
    </row>
    <row r="571" spans="1:3">
      <c r="A571" t="s">
        <v>197</v>
      </c>
      <c r="B571">
        <v>2023</v>
      </c>
      <c r="C571">
        <v>1611</v>
      </c>
    </row>
    <row r="572" spans="1:3">
      <c r="A572" t="s">
        <v>197</v>
      </c>
      <c r="B572">
        <v>2024</v>
      </c>
      <c r="C572">
        <v>1685</v>
      </c>
    </row>
    <row r="573" spans="1:3">
      <c r="A573" t="s">
        <v>197</v>
      </c>
      <c r="B573">
        <v>2025</v>
      </c>
      <c r="C573">
        <v>1764</v>
      </c>
    </row>
    <row r="574" spans="1:3">
      <c r="A574" t="s">
        <v>198</v>
      </c>
      <c r="B574">
        <v>2015</v>
      </c>
      <c r="C574">
        <v>5589</v>
      </c>
    </row>
    <row r="575" spans="1:3">
      <c r="A575" t="s">
        <v>198</v>
      </c>
      <c r="B575">
        <v>2016</v>
      </c>
      <c r="C575">
        <v>5471</v>
      </c>
    </row>
    <row r="576" spans="1:3">
      <c r="A576" t="s">
        <v>198</v>
      </c>
      <c r="B576">
        <v>2017</v>
      </c>
      <c r="C576">
        <v>5536</v>
      </c>
    </row>
    <row r="577" spans="1:3">
      <c r="A577" t="s">
        <v>198</v>
      </c>
      <c r="B577">
        <v>2018</v>
      </c>
      <c r="C577">
        <v>5522</v>
      </c>
    </row>
    <row r="578" spans="1:3">
      <c r="A578" t="s">
        <v>198</v>
      </c>
      <c r="B578">
        <v>2019</v>
      </c>
      <c r="C578">
        <v>5568</v>
      </c>
    </row>
    <row r="579" spans="1:3">
      <c r="A579" t="s">
        <v>198</v>
      </c>
      <c r="B579">
        <v>2020</v>
      </c>
      <c r="C579">
        <v>5877</v>
      </c>
    </row>
    <row r="580" spans="1:3">
      <c r="A580" t="s">
        <v>198</v>
      </c>
      <c r="B580">
        <v>2021</v>
      </c>
      <c r="C580">
        <v>5277</v>
      </c>
    </row>
    <row r="581" spans="1:3">
      <c r="A581" t="s">
        <v>198</v>
      </c>
      <c r="B581">
        <v>2022</v>
      </c>
      <c r="C581">
        <v>5269</v>
      </c>
    </row>
    <row r="582" spans="1:3">
      <c r="A582" t="s">
        <v>198</v>
      </c>
      <c r="B582">
        <v>2023</v>
      </c>
      <c r="C582">
        <v>5087</v>
      </c>
    </row>
    <row r="583" spans="1:3">
      <c r="A583" t="s">
        <v>198</v>
      </c>
      <c r="B583">
        <v>2024</v>
      </c>
      <c r="C583">
        <v>5085</v>
      </c>
    </row>
    <row r="584" spans="1:3">
      <c r="A584" t="s">
        <v>198</v>
      </c>
      <c r="B584">
        <v>2025</v>
      </c>
      <c r="C584">
        <v>5149</v>
      </c>
    </row>
    <row r="585" spans="1:3">
      <c r="A585" t="s">
        <v>199</v>
      </c>
      <c r="B585">
        <v>2015</v>
      </c>
      <c r="C585">
        <v>1867</v>
      </c>
    </row>
    <row r="586" spans="1:3">
      <c r="A586" t="s">
        <v>199</v>
      </c>
      <c r="B586">
        <v>2016</v>
      </c>
      <c r="C586">
        <v>1856</v>
      </c>
    </row>
    <row r="587" spans="1:3">
      <c r="A587" t="s">
        <v>199</v>
      </c>
      <c r="B587">
        <v>2017</v>
      </c>
      <c r="C587">
        <v>1903</v>
      </c>
    </row>
    <row r="588" spans="1:3">
      <c r="A588" t="s">
        <v>199</v>
      </c>
      <c r="B588">
        <v>2018</v>
      </c>
      <c r="C588">
        <v>1927</v>
      </c>
    </row>
    <row r="589" spans="1:3">
      <c r="A589" t="s">
        <v>199</v>
      </c>
      <c r="B589">
        <v>2019</v>
      </c>
      <c r="C589">
        <v>1859</v>
      </c>
    </row>
    <row r="590" spans="1:3">
      <c r="A590" t="s">
        <v>199</v>
      </c>
      <c r="B590">
        <v>2020</v>
      </c>
      <c r="C590">
        <v>1953</v>
      </c>
    </row>
    <row r="591" spans="1:3">
      <c r="A591" t="s">
        <v>199</v>
      </c>
      <c r="B591">
        <v>2021</v>
      </c>
      <c r="C591">
        <v>1913</v>
      </c>
    </row>
    <row r="592" spans="1:3">
      <c r="A592" t="s">
        <v>199</v>
      </c>
      <c r="B592">
        <v>2022</v>
      </c>
      <c r="C592">
        <v>1943</v>
      </c>
    </row>
    <row r="593" spans="1:3">
      <c r="A593" t="s">
        <v>199</v>
      </c>
      <c r="B593">
        <v>2023</v>
      </c>
      <c r="C593">
        <v>1927</v>
      </c>
    </row>
    <row r="594" spans="1:3">
      <c r="A594" t="s">
        <v>199</v>
      </c>
      <c r="B594">
        <v>2024</v>
      </c>
      <c r="C594">
        <v>2116</v>
      </c>
    </row>
    <row r="595" spans="1:3">
      <c r="A595" t="s">
        <v>199</v>
      </c>
      <c r="B595">
        <v>2025</v>
      </c>
      <c r="C595">
        <v>2088</v>
      </c>
    </row>
    <row r="596" spans="1:3">
      <c r="A596" t="s">
        <v>200</v>
      </c>
      <c r="B596">
        <v>2015</v>
      </c>
      <c r="C596">
        <v>1393</v>
      </c>
    </row>
    <row r="597" spans="1:3">
      <c r="A597" t="s">
        <v>200</v>
      </c>
      <c r="B597">
        <v>2016</v>
      </c>
      <c r="C597">
        <v>1463</v>
      </c>
    </row>
    <row r="598" spans="1:3">
      <c r="A598" t="s">
        <v>200</v>
      </c>
      <c r="B598">
        <v>2017</v>
      </c>
      <c r="C598">
        <v>1507</v>
      </c>
    </row>
    <row r="599" spans="1:3">
      <c r="A599" t="s">
        <v>200</v>
      </c>
      <c r="B599">
        <v>2018</v>
      </c>
      <c r="C599">
        <v>1456</v>
      </c>
    </row>
    <row r="600" spans="1:3">
      <c r="A600" t="s">
        <v>200</v>
      </c>
      <c r="B600">
        <v>2019</v>
      </c>
      <c r="C600">
        <v>1498</v>
      </c>
    </row>
    <row r="601" spans="1:3">
      <c r="A601" t="s">
        <v>200</v>
      </c>
      <c r="B601">
        <v>2020</v>
      </c>
      <c r="C601">
        <v>1748</v>
      </c>
    </row>
    <row r="602" spans="1:3">
      <c r="A602" t="s">
        <v>200</v>
      </c>
      <c r="B602">
        <v>2021</v>
      </c>
      <c r="C602">
        <v>1745</v>
      </c>
    </row>
    <row r="603" spans="1:3">
      <c r="A603" t="s">
        <v>200</v>
      </c>
      <c r="B603">
        <v>2022</v>
      </c>
      <c r="C603">
        <v>1943</v>
      </c>
    </row>
    <row r="604" spans="1:3">
      <c r="A604" t="s">
        <v>200</v>
      </c>
      <c r="B604">
        <v>2023</v>
      </c>
      <c r="C604">
        <v>1545</v>
      </c>
    </row>
    <row r="605" spans="1:3">
      <c r="A605" t="s">
        <v>200</v>
      </c>
      <c r="B605">
        <v>2024</v>
      </c>
      <c r="C605">
        <v>1553</v>
      </c>
    </row>
    <row r="606" spans="1:3">
      <c r="A606" t="s">
        <v>200</v>
      </c>
      <c r="B606">
        <v>2025</v>
      </c>
      <c r="C606">
        <v>1594</v>
      </c>
    </row>
    <row r="607" spans="1:3">
      <c r="A607" t="s">
        <v>201</v>
      </c>
      <c r="B607">
        <v>2015</v>
      </c>
      <c r="C607">
        <v>1474</v>
      </c>
    </row>
    <row r="608" spans="1:3">
      <c r="A608" t="s">
        <v>201</v>
      </c>
      <c r="B608">
        <v>2016</v>
      </c>
      <c r="C608">
        <v>1423</v>
      </c>
    </row>
    <row r="609" spans="1:3">
      <c r="A609" t="s">
        <v>201</v>
      </c>
      <c r="B609">
        <v>2017</v>
      </c>
      <c r="C609">
        <v>1490</v>
      </c>
    </row>
    <row r="610" spans="1:3">
      <c r="A610" t="s">
        <v>201</v>
      </c>
      <c r="B610">
        <v>2018</v>
      </c>
      <c r="C610">
        <v>1589</v>
      </c>
    </row>
    <row r="611" spans="1:3">
      <c r="A611" t="s">
        <v>201</v>
      </c>
      <c r="B611">
        <v>2019</v>
      </c>
      <c r="C611">
        <v>1595</v>
      </c>
    </row>
    <row r="612" spans="1:3">
      <c r="A612" t="s">
        <v>201</v>
      </c>
      <c r="B612">
        <v>2020</v>
      </c>
      <c r="C612">
        <v>1586</v>
      </c>
    </row>
    <row r="613" spans="1:3">
      <c r="A613" t="s">
        <v>201</v>
      </c>
      <c r="B613">
        <v>2021</v>
      </c>
      <c r="C613">
        <v>1781</v>
      </c>
    </row>
    <row r="614" spans="1:3">
      <c r="A614" t="s">
        <v>201</v>
      </c>
      <c r="B614">
        <v>2022</v>
      </c>
      <c r="C614">
        <v>1862</v>
      </c>
    </row>
    <row r="615" spans="1:3">
      <c r="A615" t="s">
        <v>201</v>
      </c>
      <c r="B615">
        <v>2023</v>
      </c>
      <c r="C615">
        <v>1920</v>
      </c>
    </row>
    <row r="616" spans="1:3">
      <c r="A616" t="s">
        <v>201</v>
      </c>
      <c r="B616">
        <v>2024</v>
      </c>
      <c r="C616">
        <v>1943</v>
      </c>
    </row>
    <row r="617" spans="1:3">
      <c r="A617" t="s">
        <v>201</v>
      </c>
      <c r="B617">
        <v>2025</v>
      </c>
      <c r="C617">
        <v>2022</v>
      </c>
    </row>
    <row r="618" spans="1:3">
      <c r="A618" t="s">
        <v>202</v>
      </c>
      <c r="B618">
        <v>2015</v>
      </c>
      <c r="C618">
        <v>1136</v>
      </c>
    </row>
    <row r="619" spans="1:3">
      <c r="A619" t="s">
        <v>202</v>
      </c>
      <c r="B619">
        <v>2016</v>
      </c>
      <c r="C619">
        <v>1060</v>
      </c>
    </row>
    <row r="620" spans="1:3">
      <c r="A620" t="s">
        <v>202</v>
      </c>
      <c r="B620">
        <v>2017</v>
      </c>
      <c r="C620">
        <v>1065</v>
      </c>
    </row>
    <row r="621" spans="1:3">
      <c r="A621" t="s">
        <v>202</v>
      </c>
      <c r="B621">
        <v>2018</v>
      </c>
      <c r="C621">
        <v>1084</v>
      </c>
    </row>
    <row r="622" spans="1:3">
      <c r="A622" t="s">
        <v>202</v>
      </c>
      <c r="B622">
        <v>2019</v>
      </c>
      <c r="C622">
        <v>1186</v>
      </c>
    </row>
    <row r="623" spans="1:3">
      <c r="A623" t="s">
        <v>202</v>
      </c>
      <c r="B623">
        <v>2020</v>
      </c>
      <c r="C623">
        <v>1148</v>
      </c>
    </row>
    <row r="624" spans="1:3">
      <c r="A624" t="s">
        <v>202</v>
      </c>
      <c r="B624">
        <v>2021</v>
      </c>
      <c r="C624">
        <v>1213</v>
      </c>
    </row>
    <row r="625" spans="1:3">
      <c r="A625" t="s">
        <v>202</v>
      </c>
      <c r="B625">
        <v>2022</v>
      </c>
      <c r="C625">
        <v>1122</v>
      </c>
    </row>
    <row r="626" spans="1:3">
      <c r="A626" t="s">
        <v>202</v>
      </c>
      <c r="B626">
        <v>2023</v>
      </c>
      <c r="C626">
        <v>1136</v>
      </c>
    </row>
    <row r="627" spans="1:3">
      <c r="A627" t="s">
        <v>202</v>
      </c>
      <c r="B627">
        <v>2024</v>
      </c>
      <c r="C627">
        <v>1217</v>
      </c>
    </row>
    <row r="628" spans="1:3">
      <c r="A628" t="s">
        <v>202</v>
      </c>
      <c r="B628">
        <v>2025</v>
      </c>
      <c r="C628">
        <v>1214</v>
      </c>
    </row>
    <row r="629" spans="1:3">
      <c r="A629" t="s">
        <v>203</v>
      </c>
      <c r="B629">
        <v>2015</v>
      </c>
      <c r="C629">
        <v>1183</v>
      </c>
    </row>
    <row r="630" spans="1:3">
      <c r="A630" t="s">
        <v>203</v>
      </c>
      <c r="B630">
        <v>2016</v>
      </c>
      <c r="C630">
        <v>1183</v>
      </c>
    </row>
    <row r="631" spans="1:3">
      <c r="A631" t="s">
        <v>203</v>
      </c>
      <c r="B631">
        <v>2017</v>
      </c>
      <c r="C631">
        <v>1230</v>
      </c>
    </row>
    <row r="632" spans="1:3">
      <c r="A632" t="s">
        <v>203</v>
      </c>
      <c r="B632">
        <v>2018</v>
      </c>
      <c r="C632">
        <v>1253</v>
      </c>
    </row>
    <row r="633" spans="1:3">
      <c r="A633" t="s">
        <v>203</v>
      </c>
      <c r="B633">
        <v>2019</v>
      </c>
      <c r="C633">
        <v>1263</v>
      </c>
    </row>
    <row r="634" spans="1:3">
      <c r="A634" t="s">
        <v>203</v>
      </c>
      <c r="B634">
        <v>2020</v>
      </c>
      <c r="C634">
        <v>1340</v>
      </c>
    </row>
    <row r="635" spans="1:3">
      <c r="A635" t="s">
        <v>203</v>
      </c>
      <c r="B635">
        <v>2021</v>
      </c>
      <c r="C635">
        <v>1407</v>
      </c>
    </row>
    <row r="636" spans="1:3">
      <c r="A636" t="s">
        <v>203</v>
      </c>
      <c r="B636">
        <v>2022</v>
      </c>
      <c r="C636">
        <v>1353</v>
      </c>
    </row>
    <row r="637" spans="1:3">
      <c r="A637" t="s">
        <v>203</v>
      </c>
      <c r="B637">
        <v>2023</v>
      </c>
      <c r="C637">
        <v>1353</v>
      </c>
    </row>
    <row r="638" spans="1:3">
      <c r="A638" t="s">
        <v>203</v>
      </c>
      <c r="B638">
        <v>2024</v>
      </c>
      <c r="C638">
        <v>1327</v>
      </c>
    </row>
    <row r="639" spans="1:3">
      <c r="A639" t="s">
        <v>203</v>
      </c>
      <c r="B639">
        <v>2025</v>
      </c>
      <c r="C639">
        <v>1351</v>
      </c>
    </row>
    <row r="640" spans="1:3">
      <c r="A640" t="s">
        <v>204</v>
      </c>
      <c r="B640">
        <v>2015</v>
      </c>
      <c r="C640">
        <v>7329</v>
      </c>
    </row>
    <row r="641" spans="1:3">
      <c r="A641" t="s">
        <v>204</v>
      </c>
      <c r="B641">
        <v>2016</v>
      </c>
      <c r="C641">
        <v>7136</v>
      </c>
    </row>
    <row r="642" spans="1:3">
      <c r="A642" t="s">
        <v>204</v>
      </c>
      <c r="B642">
        <v>2017</v>
      </c>
      <c r="C642">
        <v>7038</v>
      </c>
    </row>
    <row r="643" spans="1:3">
      <c r="A643" t="s">
        <v>204</v>
      </c>
      <c r="B643">
        <v>2018</v>
      </c>
      <c r="C643">
        <v>6837</v>
      </c>
    </row>
    <row r="644" spans="1:3">
      <c r="A644" t="s">
        <v>204</v>
      </c>
      <c r="B644">
        <v>2019</v>
      </c>
      <c r="C644">
        <v>7013</v>
      </c>
    </row>
    <row r="645" spans="1:3">
      <c r="A645" t="s">
        <v>204</v>
      </c>
      <c r="B645">
        <v>2020</v>
      </c>
      <c r="C645">
        <v>6847</v>
      </c>
    </row>
    <row r="646" spans="1:3">
      <c r="A646" t="s">
        <v>204</v>
      </c>
      <c r="B646">
        <v>2021</v>
      </c>
      <c r="C646">
        <v>6619</v>
      </c>
    </row>
    <row r="647" spans="1:3">
      <c r="A647" t="s">
        <v>204</v>
      </c>
      <c r="B647">
        <v>2022</v>
      </c>
      <c r="C647">
        <v>6813</v>
      </c>
    </row>
    <row r="648" spans="1:3">
      <c r="A648" t="s">
        <v>204</v>
      </c>
      <c r="B648">
        <v>2023</v>
      </c>
      <c r="C648">
        <v>6725</v>
      </c>
    </row>
    <row r="649" spans="1:3">
      <c r="A649" t="s">
        <v>204</v>
      </c>
      <c r="B649">
        <v>2024</v>
      </c>
      <c r="C649">
        <v>7020</v>
      </c>
    </row>
    <row r="650" spans="1:3">
      <c r="A650" t="s">
        <v>204</v>
      </c>
      <c r="B650">
        <v>2025</v>
      </c>
      <c r="C650">
        <v>6972</v>
      </c>
    </row>
    <row r="651" spans="1:3">
      <c r="A651" t="s">
        <v>205</v>
      </c>
      <c r="B651">
        <v>2015</v>
      </c>
      <c r="C651">
        <v>2340</v>
      </c>
    </row>
    <row r="652" spans="1:3">
      <c r="A652" t="s">
        <v>205</v>
      </c>
      <c r="B652">
        <v>2016</v>
      </c>
      <c r="C652">
        <v>2265</v>
      </c>
    </row>
    <row r="653" spans="1:3">
      <c r="A653" t="s">
        <v>205</v>
      </c>
      <c r="B653">
        <v>2017</v>
      </c>
      <c r="C653">
        <v>2211</v>
      </c>
    </row>
    <row r="654" spans="1:3">
      <c r="A654" t="s">
        <v>205</v>
      </c>
      <c r="B654">
        <v>2018</v>
      </c>
      <c r="C654">
        <v>2149</v>
      </c>
    </row>
    <row r="655" spans="1:3">
      <c r="A655" t="s">
        <v>205</v>
      </c>
      <c r="B655">
        <v>2019</v>
      </c>
      <c r="C655">
        <v>2210</v>
      </c>
    </row>
    <row r="656" spans="1:3">
      <c r="A656" t="s">
        <v>205</v>
      </c>
      <c r="B656">
        <v>2020</v>
      </c>
      <c r="C656">
        <v>2342</v>
      </c>
    </row>
    <row r="657" spans="1:3">
      <c r="A657" t="s">
        <v>205</v>
      </c>
      <c r="B657">
        <v>2021</v>
      </c>
      <c r="C657">
        <v>2326</v>
      </c>
    </row>
    <row r="658" spans="1:3">
      <c r="A658" t="s">
        <v>205</v>
      </c>
      <c r="B658">
        <v>2022</v>
      </c>
      <c r="C658">
        <v>2575</v>
      </c>
    </row>
    <row r="659" spans="1:3">
      <c r="A659" t="s">
        <v>205</v>
      </c>
      <c r="B659">
        <v>2023</v>
      </c>
      <c r="C659">
        <v>2541</v>
      </c>
    </row>
    <row r="660" spans="1:3">
      <c r="A660" t="s">
        <v>205</v>
      </c>
      <c r="B660">
        <v>2024</v>
      </c>
      <c r="C660">
        <v>2534</v>
      </c>
    </row>
    <row r="661" spans="1:3">
      <c r="A661" t="s">
        <v>205</v>
      </c>
      <c r="B661">
        <v>2025</v>
      </c>
      <c r="C661">
        <v>2506</v>
      </c>
    </row>
    <row r="662" spans="1:3">
      <c r="A662" t="s">
        <v>206</v>
      </c>
      <c r="B662">
        <v>2015</v>
      </c>
      <c r="C662">
        <v>1933</v>
      </c>
    </row>
    <row r="663" spans="1:3">
      <c r="A663" t="s">
        <v>206</v>
      </c>
      <c r="B663">
        <v>2016</v>
      </c>
      <c r="C663">
        <v>1910</v>
      </c>
    </row>
    <row r="664" spans="1:3">
      <c r="A664" t="s">
        <v>206</v>
      </c>
      <c r="B664">
        <v>2017</v>
      </c>
      <c r="C664">
        <v>2065</v>
      </c>
    </row>
    <row r="665" spans="1:3">
      <c r="A665" t="s">
        <v>206</v>
      </c>
      <c r="B665">
        <v>2018</v>
      </c>
      <c r="C665">
        <v>2103</v>
      </c>
    </row>
    <row r="666" spans="1:3">
      <c r="A666" t="s">
        <v>206</v>
      </c>
      <c r="B666">
        <v>2019</v>
      </c>
      <c r="C666">
        <v>2107</v>
      </c>
    </row>
    <row r="667" spans="1:3">
      <c r="A667" t="s">
        <v>206</v>
      </c>
      <c r="B667">
        <v>2020</v>
      </c>
      <c r="C667">
        <v>1667</v>
      </c>
    </row>
    <row r="668" spans="1:3">
      <c r="A668" t="s">
        <v>206</v>
      </c>
      <c r="B668">
        <v>2021</v>
      </c>
      <c r="C668">
        <v>1747</v>
      </c>
    </row>
    <row r="669" spans="1:3">
      <c r="A669" t="s">
        <v>206</v>
      </c>
      <c r="B669">
        <v>2022</v>
      </c>
      <c r="C669">
        <v>1766</v>
      </c>
    </row>
    <row r="670" spans="1:3">
      <c r="A670" t="s">
        <v>206</v>
      </c>
      <c r="B670">
        <v>2023</v>
      </c>
      <c r="C670">
        <v>1876</v>
      </c>
    </row>
    <row r="671" spans="1:3">
      <c r="A671" t="s">
        <v>206</v>
      </c>
      <c r="B671">
        <v>2024</v>
      </c>
      <c r="C671">
        <v>1846</v>
      </c>
    </row>
    <row r="672" spans="1:3">
      <c r="A672" t="s">
        <v>206</v>
      </c>
      <c r="B672">
        <v>2025</v>
      </c>
      <c r="C672">
        <v>2065</v>
      </c>
    </row>
    <row r="673" spans="1:3">
      <c r="A673" t="s">
        <v>207</v>
      </c>
      <c r="B673">
        <v>2015</v>
      </c>
      <c r="C673">
        <v>1075</v>
      </c>
    </row>
    <row r="674" spans="1:3">
      <c r="A674" t="s">
        <v>207</v>
      </c>
      <c r="B674">
        <v>2016</v>
      </c>
      <c r="C674">
        <v>1076</v>
      </c>
    </row>
    <row r="675" spans="1:3">
      <c r="A675" t="s">
        <v>207</v>
      </c>
      <c r="B675">
        <v>2017</v>
      </c>
      <c r="C675">
        <v>1027</v>
      </c>
    </row>
    <row r="676" spans="1:3">
      <c r="A676" t="s">
        <v>207</v>
      </c>
      <c r="B676">
        <v>2018</v>
      </c>
      <c r="C676">
        <v>1083</v>
      </c>
    </row>
    <row r="677" spans="1:3">
      <c r="A677" t="s">
        <v>207</v>
      </c>
      <c r="B677">
        <v>2019</v>
      </c>
      <c r="C677">
        <v>1056</v>
      </c>
    </row>
    <row r="678" spans="1:3">
      <c r="A678" t="s">
        <v>207</v>
      </c>
      <c r="B678">
        <v>2020</v>
      </c>
      <c r="C678">
        <v>1062</v>
      </c>
    </row>
    <row r="679" spans="1:3">
      <c r="A679" t="s">
        <v>207</v>
      </c>
      <c r="B679">
        <v>2021</v>
      </c>
      <c r="C679">
        <v>1130</v>
      </c>
    </row>
    <row r="680" spans="1:3">
      <c r="A680" t="s">
        <v>207</v>
      </c>
      <c r="B680">
        <v>2022</v>
      </c>
      <c r="C680">
        <v>1074</v>
      </c>
    </row>
    <row r="681" spans="1:3">
      <c r="A681" t="s">
        <v>207</v>
      </c>
      <c r="B681">
        <v>2023</v>
      </c>
      <c r="C681">
        <v>1064</v>
      </c>
    </row>
    <row r="682" spans="1:3">
      <c r="A682" t="s">
        <v>207</v>
      </c>
      <c r="B682">
        <v>2024</v>
      </c>
      <c r="C682">
        <v>961</v>
      </c>
    </row>
    <row r="683" spans="1:3">
      <c r="A683" t="s">
        <v>207</v>
      </c>
      <c r="B683">
        <v>2025</v>
      </c>
      <c r="C683">
        <v>897</v>
      </c>
    </row>
    <row r="684" spans="1:3">
      <c r="A684" t="s">
        <v>208</v>
      </c>
      <c r="B684">
        <v>2015</v>
      </c>
      <c r="C684">
        <v>763</v>
      </c>
    </row>
    <row r="685" spans="1:3">
      <c r="A685" t="s">
        <v>208</v>
      </c>
      <c r="B685">
        <v>2016</v>
      </c>
      <c r="C685">
        <v>770</v>
      </c>
    </row>
    <row r="686" spans="1:3">
      <c r="A686" t="s">
        <v>208</v>
      </c>
      <c r="B686">
        <v>2017</v>
      </c>
      <c r="C686">
        <v>779</v>
      </c>
    </row>
    <row r="687" spans="1:3">
      <c r="A687" t="s">
        <v>208</v>
      </c>
      <c r="B687">
        <v>2018</v>
      </c>
      <c r="C687">
        <v>954</v>
      </c>
    </row>
    <row r="688" spans="1:3">
      <c r="A688" t="s">
        <v>208</v>
      </c>
      <c r="B688">
        <v>2019</v>
      </c>
      <c r="C688">
        <v>1072</v>
      </c>
    </row>
    <row r="689" spans="1:3">
      <c r="A689" t="s">
        <v>208</v>
      </c>
      <c r="B689">
        <v>2020</v>
      </c>
      <c r="C689">
        <v>1268</v>
      </c>
    </row>
    <row r="690" spans="1:3">
      <c r="A690" t="s">
        <v>208</v>
      </c>
      <c r="B690">
        <v>2021</v>
      </c>
      <c r="C690">
        <v>1336</v>
      </c>
    </row>
    <row r="691" spans="1:3">
      <c r="A691" t="s">
        <v>208</v>
      </c>
      <c r="B691">
        <v>2022</v>
      </c>
      <c r="C691">
        <v>1250</v>
      </c>
    </row>
    <row r="692" spans="1:3">
      <c r="A692" t="s">
        <v>208</v>
      </c>
      <c r="B692">
        <v>2023</v>
      </c>
      <c r="C692">
        <v>1251</v>
      </c>
    </row>
    <row r="693" spans="1:3">
      <c r="A693" t="s">
        <v>208</v>
      </c>
      <c r="B693">
        <v>2024</v>
      </c>
      <c r="C693">
        <v>1270</v>
      </c>
    </row>
    <row r="694" spans="1:3">
      <c r="A694" t="s">
        <v>208</v>
      </c>
      <c r="B694">
        <v>2025</v>
      </c>
      <c r="C694">
        <v>1247</v>
      </c>
    </row>
    <row r="695" spans="1:3">
      <c r="A695" t="s">
        <v>209</v>
      </c>
      <c r="B695">
        <v>2015</v>
      </c>
      <c r="C695">
        <v>6547</v>
      </c>
    </row>
    <row r="696" spans="1:3">
      <c r="A696" t="s">
        <v>209</v>
      </c>
      <c r="B696">
        <v>2016</v>
      </c>
      <c r="C696">
        <v>6724</v>
      </c>
    </row>
    <row r="697" spans="1:3">
      <c r="A697" t="s">
        <v>209</v>
      </c>
      <c r="B697">
        <v>2017</v>
      </c>
      <c r="C697">
        <v>6756</v>
      </c>
    </row>
    <row r="698" spans="1:3">
      <c r="A698" t="s">
        <v>209</v>
      </c>
      <c r="B698">
        <v>2018</v>
      </c>
      <c r="C698">
        <v>6160</v>
      </c>
    </row>
    <row r="699" spans="1:3">
      <c r="A699" t="s">
        <v>209</v>
      </c>
      <c r="B699">
        <v>2019</v>
      </c>
      <c r="C699">
        <v>6337</v>
      </c>
    </row>
    <row r="700" spans="1:3">
      <c r="A700" t="s">
        <v>209</v>
      </c>
      <c r="B700">
        <v>2020</v>
      </c>
      <c r="C700">
        <v>6756</v>
      </c>
    </row>
    <row r="701" spans="1:3">
      <c r="A701" t="s">
        <v>209</v>
      </c>
      <c r="B701">
        <v>2021</v>
      </c>
      <c r="C701">
        <v>7232</v>
      </c>
    </row>
    <row r="702" spans="1:3">
      <c r="A702" t="s">
        <v>209</v>
      </c>
      <c r="B702">
        <v>2022</v>
      </c>
      <c r="C702">
        <v>6957</v>
      </c>
    </row>
    <row r="703" spans="1:3">
      <c r="A703" t="s">
        <v>209</v>
      </c>
      <c r="B703">
        <v>2023</v>
      </c>
      <c r="C703">
        <v>6691</v>
      </c>
    </row>
    <row r="704" spans="1:3">
      <c r="A704" t="s">
        <v>209</v>
      </c>
      <c r="B704">
        <v>2024</v>
      </c>
      <c r="C704">
        <v>6257</v>
      </c>
    </row>
    <row r="705" spans="1:3">
      <c r="A705" t="s">
        <v>209</v>
      </c>
      <c r="B705">
        <v>2025</v>
      </c>
      <c r="C705">
        <v>6283</v>
      </c>
    </row>
    <row r="706" spans="1:3">
      <c r="A706" t="s">
        <v>210</v>
      </c>
      <c r="B706">
        <v>2015</v>
      </c>
      <c r="C706">
        <v>6398</v>
      </c>
    </row>
    <row r="707" spans="1:3">
      <c r="A707" t="s">
        <v>210</v>
      </c>
      <c r="B707">
        <v>2016</v>
      </c>
      <c r="C707">
        <v>6344</v>
      </c>
    </row>
    <row r="708" spans="1:3">
      <c r="A708" t="s">
        <v>210</v>
      </c>
      <c r="B708">
        <v>2017</v>
      </c>
      <c r="C708">
        <v>6669</v>
      </c>
    </row>
    <row r="709" spans="1:3">
      <c r="A709" t="s">
        <v>210</v>
      </c>
      <c r="B709">
        <v>2018</v>
      </c>
      <c r="C709">
        <v>6737</v>
      </c>
    </row>
    <row r="710" spans="1:3">
      <c r="A710" t="s">
        <v>210</v>
      </c>
      <c r="B710">
        <v>2019</v>
      </c>
      <c r="C710">
        <v>6951</v>
      </c>
    </row>
    <row r="711" spans="1:3">
      <c r="A711" t="s">
        <v>210</v>
      </c>
      <c r="B711">
        <v>2020</v>
      </c>
      <c r="C711">
        <v>7609</v>
      </c>
    </row>
    <row r="712" spans="1:3">
      <c r="A712" t="s">
        <v>210</v>
      </c>
      <c r="B712">
        <v>2021</v>
      </c>
      <c r="C712">
        <v>7848</v>
      </c>
    </row>
    <row r="713" spans="1:3">
      <c r="A713" t="s">
        <v>210</v>
      </c>
      <c r="B713">
        <v>2022</v>
      </c>
      <c r="C713">
        <v>7806</v>
      </c>
    </row>
    <row r="714" spans="1:3">
      <c r="A714" t="s">
        <v>210</v>
      </c>
      <c r="B714">
        <v>2023</v>
      </c>
      <c r="C714">
        <v>7817</v>
      </c>
    </row>
    <row r="715" spans="1:3">
      <c r="A715" t="s">
        <v>210</v>
      </c>
      <c r="B715">
        <v>2024</v>
      </c>
      <c r="C715">
        <v>8269</v>
      </c>
    </row>
    <row r="716" spans="1:3">
      <c r="A716" t="s">
        <v>210</v>
      </c>
      <c r="B716">
        <v>2025</v>
      </c>
      <c r="C716">
        <v>8083</v>
      </c>
    </row>
    <row r="717" spans="1:3">
      <c r="A717" t="s">
        <v>211</v>
      </c>
      <c r="B717">
        <v>2015</v>
      </c>
      <c r="C717">
        <v>193090</v>
      </c>
    </row>
    <row r="718" spans="1:3">
      <c r="A718" t="s">
        <v>211</v>
      </c>
      <c r="B718">
        <v>2016</v>
      </c>
      <c r="C718">
        <v>191509</v>
      </c>
    </row>
    <row r="719" spans="1:3">
      <c r="A719" t="s">
        <v>211</v>
      </c>
      <c r="B719">
        <v>2017</v>
      </c>
      <c r="C719">
        <v>192101</v>
      </c>
    </row>
    <row r="720" spans="1:3">
      <c r="A720" t="s">
        <v>211</v>
      </c>
      <c r="B720">
        <v>2018</v>
      </c>
      <c r="C720">
        <v>188985</v>
      </c>
    </row>
    <row r="721" spans="1:12">
      <c r="A721" t="s">
        <v>211</v>
      </c>
      <c r="B721">
        <v>2019</v>
      </c>
      <c r="C721">
        <v>189554</v>
      </c>
    </row>
    <row r="722" spans="1:12">
      <c r="A722" t="s">
        <v>211</v>
      </c>
      <c r="B722">
        <v>2020</v>
      </c>
      <c r="C722">
        <v>196855</v>
      </c>
    </row>
    <row r="723" spans="1:12">
      <c r="A723" t="s">
        <v>211</v>
      </c>
      <c r="B723">
        <v>2021</v>
      </c>
      <c r="C723">
        <v>197493</v>
      </c>
    </row>
    <row r="724" spans="1:12">
      <c r="A724" t="s">
        <v>211</v>
      </c>
      <c r="B724">
        <v>2022</v>
      </c>
      <c r="C724">
        <v>199027</v>
      </c>
    </row>
    <row r="725" spans="1:12">
      <c r="A725" t="s">
        <v>211</v>
      </c>
      <c r="B725">
        <v>2023</v>
      </c>
      <c r="C725">
        <v>198908</v>
      </c>
    </row>
    <row r="726" spans="1:12">
      <c r="A726" t="s">
        <v>211</v>
      </c>
      <c r="B726">
        <v>2024</v>
      </c>
      <c r="C726">
        <v>200608</v>
      </c>
    </row>
    <row r="727" spans="1:12">
      <c r="A727" t="s">
        <v>211</v>
      </c>
      <c r="B727">
        <v>2025</v>
      </c>
      <c r="C727">
        <v>201864</v>
      </c>
    </row>
    <row r="729" spans="1:12">
      <c r="A729" t="s">
        <v>130</v>
      </c>
    </row>
    <row r="730" spans="1:12">
      <c r="A730" t="s">
        <v>131</v>
      </c>
    </row>
    <row r="731" spans="1:12">
      <c r="A731" t="s">
        <v>132</v>
      </c>
    </row>
    <row r="732" spans="1:12">
      <c r="A732" t="s">
        <v>133</v>
      </c>
    </row>
    <row r="733" spans="1:12">
      <c r="A733" t="s">
        <v>134</v>
      </c>
      <c r="B733" t="s">
        <v>135</v>
      </c>
      <c r="C733" t="s">
        <v>136</v>
      </c>
      <c r="D733" t="s">
        <v>137</v>
      </c>
      <c r="E733" t="s">
        <v>138</v>
      </c>
      <c r="F733" t="s">
        <v>139</v>
      </c>
      <c r="G733" t="s">
        <v>140</v>
      </c>
      <c r="H733" t="s">
        <v>141</v>
      </c>
      <c r="I733" t="s">
        <v>142</v>
      </c>
      <c r="J733" t="s">
        <v>143</v>
      </c>
      <c r="K733" t="s">
        <v>144</v>
      </c>
      <c r="L733" t="s">
        <v>145</v>
      </c>
    </row>
    <row r="734" spans="1:12">
      <c r="A734" t="s">
        <v>146</v>
      </c>
      <c r="B734">
        <v>1654</v>
      </c>
      <c r="C734">
        <v>1666</v>
      </c>
      <c r="D734">
        <v>1715</v>
      </c>
      <c r="E734">
        <v>1772</v>
      </c>
      <c r="F734">
        <v>1851</v>
      </c>
      <c r="G734">
        <v>1871</v>
      </c>
      <c r="H734">
        <v>1887</v>
      </c>
      <c r="I734">
        <v>1899</v>
      </c>
      <c r="J734">
        <v>1892</v>
      </c>
      <c r="K734">
        <v>1909</v>
      </c>
      <c r="L734">
        <v>1967</v>
      </c>
    </row>
    <row r="735" spans="1:12">
      <c r="A735" t="s">
        <v>147</v>
      </c>
      <c r="B735">
        <v>3425</v>
      </c>
      <c r="C735">
        <v>3482</v>
      </c>
      <c r="D735">
        <v>3453</v>
      </c>
      <c r="E735">
        <v>3425</v>
      </c>
      <c r="F735">
        <v>3338</v>
      </c>
      <c r="G735">
        <v>3389</v>
      </c>
      <c r="H735">
        <v>3607</v>
      </c>
      <c r="I735">
        <v>3648</v>
      </c>
      <c r="J735">
        <v>3715</v>
      </c>
      <c r="K735">
        <v>3959</v>
      </c>
      <c r="L735">
        <v>4095</v>
      </c>
    </row>
    <row r="736" spans="1:12">
      <c r="A736" t="s">
        <v>148</v>
      </c>
      <c r="B736">
        <v>689</v>
      </c>
      <c r="C736">
        <v>705</v>
      </c>
      <c r="D736">
        <v>744</v>
      </c>
      <c r="E736">
        <v>857</v>
      </c>
      <c r="F736">
        <v>894</v>
      </c>
      <c r="G736">
        <v>1290</v>
      </c>
      <c r="H736">
        <v>1095</v>
      </c>
      <c r="I736">
        <v>1101</v>
      </c>
      <c r="J736">
        <v>1181</v>
      </c>
      <c r="K736">
        <v>1199</v>
      </c>
      <c r="L736">
        <v>1275</v>
      </c>
    </row>
    <row r="737" spans="1:12">
      <c r="A737" t="s">
        <v>149</v>
      </c>
      <c r="B737">
        <v>994</v>
      </c>
      <c r="C737">
        <v>990</v>
      </c>
      <c r="D737">
        <v>916</v>
      </c>
      <c r="E737">
        <v>842</v>
      </c>
      <c r="F737">
        <v>853</v>
      </c>
      <c r="G737">
        <v>829</v>
      </c>
      <c r="H737">
        <v>829</v>
      </c>
      <c r="I737">
        <v>868</v>
      </c>
      <c r="J737">
        <v>866</v>
      </c>
      <c r="K737">
        <v>842</v>
      </c>
      <c r="L737">
        <v>748</v>
      </c>
    </row>
    <row r="738" spans="1:12">
      <c r="A738" t="s">
        <v>150</v>
      </c>
      <c r="B738">
        <v>4834</v>
      </c>
      <c r="C738">
        <v>5099</v>
      </c>
      <c r="D738">
        <v>4626</v>
      </c>
      <c r="E738">
        <v>4528</v>
      </c>
      <c r="F738">
        <v>4014</v>
      </c>
      <c r="G738">
        <v>4267</v>
      </c>
      <c r="H738">
        <v>4110</v>
      </c>
      <c r="I738">
        <v>3982</v>
      </c>
      <c r="J738">
        <v>3663</v>
      </c>
      <c r="K738">
        <v>4175</v>
      </c>
      <c r="L738">
        <v>4533</v>
      </c>
    </row>
    <row r="739" spans="1:12">
      <c r="A739" t="s">
        <v>151</v>
      </c>
      <c r="B739">
        <v>764</v>
      </c>
      <c r="C739">
        <v>764</v>
      </c>
      <c r="D739">
        <v>743</v>
      </c>
      <c r="E739">
        <v>752</v>
      </c>
      <c r="F739">
        <v>710</v>
      </c>
      <c r="G739">
        <v>828</v>
      </c>
      <c r="H739">
        <v>808</v>
      </c>
      <c r="I739">
        <v>967</v>
      </c>
      <c r="J739">
        <v>1071</v>
      </c>
      <c r="K739">
        <v>1156</v>
      </c>
      <c r="L739">
        <v>1085</v>
      </c>
    </row>
    <row r="740" spans="1:12">
      <c r="A740" t="s">
        <v>152</v>
      </c>
      <c r="B740">
        <v>3956</v>
      </c>
      <c r="C740">
        <v>3863</v>
      </c>
      <c r="D740">
        <v>3889</v>
      </c>
      <c r="E740">
        <v>3614</v>
      </c>
      <c r="F740">
        <v>3731</v>
      </c>
      <c r="G740">
        <v>4231</v>
      </c>
      <c r="H740">
        <v>4179</v>
      </c>
      <c r="I740">
        <v>4579</v>
      </c>
      <c r="J740">
        <v>4643</v>
      </c>
      <c r="K740">
        <v>4466</v>
      </c>
      <c r="L740">
        <v>4498</v>
      </c>
    </row>
    <row r="741" spans="1:12">
      <c r="A741" t="s">
        <v>153</v>
      </c>
      <c r="B741">
        <v>2906</v>
      </c>
      <c r="C741">
        <v>2969</v>
      </c>
      <c r="D741">
        <v>3003</v>
      </c>
      <c r="E741">
        <v>3171</v>
      </c>
      <c r="F741">
        <v>3041</v>
      </c>
      <c r="G741">
        <v>3456</v>
      </c>
      <c r="H741">
        <v>3412</v>
      </c>
      <c r="I741">
        <v>3086</v>
      </c>
      <c r="J741">
        <v>3112</v>
      </c>
      <c r="K741">
        <v>3080</v>
      </c>
      <c r="L741">
        <v>3012</v>
      </c>
    </row>
    <row r="742" spans="1:12">
      <c r="A742" t="s">
        <v>154</v>
      </c>
      <c r="B742">
        <v>7494</v>
      </c>
      <c r="C742">
        <v>7463</v>
      </c>
      <c r="D742">
        <v>7802</v>
      </c>
      <c r="E742">
        <v>8058</v>
      </c>
      <c r="F742">
        <v>8171</v>
      </c>
      <c r="G742">
        <v>8954</v>
      </c>
      <c r="H742">
        <v>8987</v>
      </c>
      <c r="I742">
        <v>8984</v>
      </c>
      <c r="J742">
        <v>8525</v>
      </c>
      <c r="K742">
        <v>8355</v>
      </c>
      <c r="L742">
        <v>8777</v>
      </c>
    </row>
    <row r="743" spans="1:12">
      <c r="A743" t="s">
        <v>155</v>
      </c>
      <c r="B743">
        <v>3106</v>
      </c>
      <c r="C743">
        <v>3018</v>
      </c>
      <c r="D743">
        <v>3150</v>
      </c>
      <c r="E743">
        <v>2933</v>
      </c>
      <c r="F743">
        <v>3132</v>
      </c>
      <c r="G743">
        <v>3373</v>
      </c>
      <c r="H743">
        <v>3431</v>
      </c>
      <c r="I743">
        <v>3555</v>
      </c>
      <c r="J743">
        <v>3329</v>
      </c>
      <c r="K743">
        <v>3446</v>
      </c>
      <c r="L743">
        <v>3580</v>
      </c>
    </row>
    <row r="744" spans="1:12">
      <c r="A744" t="s">
        <v>156</v>
      </c>
      <c r="B744">
        <v>1754</v>
      </c>
      <c r="C744">
        <v>1803</v>
      </c>
      <c r="D744">
        <v>1780</v>
      </c>
      <c r="E744">
        <v>1593</v>
      </c>
      <c r="F744">
        <v>1569</v>
      </c>
      <c r="G744">
        <v>1803</v>
      </c>
      <c r="H744">
        <v>1939</v>
      </c>
      <c r="I744">
        <v>1958</v>
      </c>
      <c r="J744">
        <v>2219</v>
      </c>
      <c r="K744">
        <v>2088</v>
      </c>
      <c r="L744">
        <v>2225</v>
      </c>
    </row>
    <row r="745" spans="1:12">
      <c r="A745" t="s">
        <v>157</v>
      </c>
      <c r="B745">
        <v>2791</v>
      </c>
      <c r="C745">
        <v>2944</v>
      </c>
      <c r="D745">
        <v>2993</v>
      </c>
      <c r="E745">
        <v>2811</v>
      </c>
      <c r="F745">
        <v>2775</v>
      </c>
      <c r="G745">
        <v>2986</v>
      </c>
      <c r="H745">
        <v>3291</v>
      </c>
      <c r="I745">
        <v>3168</v>
      </c>
      <c r="J745">
        <v>3249</v>
      </c>
      <c r="K745">
        <v>3387</v>
      </c>
      <c r="L745">
        <v>3412</v>
      </c>
    </row>
    <row r="746" spans="1:12">
      <c r="A746" t="s">
        <v>158</v>
      </c>
      <c r="B746">
        <v>947</v>
      </c>
      <c r="C746">
        <v>961</v>
      </c>
      <c r="D746">
        <v>808</v>
      </c>
      <c r="E746">
        <v>917</v>
      </c>
      <c r="F746">
        <v>899</v>
      </c>
      <c r="G746">
        <v>884</v>
      </c>
      <c r="H746">
        <v>973</v>
      </c>
      <c r="I746">
        <v>1112</v>
      </c>
      <c r="J746">
        <v>1069</v>
      </c>
      <c r="K746">
        <v>1186</v>
      </c>
      <c r="L746">
        <v>1300</v>
      </c>
    </row>
    <row r="747" spans="1:12">
      <c r="A747" t="s">
        <v>159</v>
      </c>
      <c r="B747">
        <v>576</v>
      </c>
      <c r="C747">
        <v>523</v>
      </c>
      <c r="D747">
        <v>535</v>
      </c>
      <c r="E747">
        <v>656</v>
      </c>
      <c r="F747">
        <v>726</v>
      </c>
      <c r="G747">
        <v>879</v>
      </c>
      <c r="H747">
        <v>868</v>
      </c>
      <c r="I747">
        <v>844</v>
      </c>
      <c r="J747">
        <v>578</v>
      </c>
      <c r="K747">
        <v>569</v>
      </c>
      <c r="L747">
        <v>564</v>
      </c>
    </row>
    <row r="748" spans="1:12">
      <c r="A748" t="s">
        <v>160</v>
      </c>
      <c r="B748">
        <v>492</v>
      </c>
      <c r="C748">
        <v>511</v>
      </c>
      <c r="D748">
        <v>536</v>
      </c>
      <c r="E748">
        <v>589</v>
      </c>
      <c r="F748">
        <v>710</v>
      </c>
      <c r="G748">
        <v>905</v>
      </c>
      <c r="H748">
        <v>900</v>
      </c>
      <c r="I748">
        <v>774</v>
      </c>
      <c r="J748">
        <v>779</v>
      </c>
      <c r="K748">
        <v>801</v>
      </c>
      <c r="L748">
        <v>770</v>
      </c>
    </row>
    <row r="749" spans="1:12">
      <c r="A749" t="s">
        <v>161</v>
      </c>
      <c r="B749">
        <v>8501</v>
      </c>
      <c r="C749">
        <v>8858</v>
      </c>
      <c r="D749">
        <v>8883</v>
      </c>
      <c r="E749">
        <v>8781</v>
      </c>
      <c r="F749">
        <v>8852</v>
      </c>
      <c r="G749">
        <v>8705</v>
      </c>
      <c r="H749">
        <v>8951</v>
      </c>
      <c r="I749">
        <v>9462</v>
      </c>
      <c r="J749">
        <v>9442</v>
      </c>
      <c r="K749">
        <v>9499</v>
      </c>
      <c r="L749">
        <v>9549</v>
      </c>
    </row>
    <row r="750" spans="1:12">
      <c r="A750" t="s">
        <v>162</v>
      </c>
      <c r="B750">
        <v>3392</v>
      </c>
      <c r="C750">
        <v>3405</v>
      </c>
      <c r="D750">
        <v>3390</v>
      </c>
      <c r="E750">
        <v>2578</v>
      </c>
      <c r="F750">
        <v>2861</v>
      </c>
      <c r="G750">
        <v>3332</v>
      </c>
      <c r="H750">
        <v>3008</v>
      </c>
      <c r="I750">
        <v>3203</v>
      </c>
      <c r="J750">
        <v>3036</v>
      </c>
      <c r="K750">
        <v>3130</v>
      </c>
      <c r="L750">
        <v>3184</v>
      </c>
    </row>
    <row r="751" spans="1:12">
      <c r="A751" t="s">
        <v>163</v>
      </c>
      <c r="B751">
        <v>2072</v>
      </c>
      <c r="C751">
        <v>2117</v>
      </c>
      <c r="D751">
        <v>2109</v>
      </c>
      <c r="E751">
        <v>2173</v>
      </c>
      <c r="F751">
        <v>2115</v>
      </c>
      <c r="G751">
        <v>2189</v>
      </c>
      <c r="H751">
        <v>2198</v>
      </c>
      <c r="I751">
        <v>2144</v>
      </c>
      <c r="J751">
        <v>2177</v>
      </c>
      <c r="K751">
        <v>2203</v>
      </c>
      <c r="L751">
        <v>2458</v>
      </c>
    </row>
    <row r="752" spans="1:12">
      <c r="A752" t="s">
        <v>164</v>
      </c>
      <c r="B752">
        <v>1404</v>
      </c>
      <c r="C752">
        <v>1366</v>
      </c>
      <c r="D752">
        <v>1346</v>
      </c>
      <c r="E752">
        <v>1343</v>
      </c>
      <c r="F752">
        <v>1309</v>
      </c>
      <c r="G752">
        <v>1407</v>
      </c>
      <c r="H752">
        <v>1359</v>
      </c>
      <c r="I752">
        <v>1301</v>
      </c>
      <c r="J752">
        <v>1610</v>
      </c>
      <c r="K752">
        <v>1747</v>
      </c>
      <c r="L752">
        <v>1784</v>
      </c>
    </row>
    <row r="753" spans="1:12">
      <c r="A753" t="s">
        <v>165</v>
      </c>
      <c r="B753">
        <v>7800</v>
      </c>
      <c r="C753">
        <v>7868</v>
      </c>
      <c r="D753">
        <v>8129</v>
      </c>
      <c r="E753">
        <v>8093</v>
      </c>
      <c r="F753">
        <v>8167</v>
      </c>
      <c r="G753">
        <v>8740</v>
      </c>
      <c r="H753">
        <v>8321</v>
      </c>
      <c r="I753">
        <v>7991</v>
      </c>
      <c r="J753">
        <v>8020</v>
      </c>
      <c r="K753">
        <v>7887</v>
      </c>
      <c r="L753">
        <v>7790</v>
      </c>
    </row>
    <row r="754" spans="1:12">
      <c r="A754" t="s">
        <v>166</v>
      </c>
      <c r="B754">
        <v>8917</v>
      </c>
      <c r="C754">
        <v>8819</v>
      </c>
      <c r="D754">
        <v>9050</v>
      </c>
      <c r="E754">
        <v>8660</v>
      </c>
      <c r="F754">
        <v>8879</v>
      </c>
      <c r="G754">
        <v>8936</v>
      </c>
      <c r="H754">
        <v>8955</v>
      </c>
      <c r="I754">
        <v>9265</v>
      </c>
      <c r="J754">
        <v>8945</v>
      </c>
      <c r="K754">
        <v>9110</v>
      </c>
      <c r="L754">
        <v>9281</v>
      </c>
    </row>
    <row r="755" spans="1:12">
      <c r="A755" t="s">
        <v>167</v>
      </c>
      <c r="B755">
        <v>608</v>
      </c>
      <c r="C755">
        <v>608</v>
      </c>
      <c r="D755">
        <v>514</v>
      </c>
      <c r="E755">
        <v>541</v>
      </c>
      <c r="F755">
        <v>638</v>
      </c>
      <c r="G755">
        <v>795</v>
      </c>
      <c r="H755">
        <v>725</v>
      </c>
      <c r="I755">
        <v>723</v>
      </c>
      <c r="J755">
        <v>724</v>
      </c>
      <c r="K755">
        <v>718</v>
      </c>
      <c r="L755">
        <v>1028</v>
      </c>
    </row>
    <row r="756" spans="1:12">
      <c r="A756" t="s">
        <v>168</v>
      </c>
      <c r="B756">
        <v>488</v>
      </c>
      <c r="C756">
        <v>501</v>
      </c>
      <c r="D756">
        <v>554</v>
      </c>
      <c r="E756">
        <v>560</v>
      </c>
      <c r="F756">
        <v>551</v>
      </c>
      <c r="G756">
        <v>539</v>
      </c>
      <c r="H756">
        <v>585</v>
      </c>
      <c r="I756">
        <v>640</v>
      </c>
      <c r="J756">
        <v>622</v>
      </c>
      <c r="K756">
        <v>541</v>
      </c>
      <c r="L756">
        <v>553</v>
      </c>
    </row>
    <row r="757" spans="1:12">
      <c r="A757" t="s">
        <v>169</v>
      </c>
      <c r="B757">
        <v>2275</v>
      </c>
      <c r="C757">
        <v>2477</v>
      </c>
      <c r="D757">
        <v>2422</v>
      </c>
      <c r="E757">
        <v>2408</v>
      </c>
      <c r="F757">
        <v>2396</v>
      </c>
      <c r="G757">
        <v>2388</v>
      </c>
      <c r="H757">
        <v>2490</v>
      </c>
      <c r="I757">
        <v>2482</v>
      </c>
      <c r="J757">
        <v>2501</v>
      </c>
      <c r="K757">
        <v>2444</v>
      </c>
      <c r="L757">
        <v>2450</v>
      </c>
    </row>
    <row r="758" spans="1:12">
      <c r="A758" t="s">
        <v>170</v>
      </c>
      <c r="B758">
        <v>1160</v>
      </c>
      <c r="C758">
        <v>1092</v>
      </c>
      <c r="D758">
        <v>1090</v>
      </c>
      <c r="E758">
        <v>904</v>
      </c>
      <c r="F758">
        <v>945</v>
      </c>
      <c r="G758">
        <v>898</v>
      </c>
      <c r="H758">
        <v>982</v>
      </c>
      <c r="I758">
        <v>1004</v>
      </c>
      <c r="J758">
        <v>1008</v>
      </c>
      <c r="K758">
        <v>1045</v>
      </c>
      <c r="L758">
        <v>1078</v>
      </c>
    </row>
    <row r="759" spans="1:12">
      <c r="A759" t="s">
        <v>171</v>
      </c>
      <c r="B759">
        <v>1281</v>
      </c>
      <c r="C759">
        <v>1284</v>
      </c>
      <c r="D759">
        <v>1288</v>
      </c>
      <c r="E759">
        <v>1191</v>
      </c>
      <c r="F759">
        <v>1272</v>
      </c>
      <c r="G759">
        <v>1415</v>
      </c>
      <c r="H759">
        <v>1507</v>
      </c>
      <c r="I759">
        <v>1439</v>
      </c>
      <c r="J759">
        <v>1442</v>
      </c>
      <c r="K759">
        <v>1489</v>
      </c>
      <c r="L759">
        <v>1487</v>
      </c>
    </row>
    <row r="760" spans="1:12">
      <c r="A760" t="s">
        <v>172</v>
      </c>
      <c r="B760">
        <v>727</v>
      </c>
      <c r="C760">
        <v>759</v>
      </c>
      <c r="D760">
        <v>755</v>
      </c>
      <c r="E760">
        <v>699</v>
      </c>
      <c r="F760">
        <v>755</v>
      </c>
      <c r="G760">
        <v>586</v>
      </c>
      <c r="H760">
        <v>651</v>
      </c>
      <c r="I760">
        <v>767</v>
      </c>
      <c r="J760">
        <v>900</v>
      </c>
      <c r="K760">
        <v>1056</v>
      </c>
      <c r="L760">
        <v>1046</v>
      </c>
    </row>
    <row r="761" spans="1:12">
      <c r="A761" t="s">
        <v>173</v>
      </c>
      <c r="B761">
        <v>780</v>
      </c>
      <c r="C761">
        <v>803</v>
      </c>
      <c r="D761">
        <v>794</v>
      </c>
      <c r="E761">
        <v>865</v>
      </c>
      <c r="F761">
        <v>876</v>
      </c>
      <c r="G761">
        <v>1016</v>
      </c>
      <c r="H761">
        <v>1035</v>
      </c>
      <c r="I761">
        <v>1046</v>
      </c>
      <c r="J761">
        <v>1102</v>
      </c>
      <c r="K761">
        <v>1132</v>
      </c>
      <c r="L761">
        <v>1126</v>
      </c>
    </row>
    <row r="762" spans="1:12">
      <c r="A762" t="s">
        <v>174</v>
      </c>
      <c r="B762">
        <v>402</v>
      </c>
      <c r="C762">
        <v>348</v>
      </c>
      <c r="D762">
        <v>331</v>
      </c>
      <c r="E762">
        <v>285</v>
      </c>
      <c r="F762">
        <v>285</v>
      </c>
      <c r="G762">
        <v>405</v>
      </c>
      <c r="H762">
        <v>432</v>
      </c>
      <c r="I762">
        <v>535</v>
      </c>
      <c r="J762">
        <v>360</v>
      </c>
      <c r="K762">
        <v>417</v>
      </c>
      <c r="L762">
        <v>433</v>
      </c>
    </row>
    <row r="763" spans="1:12">
      <c r="A763" t="s">
        <v>175</v>
      </c>
      <c r="B763">
        <v>1812</v>
      </c>
      <c r="C763">
        <v>1753</v>
      </c>
      <c r="D763">
        <v>1799</v>
      </c>
      <c r="E763">
        <v>1666</v>
      </c>
      <c r="F763">
        <v>1664</v>
      </c>
      <c r="G763">
        <v>1709</v>
      </c>
      <c r="H763">
        <v>1732</v>
      </c>
      <c r="I763">
        <v>1568</v>
      </c>
      <c r="J763">
        <v>1671</v>
      </c>
      <c r="K763">
        <v>1610</v>
      </c>
      <c r="L763">
        <v>1566</v>
      </c>
    </row>
    <row r="764" spans="1:12">
      <c r="A764" t="s">
        <v>176</v>
      </c>
      <c r="B764">
        <v>1168</v>
      </c>
      <c r="C764">
        <v>1136</v>
      </c>
      <c r="D764">
        <v>1042</v>
      </c>
      <c r="E764">
        <v>1064</v>
      </c>
      <c r="F764">
        <v>868</v>
      </c>
      <c r="G764">
        <v>1098</v>
      </c>
      <c r="H764">
        <v>1123</v>
      </c>
      <c r="I764">
        <v>1341</v>
      </c>
      <c r="J764">
        <v>1163</v>
      </c>
      <c r="K764">
        <v>1333</v>
      </c>
      <c r="L764">
        <v>1224</v>
      </c>
    </row>
    <row r="765" spans="1:12">
      <c r="A765" t="s">
        <v>177</v>
      </c>
      <c r="B765">
        <v>2642</v>
      </c>
      <c r="C765">
        <v>2619</v>
      </c>
      <c r="D765">
        <v>2559</v>
      </c>
      <c r="E765">
        <v>2467</v>
      </c>
      <c r="F765">
        <v>2498</v>
      </c>
      <c r="G765">
        <v>2110</v>
      </c>
      <c r="H765">
        <v>1840</v>
      </c>
      <c r="I765">
        <v>1995</v>
      </c>
      <c r="J765">
        <v>2382</v>
      </c>
      <c r="K765">
        <v>2120</v>
      </c>
      <c r="L765">
        <v>2180</v>
      </c>
    </row>
    <row r="766" spans="1:12">
      <c r="A766" t="s">
        <v>178</v>
      </c>
      <c r="B766">
        <v>945</v>
      </c>
      <c r="C766">
        <v>952</v>
      </c>
      <c r="D766">
        <v>997</v>
      </c>
      <c r="E766">
        <v>933</v>
      </c>
      <c r="F766">
        <v>971</v>
      </c>
      <c r="G766">
        <v>915</v>
      </c>
      <c r="H766">
        <v>976</v>
      </c>
      <c r="I766">
        <v>1165</v>
      </c>
      <c r="J766">
        <v>1163</v>
      </c>
      <c r="K766">
        <v>886</v>
      </c>
      <c r="L766">
        <v>949</v>
      </c>
    </row>
    <row r="767" spans="1:12">
      <c r="A767" t="s">
        <v>179</v>
      </c>
      <c r="B767">
        <v>18420</v>
      </c>
      <c r="C767">
        <v>17210</v>
      </c>
      <c r="D767">
        <v>16695</v>
      </c>
      <c r="E767">
        <v>16755</v>
      </c>
      <c r="F767">
        <v>16476</v>
      </c>
      <c r="G767">
        <v>15857</v>
      </c>
      <c r="H767">
        <v>16013</v>
      </c>
      <c r="I767">
        <v>16305</v>
      </c>
      <c r="J767">
        <v>16442</v>
      </c>
      <c r="K767">
        <v>16344</v>
      </c>
      <c r="L767">
        <v>15735</v>
      </c>
    </row>
    <row r="768" spans="1:12">
      <c r="A768" t="s">
        <v>180</v>
      </c>
      <c r="B768">
        <v>2095</v>
      </c>
      <c r="C768">
        <v>2125</v>
      </c>
      <c r="D768">
        <v>2022</v>
      </c>
      <c r="E768">
        <v>1435</v>
      </c>
      <c r="F768">
        <v>1457</v>
      </c>
      <c r="G768">
        <v>1553</v>
      </c>
      <c r="H768">
        <v>1176</v>
      </c>
      <c r="I768">
        <v>1004</v>
      </c>
      <c r="J768">
        <v>1045</v>
      </c>
      <c r="K768">
        <v>865</v>
      </c>
      <c r="L768">
        <v>813</v>
      </c>
    </row>
    <row r="769" spans="1:12">
      <c r="A769" t="s">
        <v>181</v>
      </c>
      <c r="B769">
        <v>355</v>
      </c>
      <c r="C769">
        <v>358</v>
      </c>
      <c r="D769">
        <v>348</v>
      </c>
      <c r="E769">
        <v>185</v>
      </c>
      <c r="F769">
        <v>136</v>
      </c>
      <c r="G769">
        <v>136</v>
      </c>
      <c r="H769">
        <v>196</v>
      </c>
      <c r="I769">
        <v>199</v>
      </c>
      <c r="J769">
        <v>310</v>
      </c>
      <c r="K769">
        <v>330</v>
      </c>
      <c r="L769">
        <v>339</v>
      </c>
    </row>
    <row r="770" spans="1:12">
      <c r="A770" t="s">
        <v>182</v>
      </c>
      <c r="B770">
        <v>2957</v>
      </c>
      <c r="C770">
        <v>2918</v>
      </c>
      <c r="D770">
        <v>2749</v>
      </c>
      <c r="E770">
        <v>2755</v>
      </c>
      <c r="F770">
        <v>2578</v>
      </c>
      <c r="G770">
        <v>2671</v>
      </c>
      <c r="H770">
        <v>2771</v>
      </c>
      <c r="I770">
        <v>2620</v>
      </c>
      <c r="J770">
        <v>2791</v>
      </c>
      <c r="K770">
        <v>2846</v>
      </c>
      <c r="L770">
        <v>2843</v>
      </c>
    </row>
    <row r="771" spans="1:12">
      <c r="A771" t="s">
        <v>183</v>
      </c>
      <c r="B771">
        <v>635</v>
      </c>
      <c r="C771">
        <v>635</v>
      </c>
      <c r="D771">
        <v>620</v>
      </c>
      <c r="E771">
        <v>634</v>
      </c>
      <c r="F771">
        <v>634</v>
      </c>
      <c r="G771">
        <v>642</v>
      </c>
      <c r="H771">
        <v>638</v>
      </c>
      <c r="I771">
        <v>632</v>
      </c>
      <c r="J771">
        <v>594</v>
      </c>
      <c r="K771">
        <v>488</v>
      </c>
      <c r="L771">
        <v>471</v>
      </c>
    </row>
    <row r="772" spans="1:12">
      <c r="A772" t="s">
        <v>184</v>
      </c>
      <c r="B772">
        <v>1847</v>
      </c>
      <c r="C772">
        <v>1909</v>
      </c>
      <c r="D772">
        <v>1991</v>
      </c>
      <c r="E772">
        <v>2008</v>
      </c>
      <c r="F772">
        <v>1987</v>
      </c>
      <c r="G772">
        <v>2047</v>
      </c>
      <c r="H772">
        <v>1935</v>
      </c>
      <c r="I772">
        <v>1917</v>
      </c>
      <c r="J772">
        <v>1901</v>
      </c>
      <c r="K772">
        <v>1933</v>
      </c>
      <c r="L772">
        <v>1894</v>
      </c>
    </row>
    <row r="773" spans="1:12">
      <c r="A773" t="s">
        <v>185</v>
      </c>
      <c r="B773">
        <v>800</v>
      </c>
      <c r="C773">
        <v>796</v>
      </c>
      <c r="D773">
        <v>828</v>
      </c>
      <c r="E773">
        <v>824</v>
      </c>
      <c r="F773">
        <v>824</v>
      </c>
      <c r="G773">
        <v>773</v>
      </c>
      <c r="H773">
        <v>832</v>
      </c>
      <c r="I773">
        <v>841</v>
      </c>
      <c r="J773">
        <v>876</v>
      </c>
      <c r="K773">
        <v>986</v>
      </c>
      <c r="L773">
        <v>968</v>
      </c>
    </row>
    <row r="774" spans="1:12">
      <c r="A774" t="s">
        <v>186</v>
      </c>
      <c r="B774">
        <v>415</v>
      </c>
      <c r="C774">
        <v>445</v>
      </c>
      <c r="D774">
        <v>401</v>
      </c>
      <c r="E774">
        <v>401</v>
      </c>
      <c r="F774">
        <v>402</v>
      </c>
      <c r="G774">
        <v>432</v>
      </c>
      <c r="H774">
        <v>481</v>
      </c>
      <c r="I774">
        <v>481</v>
      </c>
      <c r="J774">
        <v>528</v>
      </c>
      <c r="K774">
        <v>502</v>
      </c>
      <c r="L774">
        <v>488</v>
      </c>
    </row>
    <row r="775" spans="1:12">
      <c r="A775" t="s">
        <v>187</v>
      </c>
      <c r="B775">
        <v>875</v>
      </c>
      <c r="C775">
        <v>759</v>
      </c>
      <c r="D775">
        <v>763</v>
      </c>
      <c r="E775">
        <v>898</v>
      </c>
      <c r="F775">
        <v>896</v>
      </c>
      <c r="G775">
        <v>877</v>
      </c>
      <c r="H775">
        <v>914</v>
      </c>
      <c r="I775">
        <v>852</v>
      </c>
      <c r="J775">
        <v>848</v>
      </c>
      <c r="K775">
        <v>854</v>
      </c>
      <c r="L775">
        <v>841</v>
      </c>
    </row>
    <row r="776" spans="1:12">
      <c r="A776" t="s">
        <v>188</v>
      </c>
      <c r="B776">
        <v>1008</v>
      </c>
      <c r="C776">
        <v>1006</v>
      </c>
      <c r="D776">
        <v>1000</v>
      </c>
      <c r="E776">
        <v>916</v>
      </c>
      <c r="F776">
        <v>878</v>
      </c>
      <c r="G776">
        <v>957</v>
      </c>
      <c r="H776">
        <v>908</v>
      </c>
      <c r="I776">
        <v>980</v>
      </c>
      <c r="J776">
        <v>949</v>
      </c>
      <c r="K776">
        <v>978</v>
      </c>
      <c r="L776">
        <v>979</v>
      </c>
    </row>
    <row r="777" spans="1:12">
      <c r="A777" t="s">
        <v>189</v>
      </c>
      <c r="B777">
        <v>761</v>
      </c>
      <c r="C777">
        <v>754</v>
      </c>
      <c r="D777">
        <v>715</v>
      </c>
      <c r="E777">
        <v>757</v>
      </c>
      <c r="F777">
        <v>711</v>
      </c>
      <c r="G777">
        <v>699</v>
      </c>
      <c r="H777">
        <v>690</v>
      </c>
      <c r="I777">
        <v>760</v>
      </c>
      <c r="J777">
        <v>734</v>
      </c>
      <c r="K777">
        <v>766</v>
      </c>
      <c r="L777">
        <v>766</v>
      </c>
    </row>
    <row r="778" spans="1:12">
      <c r="A778" t="s">
        <v>190</v>
      </c>
      <c r="B778">
        <v>2044</v>
      </c>
      <c r="C778">
        <v>2160</v>
      </c>
      <c r="D778">
        <v>2160</v>
      </c>
      <c r="E778">
        <v>2188</v>
      </c>
      <c r="F778">
        <v>2183</v>
      </c>
      <c r="G778">
        <v>2194</v>
      </c>
      <c r="H778">
        <v>2205</v>
      </c>
      <c r="I778">
        <v>2265</v>
      </c>
      <c r="J778">
        <v>2265</v>
      </c>
      <c r="K778">
        <v>2249</v>
      </c>
      <c r="L778">
        <v>2275</v>
      </c>
    </row>
    <row r="779" spans="1:12">
      <c r="A779" t="s">
        <v>191</v>
      </c>
      <c r="B779">
        <v>1245</v>
      </c>
      <c r="C779">
        <v>1331</v>
      </c>
      <c r="D779">
        <v>1327</v>
      </c>
      <c r="E779">
        <v>1455</v>
      </c>
      <c r="F779">
        <v>1540</v>
      </c>
      <c r="G779">
        <v>1833</v>
      </c>
      <c r="H779">
        <v>1520</v>
      </c>
      <c r="I779">
        <v>1575</v>
      </c>
      <c r="J779">
        <v>1560</v>
      </c>
      <c r="K779">
        <v>1561</v>
      </c>
      <c r="L779">
        <v>1508</v>
      </c>
    </row>
    <row r="780" spans="1:12">
      <c r="A780" t="s">
        <v>192</v>
      </c>
      <c r="B780">
        <v>1636</v>
      </c>
      <c r="C780">
        <v>1678</v>
      </c>
      <c r="D780">
        <v>1672</v>
      </c>
      <c r="E780">
        <v>1738</v>
      </c>
      <c r="F780">
        <v>1716</v>
      </c>
      <c r="G780">
        <v>1858</v>
      </c>
      <c r="H780">
        <v>1650</v>
      </c>
      <c r="I780">
        <v>1609</v>
      </c>
      <c r="J780">
        <v>1627</v>
      </c>
      <c r="K780">
        <v>1645</v>
      </c>
      <c r="L780">
        <v>1681</v>
      </c>
    </row>
    <row r="781" spans="1:12">
      <c r="A781" t="s">
        <v>193</v>
      </c>
      <c r="B781">
        <v>1528</v>
      </c>
      <c r="C781">
        <v>1511</v>
      </c>
      <c r="D781">
        <v>1558</v>
      </c>
      <c r="E781">
        <v>1510</v>
      </c>
      <c r="F781">
        <v>1583</v>
      </c>
      <c r="G781">
        <v>1926</v>
      </c>
      <c r="H781">
        <v>1863</v>
      </c>
      <c r="I781">
        <v>1743</v>
      </c>
      <c r="J781">
        <v>1761</v>
      </c>
      <c r="K781">
        <v>1775</v>
      </c>
      <c r="L781">
        <v>1791</v>
      </c>
    </row>
    <row r="782" spans="1:12">
      <c r="A782" t="s">
        <v>194</v>
      </c>
      <c r="B782">
        <v>1861</v>
      </c>
      <c r="C782">
        <v>1803</v>
      </c>
      <c r="D782">
        <v>1856</v>
      </c>
      <c r="E782">
        <v>1850</v>
      </c>
      <c r="F782">
        <v>1905</v>
      </c>
      <c r="G782">
        <v>2099</v>
      </c>
      <c r="H782">
        <v>2102</v>
      </c>
      <c r="I782">
        <v>2148</v>
      </c>
      <c r="J782">
        <v>2169</v>
      </c>
      <c r="K782">
        <v>2224</v>
      </c>
      <c r="L782">
        <v>2292</v>
      </c>
    </row>
    <row r="783" spans="1:12">
      <c r="A783" t="s">
        <v>195</v>
      </c>
      <c r="B783">
        <v>1425</v>
      </c>
      <c r="C783">
        <v>1501</v>
      </c>
      <c r="D783">
        <v>1534</v>
      </c>
      <c r="E783">
        <v>1646</v>
      </c>
      <c r="F783">
        <v>1659</v>
      </c>
      <c r="G783">
        <v>1614</v>
      </c>
      <c r="H783">
        <v>1607</v>
      </c>
      <c r="I783">
        <v>1588</v>
      </c>
      <c r="J783">
        <v>1590</v>
      </c>
      <c r="K783">
        <v>1554</v>
      </c>
      <c r="L783">
        <v>1587</v>
      </c>
    </row>
    <row r="784" spans="1:12">
      <c r="A784" t="s">
        <v>196</v>
      </c>
      <c r="B784">
        <v>29476</v>
      </c>
      <c r="C784">
        <v>28788</v>
      </c>
      <c r="D784">
        <v>29386</v>
      </c>
      <c r="E784">
        <v>29044</v>
      </c>
      <c r="F784">
        <v>28529</v>
      </c>
      <c r="G784">
        <v>28872</v>
      </c>
      <c r="H784">
        <v>29783</v>
      </c>
      <c r="I784">
        <v>29746</v>
      </c>
      <c r="J784">
        <v>30215</v>
      </c>
      <c r="K784">
        <v>30640</v>
      </c>
      <c r="L784">
        <v>30351</v>
      </c>
    </row>
    <row r="785" spans="1:12">
      <c r="A785" t="s">
        <v>197</v>
      </c>
      <c r="B785">
        <v>1924</v>
      </c>
      <c r="C785">
        <v>1615</v>
      </c>
      <c r="D785">
        <v>1455</v>
      </c>
      <c r="E785">
        <v>1403</v>
      </c>
      <c r="F785">
        <v>1429</v>
      </c>
      <c r="G785">
        <v>1484</v>
      </c>
      <c r="H785">
        <v>1449</v>
      </c>
      <c r="I785">
        <v>1433</v>
      </c>
      <c r="J785">
        <v>1611</v>
      </c>
      <c r="K785">
        <v>1685</v>
      </c>
      <c r="L785">
        <v>1764</v>
      </c>
    </row>
    <row r="786" spans="1:12">
      <c r="A786" t="s">
        <v>198</v>
      </c>
      <c r="B786">
        <v>5589</v>
      </c>
      <c r="C786">
        <v>5471</v>
      </c>
      <c r="D786">
        <v>5536</v>
      </c>
      <c r="E786">
        <v>5522</v>
      </c>
      <c r="F786">
        <v>5568</v>
      </c>
      <c r="G786">
        <v>5877</v>
      </c>
      <c r="H786">
        <v>5277</v>
      </c>
      <c r="I786">
        <v>5269</v>
      </c>
      <c r="J786">
        <v>5087</v>
      </c>
      <c r="K786">
        <v>5085</v>
      </c>
      <c r="L786">
        <v>5149</v>
      </c>
    </row>
    <row r="787" spans="1:12">
      <c r="A787" t="s">
        <v>199</v>
      </c>
      <c r="B787">
        <v>1867</v>
      </c>
      <c r="C787">
        <v>1856</v>
      </c>
      <c r="D787">
        <v>1903</v>
      </c>
      <c r="E787">
        <v>1927</v>
      </c>
      <c r="F787">
        <v>1859</v>
      </c>
      <c r="G787">
        <v>1953</v>
      </c>
      <c r="H787">
        <v>1913</v>
      </c>
      <c r="I787">
        <v>1943</v>
      </c>
      <c r="J787">
        <v>1927</v>
      </c>
      <c r="K787">
        <v>2116</v>
      </c>
      <c r="L787">
        <v>2088</v>
      </c>
    </row>
    <row r="788" spans="1:12">
      <c r="A788" t="s">
        <v>200</v>
      </c>
      <c r="B788">
        <v>1393</v>
      </c>
      <c r="C788">
        <v>1463</v>
      </c>
      <c r="D788">
        <v>1507</v>
      </c>
      <c r="E788">
        <v>1456</v>
      </c>
      <c r="F788">
        <v>1498</v>
      </c>
      <c r="G788">
        <v>1748</v>
      </c>
      <c r="H788">
        <v>1745</v>
      </c>
      <c r="I788">
        <v>1943</v>
      </c>
      <c r="J788">
        <v>1545</v>
      </c>
      <c r="K788">
        <v>1553</v>
      </c>
      <c r="L788">
        <v>1594</v>
      </c>
    </row>
    <row r="789" spans="1:12">
      <c r="A789" t="s">
        <v>201</v>
      </c>
      <c r="B789">
        <v>1474</v>
      </c>
      <c r="C789">
        <v>1423</v>
      </c>
      <c r="D789">
        <v>1490</v>
      </c>
      <c r="E789">
        <v>1589</v>
      </c>
      <c r="F789">
        <v>1595</v>
      </c>
      <c r="G789">
        <v>1586</v>
      </c>
      <c r="H789">
        <v>1781</v>
      </c>
      <c r="I789">
        <v>1862</v>
      </c>
      <c r="J789">
        <v>1920</v>
      </c>
      <c r="K789">
        <v>1943</v>
      </c>
      <c r="L789">
        <v>2022</v>
      </c>
    </row>
    <row r="790" spans="1:12">
      <c r="A790" t="s">
        <v>202</v>
      </c>
      <c r="B790">
        <v>1136</v>
      </c>
      <c r="C790">
        <v>1060</v>
      </c>
      <c r="D790">
        <v>1065</v>
      </c>
      <c r="E790">
        <v>1084</v>
      </c>
      <c r="F790">
        <v>1186</v>
      </c>
      <c r="G790">
        <v>1148</v>
      </c>
      <c r="H790">
        <v>1213</v>
      </c>
      <c r="I790">
        <v>1122</v>
      </c>
      <c r="J790">
        <v>1136</v>
      </c>
      <c r="K790">
        <v>1217</v>
      </c>
      <c r="L790">
        <v>1214</v>
      </c>
    </row>
    <row r="791" spans="1:12">
      <c r="A791" t="s">
        <v>203</v>
      </c>
      <c r="B791">
        <v>1183</v>
      </c>
      <c r="C791">
        <v>1183</v>
      </c>
      <c r="D791">
        <v>1230</v>
      </c>
      <c r="E791">
        <v>1253</v>
      </c>
      <c r="F791">
        <v>1263</v>
      </c>
      <c r="G791">
        <v>1340</v>
      </c>
      <c r="H791">
        <v>1407</v>
      </c>
      <c r="I791">
        <v>1353</v>
      </c>
      <c r="J791">
        <v>1353</v>
      </c>
      <c r="K791">
        <v>1327</v>
      </c>
      <c r="L791">
        <v>1351</v>
      </c>
    </row>
    <row r="792" spans="1:12">
      <c r="A792" t="s">
        <v>204</v>
      </c>
      <c r="B792">
        <v>7329</v>
      </c>
      <c r="C792">
        <v>7136</v>
      </c>
      <c r="D792">
        <v>7038</v>
      </c>
      <c r="E792">
        <v>6837</v>
      </c>
      <c r="F792">
        <v>7013</v>
      </c>
      <c r="G792">
        <v>6847</v>
      </c>
      <c r="H792">
        <v>6619</v>
      </c>
      <c r="I792">
        <v>6813</v>
      </c>
      <c r="J792">
        <v>6725</v>
      </c>
      <c r="K792">
        <v>7020</v>
      </c>
      <c r="L792">
        <v>6972</v>
      </c>
    </row>
    <row r="793" spans="1:12">
      <c r="A793" t="s">
        <v>205</v>
      </c>
      <c r="B793">
        <v>2340</v>
      </c>
      <c r="C793">
        <v>2265</v>
      </c>
      <c r="D793">
        <v>2211</v>
      </c>
      <c r="E793">
        <v>2149</v>
      </c>
      <c r="F793">
        <v>2210</v>
      </c>
      <c r="G793">
        <v>2342</v>
      </c>
      <c r="H793">
        <v>2326</v>
      </c>
      <c r="I793">
        <v>2575</v>
      </c>
      <c r="J793">
        <v>2541</v>
      </c>
      <c r="K793">
        <v>2534</v>
      </c>
      <c r="L793">
        <v>2506</v>
      </c>
    </row>
    <row r="794" spans="1:12">
      <c r="A794" t="s">
        <v>206</v>
      </c>
      <c r="B794">
        <v>1933</v>
      </c>
      <c r="C794">
        <v>1910</v>
      </c>
      <c r="D794">
        <v>2065</v>
      </c>
      <c r="E794">
        <v>2103</v>
      </c>
      <c r="F794">
        <v>2107</v>
      </c>
      <c r="G794">
        <v>1667</v>
      </c>
      <c r="H794">
        <v>1747</v>
      </c>
      <c r="I794">
        <v>1766</v>
      </c>
      <c r="J794">
        <v>1876</v>
      </c>
      <c r="K794">
        <v>1846</v>
      </c>
      <c r="L794">
        <v>2065</v>
      </c>
    </row>
    <row r="795" spans="1:12">
      <c r="A795" t="s">
        <v>207</v>
      </c>
      <c r="B795">
        <v>1075</v>
      </c>
      <c r="C795">
        <v>1076</v>
      </c>
      <c r="D795">
        <v>1027</v>
      </c>
      <c r="E795">
        <v>1083</v>
      </c>
      <c r="F795">
        <v>1056</v>
      </c>
      <c r="G795">
        <v>1062</v>
      </c>
      <c r="H795">
        <v>1130</v>
      </c>
      <c r="I795">
        <v>1074</v>
      </c>
      <c r="J795">
        <v>1064</v>
      </c>
      <c r="K795">
        <v>961</v>
      </c>
      <c r="L795">
        <v>897</v>
      </c>
    </row>
    <row r="796" spans="1:12">
      <c r="A796" t="s">
        <v>208</v>
      </c>
      <c r="B796">
        <v>763</v>
      </c>
      <c r="C796">
        <v>770</v>
      </c>
      <c r="D796">
        <v>779</v>
      </c>
      <c r="E796">
        <v>954</v>
      </c>
      <c r="F796">
        <v>1072</v>
      </c>
      <c r="G796">
        <v>1268</v>
      </c>
      <c r="H796">
        <v>1336</v>
      </c>
      <c r="I796">
        <v>1250</v>
      </c>
      <c r="J796">
        <v>1251</v>
      </c>
      <c r="K796">
        <v>1270</v>
      </c>
      <c r="L796">
        <v>1247</v>
      </c>
    </row>
    <row r="797" spans="1:12">
      <c r="A797" t="s">
        <v>209</v>
      </c>
      <c r="B797">
        <v>6547</v>
      </c>
      <c r="C797">
        <v>6724</v>
      </c>
      <c r="D797">
        <v>6756</v>
      </c>
      <c r="E797">
        <v>6160</v>
      </c>
      <c r="F797">
        <v>6337</v>
      </c>
      <c r="G797">
        <v>6756</v>
      </c>
      <c r="H797">
        <v>7232</v>
      </c>
      <c r="I797">
        <v>6957</v>
      </c>
      <c r="J797">
        <v>6691</v>
      </c>
      <c r="K797">
        <v>6257</v>
      </c>
      <c r="L797">
        <v>6283</v>
      </c>
    </row>
    <row r="798" spans="1:12">
      <c r="A798" t="s">
        <v>210</v>
      </c>
      <c r="B798">
        <v>6398</v>
      </c>
      <c r="C798">
        <v>6344</v>
      </c>
      <c r="D798">
        <v>6669</v>
      </c>
      <c r="E798">
        <v>6737</v>
      </c>
      <c r="F798">
        <v>6951</v>
      </c>
      <c r="G798">
        <v>7609</v>
      </c>
      <c r="H798">
        <v>7848</v>
      </c>
      <c r="I798">
        <v>7806</v>
      </c>
      <c r="J798">
        <v>7817</v>
      </c>
      <c r="K798">
        <v>8269</v>
      </c>
      <c r="L798">
        <v>8083</v>
      </c>
    </row>
    <row r="799" spans="1:12">
      <c r="A799" t="s">
        <v>211</v>
      </c>
      <c r="B799">
        <v>193090</v>
      </c>
      <c r="C799">
        <v>191509</v>
      </c>
      <c r="D799">
        <v>192101</v>
      </c>
      <c r="E799">
        <v>188985</v>
      </c>
      <c r="F799">
        <v>189554</v>
      </c>
      <c r="G799">
        <v>196855</v>
      </c>
      <c r="H799">
        <v>197493</v>
      </c>
      <c r="I799">
        <v>199027</v>
      </c>
      <c r="J799">
        <v>198908</v>
      </c>
      <c r="K799">
        <v>200608</v>
      </c>
      <c r="L799">
        <v>201864</v>
      </c>
    </row>
    <row r="800" spans="1:12">
      <c r="A800" t="s">
        <v>212</v>
      </c>
    </row>
    <row r="801" spans="1:1">
      <c r="A801" t="s">
        <v>213</v>
      </c>
    </row>
    <row r="802" spans="1:1">
      <c r="A802" t="s">
        <v>214</v>
      </c>
    </row>
    <row r="803" spans="1:1">
      <c r="A803" t="s">
        <v>215</v>
      </c>
    </row>
    <row r="804" spans="1:1">
      <c r="A804" t="s">
        <v>216</v>
      </c>
    </row>
    <row r="805" spans="1:1">
      <c r="A805" t="s">
        <v>217</v>
      </c>
    </row>
    <row r="806" spans="1:1">
      <c r="A806" t="s">
        <v>218</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61179-FC5C-9D4D-873B-31AC62F118D3}">
  <dimension ref="A1:L400"/>
  <sheetViews>
    <sheetView topLeftCell="A301" workbookViewId="0">
      <selection activeCell="A355" sqref="A355:XFD401"/>
    </sheetView>
  </sheetViews>
  <sheetFormatPr baseColWidth="10" defaultColWidth="11.5" defaultRowHeight="15"/>
  <cols>
    <col min="1" max="1" width="28.6640625" bestFit="1" customWidth="1"/>
    <col min="2" max="2" width="5.1640625" bestFit="1" customWidth="1"/>
    <col min="3" max="3" width="5" bestFit="1" customWidth="1"/>
  </cols>
  <sheetData>
    <row r="1" spans="1:3">
      <c r="A1" t="s">
        <v>223</v>
      </c>
      <c r="B1" t="s">
        <v>0</v>
      </c>
      <c r="C1" t="s">
        <v>224</v>
      </c>
    </row>
    <row r="2" spans="1:3">
      <c r="A2" t="s">
        <v>146</v>
      </c>
      <c r="B2">
        <v>2015</v>
      </c>
      <c r="C2">
        <v>5</v>
      </c>
    </row>
    <row r="3" spans="1:3">
      <c r="A3" t="s">
        <v>146</v>
      </c>
      <c r="B3">
        <v>2016</v>
      </c>
      <c r="C3">
        <v>6</v>
      </c>
    </row>
    <row r="4" spans="1:3">
      <c r="A4" t="s">
        <v>146</v>
      </c>
      <c r="B4">
        <v>2017</v>
      </c>
      <c r="C4">
        <v>6</v>
      </c>
    </row>
    <row r="5" spans="1:3">
      <c r="A5" t="s">
        <v>146</v>
      </c>
      <c r="B5">
        <v>2018</v>
      </c>
      <c r="C5">
        <v>6</v>
      </c>
    </row>
    <row r="6" spans="1:3">
      <c r="A6" t="s">
        <v>146</v>
      </c>
      <c r="B6">
        <v>2019</v>
      </c>
      <c r="C6">
        <v>6</v>
      </c>
    </row>
    <row r="7" spans="1:3">
      <c r="A7" t="s">
        <v>146</v>
      </c>
      <c r="B7">
        <v>2020</v>
      </c>
      <c r="C7">
        <v>6</v>
      </c>
    </row>
    <row r="8" spans="1:3">
      <c r="A8" t="s">
        <v>146</v>
      </c>
      <c r="B8">
        <v>2021</v>
      </c>
      <c r="C8">
        <v>6</v>
      </c>
    </row>
    <row r="9" spans="1:3">
      <c r="A9" t="s">
        <v>146</v>
      </c>
      <c r="B9">
        <v>2022</v>
      </c>
      <c r="C9">
        <v>6</v>
      </c>
    </row>
    <row r="10" spans="1:3">
      <c r="A10" t="s">
        <v>146</v>
      </c>
      <c r="B10">
        <v>2023</v>
      </c>
      <c r="C10">
        <v>6</v>
      </c>
    </row>
    <row r="11" spans="1:3">
      <c r="A11" t="s">
        <v>146</v>
      </c>
      <c r="B11">
        <v>2024</v>
      </c>
      <c r="C11">
        <v>6</v>
      </c>
    </row>
    <row r="12" spans="1:3">
      <c r="A12" t="s">
        <v>146</v>
      </c>
      <c r="B12">
        <v>2025</v>
      </c>
      <c r="C12">
        <v>6</v>
      </c>
    </row>
    <row r="13" spans="1:3">
      <c r="A13" t="s">
        <v>148</v>
      </c>
      <c r="B13">
        <v>2015</v>
      </c>
      <c r="C13" t="s">
        <v>225</v>
      </c>
    </row>
    <row r="14" spans="1:3">
      <c r="A14" t="s">
        <v>148</v>
      </c>
      <c r="B14">
        <v>2016</v>
      </c>
      <c r="C14" t="s">
        <v>225</v>
      </c>
    </row>
    <row r="15" spans="1:3">
      <c r="A15" t="s">
        <v>148</v>
      </c>
      <c r="B15">
        <v>2017</v>
      </c>
      <c r="C15" t="s">
        <v>225</v>
      </c>
    </row>
    <row r="16" spans="1:3">
      <c r="A16" t="s">
        <v>148</v>
      </c>
      <c r="B16">
        <v>2018</v>
      </c>
      <c r="C16" t="s">
        <v>225</v>
      </c>
    </row>
    <row r="17" spans="1:3">
      <c r="A17" t="s">
        <v>148</v>
      </c>
      <c r="B17">
        <v>2019</v>
      </c>
      <c r="C17">
        <v>2</v>
      </c>
    </row>
    <row r="18" spans="1:3">
      <c r="A18" t="s">
        <v>148</v>
      </c>
      <c r="B18">
        <v>2020</v>
      </c>
      <c r="C18">
        <v>2</v>
      </c>
    </row>
    <row r="19" spans="1:3">
      <c r="A19" t="s">
        <v>148</v>
      </c>
      <c r="B19">
        <v>2021</v>
      </c>
      <c r="C19">
        <v>2</v>
      </c>
    </row>
    <row r="20" spans="1:3">
      <c r="A20" t="s">
        <v>148</v>
      </c>
      <c r="B20">
        <v>2022</v>
      </c>
      <c r="C20">
        <v>2</v>
      </c>
    </row>
    <row r="21" spans="1:3">
      <c r="A21" t="s">
        <v>148</v>
      </c>
      <c r="B21">
        <v>2023</v>
      </c>
      <c r="C21">
        <v>2</v>
      </c>
    </row>
    <row r="22" spans="1:3">
      <c r="A22" t="s">
        <v>148</v>
      </c>
      <c r="B22">
        <v>2024</v>
      </c>
      <c r="C22">
        <v>2</v>
      </c>
    </row>
    <row r="23" spans="1:3">
      <c r="A23" t="s">
        <v>148</v>
      </c>
      <c r="B23">
        <v>2025</v>
      </c>
      <c r="C23">
        <v>2</v>
      </c>
    </row>
    <row r="24" spans="1:3">
      <c r="A24" t="s">
        <v>149</v>
      </c>
      <c r="B24">
        <v>2015</v>
      </c>
      <c r="C24" t="s">
        <v>225</v>
      </c>
    </row>
    <row r="25" spans="1:3">
      <c r="A25" t="s">
        <v>149</v>
      </c>
      <c r="B25">
        <v>2016</v>
      </c>
      <c r="C25" t="s">
        <v>225</v>
      </c>
    </row>
    <row r="26" spans="1:3">
      <c r="A26" t="s">
        <v>149</v>
      </c>
      <c r="B26">
        <v>2017</v>
      </c>
      <c r="C26" t="s">
        <v>225</v>
      </c>
    </row>
    <row r="27" spans="1:3">
      <c r="A27" t="s">
        <v>149</v>
      </c>
      <c r="B27">
        <v>2018</v>
      </c>
      <c r="C27" t="s">
        <v>225</v>
      </c>
    </row>
    <row r="28" spans="1:3">
      <c r="A28" t="s">
        <v>149</v>
      </c>
      <c r="B28">
        <v>2019</v>
      </c>
      <c r="C28" t="s">
        <v>225</v>
      </c>
    </row>
    <row r="29" spans="1:3">
      <c r="A29" t="s">
        <v>149</v>
      </c>
      <c r="B29">
        <v>2020</v>
      </c>
      <c r="C29" t="s">
        <v>225</v>
      </c>
    </row>
    <row r="30" spans="1:3">
      <c r="A30" t="s">
        <v>149</v>
      </c>
      <c r="B30">
        <v>2021</v>
      </c>
      <c r="C30" t="s">
        <v>225</v>
      </c>
    </row>
    <row r="31" spans="1:3">
      <c r="A31" t="s">
        <v>149</v>
      </c>
      <c r="B31">
        <v>2022</v>
      </c>
      <c r="C31" t="s">
        <v>225</v>
      </c>
    </row>
    <row r="32" spans="1:3">
      <c r="A32" t="s">
        <v>149</v>
      </c>
      <c r="B32">
        <v>2023</v>
      </c>
      <c r="C32" t="s">
        <v>225</v>
      </c>
    </row>
    <row r="33" spans="1:3">
      <c r="A33" t="s">
        <v>149</v>
      </c>
      <c r="B33">
        <v>2024</v>
      </c>
      <c r="C33">
        <v>2</v>
      </c>
    </row>
    <row r="34" spans="1:3">
      <c r="A34" t="s">
        <v>149</v>
      </c>
      <c r="B34">
        <v>2025</v>
      </c>
      <c r="C34">
        <v>2</v>
      </c>
    </row>
    <row r="35" spans="1:3">
      <c r="A35" t="s">
        <v>151</v>
      </c>
      <c r="B35">
        <v>2015</v>
      </c>
      <c r="C35">
        <v>3</v>
      </c>
    </row>
    <row r="36" spans="1:3">
      <c r="A36" t="s">
        <v>151</v>
      </c>
      <c r="B36">
        <v>2016</v>
      </c>
      <c r="C36">
        <v>3</v>
      </c>
    </row>
    <row r="37" spans="1:3">
      <c r="A37" t="s">
        <v>151</v>
      </c>
      <c r="B37">
        <v>2017</v>
      </c>
      <c r="C37">
        <v>2</v>
      </c>
    </row>
    <row r="38" spans="1:3">
      <c r="A38" t="s">
        <v>151</v>
      </c>
      <c r="B38">
        <v>2018</v>
      </c>
      <c r="C38">
        <v>3</v>
      </c>
    </row>
    <row r="39" spans="1:3">
      <c r="A39" t="s">
        <v>151</v>
      </c>
      <c r="B39">
        <v>2019</v>
      </c>
      <c r="C39">
        <v>2</v>
      </c>
    </row>
    <row r="40" spans="1:3">
      <c r="A40" t="s">
        <v>151</v>
      </c>
      <c r="B40">
        <v>2020</v>
      </c>
      <c r="C40">
        <v>3</v>
      </c>
    </row>
    <row r="41" spans="1:3">
      <c r="A41" t="s">
        <v>151</v>
      </c>
      <c r="B41">
        <v>2021</v>
      </c>
      <c r="C41">
        <v>2</v>
      </c>
    </row>
    <row r="42" spans="1:3">
      <c r="A42" t="s">
        <v>151</v>
      </c>
      <c r="B42">
        <v>2022</v>
      </c>
      <c r="C42">
        <v>7</v>
      </c>
    </row>
    <row r="43" spans="1:3">
      <c r="A43" t="s">
        <v>151</v>
      </c>
      <c r="B43">
        <v>2023</v>
      </c>
      <c r="C43">
        <v>4</v>
      </c>
    </row>
    <row r="44" spans="1:3">
      <c r="A44" t="s">
        <v>151</v>
      </c>
      <c r="B44">
        <v>2024</v>
      </c>
      <c r="C44">
        <v>5</v>
      </c>
    </row>
    <row r="45" spans="1:3">
      <c r="A45" t="s">
        <v>151</v>
      </c>
      <c r="B45">
        <v>2025</v>
      </c>
      <c r="C45">
        <v>6</v>
      </c>
    </row>
    <row r="46" spans="1:3">
      <c r="A46" t="s">
        <v>156</v>
      </c>
      <c r="B46">
        <v>2015</v>
      </c>
      <c r="C46">
        <v>5</v>
      </c>
    </row>
    <row r="47" spans="1:3">
      <c r="A47" t="s">
        <v>156</v>
      </c>
      <c r="B47">
        <v>2016</v>
      </c>
      <c r="C47">
        <v>5</v>
      </c>
    </row>
    <row r="48" spans="1:3">
      <c r="A48" t="s">
        <v>156</v>
      </c>
      <c r="B48">
        <v>2017</v>
      </c>
      <c r="C48">
        <v>6</v>
      </c>
    </row>
    <row r="49" spans="1:3">
      <c r="A49" t="s">
        <v>156</v>
      </c>
      <c r="B49">
        <v>2018</v>
      </c>
      <c r="C49">
        <v>6</v>
      </c>
    </row>
    <row r="50" spans="1:3">
      <c r="A50" t="s">
        <v>156</v>
      </c>
      <c r="B50">
        <v>2019</v>
      </c>
      <c r="C50">
        <v>6</v>
      </c>
    </row>
    <row r="51" spans="1:3">
      <c r="A51" t="s">
        <v>156</v>
      </c>
      <c r="B51">
        <v>2020</v>
      </c>
      <c r="C51">
        <v>6</v>
      </c>
    </row>
    <row r="52" spans="1:3">
      <c r="A52" t="s">
        <v>156</v>
      </c>
      <c r="B52">
        <v>2021</v>
      </c>
      <c r="C52">
        <v>6</v>
      </c>
    </row>
    <row r="53" spans="1:3">
      <c r="A53" t="s">
        <v>156</v>
      </c>
      <c r="B53">
        <v>2022</v>
      </c>
      <c r="C53">
        <v>6</v>
      </c>
    </row>
    <row r="54" spans="1:3">
      <c r="A54" t="s">
        <v>156</v>
      </c>
      <c r="B54">
        <v>2023</v>
      </c>
      <c r="C54">
        <v>6</v>
      </c>
    </row>
    <row r="55" spans="1:3">
      <c r="A55" t="s">
        <v>156</v>
      </c>
      <c r="B55">
        <v>2024</v>
      </c>
      <c r="C55">
        <v>6</v>
      </c>
    </row>
    <row r="56" spans="1:3">
      <c r="A56" t="s">
        <v>156</v>
      </c>
      <c r="B56">
        <v>2025</v>
      </c>
      <c r="C56">
        <v>7</v>
      </c>
    </row>
    <row r="57" spans="1:3">
      <c r="A57" t="s">
        <v>158</v>
      </c>
      <c r="B57">
        <v>2015</v>
      </c>
      <c r="C57">
        <v>6</v>
      </c>
    </row>
    <row r="58" spans="1:3">
      <c r="A58" t="s">
        <v>158</v>
      </c>
      <c r="B58">
        <v>2016</v>
      </c>
      <c r="C58">
        <v>8</v>
      </c>
    </row>
    <row r="59" spans="1:3">
      <c r="A59" t="s">
        <v>158</v>
      </c>
      <c r="B59">
        <v>2017</v>
      </c>
      <c r="C59">
        <v>7</v>
      </c>
    </row>
    <row r="60" spans="1:3">
      <c r="A60" t="s">
        <v>158</v>
      </c>
      <c r="B60">
        <v>2018</v>
      </c>
      <c r="C60">
        <v>7</v>
      </c>
    </row>
    <row r="61" spans="1:3">
      <c r="A61" t="s">
        <v>158</v>
      </c>
      <c r="B61">
        <v>2019</v>
      </c>
      <c r="C61">
        <v>7</v>
      </c>
    </row>
    <row r="62" spans="1:3">
      <c r="A62" t="s">
        <v>158</v>
      </c>
      <c r="B62">
        <v>2020</v>
      </c>
      <c r="C62">
        <v>8</v>
      </c>
    </row>
    <row r="63" spans="1:3">
      <c r="A63" t="s">
        <v>158</v>
      </c>
      <c r="B63">
        <v>2021</v>
      </c>
      <c r="C63">
        <v>8</v>
      </c>
    </row>
    <row r="64" spans="1:3">
      <c r="A64" t="s">
        <v>158</v>
      </c>
      <c r="B64">
        <v>2022</v>
      </c>
      <c r="C64">
        <v>7</v>
      </c>
    </row>
    <row r="65" spans="1:3">
      <c r="A65" t="s">
        <v>158</v>
      </c>
      <c r="B65">
        <v>2023</v>
      </c>
      <c r="C65">
        <v>7</v>
      </c>
    </row>
    <row r="66" spans="1:3">
      <c r="A66" t="s">
        <v>158</v>
      </c>
      <c r="B66">
        <v>2024</v>
      </c>
      <c r="C66">
        <v>6</v>
      </c>
    </row>
    <row r="67" spans="1:3">
      <c r="A67" t="s">
        <v>158</v>
      </c>
      <c r="B67">
        <v>2025</v>
      </c>
      <c r="C67">
        <v>5</v>
      </c>
    </row>
    <row r="68" spans="1:3">
      <c r="A68" t="s">
        <v>160</v>
      </c>
      <c r="B68">
        <v>2015</v>
      </c>
      <c r="C68">
        <v>2</v>
      </c>
    </row>
    <row r="69" spans="1:3">
      <c r="A69" t="s">
        <v>160</v>
      </c>
      <c r="B69">
        <v>2016</v>
      </c>
      <c r="C69">
        <v>2</v>
      </c>
    </row>
    <row r="70" spans="1:3">
      <c r="A70" t="s">
        <v>160</v>
      </c>
      <c r="B70">
        <v>2017</v>
      </c>
      <c r="C70">
        <v>2</v>
      </c>
    </row>
    <row r="71" spans="1:3">
      <c r="A71" t="s">
        <v>160</v>
      </c>
      <c r="B71">
        <v>2018</v>
      </c>
      <c r="C71">
        <v>2</v>
      </c>
    </row>
    <row r="72" spans="1:3">
      <c r="A72" t="s">
        <v>160</v>
      </c>
      <c r="B72">
        <v>2019</v>
      </c>
      <c r="C72">
        <v>3</v>
      </c>
    </row>
    <row r="73" spans="1:3">
      <c r="A73" t="s">
        <v>160</v>
      </c>
      <c r="B73">
        <v>2020</v>
      </c>
      <c r="C73">
        <v>3</v>
      </c>
    </row>
    <row r="74" spans="1:3">
      <c r="A74" t="s">
        <v>160</v>
      </c>
      <c r="B74">
        <v>2021</v>
      </c>
      <c r="C74">
        <v>3</v>
      </c>
    </row>
    <row r="75" spans="1:3">
      <c r="A75" t="s">
        <v>160</v>
      </c>
      <c r="B75">
        <v>2022</v>
      </c>
      <c r="C75">
        <v>3</v>
      </c>
    </row>
    <row r="76" spans="1:3">
      <c r="A76" t="s">
        <v>160</v>
      </c>
      <c r="B76">
        <v>2023</v>
      </c>
      <c r="C76">
        <v>2</v>
      </c>
    </row>
    <row r="77" spans="1:3">
      <c r="A77" t="s">
        <v>160</v>
      </c>
      <c r="B77">
        <v>2024</v>
      </c>
      <c r="C77">
        <v>2</v>
      </c>
    </row>
    <row r="78" spans="1:3">
      <c r="A78" t="s">
        <v>160</v>
      </c>
      <c r="B78">
        <v>2025</v>
      </c>
      <c r="C78">
        <v>2</v>
      </c>
    </row>
    <row r="79" spans="1:3">
      <c r="A79" t="s">
        <v>163</v>
      </c>
      <c r="B79">
        <v>2015</v>
      </c>
      <c r="C79">
        <v>4</v>
      </c>
    </row>
    <row r="80" spans="1:3">
      <c r="A80" t="s">
        <v>163</v>
      </c>
      <c r="B80">
        <v>2016</v>
      </c>
      <c r="C80">
        <v>5</v>
      </c>
    </row>
    <row r="81" spans="1:3">
      <c r="A81" t="s">
        <v>163</v>
      </c>
      <c r="B81">
        <v>2017</v>
      </c>
      <c r="C81">
        <v>5</v>
      </c>
    </row>
    <row r="82" spans="1:3">
      <c r="A82" t="s">
        <v>163</v>
      </c>
      <c r="B82">
        <v>2018</v>
      </c>
      <c r="C82">
        <v>5</v>
      </c>
    </row>
    <row r="83" spans="1:3">
      <c r="A83" t="s">
        <v>163</v>
      </c>
      <c r="B83">
        <v>2019</v>
      </c>
      <c r="C83">
        <v>5</v>
      </c>
    </row>
    <row r="84" spans="1:3">
      <c r="A84" t="s">
        <v>163</v>
      </c>
      <c r="B84">
        <v>2020</v>
      </c>
      <c r="C84">
        <v>6</v>
      </c>
    </row>
    <row r="85" spans="1:3">
      <c r="A85" t="s">
        <v>163</v>
      </c>
      <c r="B85">
        <v>2021</v>
      </c>
      <c r="C85">
        <v>4</v>
      </c>
    </row>
    <row r="86" spans="1:3">
      <c r="A86" t="s">
        <v>163</v>
      </c>
      <c r="B86">
        <v>2022</v>
      </c>
      <c r="C86">
        <v>4</v>
      </c>
    </row>
    <row r="87" spans="1:3">
      <c r="A87" t="s">
        <v>163</v>
      </c>
      <c r="B87">
        <v>2023</v>
      </c>
      <c r="C87">
        <v>5</v>
      </c>
    </row>
    <row r="88" spans="1:3">
      <c r="A88" t="s">
        <v>163</v>
      </c>
      <c r="B88">
        <v>2024</v>
      </c>
      <c r="C88">
        <v>5</v>
      </c>
    </row>
    <row r="89" spans="1:3">
      <c r="A89" t="s">
        <v>163</v>
      </c>
      <c r="B89">
        <v>2025</v>
      </c>
      <c r="C89">
        <v>6</v>
      </c>
    </row>
    <row r="90" spans="1:3">
      <c r="A90" t="s">
        <v>167</v>
      </c>
      <c r="B90">
        <v>2015</v>
      </c>
      <c r="C90">
        <v>7</v>
      </c>
    </row>
    <row r="91" spans="1:3">
      <c r="A91" t="s">
        <v>167</v>
      </c>
      <c r="B91">
        <v>2016</v>
      </c>
      <c r="C91">
        <v>7</v>
      </c>
    </row>
    <row r="92" spans="1:3">
      <c r="A92" t="s">
        <v>167</v>
      </c>
      <c r="B92">
        <v>2017</v>
      </c>
      <c r="C92">
        <v>7</v>
      </c>
    </row>
    <row r="93" spans="1:3">
      <c r="A93" t="s">
        <v>167</v>
      </c>
      <c r="B93">
        <v>2018</v>
      </c>
      <c r="C93">
        <v>7</v>
      </c>
    </row>
    <row r="94" spans="1:3">
      <c r="A94" t="s">
        <v>167</v>
      </c>
      <c r="B94">
        <v>2019</v>
      </c>
      <c r="C94">
        <v>6</v>
      </c>
    </row>
    <row r="95" spans="1:3">
      <c r="A95" t="s">
        <v>167</v>
      </c>
      <c r="B95">
        <v>2020</v>
      </c>
      <c r="C95">
        <v>7</v>
      </c>
    </row>
    <row r="96" spans="1:3">
      <c r="A96" t="s">
        <v>167</v>
      </c>
      <c r="B96">
        <v>2021</v>
      </c>
      <c r="C96">
        <v>7</v>
      </c>
    </row>
    <row r="97" spans="1:3">
      <c r="A97" t="s">
        <v>167</v>
      </c>
      <c r="B97">
        <v>2022</v>
      </c>
      <c r="C97">
        <v>7</v>
      </c>
    </row>
    <row r="98" spans="1:3">
      <c r="A98" t="s">
        <v>167</v>
      </c>
      <c r="B98">
        <v>2023</v>
      </c>
      <c r="C98">
        <v>7</v>
      </c>
    </row>
    <row r="99" spans="1:3">
      <c r="A99" t="s">
        <v>167</v>
      </c>
      <c r="B99">
        <v>2024</v>
      </c>
      <c r="C99">
        <v>6</v>
      </c>
    </row>
    <row r="100" spans="1:3">
      <c r="A100" t="s">
        <v>167</v>
      </c>
      <c r="B100">
        <v>2025</v>
      </c>
      <c r="C100">
        <v>6</v>
      </c>
    </row>
    <row r="101" spans="1:3">
      <c r="A101" t="s">
        <v>168</v>
      </c>
      <c r="B101">
        <v>2015</v>
      </c>
      <c r="C101">
        <v>7</v>
      </c>
    </row>
    <row r="102" spans="1:3">
      <c r="A102" t="s">
        <v>168</v>
      </c>
      <c r="B102">
        <v>2016</v>
      </c>
      <c r="C102">
        <v>7</v>
      </c>
    </row>
    <row r="103" spans="1:3">
      <c r="A103" t="s">
        <v>168</v>
      </c>
      <c r="B103">
        <v>2017</v>
      </c>
      <c r="C103">
        <v>7</v>
      </c>
    </row>
    <row r="104" spans="1:3">
      <c r="A104" t="s">
        <v>168</v>
      </c>
      <c r="B104">
        <v>2018</v>
      </c>
      <c r="C104">
        <v>6</v>
      </c>
    </row>
    <row r="105" spans="1:3">
      <c r="A105" t="s">
        <v>168</v>
      </c>
      <c r="B105">
        <v>2019</v>
      </c>
      <c r="C105">
        <v>6</v>
      </c>
    </row>
    <row r="106" spans="1:3">
      <c r="A106" t="s">
        <v>168</v>
      </c>
      <c r="B106">
        <v>2020</v>
      </c>
      <c r="C106">
        <v>7</v>
      </c>
    </row>
    <row r="107" spans="1:3">
      <c r="A107" t="s">
        <v>168</v>
      </c>
      <c r="B107">
        <v>2021</v>
      </c>
      <c r="C107">
        <v>7</v>
      </c>
    </row>
    <row r="108" spans="1:3">
      <c r="A108" t="s">
        <v>168</v>
      </c>
      <c r="B108">
        <v>2022</v>
      </c>
      <c r="C108">
        <v>7</v>
      </c>
    </row>
    <row r="109" spans="1:3">
      <c r="A109" t="s">
        <v>168</v>
      </c>
      <c r="B109">
        <v>2023</v>
      </c>
      <c r="C109">
        <v>7</v>
      </c>
    </row>
    <row r="110" spans="1:3">
      <c r="A110" t="s">
        <v>168</v>
      </c>
      <c r="B110">
        <v>2024</v>
      </c>
      <c r="C110">
        <v>8</v>
      </c>
    </row>
    <row r="111" spans="1:3">
      <c r="A111" t="s">
        <v>168</v>
      </c>
      <c r="B111">
        <v>2025</v>
      </c>
      <c r="C111">
        <v>8</v>
      </c>
    </row>
    <row r="112" spans="1:3">
      <c r="A112" t="s">
        <v>169</v>
      </c>
      <c r="B112">
        <v>2015</v>
      </c>
      <c r="C112">
        <v>7</v>
      </c>
    </row>
    <row r="113" spans="1:3">
      <c r="A113" t="s">
        <v>169</v>
      </c>
      <c r="B113">
        <v>2016</v>
      </c>
      <c r="C113">
        <v>7</v>
      </c>
    </row>
    <row r="114" spans="1:3">
      <c r="A114" t="s">
        <v>169</v>
      </c>
      <c r="B114">
        <v>2017</v>
      </c>
      <c r="C114">
        <v>7</v>
      </c>
    </row>
    <row r="115" spans="1:3">
      <c r="A115" t="s">
        <v>169</v>
      </c>
      <c r="B115">
        <v>2018</v>
      </c>
      <c r="C115">
        <v>7</v>
      </c>
    </row>
    <row r="116" spans="1:3">
      <c r="A116" t="s">
        <v>169</v>
      </c>
      <c r="B116">
        <v>2019</v>
      </c>
      <c r="C116">
        <v>7</v>
      </c>
    </row>
    <row r="117" spans="1:3">
      <c r="A117" t="s">
        <v>169</v>
      </c>
      <c r="B117">
        <v>2020</v>
      </c>
      <c r="C117">
        <v>7</v>
      </c>
    </row>
    <row r="118" spans="1:3">
      <c r="A118" t="s">
        <v>169</v>
      </c>
      <c r="B118">
        <v>2021</v>
      </c>
      <c r="C118">
        <v>8</v>
      </c>
    </row>
    <row r="119" spans="1:3">
      <c r="A119" t="s">
        <v>169</v>
      </c>
      <c r="B119">
        <v>2022</v>
      </c>
      <c r="C119">
        <v>8</v>
      </c>
    </row>
    <row r="120" spans="1:3">
      <c r="A120" t="s">
        <v>169</v>
      </c>
      <c r="B120">
        <v>2023</v>
      </c>
      <c r="C120">
        <v>8</v>
      </c>
    </row>
    <row r="121" spans="1:3">
      <c r="A121" t="s">
        <v>169</v>
      </c>
      <c r="B121">
        <v>2024</v>
      </c>
      <c r="C121">
        <v>8</v>
      </c>
    </row>
    <row r="122" spans="1:3">
      <c r="A122" t="s">
        <v>169</v>
      </c>
      <c r="B122">
        <v>2025</v>
      </c>
      <c r="C122">
        <v>10</v>
      </c>
    </row>
    <row r="123" spans="1:3">
      <c r="A123" t="s">
        <v>170</v>
      </c>
      <c r="B123">
        <v>2015</v>
      </c>
      <c r="C123">
        <v>4</v>
      </c>
    </row>
    <row r="124" spans="1:3">
      <c r="A124" t="s">
        <v>170</v>
      </c>
      <c r="B124">
        <v>2016</v>
      </c>
      <c r="C124">
        <v>4</v>
      </c>
    </row>
    <row r="125" spans="1:3">
      <c r="A125" t="s">
        <v>170</v>
      </c>
      <c r="B125">
        <v>2017</v>
      </c>
      <c r="C125">
        <v>4</v>
      </c>
    </row>
    <row r="126" spans="1:3">
      <c r="A126" t="s">
        <v>170</v>
      </c>
      <c r="B126">
        <v>2018</v>
      </c>
      <c r="C126">
        <v>4</v>
      </c>
    </row>
    <row r="127" spans="1:3">
      <c r="A127" t="s">
        <v>170</v>
      </c>
      <c r="B127">
        <v>2019</v>
      </c>
      <c r="C127">
        <v>4</v>
      </c>
    </row>
    <row r="128" spans="1:3">
      <c r="A128" t="s">
        <v>170</v>
      </c>
      <c r="B128">
        <v>2020</v>
      </c>
      <c r="C128">
        <v>5</v>
      </c>
    </row>
    <row r="129" spans="1:3">
      <c r="A129" t="s">
        <v>170</v>
      </c>
      <c r="B129">
        <v>2021</v>
      </c>
      <c r="C129">
        <v>5</v>
      </c>
    </row>
    <row r="130" spans="1:3">
      <c r="A130" t="s">
        <v>170</v>
      </c>
      <c r="B130">
        <v>2022</v>
      </c>
      <c r="C130">
        <v>5</v>
      </c>
    </row>
    <row r="131" spans="1:3">
      <c r="A131" t="s">
        <v>170</v>
      </c>
      <c r="B131">
        <v>2023</v>
      </c>
      <c r="C131">
        <v>5</v>
      </c>
    </row>
    <row r="132" spans="1:3">
      <c r="A132" t="s">
        <v>170</v>
      </c>
      <c r="B132">
        <v>2024</v>
      </c>
      <c r="C132">
        <v>5</v>
      </c>
    </row>
    <row r="133" spans="1:3">
      <c r="A133" t="s">
        <v>170</v>
      </c>
      <c r="B133">
        <v>2025</v>
      </c>
      <c r="C133">
        <v>5</v>
      </c>
    </row>
    <row r="134" spans="1:3">
      <c r="A134" t="s">
        <v>172</v>
      </c>
      <c r="B134">
        <v>2015</v>
      </c>
      <c r="C134">
        <v>1</v>
      </c>
    </row>
    <row r="135" spans="1:3">
      <c r="A135" t="s">
        <v>172</v>
      </c>
      <c r="B135">
        <v>2016</v>
      </c>
      <c r="C135">
        <v>1</v>
      </c>
    </row>
    <row r="136" spans="1:3">
      <c r="A136" t="s">
        <v>172</v>
      </c>
      <c r="B136">
        <v>2017</v>
      </c>
      <c r="C136">
        <v>1</v>
      </c>
    </row>
    <row r="137" spans="1:3">
      <c r="A137" t="s">
        <v>172</v>
      </c>
      <c r="B137">
        <v>2018</v>
      </c>
      <c r="C137">
        <v>1</v>
      </c>
    </row>
    <row r="138" spans="1:3">
      <c r="A138" t="s">
        <v>172</v>
      </c>
      <c r="B138">
        <v>2019</v>
      </c>
      <c r="C138">
        <v>1</v>
      </c>
    </row>
    <row r="139" spans="1:3">
      <c r="A139" t="s">
        <v>172</v>
      </c>
      <c r="B139">
        <v>2020</v>
      </c>
      <c r="C139">
        <v>2</v>
      </c>
    </row>
    <row r="140" spans="1:3">
      <c r="A140" t="s">
        <v>172</v>
      </c>
      <c r="B140">
        <v>2021</v>
      </c>
      <c r="C140">
        <v>2</v>
      </c>
    </row>
    <row r="141" spans="1:3">
      <c r="A141" t="s">
        <v>172</v>
      </c>
      <c r="B141">
        <v>2022</v>
      </c>
      <c r="C141">
        <v>2</v>
      </c>
    </row>
    <row r="142" spans="1:3">
      <c r="A142" t="s">
        <v>172</v>
      </c>
      <c r="B142">
        <v>2023</v>
      </c>
      <c r="C142">
        <v>2</v>
      </c>
    </row>
    <row r="143" spans="1:3">
      <c r="A143" t="s">
        <v>172</v>
      </c>
      <c r="B143">
        <v>2024</v>
      </c>
      <c r="C143">
        <v>2</v>
      </c>
    </row>
    <row r="144" spans="1:3">
      <c r="A144" t="s">
        <v>172</v>
      </c>
      <c r="B144">
        <v>2025</v>
      </c>
      <c r="C144">
        <v>2</v>
      </c>
    </row>
    <row r="145" spans="1:3">
      <c r="A145" t="s">
        <v>173</v>
      </c>
      <c r="B145">
        <v>2015</v>
      </c>
      <c r="C145">
        <v>3</v>
      </c>
    </row>
    <row r="146" spans="1:3">
      <c r="A146" t="s">
        <v>173</v>
      </c>
      <c r="B146">
        <v>2016</v>
      </c>
      <c r="C146">
        <v>3</v>
      </c>
    </row>
    <row r="147" spans="1:3">
      <c r="A147" t="s">
        <v>173</v>
      </c>
      <c r="B147">
        <v>2017</v>
      </c>
      <c r="C147">
        <v>3</v>
      </c>
    </row>
    <row r="148" spans="1:3">
      <c r="A148" t="s">
        <v>173</v>
      </c>
      <c r="B148">
        <v>2018</v>
      </c>
      <c r="C148">
        <v>3</v>
      </c>
    </row>
    <row r="149" spans="1:3">
      <c r="A149" t="s">
        <v>173</v>
      </c>
      <c r="B149">
        <v>2019</v>
      </c>
      <c r="C149">
        <v>3</v>
      </c>
    </row>
    <row r="150" spans="1:3">
      <c r="A150" t="s">
        <v>173</v>
      </c>
      <c r="B150">
        <v>2020</v>
      </c>
      <c r="C150">
        <v>3</v>
      </c>
    </row>
    <row r="151" spans="1:3">
      <c r="A151" t="s">
        <v>173</v>
      </c>
      <c r="B151">
        <v>2021</v>
      </c>
      <c r="C151">
        <v>3</v>
      </c>
    </row>
    <row r="152" spans="1:3">
      <c r="A152" t="s">
        <v>173</v>
      </c>
      <c r="B152">
        <v>2022</v>
      </c>
      <c r="C152">
        <v>3</v>
      </c>
    </row>
    <row r="153" spans="1:3">
      <c r="A153" t="s">
        <v>173</v>
      </c>
      <c r="B153">
        <v>2023</v>
      </c>
      <c r="C153">
        <v>3</v>
      </c>
    </row>
    <row r="154" spans="1:3">
      <c r="A154" t="s">
        <v>173</v>
      </c>
      <c r="B154">
        <v>2024</v>
      </c>
      <c r="C154">
        <v>4</v>
      </c>
    </row>
    <row r="155" spans="1:3">
      <c r="A155" t="s">
        <v>173</v>
      </c>
      <c r="B155">
        <v>2025</v>
      </c>
      <c r="C155">
        <v>3</v>
      </c>
    </row>
    <row r="156" spans="1:3">
      <c r="A156" t="s">
        <v>174</v>
      </c>
      <c r="B156">
        <v>2015</v>
      </c>
      <c r="C156" t="s">
        <v>225</v>
      </c>
    </row>
    <row r="157" spans="1:3">
      <c r="A157" t="s">
        <v>174</v>
      </c>
      <c r="B157">
        <v>2016</v>
      </c>
      <c r="C157" t="s">
        <v>225</v>
      </c>
    </row>
    <row r="158" spans="1:3">
      <c r="A158" t="s">
        <v>174</v>
      </c>
      <c r="B158">
        <v>2017</v>
      </c>
      <c r="C158" t="s">
        <v>225</v>
      </c>
    </row>
    <row r="159" spans="1:3">
      <c r="A159" t="s">
        <v>174</v>
      </c>
      <c r="B159">
        <v>2018</v>
      </c>
      <c r="C159" t="s">
        <v>225</v>
      </c>
    </row>
    <row r="160" spans="1:3">
      <c r="A160" t="s">
        <v>174</v>
      </c>
      <c r="B160">
        <v>2019</v>
      </c>
      <c r="C160" t="s">
        <v>225</v>
      </c>
    </row>
    <row r="161" spans="1:3">
      <c r="A161" t="s">
        <v>174</v>
      </c>
      <c r="B161">
        <v>2020</v>
      </c>
      <c r="C161" t="s">
        <v>225</v>
      </c>
    </row>
    <row r="162" spans="1:3">
      <c r="A162" t="s">
        <v>174</v>
      </c>
      <c r="B162">
        <v>2021</v>
      </c>
      <c r="C162" t="s">
        <v>225</v>
      </c>
    </row>
    <row r="163" spans="1:3">
      <c r="A163" t="s">
        <v>174</v>
      </c>
      <c r="B163">
        <v>2022</v>
      </c>
      <c r="C163" t="s">
        <v>225</v>
      </c>
    </row>
    <row r="164" spans="1:3">
      <c r="A164" t="s">
        <v>174</v>
      </c>
      <c r="B164">
        <v>2023</v>
      </c>
      <c r="C164" t="s">
        <v>225</v>
      </c>
    </row>
    <row r="165" spans="1:3">
      <c r="A165" t="s">
        <v>174</v>
      </c>
      <c r="B165">
        <v>2024</v>
      </c>
      <c r="C165" t="s">
        <v>225</v>
      </c>
    </row>
    <row r="166" spans="1:3">
      <c r="A166" t="s">
        <v>174</v>
      </c>
      <c r="B166">
        <v>2025</v>
      </c>
      <c r="C166" t="s">
        <v>225</v>
      </c>
    </row>
    <row r="167" spans="1:3">
      <c r="A167" t="s">
        <v>175</v>
      </c>
      <c r="B167">
        <v>2015</v>
      </c>
      <c r="C167">
        <v>12</v>
      </c>
    </row>
    <row r="168" spans="1:3">
      <c r="A168" t="s">
        <v>175</v>
      </c>
      <c r="B168">
        <v>2016</v>
      </c>
      <c r="C168">
        <v>12</v>
      </c>
    </row>
    <row r="169" spans="1:3">
      <c r="A169" t="s">
        <v>175</v>
      </c>
      <c r="B169">
        <v>2017</v>
      </c>
      <c r="C169">
        <v>12</v>
      </c>
    </row>
    <row r="170" spans="1:3">
      <c r="A170" t="s">
        <v>175</v>
      </c>
      <c r="B170">
        <v>2018</v>
      </c>
      <c r="C170">
        <v>12</v>
      </c>
    </row>
    <row r="171" spans="1:3">
      <c r="A171" t="s">
        <v>175</v>
      </c>
      <c r="B171">
        <v>2019</v>
      </c>
      <c r="C171">
        <v>12</v>
      </c>
    </row>
    <row r="172" spans="1:3">
      <c r="A172" t="s">
        <v>175</v>
      </c>
      <c r="B172">
        <v>2020</v>
      </c>
      <c r="C172">
        <v>12</v>
      </c>
    </row>
    <row r="173" spans="1:3">
      <c r="A173" t="s">
        <v>175</v>
      </c>
      <c r="B173">
        <v>2021</v>
      </c>
      <c r="C173">
        <v>12</v>
      </c>
    </row>
    <row r="174" spans="1:3">
      <c r="A174" t="s">
        <v>175</v>
      </c>
      <c r="B174">
        <v>2022</v>
      </c>
      <c r="C174">
        <v>12</v>
      </c>
    </row>
    <row r="175" spans="1:3">
      <c r="A175" t="s">
        <v>175</v>
      </c>
      <c r="B175">
        <v>2023</v>
      </c>
      <c r="C175">
        <v>11</v>
      </c>
    </row>
    <row r="176" spans="1:3">
      <c r="A176" t="s">
        <v>175</v>
      </c>
      <c r="B176">
        <v>2024</v>
      </c>
      <c r="C176">
        <v>12</v>
      </c>
    </row>
    <row r="177" spans="1:3">
      <c r="A177" t="s">
        <v>175</v>
      </c>
      <c r="B177">
        <v>2025</v>
      </c>
      <c r="C177">
        <v>12</v>
      </c>
    </row>
    <row r="178" spans="1:3">
      <c r="A178" t="s">
        <v>177</v>
      </c>
      <c r="B178">
        <v>2015</v>
      </c>
      <c r="C178">
        <v>1</v>
      </c>
    </row>
    <row r="179" spans="1:3">
      <c r="A179" t="s">
        <v>177</v>
      </c>
      <c r="B179">
        <v>2016</v>
      </c>
      <c r="C179">
        <v>1</v>
      </c>
    </row>
    <row r="180" spans="1:3">
      <c r="A180" t="s">
        <v>177</v>
      </c>
      <c r="B180">
        <v>2017</v>
      </c>
      <c r="C180">
        <v>3</v>
      </c>
    </row>
    <row r="181" spans="1:3">
      <c r="A181" t="s">
        <v>177</v>
      </c>
      <c r="B181">
        <v>2018</v>
      </c>
      <c r="C181">
        <v>3</v>
      </c>
    </row>
    <row r="182" spans="1:3">
      <c r="A182" t="s">
        <v>177</v>
      </c>
      <c r="B182">
        <v>2019</v>
      </c>
      <c r="C182">
        <v>3</v>
      </c>
    </row>
    <row r="183" spans="1:3">
      <c r="A183" t="s">
        <v>177</v>
      </c>
      <c r="B183">
        <v>2020</v>
      </c>
      <c r="C183">
        <v>3</v>
      </c>
    </row>
    <row r="184" spans="1:3">
      <c r="A184" t="s">
        <v>177</v>
      </c>
      <c r="B184">
        <v>2021</v>
      </c>
      <c r="C184">
        <v>2</v>
      </c>
    </row>
    <row r="185" spans="1:3">
      <c r="A185" t="s">
        <v>177</v>
      </c>
      <c r="B185">
        <v>2022</v>
      </c>
      <c r="C185">
        <v>4</v>
      </c>
    </row>
    <row r="186" spans="1:3">
      <c r="A186" t="s">
        <v>177</v>
      </c>
      <c r="B186">
        <v>2023</v>
      </c>
      <c r="C186">
        <v>5</v>
      </c>
    </row>
    <row r="187" spans="1:3">
      <c r="A187" t="s">
        <v>177</v>
      </c>
      <c r="B187">
        <v>2024</v>
      </c>
      <c r="C187">
        <v>5</v>
      </c>
    </row>
    <row r="188" spans="1:3">
      <c r="A188" t="s">
        <v>177</v>
      </c>
      <c r="B188">
        <v>2025</v>
      </c>
      <c r="C188">
        <v>6</v>
      </c>
    </row>
    <row r="189" spans="1:3">
      <c r="A189" t="s">
        <v>181</v>
      </c>
      <c r="B189">
        <v>2015</v>
      </c>
      <c r="C189">
        <v>1</v>
      </c>
    </row>
    <row r="190" spans="1:3">
      <c r="A190" t="s">
        <v>181</v>
      </c>
      <c r="B190">
        <v>2016</v>
      </c>
      <c r="C190">
        <v>1</v>
      </c>
    </row>
    <row r="191" spans="1:3">
      <c r="A191" t="s">
        <v>181</v>
      </c>
      <c r="B191">
        <v>2017</v>
      </c>
      <c r="C191">
        <v>2</v>
      </c>
    </row>
    <row r="192" spans="1:3">
      <c r="A192" t="s">
        <v>181</v>
      </c>
      <c r="B192">
        <v>2018</v>
      </c>
      <c r="C192">
        <v>2</v>
      </c>
    </row>
    <row r="193" spans="1:3">
      <c r="A193" t="s">
        <v>181</v>
      </c>
      <c r="B193">
        <v>2019</v>
      </c>
      <c r="C193">
        <v>2</v>
      </c>
    </row>
    <row r="194" spans="1:3">
      <c r="A194" t="s">
        <v>181</v>
      </c>
      <c r="B194">
        <v>2020</v>
      </c>
      <c r="C194">
        <v>3</v>
      </c>
    </row>
    <row r="195" spans="1:3">
      <c r="A195" t="s">
        <v>181</v>
      </c>
      <c r="B195">
        <v>2021</v>
      </c>
      <c r="C195">
        <v>3</v>
      </c>
    </row>
    <row r="196" spans="1:3">
      <c r="A196" t="s">
        <v>181</v>
      </c>
      <c r="B196">
        <v>2022</v>
      </c>
      <c r="C196">
        <v>2</v>
      </c>
    </row>
    <row r="197" spans="1:3">
      <c r="A197" t="s">
        <v>181</v>
      </c>
      <c r="B197">
        <v>2023</v>
      </c>
      <c r="C197">
        <v>2</v>
      </c>
    </row>
    <row r="198" spans="1:3">
      <c r="A198" t="s">
        <v>181</v>
      </c>
      <c r="B198">
        <v>2024</v>
      </c>
      <c r="C198">
        <v>3</v>
      </c>
    </row>
    <row r="199" spans="1:3">
      <c r="A199" t="s">
        <v>181</v>
      </c>
      <c r="B199">
        <v>2025</v>
      </c>
      <c r="C199">
        <v>2</v>
      </c>
    </row>
    <row r="200" spans="1:3">
      <c r="A200" t="s">
        <v>183</v>
      </c>
      <c r="B200">
        <v>2015</v>
      </c>
      <c r="C200">
        <v>4</v>
      </c>
    </row>
    <row r="201" spans="1:3">
      <c r="A201" t="s">
        <v>183</v>
      </c>
      <c r="B201">
        <v>2016</v>
      </c>
      <c r="C201">
        <v>4</v>
      </c>
    </row>
    <row r="202" spans="1:3">
      <c r="A202" t="s">
        <v>183</v>
      </c>
      <c r="B202">
        <v>2017</v>
      </c>
      <c r="C202">
        <v>4</v>
      </c>
    </row>
    <row r="203" spans="1:3">
      <c r="A203" t="s">
        <v>183</v>
      </c>
      <c r="B203">
        <v>2018</v>
      </c>
      <c r="C203">
        <v>4</v>
      </c>
    </row>
    <row r="204" spans="1:3">
      <c r="A204" t="s">
        <v>183</v>
      </c>
      <c r="B204">
        <v>2019</v>
      </c>
      <c r="C204">
        <v>4</v>
      </c>
    </row>
    <row r="205" spans="1:3">
      <c r="A205" t="s">
        <v>183</v>
      </c>
      <c r="B205">
        <v>2020</v>
      </c>
      <c r="C205">
        <v>4</v>
      </c>
    </row>
    <row r="206" spans="1:3">
      <c r="A206" t="s">
        <v>183</v>
      </c>
      <c r="B206">
        <v>2021</v>
      </c>
      <c r="C206">
        <v>4</v>
      </c>
    </row>
    <row r="207" spans="1:3">
      <c r="A207" t="s">
        <v>183</v>
      </c>
      <c r="B207">
        <v>2022</v>
      </c>
      <c r="C207">
        <v>5</v>
      </c>
    </row>
    <row r="208" spans="1:3">
      <c r="A208" t="s">
        <v>183</v>
      </c>
      <c r="B208">
        <v>2023</v>
      </c>
      <c r="C208">
        <v>5</v>
      </c>
    </row>
    <row r="209" spans="1:3">
      <c r="A209" t="s">
        <v>183</v>
      </c>
      <c r="B209">
        <v>2024</v>
      </c>
      <c r="C209">
        <v>6</v>
      </c>
    </row>
    <row r="210" spans="1:3">
      <c r="A210" t="s">
        <v>183</v>
      </c>
      <c r="B210">
        <v>2025</v>
      </c>
      <c r="C210">
        <v>6</v>
      </c>
    </row>
    <row r="211" spans="1:3">
      <c r="A211" t="s">
        <v>185</v>
      </c>
      <c r="B211">
        <v>2015</v>
      </c>
      <c r="C211">
        <v>8</v>
      </c>
    </row>
    <row r="212" spans="1:3">
      <c r="A212" t="s">
        <v>185</v>
      </c>
      <c r="B212">
        <v>2016</v>
      </c>
      <c r="C212">
        <v>7</v>
      </c>
    </row>
    <row r="213" spans="1:3">
      <c r="A213" t="s">
        <v>185</v>
      </c>
      <c r="B213">
        <v>2017</v>
      </c>
      <c r="C213">
        <v>7</v>
      </c>
    </row>
    <row r="214" spans="1:3">
      <c r="A214" t="s">
        <v>185</v>
      </c>
      <c r="B214">
        <v>2018</v>
      </c>
      <c r="C214">
        <v>7</v>
      </c>
    </row>
    <row r="215" spans="1:3">
      <c r="A215" t="s">
        <v>185</v>
      </c>
      <c r="B215">
        <v>2019</v>
      </c>
      <c r="C215">
        <v>8</v>
      </c>
    </row>
    <row r="216" spans="1:3">
      <c r="A216" t="s">
        <v>185</v>
      </c>
      <c r="B216">
        <v>2020</v>
      </c>
      <c r="C216">
        <v>9</v>
      </c>
    </row>
    <row r="217" spans="1:3">
      <c r="A217" t="s">
        <v>185</v>
      </c>
      <c r="B217">
        <v>2021</v>
      </c>
      <c r="C217">
        <v>9</v>
      </c>
    </row>
    <row r="218" spans="1:3">
      <c r="A218" t="s">
        <v>185</v>
      </c>
      <c r="B218">
        <v>2022</v>
      </c>
      <c r="C218">
        <v>9</v>
      </c>
    </row>
    <row r="219" spans="1:3">
      <c r="A219" t="s">
        <v>185</v>
      </c>
      <c r="B219">
        <v>2023</v>
      </c>
      <c r="C219">
        <v>9</v>
      </c>
    </row>
    <row r="220" spans="1:3">
      <c r="A220" t="s">
        <v>185</v>
      </c>
      <c r="B220">
        <v>2024</v>
      </c>
      <c r="C220">
        <v>10</v>
      </c>
    </row>
    <row r="221" spans="1:3">
      <c r="A221" t="s">
        <v>185</v>
      </c>
      <c r="B221">
        <v>2025</v>
      </c>
      <c r="C221">
        <v>10</v>
      </c>
    </row>
    <row r="222" spans="1:3">
      <c r="A222" t="s">
        <v>186</v>
      </c>
      <c r="B222">
        <v>2015</v>
      </c>
      <c r="C222">
        <v>5</v>
      </c>
    </row>
    <row r="223" spans="1:3">
      <c r="A223" t="s">
        <v>186</v>
      </c>
      <c r="B223">
        <v>2016</v>
      </c>
      <c r="C223">
        <v>5</v>
      </c>
    </row>
    <row r="224" spans="1:3">
      <c r="A224" t="s">
        <v>186</v>
      </c>
      <c r="B224">
        <v>2017</v>
      </c>
      <c r="C224">
        <v>5</v>
      </c>
    </row>
    <row r="225" spans="1:3">
      <c r="A225" t="s">
        <v>186</v>
      </c>
      <c r="B225">
        <v>2018</v>
      </c>
      <c r="C225">
        <v>5</v>
      </c>
    </row>
    <row r="226" spans="1:3">
      <c r="A226" t="s">
        <v>186</v>
      </c>
      <c r="B226">
        <v>2019</v>
      </c>
      <c r="C226">
        <v>6</v>
      </c>
    </row>
    <row r="227" spans="1:3">
      <c r="A227" t="s">
        <v>186</v>
      </c>
      <c r="B227">
        <v>2020</v>
      </c>
      <c r="C227">
        <v>7</v>
      </c>
    </row>
    <row r="228" spans="1:3">
      <c r="A228" t="s">
        <v>186</v>
      </c>
      <c r="B228">
        <v>2021</v>
      </c>
      <c r="C228">
        <v>6</v>
      </c>
    </row>
    <row r="229" spans="1:3">
      <c r="A229" t="s">
        <v>186</v>
      </c>
      <c r="B229">
        <v>2022</v>
      </c>
      <c r="C229">
        <v>6</v>
      </c>
    </row>
    <row r="230" spans="1:3">
      <c r="A230" t="s">
        <v>186</v>
      </c>
      <c r="B230">
        <v>2023</v>
      </c>
      <c r="C230">
        <v>6</v>
      </c>
    </row>
    <row r="231" spans="1:3">
      <c r="A231" t="s">
        <v>186</v>
      </c>
      <c r="B231">
        <v>2024</v>
      </c>
      <c r="C231">
        <v>6</v>
      </c>
    </row>
    <row r="232" spans="1:3">
      <c r="A232" t="s">
        <v>186</v>
      </c>
      <c r="B232">
        <v>2025</v>
      </c>
      <c r="C232">
        <v>5</v>
      </c>
    </row>
    <row r="233" spans="1:3">
      <c r="A233" t="s">
        <v>187</v>
      </c>
      <c r="B233">
        <v>2015</v>
      </c>
      <c r="C233">
        <v>4</v>
      </c>
    </row>
    <row r="234" spans="1:3">
      <c r="A234" t="s">
        <v>187</v>
      </c>
      <c r="B234">
        <v>2016</v>
      </c>
      <c r="C234">
        <v>3</v>
      </c>
    </row>
    <row r="235" spans="1:3">
      <c r="A235" t="s">
        <v>187</v>
      </c>
      <c r="B235">
        <v>2017</v>
      </c>
      <c r="C235">
        <v>3</v>
      </c>
    </row>
    <row r="236" spans="1:3">
      <c r="A236" t="s">
        <v>187</v>
      </c>
      <c r="B236">
        <v>2018</v>
      </c>
      <c r="C236">
        <v>3</v>
      </c>
    </row>
    <row r="237" spans="1:3">
      <c r="A237" t="s">
        <v>187</v>
      </c>
      <c r="B237">
        <v>2019</v>
      </c>
      <c r="C237">
        <v>3</v>
      </c>
    </row>
    <row r="238" spans="1:3">
      <c r="A238" t="s">
        <v>187</v>
      </c>
      <c r="B238">
        <v>2020</v>
      </c>
      <c r="C238">
        <v>3</v>
      </c>
    </row>
    <row r="239" spans="1:3">
      <c r="A239" t="s">
        <v>187</v>
      </c>
      <c r="B239">
        <v>2021</v>
      </c>
      <c r="C239">
        <v>3</v>
      </c>
    </row>
    <row r="240" spans="1:3">
      <c r="A240" t="s">
        <v>187</v>
      </c>
      <c r="B240">
        <v>2022</v>
      </c>
      <c r="C240">
        <v>4</v>
      </c>
    </row>
    <row r="241" spans="1:3">
      <c r="A241" t="s">
        <v>187</v>
      </c>
      <c r="B241">
        <v>2023</v>
      </c>
      <c r="C241">
        <v>4</v>
      </c>
    </row>
    <row r="242" spans="1:3">
      <c r="A242" t="s">
        <v>187</v>
      </c>
      <c r="B242">
        <v>2024</v>
      </c>
      <c r="C242">
        <v>4</v>
      </c>
    </row>
    <row r="243" spans="1:3">
      <c r="A243" t="s">
        <v>187</v>
      </c>
      <c r="B243">
        <v>2025</v>
      </c>
      <c r="C243">
        <v>4</v>
      </c>
    </row>
    <row r="244" spans="1:3">
      <c r="A244" t="s">
        <v>189</v>
      </c>
      <c r="B244">
        <v>2015</v>
      </c>
      <c r="C244">
        <v>1</v>
      </c>
    </row>
    <row r="245" spans="1:3">
      <c r="A245" t="s">
        <v>189</v>
      </c>
      <c r="B245">
        <v>2016</v>
      </c>
      <c r="C245">
        <v>1</v>
      </c>
    </row>
    <row r="246" spans="1:3">
      <c r="A246" t="s">
        <v>189</v>
      </c>
      <c r="B246">
        <v>2017</v>
      </c>
      <c r="C246">
        <v>1</v>
      </c>
    </row>
    <row r="247" spans="1:3">
      <c r="A247" t="s">
        <v>189</v>
      </c>
      <c r="B247">
        <v>2018</v>
      </c>
      <c r="C247">
        <v>1</v>
      </c>
    </row>
    <row r="248" spans="1:3">
      <c r="A248" t="s">
        <v>189</v>
      </c>
      <c r="B248">
        <v>2019</v>
      </c>
      <c r="C248">
        <v>2</v>
      </c>
    </row>
    <row r="249" spans="1:3">
      <c r="A249" t="s">
        <v>189</v>
      </c>
      <c r="B249">
        <v>2020</v>
      </c>
      <c r="C249">
        <v>2</v>
      </c>
    </row>
    <row r="250" spans="1:3">
      <c r="A250" t="s">
        <v>189</v>
      </c>
      <c r="B250">
        <v>2021</v>
      </c>
      <c r="C250">
        <v>2</v>
      </c>
    </row>
    <row r="251" spans="1:3">
      <c r="A251" t="s">
        <v>189</v>
      </c>
      <c r="B251">
        <v>2022</v>
      </c>
      <c r="C251">
        <v>2</v>
      </c>
    </row>
    <row r="252" spans="1:3">
      <c r="A252" t="s">
        <v>189</v>
      </c>
      <c r="B252">
        <v>2023</v>
      </c>
      <c r="C252">
        <v>2</v>
      </c>
    </row>
    <row r="253" spans="1:3">
      <c r="A253" t="s">
        <v>189</v>
      </c>
      <c r="B253">
        <v>2024</v>
      </c>
      <c r="C253">
        <v>2</v>
      </c>
    </row>
    <row r="254" spans="1:3">
      <c r="A254" t="s">
        <v>189</v>
      </c>
      <c r="B254">
        <v>2025</v>
      </c>
      <c r="C254">
        <v>3</v>
      </c>
    </row>
    <row r="255" spans="1:3">
      <c r="A255" t="s">
        <v>192</v>
      </c>
      <c r="B255">
        <v>2015</v>
      </c>
      <c r="C255">
        <v>6</v>
      </c>
    </row>
    <row r="256" spans="1:3">
      <c r="A256" t="s">
        <v>192</v>
      </c>
      <c r="B256">
        <v>2016</v>
      </c>
      <c r="C256">
        <v>6</v>
      </c>
    </row>
    <row r="257" spans="1:3">
      <c r="A257" t="s">
        <v>192</v>
      </c>
      <c r="B257">
        <v>2017</v>
      </c>
      <c r="C257">
        <v>6</v>
      </c>
    </row>
    <row r="258" spans="1:3">
      <c r="A258" t="s">
        <v>192</v>
      </c>
      <c r="B258">
        <v>2018</v>
      </c>
      <c r="C258">
        <v>7</v>
      </c>
    </row>
    <row r="259" spans="1:3">
      <c r="A259" t="s">
        <v>192</v>
      </c>
      <c r="B259">
        <v>2019</v>
      </c>
      <c r="C259">
        <v>7</v>
      </c>
    </row>
    <row r="260" spans="1:3">
      <c r="A260" t="s">
        <v>192</v>
      </c>
      <c r="B260">
        <v>2020</v>
      </c>
      <c r="C260">
        <v>7</v>
      </c>
    </row>
    <row r="261" spans="1:3">
      <c r="A261" t="s">
        <v>192</v>
      </c>
      <c r="B261">
        <v>2021</v>
      </c>
      <c r="C261">
        <v>6</v>
      </c>
    </row>
    <row r="262" spans="1:3">
      <c r="A262" t="s">
        <v>192</v>
      </c>
      <c r="B262">
        <v>2022</v>
      </c>
      <c r="C262">
        <v>6</v>
      </c>
    </row>
    <row r="263" spans="1:3">
      <c r="A263" t="s">
        <v>192</v>
      </c>
      <c r="B263">
        <v>2023</v>
      </c>
      <c r="C263">
        <v>5</v>
      </c>
    </row>
    <row r="264" spans="1:3">
      <c r="A264" t="s">
        <v>192</v>
      </c>
      <c r="B264">
        <v>2024</v>
      </c>
      <c r="C264">
        <v>5</v>
      </c>
    </row>
    <row r="265" spans="1:3">
      <c r="A265" t="s">
        <v>192</v>
      </c>
      <c r="B265">
        <v>2025</v>
      </c>
      <c r="C265">
        <v>4</v>
      </c>
    </row>
    <row r="266" spans="1:3">
      <c r="A266" t="s">
        <v>194</v>
      </c>
      <c r="B266">
        <v>2015</v>
      </c>
      <c r="C266">
        <v>8</v>
      </c>
    </row>
    <row r="267" spans="1:3">
      <c r="A267" t="s">
        <v>194</v>
      </c>
      <c r="B267">
        <v>2016</v>
      </c>
      <c r="C267">
        <v>8</v>
      </c>
    </row>
    <row r="268" spans="1:3">
      <c r="A268" t="s">
        <v>194</v>
      </c>
      <c r="B268">
        <v>2017</v>
      </c>
      <c r="C268">
        <v>8</v>
      </c>
    </row>
    <row r="269" spans="1:3">
      <c r="A269" t="s">
        <v>194</v>
      </c>
      <c r="B269">
        <v>2018</v>
      </c>
      <c r="C269">
        <v>8</v>
      </c>
    </row>
    <row r="270" spans="1:3">
      <c r="A270" t="s">
        <v>194</v>
      </c>
      <c r="B270">
        <v>2019</v>
      </c>
      <c r="C270">
        <v>8</v>
      </c>
    </row>
    <row r="271" spans="1:3">
      <c r="A271" t="s">
        <v>194</v>
      </c>
      <c r="B271">
        <v>2020</v>
      </c>
      <c r="C271">
        <v>9</v>
      </c>
    </row>
    <row r="272" spans="1:3">
      <c r="A272" t="s">
        <v>194</v>
      </c>
      <c r="B272">
        <v>2021</v>
      </c>
      <c r="C272">
        <v>8</v>
      </c>
    </row>
    <row r="273" spans="1:3">
      <c r="A273" t="s">
        <v>194</v>
      </c>
      <c r="B273">
        <v>2022</v>
      </c>
      <c r="C273">
        <v>8</v>
      </c>
    </row>
    <row r="274" spans="1:3">
      <c r="A274" t="s">
        <v>194</v>
      </c>
      <c r="B274">
        <v>2023</v>
      </c>
      <c r="C274">
        <v>8</v>
      </c>
    </row>
    <row r="275" spans="1:3">
      <c r="A275" t="s">
        <v>194</v>
      </c>
      <c r="B275">
        <v>2024</v>
      </c>
      <c r="C275">
        <v>8</v>
      </c>
    </row>
    <row r="276" spans="1:3">
      <c r="A276" t="s">
        <v>194</v>
      </c>
      <c r="B276">
        <v>2025</v>
      </c>
      <c r="C276">
        <v>8</v>
      </c>
    </row>
    <row r="277" spans="1:3">
      <c r="A277" t="s">
        <v>199</v>
      </c>
      <c r="B277">
        <v>2015</v>
      </c>
      <c r="C277">
        <v>6</v>
      </c>
    </row>
    <row r="278" spans="1:3">
      <c r="A278" t="s">
        <v>199</v>
      </c>
      <c r="B278">
        <v>2016</v>
      </c>
      <c r="C278">
        <v>6</v>
      </c>
    </row>
    <row r="279" spans="1:3">
      <c r="A279" t="s">
        <v>199</v>
      </c>
      <c r="B279">
        <v>2017</v>
      </c>
      <c r="C279">
        <v>6</v>
      </c>
    </row>
    <row r="280" spans="1:3">
      <c r="A280" t="s">
        <v>199</v>
      </c>
      <c r="B280">
        <v>2018</v>
      </c>
      <c r="C280">
        <v>6</v>
      </c>
    </row>
    <row r="281" spans="1:3">
      <c r="A281" t="s">
        <v>199</v>
      </c>
      <c r="B281">
        <v>2019</v>
      </c>
      <c r="C281">
        <v>5</v>
      </c>
    </row>
    <row r="282" spans="1:3">
      <c r="A282" t="s">
        <v>199</v>
      </c>
      <c r="B282">
        <v>2020</v>
      </c>
      <c r="C282">
        <v>5</v>
      </c>
    </row>
    <row r="283" spans="1:3">
      <c r="A283" t="s">
        <v>199</v>
      </c>
      <c r="B283">
        <v>2021</v>
      </c>
      <c r="C283">
        <v>5</v>
      </c>
    </row>
    <row r="284" spans="1:3">
      <c r="A284" t="s">
        <v>199</v>
      </c>
      <c r="B284">
        <v>2022</v>
      </c>
      <c r="C284">
        <v>5</v>
      </c>
    </row>
    <row r="285" spans="1:3">
      <c r="A285" t="s">
        <v>199</v>
      </c>
      <c r="B285">
        <v>2023</v>
      </c>
      <c r="C285">
        <v>5</v>
      </c>
    </row>
    <row r="286" spans="1:3">
      <c r="A286" t="s">
        <v>199</v>
      </c>
      <c r="B286">
        <v>2024</v>
      </c>
      <c r="C286">
        <v>5</v>
      </c>
    </row>
    <row r="287" spans="1:3">
      <c r="A287" t="s">
        <v>199</v>
      </c>
      <c r="B287">
        <v>2025</v>
      </c>
      <c r="C287">
        <v>5</v>
      </c>
    </row>
    <row r="288" spans="1:3">
      <c r="A288" t="s">
        <v>200</v>
      </c>
      <c r="B288">
        <v>2015</v>
      </c>
      <c r="C288">
        <v>8</v>
      </c>
    </row>
    <row r="289" spans="1:3">
      <c r="A289" t="s">
        <v>200</v>
      </c>
      <c r="B289">
        <v>2016</v>
      </c>
      <c r="C289">
        <v>8</v>
      </c>
    </row>
    <row r="290" spans="1:3">
      <c r="A290" t="s">
        <v>200</v>
      </c>
      <c r="B290">
        <v>2017</v>
      </c>
      <c r="C290">
        <v>8</v>
      </c>
    </row>
    <row r="291" spans="1:3">
      <c r="A291" t="s">
        <v>200</v>
      </c>
      <c r="B291">
        <v>2018</v>
      </c>
      <c r="C291">
        <v>8</v>
      </c>
    </row>
    <row r="292" spans="1:3">
      <c r="A292" t="s">
        <v>200</v>
      </c>
      <c r="B292">
        <v>2019</v>
      </c>
      <c r="C292">
        <v>8</v>
      </c>
    </row>
    <row r="293" spans="1:3">
      <c r="A293" t="s">
        <v>200</v>
      </c>
      <c r="B293">
        <v>2020</v>
      </c>
      <c r="C293">
        <v>9</v>
      </c>
    </row>
    <row r="294" spans="1:3">
      <c r="A294" t="s">
        <v>200</v>
      </c>
      <c r="B294">
        <v>2021</v>
      </c>
      <c r="C294">
        <v>9</v>
      </c>
    </row>
    <row r="295" spans="1:3">
      <c r="A295" t="s">
        <v>200</v>
      </c>
      <c r="B295">
        <v>2022</v>
      </c>
      <c r="C295">
        <v>9</v>
      </c>
    </row>
    <row r="296" spans="1:3">
      <c r="A296" t="s">
        <v>200</v>
      </c>
      <c r="B296">
        <v>2023</v>
      </c>
      <c r="C296">
        <v>9</v>
      </c>
    </row>
    <row r="297" spans="1:3">
      <c r="A297" t="s">
        <v>200</v>
      </c>
      <c r="B297">
        <v>2024</v>
      </c>
      <c r="C297">
        <v>10</v>
      </c>
    </row>
    <row r="298" spans="1:3">
      <c r="A298" t="s">
        <v>200</v>
      </c>
      <c r="B298">
        <v>2025</v>
      </c>
      <c r="C298">
        <v>10</v>
      </c>
    </row>
    <row r="299" spans="1:3">
      <c r="A299" t="s">
        <v>201</v>
      </c>
      <c r="B299">
        <v>2015</v>
      </c>
      <c r="C299">
        <v>13</v>
      </c>
    </row>
    <row r="300" spans="1:3">
      <c r="A300" t="s">
        <v>201</v>
      </c>
      <c r="B300">
        <v>2016</v>
      </c>
      <c r="C300">
        <v>13</v>
      </c>
    </row>
    <row r="301" spans="1:3">
      <c r="A301" t="s">
        <v>201</v>
      </c>
      <c r="B301">
        <v>2017</v>
      </c>
      <c r="C301">
        <v>13</v>
      </c>
    </row>
    <row r="302" spans="1:3">
      <c r="A302" t="s">
        <v>201</v>
      </c>
      <c r="B302">
        <v>2018</v>
      </c>
      <c r="C302">
        <v>13</v>
      </c>
    </row>
    <row r="303" spans="1:3">
      <c r="A303" t="s">
        <v>201</v>
      </c>
      <c r="B303">
        <v>2019</v>
      </c>
      <c r="C303">
        <v>14</v>
      </c>
    </row>
    <row r="304" spans="1:3">
      <c r="A304" t="s">
        <v>201</v>
      </c>
      <c r="B304">
        <v>2020</v>
      </c>
      <c r="C304">
        <v>14</v>
      </c>
    </row>
    <row r="305" spans="1:3">
      <c r="A305" t="s">
        <v>201</v>
      </c>
      <c r="B305">
        <v>2021</v>
      </c>
      <c r="C305">
        <v>15</v>
      </c>
    </row>
    <row r="306" spans="1:3">
      <c r="A306" t="s">
        <v>201</v>
      </c>
      <c r="B306">
        <v>2022</v>
      </c>
      <c r="C306">
        <v>14</v>
      </c>
    </row>
    <row r="307" spans="1:3">
      <c r="A307" t="s">
        <v>201</v>
      </c>
      <c r="B307">
        <v>2023</v>
      </c>
      <c r="C307">
        <v>14</v>
      </c>
    </row>
    <row r="308" spans="1:3">
      <c r="A308" t="s">
        <v>201</v>
      </c>
      <c r="B308">
        <v>2024</v>
      </c>
      <c r="C308">
        <v>14</v>
      </c>
    </row>
    <row r="309" spans="1:3">
      <c r="A309" t="s">
        <v>201</v>
      </c>
      <c r="B309">
        <v>2025</v>
      </c>
      <c r="C309">
        <v>13</v>
      </c>
    </row>
    <row r="310" spans="1:3">
      <c r="A310" t="s">
        <v>203</v>
      </c>
      <c r="B310">
        <v>2015</v>
      </c>
      <c r="C310">
        <v>7</v>
      </c>
    </row>
    <row r="311" spans="1:3">
      <c r="A311" t="s">
        <v>203</v>
      </c>
      <c r="B311">
        <v>2016</v>
      </c>
      <c r="C311">
        <v>7</v>
      </c>
    </row>
    <row r="312" spans="1:3">
      <c r="A312" t="s">
        <v>203</v>
      </c>
      <c r="B312">
        <v>2017</v>
      </c>
      <c r="C312">
        <v>8</v>
      </c>
    </row>
    <row r="313" spans="1:3">
      <c r="A313" t="s">
        <v>203</v>
      </c>
      <c r="B313">
        <v>2018</v>
      </c>
      <c r="C313">
        <v>8</v>
      </c>
    </row>
    <row r="314" spans="1:3">
      <c r="A314" t="s">
        <v>203</v>
      </c>
      <c r="B314">
        <v>2019</v>
      </c>
      <c r="C314">
        <v>7</v>
      </c>
    </row>
    <row r="315" spans="1:3">
      <c r="A315" t="s">
        <v>203</v>
      </c>
      <c r="B315">
        <v>2020</v>
      </c>
      <c r="C315">
        <v>8</v>
      </c>
    </row>
    <row r="316" spans="1:3">
      <c r="A316" t="s">
        <v>203</v>
      </c>
      <c r="B316">
        <v>2021</v>
      </c>
      <c r="C316">
        <v>8</v>
      </c>
    </row>
    <row r="317" spans="1:3">
      <c r="A317" t="s">
        <v>203</v>
      </c>
      <c r="B317">
        <v>2022</v>
      </c>
      <c r="C317">
        <v>8</v>
      </c>
    </row>
    <row r="318" spans="1:3">
      <c r="A318" t="s">
        <v>203</v>
      </c>
      <c r="B318">
        <v>2023</v>
      </c>
      <c r="C318">
        <v>9</v>
      </c>
    </row>
    <row r="319" spans="1:3">
      <c r="A319" t="s">
        <v>203</v>
      </c>
      <c r="B319">
        <v>2024</v>
      </c>
      <c r="C319">
        <v>9</v>
      </c>
    </row>
    <row r="320" spans="1:3">
      <c r="A320" t="s">
        <v>203</v>
      </c>
      <c r="B320">
        <v>2025</v>
      </c>
      <c r="C320">
        <v>9</v>
      </c>
    </row>
    <row r="321" spans="1:3">
      <c r="A321" t="s">
        <v>207</v>
      </c>
      <c r="B321">
        <v>2015</v>
      </c>
      <c r="C321">
        <v>1</v>
      </c>
    </row>
    <row r="322" spans="1:3">
      <c r="A322" t="s">
        <v>207</v>
      </c>
      <c r="B322">
        <v>2016</v>
      </c>
      <c r="C322">
        <v>1</v>
      </c>
    </row>
    <row r="323" spans="1:3">
      <c r="A323" t="s">
        <v>207</v>
      </c>
      <c r="B323">
        <v>2017</v>
      </c>
      <c r="C323">
        <v>1</v>
      </c>
    </row>
    <row r="324" spans="1:3">
      <c r="A324" t="s">
        <v>207</v>
      </c>
      <c r="B324">
        <v>2018</v>
      </c>
      <c r="C324" t="s">
        <v>225</v>
      </c>
    </row>
    <row r="325" spans="1:3">
      <c r="A325" t="s">
        <v>207</v>
      </c>
      <c r="B325">
        <v>2019</v>
      </c>
      <c r="C325" t="s">
        <v>225</v>
      </c>
    </row>
    <row r="326" spans="1:3">
      <c r="A326" t="s">
        <v>207</v>
      </c>
      <c r="B326">
        <v>2020</v>
      </c>
      <c r="C326" t="s">
        <v>225</v>
      </c>
    </row>
    <row r="327" spans="1:3">
      <c r="A327" t="s">
        <v>207</v>
      </c>
      <c r="B327">
        <v>2021</v>
      </c>
      <c r="C327">
        <v>1</v>
      </c>
    </row>
    <row r="328" spans="1:3">
      <c r="A328" t="s">
        <v>207</v>
      </c>
      <c r="B328">
        <v>2022</v>
      </c>
      <c r="C328">
        <v>1</v>
      </c>
    </row>
    <row r="329" spans="1:3">
      <c r="A329" t="s">
        <v>207</v>
      </c>
      <c r="B329">
        <v>2023</v>
      </c>
      <c r="C329">
        <v>1</v>
      </c>
    </row>
    <row r="330" spans="1:3">
      <c r="A330" t="s">
        <v>207</v>
      </c>
      <c r="B330">
        <v>2024</v>
      </c>
      <c r="C330">
        <v>2</v>
      </c>
    </row>
    <row r="331" spans="1:3">
      <c r="A331" t="s">
        <v>207</v>
      </c>
      <c r="B331">
        <v>2025</v>
      </c>
      <c r="C331">
        <v>2</v>
      </c>
    </row>
    <row r="332" spans="1:3">
      <c r="A332" t="s">
        <v>208</v>
      </c>
      <c r="B332">
        <v>2015</v>
      </c>
      <c r="C332" t="s">
        <v>225</v>
      </c>
    </row>
    <row r="333" spans="1:3">
      <c r="A333" t="s">
        <v>208</v>
      </c>
      <c r="B333">
        <v>2016</v>
      </c>
      <c r="C333" t="s">
        <v>225</v>
      </c>
    </row>
    <row r="334" spans="1:3">
      <c r="A334" t="s">
        <v>208</v>
      </c>
      <c r="B334">
        <v>2017</v>
      </c>
      <c r="C334" t="s">
        <v>225</v>
      </c>
    </row>
    <row r="335" spans="1:3">
      <c r="A335" t="s">
        <v>208</v>
      </c>
      <c r="B335">
        <v>2018</v>
      </c>
      <c r="C335" t="s">
        <v>225</v>
      </c>
    </row>
    <row r="336" spans="1:3">
      <c r="A336" t="s">
        <v>208</v>
      </c>
      <c r="B336">
        <v>2019</v>
      </c>
      <c r="C336" t="s">
        <v>225</v>
      </c>
    </row>
    <row r="337" spans="1:3">
      <c r="A337" t="s">
        <v>208</v>
      </c>
      <c r="B337">
        <v>2020</v>
      </c>
      <c r="C337" t="s">
        <v>225</v>
      </c>
    </row>
    <row r="338" spans="1:3">
      <c r="A338" t="s">
        <v>208</v>
      </c>
      <c r="B338">
        <v>2021</v>
      </c>
      <c r="C338" t="s">
        <v>225</v>
      </c>
    </row>
    <row r="339" spans="1:3">
      <c r="A339" t="s">
        <v>208</v>
      </c>
      <c r="B339">
        <v>2022</v>
      </c>
      <c r="C339" t="s">
        <v>225</v>
      </c>
    </row>
    <row r="340" spans="1:3">
      <c r="A340" t="s">
        <v>208</v>
      </c>
      <c r="B340">
        <v>2023</v>
      </c>
      <c r="C340">
        <v>1</v>
      </c>
    </row>
    <row r="341" spans="1:3">
      <c r="A341" t="s">
        <v>208</v>
      </c>
      <c r="B341">
        <v>2024</v>
      </c>
      <c r="C341">
        <v>1</v>
      </c>
    </row>
    <row r="342" spans="1:3">
      <c r="A342" t="s">
        <v>208</v>
      </c>
      <c r="B342">
        <v>2025</v>
      </c>
      <c r="C342">
        <v>1</v>
      </c>
    </row>
    <row r="343" spans="1:3">
      <c r="A343" t="s">
        <v>211</v>
      </c>
      <c r="B343">
        <v>2015</v>
      </c>
      <c r="C343">
        <v>139</v>
      </c>
    </row>
    <row r="344" spans="1:3">
      <c r="A344" t="s">
        <v>211</v>
      </c>
      <c r="B344">
        <v>2016</v>
      </c>
      <c r="C344">
        <v>141</v>
      </c>
    </row>
    <row r="345" spans="1:3">
      <c r="A345" t="s">
        <v>211</v>
      </c>
      <c r="B345">
        <v>2017</v>
      </c>
      <c r="C345">
        <v>144</v>
      </c>
    </row>
    <row r="346" spans="1:3">
      <c r="A346" t="s">
        <v>211</v>
      </c>
      <c r="B346">
        <v>2018</v>
      </c>
      <c r="C346">
        <v>144</v>
      </c>
    </row>
    <row r="347" spans="1:3">
      <c r="A347" t="s">
        <v>211</v>
      </c>
      <c r="B347">
        <v>2019</v>
      </c>
      <c r="C347">
        <v>147</v>
      </c>
    </row>
    <row r="348" spans="1:3">
      <c r="A348" t="s">
        <v>211</v>
      </c>
      <c r="B348">
        <v>2020</v>
      </c>
      <c r="C348">
        <v>160</v>
      </c>
    </row>
    <row r="349" spans="1:3">
      <c r="A349" t="s">
        <v>211</v>
      </c>
      <c r="B349">
        <v>2021</v>
      </c>
      <c r="C349">
        <v>156</v>
      </c>
    </row>
    <row r="350" spans="1:3">
      <c r="A350" t="s">
        <v>211</v>
      </c>
      <c r="B350">
        <v>2022</v>
      </c>
      <c r="C350">
        <v>162</v>
      </c>
    </row>
    <row r="351" spans="1:3">
      <c r="A351" t="s">
        <v>211</v>
      </c>
      <c r="B351">
        <v>2023</v>
      </c>
      <c r="C351">
        <v>160</v>
      </c>
    </row>
    <row r="352" spans="1:3">
      <c r="A352" t="s">
        <v>211</v>
      </c>
      <c r="B352">
        <v>2024</v>
      </c>
      <c r="C352">
        <v>169</v>
      </c>
    </row>
    <row r="353" spans="1:12">
      <c r="A353" t="s">
        <v>211</v>
      </c>
      <c r="B353">
        <v>2025</v>
      </c>
      <c r="C353">
        <v>170</v>
      </c>
    </row>
    <row r="355" spans="1:12">
      <c r="A355" t="s">
        <v>226</v>
      </c>
    </row>
    <row r="356" spans="1:12">
      <c r="A356" t="s">
        <v>227</v>
      </c>
    </row>
    <row r="357" spans="1:12">
      <c r="A357" t="s">
        <v>228</v>
      </c>
    </row>
    <row r="358" spans="1:12">
      <c r="A358" t="s">
        <v>229</v>
      </c>
    </row>
    <row r="359" spans="1:12">
      <c r="A359" t="s">
        <v>133</v>
      </c>
    </row>
    <row r="360" spans="1:12">
      <c r="A360" t="s">
        <v>134</v>
      </c>
      <c r="B360" t="s">
        <v>135</v>
      </c>
      <c r="C360" t="s">
        <v>136</v>
      </c>
      <c r="D360" t="s">
        <v>137</v>
      </c>
      <c r="E360" t="s">
        <v>138</v>
      </c>
      <c r="F360" t="s">
        <v>139</v>
      </c>
      <c r="G360" t="s">
        <v>140</v>
      </c>
      <c r="H360" t="s">
        <v>141</v>
      </c>
      <c r="I360" t="s">
        <v>142</v>
      </c>
      <c r="J360" t="s">
        <v>143</v>
      </c>
      <c r="K360" t="s">
        <v>144</v>
      </c>
      <c r="L360" t="s">
        <v>145</v>
      </c>
    </row>
    <row r="361" spans="1:12">
      <c r="A361" t="s">
        <v>146</v>
      </c>
      <c r="B361">
        <v>5</v>
      </c>
      <c r="C361">
        <v>6</v>
      </c>
      <c r="D361">
        <v>6</v>
      </c>
      <c r="E361">
        <v>6</v>
      </c>
      <c r="F361">
        <v>6</v>
      </c>
      <c r="G361">
        <v>6</v>
      </c>
      <c r="H361">
        <v>6</v>
      </c>
      <c r="I361">
        <v>6</v>
      </c>
      <c r="J361">
        <v>6</v>
      </c>
      <c r="K361">
        <v>6</v>
      </c>
      <c r="L361">
        <v>6</v>
      </c>
    </row>
    <row r="362" spans="1:12">
      <c r="A362" t="s">
        <v>148</v>
      </c>
      <c r="B362" t="s">
        <v>225</v>
      </c>
      <c r="C362" t="s">
        <v>225</v>
      </c>
      <c r="D362" t="s">
        <v>225</v>
      </c>
      <c r="E362" t="s">
        <v>225</v>
      </c>
      <c r="F362">
        <v>2</v>
      </c>
      <c r="G362">
        <v>2</v>
      </c>
      <c r="H362">
        <v>2</v>
      </c>
      <c r="I362">
        <v>2</v>
      </c>
      <c r="J362">
        <v>2</v>
      </c>
      <c r="K362">
        <v>2</v>
      </c>
      <c r="L362">
        <v>2</v>
      </c>
    </row>
    <row r="363" spans="1:12">
      <c r="A363" t="s">
        <v>149</v>
      </c>
      <c r="B363" t="s">
        <v>225</v>
      </c>
      <c r="C363" t="s">
        <v>225</v>
      </c>
      <c r="D363" t="s">
        <v>225</v>
      </c>
      <c r="E363" t="s">
        <v>225</v>
      </c>
      <c r="F363" t="s">
        <v>225</v>
      </c>
      <c r="G363" t="s">
        <v>225</v>
      </c>
      <c r="H363" t="s">
        <v>225</v>
      </c>
      <c r="I363" t="s">
        <v>225</v>
      </c>
      <c r="J363" t="s">
        <v>225</v>
      </c>
      <c r="K363">
        <v>2</v>
      </c>
      <c r="L363">
        <v>2</v>
      </c>
    </row>
    <row r="364" spans="1:12">
      <c r="A364" t="s">
        <v>151</v>
      </c>
      <c r="B364">
        <v>3</v>
      </c>
      <c r="C364">
        <v>3</v>
      </c>
      <c r="D364">
        <v>2</v>
      </c>
      <c r="E364">
        <v>3</v>
      </c>
      <c r="F364">
        <v>2</v>
      </c>
      <c r="G364">
        <v>3</v>
      </c>
      <c r="H364">
        <v>2</v>
      </c>
      <c r="I364">
        <v>7</v>
      </c>
      <c r="J364">
        <v>4</v>
      </c>
      <c r="K364">
        <v>5</v>
      </c>
      <c r="L364">
        <v>6</v>
      </c>
    </row>
    <row r="365" spans="1:12">
      <c r="A365" t="s">
        <v>156</v>
      </c>
      <c r="B365">
        <v>5</v>
      </c>
      <c r="C365">
        <v>5</v>
      </c>
      <c r="D365">
        <v>6</v>
      </c>
      <c r="E365">
        <v>6</v>
      </c>
      <c r="F365">
        <v>6</v>
      </c>
      <c r="G365">
        <v>6</v>
      </c>
      <c r="H365">
        <v>6</v>
      </c>
      <c r="I365">
        <v>6</v>
      </c>
      <c r="J365">
        <v>6</v>
      </c>
      <c r="K365">
        <v>6</v>
      </c>
      <c r="L365">
        <v>7</v>
      </c>
    </row>
    <row r="366" spans="1:12">
      <c r="A366" t="s">
        <v>158</v>
      </c>
      <c r="B366">
        <v>6</v>
      </c>
      <c r="C366">
        <v>8</v>
      </c>
      <c r="D366">
        <v>7</v>
      </c>
      <c r="E366">
        <v>7</v>
      </c>
      <c r="F366">
        <v>7</v>
      </c>
      <c r="G366">
        <v>8</v>
      </c>
      <c r="H366">
        <v>8</v>
      </c>
      <c r="I366">
        <v>7</v>
      </c>
      <c r="J366">
        <v>7</v>
      </c>
      <c r="K366">
        <v>6</v>
      </c>
      <c r="L366">
        <v>5</v>
      </c>
    </row>
    <row r="367" spans="1:12">
      <c r="A367" t="s">
        <v>160</v>
      </c>
      <c r="B367">
        <v>2</v>
      </c>
      <c r="C367">
        <v>2</v>
      </c>
      <c r="D367">
        <v>2</v>
      </c>
      <c r="E367">
        <v>2</v>
      </c>
      <c r="F367">
        <v>3</v>
      </c>
      <c r="G367">
        <v>3</v>
      </c>
      <c r="H367">
        <v>3</v>
      </c>
      <c r="I367">
        <v>3</v>
      </c>
      <c r="J367">
        <v>2</v>
      </c>
      <c r="K367">
        <v>2</v>
      </c>
      <c r="L367">
        <v>2</v>
      </c>
    </row>
    <row r="368" spans="1:12">
      <c r="A368" t="s">
        <v>163</v>
      </c>
      <c r="B368">
        <v>4</v>
      </c>
      <c r="C368">
        <v>5</v>
      </c>
      <c r="D368">
        <v>5</v>
      </c>
      <c r="E368">
        <v>5</v>
      </c>
      <c r="F368">
        <v>5</v>
      </c>
      <c r="G368">
        <v>6</v>
      </c>
      <c r="H368">
        <v>4</v>
      </c>
      <c r="I368">
        <v>4</v>
      </c>
      <c r="J368">
        <v>5</v>
      </c>
      <c r="K368">
        <v>5</v>
      </c>
      <c r="L368">
        <v>6</v>
      </c>
    </row>
    <row r="369" spans="1:12">
      <c r="A369" t="s">
        <v>167</v>
      </c>
      <c r="B369">
        <v>7</v>
      </c>
      <c r="C369">
        <v>7</v>
      </c>
      <c r="D369">
        <v>7</v>
      </c>
      <c r="E369">
        <v>7</v>
      </c>
      <c r="F369">
        <v>6</v>
      </c>
      <c r="G369">
        <v>7</v>
      </c>
      <c r="H369">
        <v>7</v>
      </c>
      <c r="I369">
        <v>7</v>
      </c>
      <c r="J369">
        <v>7</v>
      </c>
      <c r="K369">
        <v>6</v>
      </c>
      <c r="L369">
        <v>6</v>
      </c>
    </row>
    <row r="370" spans="1:12">
      <c r="A370" t="s">
        <v>168</v>
      </c>
      <c r="B370">
        <v>7</v>
      </c>
      <c r="C370">
        <v>7</v>
      </c>
      <c r="D370">
        <v>7</v>
      </c>
      <c r="E370">
        <v>6</v>
      </c>
      <c r="F370">
        <v>6</v>
      </c>
      <c r="G370">
        <v>7</v>
      </c>
      <c r="H370">
        <v>7</v>
      </c>
      <c r="I370">
        <v>7</v>
      </c>
      <c r="J370">
        <v>7</v>
      </c>
      <c r="K370">
        <v>8</v>
      </c>
      <c r="L370">
        <v>8</v>
      </c>
    </row>
    <row r="371" spans="1:12">
      <c r="A371" t="s">
        <v>169</v>
      </c>
      <c r="B371">
        <v>7</v>
      </c>
      <c r="C371">
        <v>7</v>
      </c>
      <c r="D371">
        <v>7</v>
      </c>
      <c r="E371">
        <v>7</v>
      </c>
      <c r="F371">
        <v>7</v>
      </c>
      <c r="G371">
        <v>7</v>
      </c>
      <c r="H371">
        <v>8</v>
      </c>
      <c r="I371">
        <v>8</v>
      </c>
      <c r="J371">
        <v>8</v>
      </c>
      <c r="K371">
        <v>8</v>
      </c>
      <c r="L371">
        <v>10</v>
      </c>
    </row>
    <row r="372" spans="1:12">
      <c r="A372" t="s">
        <v>170</v>
      </c>
      <c r="B372">
        <v>4</v>
      </c>
      <c r="C372">
        <v>4</v>
      </c>
      <c r="D372">
        <v>4</v>
      </c>
      <c r="E372">
        <v>4</v>
      </c>
      <c r="F372">
        <v>4</v>
      </c>
      <c r="G372">
        <v>5</v>
      </c>
      <c r="H372">
        <v>5</v>
      </c>
      <c r="I372">
        <v>5</v>
      </c>
      <c r="J372">
        <v>5</v>
      </c>
      <c r="K372">
        <v>5</v>
      </c>
      <c r="L372">
        <v>5</v>
      </c>
    </row>
    <row r="373" spans="1:12">
      <c r="A373" t="s">
        <v>172</v>
      </c>
      <c r="B373">
        <v>1</v>
      </c>
      <c r="C373">
        <v>1</v>
      </c>
      <c r="D373">
        <v>1</v>
      </c>
      <c r="E373">
        <v>1</v>
      </c>
      <c r="F373">
        <v>1</v>
      </c>
      <c r="G373">
        <v>2</v>
      </c>
      <c r="H373">
        <v>2</v>
      </c>
      <c r="I373">
        <v>2</v>
      </c>
      <c r="J373">
        <v>2</v>
      </c>
      <c r="K373">
        <v>2</v>
      </c>
      <c r="L373">
        <v>2</v>
      </c>
    </row>
    <row r="374" spans="1:12">
      <c r="A374" t="s">
        <v>173</v>
      </c>
      <c r="B374">
        <v>3</v>
      </c>
      <c r="C374">
        <v>3</v>
      </c>
      <c r="D374">
        <v>3</v>
      </c>
      <c r="E374">
        <v>3</v>
      </c>
      <c r="F374">
        <v>3</v>
      </c>
      <c r="G374">
        <v>3</v>
      </c>
      <c r="H374">
        <v>3</v>
      </c>
      <c r="I374">
        <v>3</v>
      </c>
      <c r="J374">
        <v>3</v>
      </c>
      <c r="K374">
        <v>4</v>
      </c>
      <c r="L374">
        <v>3</v>
      </c>
    </row>
    <row r="375" spans="1:12">
      <c r="A375" t="s">
        <v>175</v>
      </c>
      <c r="B375">
        <v>12</v>
      </c>
      <c r="C375">
        <v>12</v>
      </c>
      <c r="D375">
        <v>12</v>
      </c>
      <c r="E375">
        <v>12</v>
      </c>
      <c r="F375">
        <v>12</v>
      </c>
      <c r="G375">
        <v>12</v>
      </c>
      <c r="H375">
        <v>12</v>
      </c>
      <c r="I375">
        <v>12</v>
      </c>
      <c r="J375">
        <v>11</v>
      </c>
      <c r="K375">
        <v>12</v>
      </c>
      <c r="L375">
        <v>12</v>
      </c>
    </row>
    <row r="376" spans="1:12">
      <c r="A376" t="s">
        <v>177</v>
      </c>
      <c r="B376">
        <v>1</v>
      </c>
      <c r="C376">
        <v>1</v>
      </c>
      <c r="D376">
        <v>3</v>
      </c>
      <c r="E376">
        <v>3</v>
      </c>
      <c r="F376">
        <v>3</v>
      </c>
      <c r="G376">
        <v>3</v>
      </c>
      <c r="H376">
        <v>2</v>
      </c>
      <c r="I376">
        <v>4</v>
      </c>
      <c r="J376">
        <v>5</v>
      </c>
      <c r="K376">
        <v>5</v>
      </c>
      <c r="L376">
        <v>6</v>
      </c>
    </row>
    <row r="377" spans="1:12">
      <c r="A377" t="s">
        <v>181</v>
      </c>
      <c r="B377">
        <v>1</v>
      </c>
      <c r="C377">
        <v>1</v>
      </c>
      <c r="D377">
        <v>2</v>
      </c>
      <c r="E377">
        <v>2</v>
      </c>
      <c r="F377">
        <v>2</v>
      </c>
      <c r="G377">
        <v>3</v>
      </c>
      <c r="H377">
        <v>3</v>
      </c>
      <c r="I377">
        <v>2</v>
      </c>
      <c r="J377">
        <v>2</v>
      </c>
      <c r="K377">
        <v>3</v>
      </c>
      <c r="L377">
        <v>2</v>
      </c>
    </row>
    <row r="378" spans="1:12">
      <c r="A378" t="s">
        <v>183</v>
      </c>
      <c r="B378">
        <v>4</v>
      </c>
      <c r="C378">
        <v>4</v>
      </c>
      <c r="D378">
        <v>4</v>
      </c>
      <c r="E378">
        <v>4</v>
      </c>
      <c r="F378">
        <v>4</v>
      </c>
      <c r="G378">
        <v>4</v>
      </c>
      <c r="H378">
        <v>4</v>
      </c>
      <c r="I378">
        <v>5</v>
      </c>
      <c r="J378">
        <v>5</v>
      </c>
      <c r="K378">
        <v>6</v>
      </c>
      <c r="L378">
        <v>6</v>
      </c>
    </row>
    <row r="379" spans="1:12">
      <c r="A379" t="s">
        <v>185</v>
      </c>
      <c r="B379">
        <v>8</v>
      </c>
      <c r="C379">
        <v>7</v>
      </c>
      <c r="D379">
        <v>7</v>
      </c>
      <c r="E379">
        <v>7</v>
      </c>
      <c r="F379">
        <v>8</v>
      </c>
      <c r="G379">
        <v>9</v>
      </c>
      <c r="H379">
        <v>9</v>
      </c>
      <c r="I379">
        <v>9</v>
      </c>
      <c r="J379">
        <v>9</v>
      </c>
      <c r="K379">
        <v>10</v>
      </c>
      <c r="L379">
        <v>10</v>
      </c>
    </row>
    <row r="380" spans="1:12">
      <c r="A380" t="s">
        <v>186</v>
      </c>
      <c r="B380">
        <v>5</v>
      </c>
      <c r="C380">
        <v>5</v>
      </c>
      <c r="D380">
        <v>5</v>
      </c>
      <c r="E380">
        <v>5</v>
      </c>
      <c r="F380">
        <v>6</v>
      </c>
      <c r="G380">
        <v>7</v>
      </c>
      <c r="H380">
        <v>6</v>
      </c>
      <c r="I380">
        <v>6</v>
      </c>
      <c r="J380">
        <v>6</v>
      </c>
      <c r="K380">
        <v>6</v>
      </c>
      <c r="L380">
        <v>5</v>
      </c>
    </row>
    <row r="381" spans="1:12">
      <c r="A381" t="s">
        <v>187</v>
      </c>
      <c r="B381">
        <v>4</v>
      </c>
      <c r="C381">
        <v>3</v>
      </c>
      <c r="D381">
        <v>3</v>
      </c>
      <c r="E381">
        <v>3</v>
      </c>
      <c r="F381">
        <v>3</v>
      </c>
      <c r="G381">
        <v>3</v>
      </c>
      <c r="H381">
        <v>3</v>
      </c>
      <c r="I381">
        <v>4</v>
      </c>
      <c r="J381">
        <v>4</v>
      </c>
      <c r="K381">
        <v>4</v>
      </c>
      <c r="L381">
        <v>4</v>
      </c>
    </row>
    <row r="382" spans="1:12">
      <c r="A382" t="s">
        <v>189</v>
      </c>
      <c r="B382">
        <v>1</v>
      </c>
      <c r="C382">
        <v>1</v>
      </c>
      <c r="D382">
        <v>1</v>
      </c>
      <c r="E382">
        <v>1</v>
      </c>
      <c r="F382">
        <v>2</v>
      </c>
      <c r="G382">
        <v>2</v>
      </c>
      <c r="H382">
        <v>2</v>
      </c>
      <c r="I382">
        <v>2</v>
      </c>
      <c r="J382">
        <v>2</v>
      </c>
      <c r="K382">
        <v>2</v>
      </c>
      <c r="L382">
        <v>3</v>
      </c>
    </row>
    <row r="383" spans="1:12">
      <c r="A383" t="s">
        <v>192</v>
      </c>
      <c r="B383">
        <v>6</v>
      </c>
      <c r="C383">
        <v>6</v>
      </c>
      <c r="D383">
        <v>6</v>
      </c>
      <c r="E383">
        <v>7</v>
      </c>
      <c r="F383">
        <v>7</v>
      </c>
      <c r="G383">
        <v>7</v>
      </c>
      <c r="H383">
        <v>6</v>
      </c>
      <c r="I383">
        <v>6</v>
      </c>
      <c r="J383">
        <v>5</v>
      </c>
      <c r="K383">
        <v>5</v>
      </c>
      <c r="L383">
        <v>4</v>
      </c>
    </row>
    <row r="384" spans="1:12">
      <c r="A384" t="s">
        <v>194</v>
      </c>
      <c r="B384">
        <v>8</v>
      </c>
      <c r="C384">
        <v>8</v>
      </c>
      <c r="D384">
        <v>8</v>
      </c>
      <c r="E384">
        <v>8</v>
      </c>
      <c r="F384">
        <v>8</v>
      </c>
      <c r="G384">
        <v>9</v>
      </c>
      <c r="H384">
        <v>8</v>
      </c>
      <c r="I384">
        <v>8</v>
      </c>
      <c r="J384">
        <v>8</v>
      </c>
      <c r="K384">
        <v>8</v>
      </c>
      <c r="L384">
        <v>8</v>
      </c>
    </row>
    <row r="385" spans="1:12">
      <c r="A385" t="s">
        <v>199</v>
      </c>
      <c r="B385">
        <v>6</v>
      </c>
      <c r="C385">
        <v>6</v>
      </c>
      <c r="D385">
        <v>6</v>
      </c>
      <c r="E385">
        <v>6</v>
      </c>
      <c r="F385">
        <v>5</v>
      </c>
      <c r="G385">
        <v>5</v>
      </c>
      <c r="H385">
        <v>5</v>
      </c>
      <c r="I385">
        <v>5</v>
      </c>
      <c r="J385">
        <v>5</v>
      </c>
      <c r="K385">
        <v>5</v>
      </c>
      <c r="L385">
        <v>5</v>
      </c>
    </row>
    <row r="386" spans="1:12">
      <c r="A386" t="s">
        <v>200</v>
      </c>
      <c r="B386">
        <v>8</v>
      </c>
      <c r="C386">
        <v>8</v>
      </c>
      <c r="D386">
        <v>8</v>
      </c>
      <c r="E386">
        <v>8</v>
      </c>
      <c r="F386">
        <v>8</v>
      </c>
      <c r="G386">
        <v>9</v>
      </c>
      <c r="H386">
        <v>9</v>
      </c>
      <c r="I386">
        <v>9</v>
      </c>
      <c r="J386">
        <v>9</v>
      </c>
      <c r="K386">
        <v>10</v>
      </c>
      <c r="L386">
        <v>10</v>
      </c>
    </row>
    <row r="387" spans="1:12">
      <c r="A387" t="s">
        <v>201</v>
      </c>
      <c r="B387">
        <v>13</v>
      </c>
      <c r="C387">
        <v>13</v>
      </c>
      <c r="D387">
        <v>13</v>
      </c>
      <c r="E387">
        <v>13</v>
      </c>
      <c r="F387">
        <v>14</v>
      </c>
      <c r="G387">
        <v>14</v>
      </c>
      <c r="H387">
        <v>15</v>
      </c>
      <c r="I387">
        <v>14</v>
      </c>
      <c r="J387">
        <v>14</v>
      </c>
      <c r="K387">
        <v>14</v>
      </c>
      <c r="L387">
        <v>13</v>
      </c>
    </row>
    <row r="388" spans="1:12">
      <c r="A388" t="s">
        <v>203</v>
      </c>
      <c r="B388">
        <v>7</v>
      </c>
      <c r="C388">
        <v>7</v>
      </c>
      <c r="D388">
        <v>8</v>
      </c>
      <c r="E388">
        <v>8</v>
      </c>
      <c r="F388">
        <v>7</v>
      </c>
      <c r="G388">
        <v>8</v>
      </c>
      <c r="H388">
        <v>8</v>
      </c>
      <c r="I388">
        <v>8</v>
      </c>
      <c r="J388">
        <v>9</v>
      </c>
      <c r="K388">
        <v>9</v>
      </c>
      <c r="L388">
        <v>9</v>
      </c>
    </row>
    <row r="389" spans="1:12">
      <c r="A389" t="s">
        <v>207</v>
      </c>
      <c r="B389">
        <v>1</v>
      </c>
      <c r="C389">
        <v>1</v>
      </c>
      <c r="D389">
        <v>1</v>
      </c>
      <c r="E389" t="s">
        <v>225</v>
      </c>
      <c r="F389" t="s">
        <v>225</v>
      </c>
      <c r="G389" t="s">
        <v>225</v>
      </c>
      <c r="H389">
        <v>1</v>
      </c>
      <c r="I389">
        <v>1</v>
      </c>
      <c r="J389">
        <v>1</v>
      </c>
      <c r="K389">
        <v>2</v>
      </c>
      <c r="L389">
        <v>2</v>
      </c>
    </row>
    <row r="390" spans="1:12">
      <c r="A390" t="s">
        <v>208</v>
      </c>
      <c r="B390" t="s">
        <v>225</v>
      </c>
      <c r="C390" t="s">
        <v>225</v>
      </c>
      <c r="D390" t="s">
        <v>225</v>
      </c>
      <c r="E390" t="s">
        <v>225</v>
      </c>
      <c r="F390" t="s">
        <v>225</v>
      </c>
      <c r="G390" t="s">
        <v>225</v>
      </c>
      <c r="H390" t="s">
        <v>225</v>
      </c>
      <c r="I390" t="s">
        <v>225</v>
      </c>
      <c r="J390">
        <v>1</v>
      </c>
      <c r="K390">
        <v>1</v>
      </c>
      <c r="L390">
        <v>1</v>
      </c>
    </row>
    <row r="391" spans="1:12">
      <c r="A391" t="s">
        <v>211</v>
      </c>
      <c r="B391">
        <v>139</v>
      </c>
      <c r="C391">
        <v>141</v>
      </c>
      <c r="D391">
        <v>144</v>
      </c>
      <c r="E391">
        <v>144</v>
      </c>
      <c r="F391">
        <v>147</v>
      </c>
      <c r="G391">
        <v>160</v>
      </c>
      <c r="H391">
        <v>156</v>
      </c>
      <c r="I391">
        <v>162</v>
      </c>
      <c r="J391">
        <v>160</v>
      </c>
      <c r="K391">
        <v>169</v>
      </c>
      <c r="L391">
        <v>170</v>
      </c>
    </row>
    <row r="392" spans="1:12">
      <c r="A392" t="s">
        <v>215</v>
      </c>
    </row>
    <row r="393" spans="1:12">
      <c r="A393" t="s">
        <v>216</v>
      </c>
    </row>
    <row r="394" spans="1:12">
      <c r="A394" t="s">
        <v>217</v>
      </c>
    </row>
    <row r="395" spans="1:12">
      <c r="A395" t="s">
        <v>218</v>
      </c>
    </row>
    <row r="396" spans="1:12">
      <c r="A396" t="s">
        <v>219</v>
      </c>
    </row>
    <row r="397" spans="1:12">
      <c r="A397" t="s">
        <v>220</v>
      </c>
    </row>
    <row r="398" spans="1:12">
      <c r="A398" t="s">
        <v>221</v>
      </c>
    </row>
    <row r="399" spans="1:12">
      <c r="A399" t="s">
        <v>222</v>
      </c>
    </row>
    <row r="400" spans="1:12">
      <c r="A400" t="s">
        <v>219</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1C29-4557-574A-96A6-25F68979E515}">
  <dimension ref="A1:L808"/>
  <sheetViews>
    <sheetView zoomScale="160" zoomScaleNormal="160" workbookViewId="0">
      <selection activeCell="A729" sqref="A729:XFD808"/>
    </sheetView>
  </sheetViews>
  <sheetFormatPr baseColWidth="10" defaultColWidth="11.5" defaultRowHeight="15"/>
  <cols>
    <col min="1" max="1" width="30" bestFit="1" customWidth="1"/>
    <col min="2" max="2" width="5.1640625" bestFit="1" customWidth="1"/>
    <col min="3" max="3" width="5" bestFit="1" customWidth="1"/>
  </cols>
  <sheetData>
    <row r="1" spans="1:3">
      <c r="A1" t="s">
        <v>223</v>
      </c>
      <c r="B1" t="s">
        <v>0</v>
      </c>
      <c r="C1" t="s">
        <v>224</v>
      </c>
    </row>
    <row r="2" spans="1:3">
      <c r="A2" t="s">
        <v>146</v>
      </c>
      <c r="B2">
        <v>2015</v>
      </c>
      <c r="C2">
        <v>7</v>
      </c>
    </row>
    <row r="3" spans="1:3">
      <c r="A3" t="s">
        <v>146</v>
      </c>
      <c r="B3">
        <v>2016</v>
      </c>
      <c r="C3">
        <v>6</v>
      </c>
    </row>
    <row r="4" spans="1:3">
      <c r="A4" t="s">
        <v>146</v>
      </c>
      <c r="B4">
        <v>2017</v>
      </c>
      <c r="C4">
        <v>6</v>
      </c>
    </row>
    <row r="5" spans="1:3">
      <c r="A5" t="s">
        <v>146</v>
      </c>
      <c r="B5">
        <v>2018</v>
      </c>
      <c r="C5">
        <v>6</v>
      </c>
    </row>
    <row r="6" spans="1:3">
      <c r="A6" t="s">
        <v>146</v>
      </c>
      <c r="B6">
        <v>2019</v>
      </c>
      <c r="C6">
        <v>8</v>
      </c>
    </row>
    <row r="7" spans="1:3">
      <c r="A7" t="s">
        <v>146</v>
      </c>
      <c r="B7">
        <v>2020</v>
      </c>
      <c r="C7">
        <v>7</v>
      </c>
    </row>
    <row r="8" spans="1:3">
      <c r="A8" t="s">
        <v>146</v>
      </c>
      <c r="B8">
        <v>2021</v>
      </c>
      <c r="C8">
        <v>8</v>
      </c>
    </row>
    <row r="9" spans="1:3">
      <c r="A9" t="s">
        <v>146</v>
      </c>
      <c r="B9">
        <v>2022</v>
      </c>
      <c r="C9">
        <v>7</v>
      </c>
    </row>
    <row r="10" spans="1:3">
      <c r="A10" t="s">
        <v>146</v>
      </c>
      <c r="B10">
        <v>2023</v>
      </c>
      <c r="C10">
        <v>7</v>
      </c>
    </row>
    <row r="11" spans="1:3">
      <c r="A11" t="s">
        <v>146</v>
      </c>
      <c r="B11">
        <v>2024</v>
      </c>
      <c r="C11">
        <v>9</v>
      </c>
    </row>
    <row r="12" spans="1:3">
      <c r="A12" t="s">
        <v>146</v>
      </c>
      <c r="B12">
        <v>2025</v>
      </c>
      <c r="C12">
        <v>12</v>
      </c>
    </row>
    <row r="13" spans="1:3">
      <c r="A13" t="s">
        <v>147</v>
      </c>
      <c r="B13">
        <v>2015</v>
      </c>
      <c r="C13">
        <v>14</v>
      </c>
    </row>
    <row r="14" spans="1:3">
      <c r="A14" t="s">
        <v>147</v>
      </c>
      <c r="B14">
        <v>2016</v>
      </c>
      <c r="C14">
        <v>11</v>
      </c>
    </row>
    <row r="15" spans="1:3">
      <c r="A15" t="s">
        <v>147</v>
      </c>
      <c r="B15">
        <v>2017</v>
      </c>
      <c r="C15">
        <v>11</v>
      </c>
    </row>
    <row r="16" spans="1:3">
      <c r="A16" t="s">
        <v>147</v>
      </c>
      <c r="B16">
        <v>2018</v>
      </c>
      <c r="C16">
        <v>11</v>
      </c>
    </row>
    <row r="17" spans="1:3">
      <c r="A17" t="s">
        <v>147</v>
      </c>
      <c r="B17">
        <v>2019</v>
      </c>
      <c r="C17">
        <v>11</v>
      </c>
    </row>
    <row r="18" spans="1:3">
      <c r="A18" t="s">
        <v>147</v>
      </c>
      <c r="B18">
        <v>2020</v>
      </c>
      <c r="C18">
        <v>11</v>
      </c>
    </row>
    <row r="19" spans="1:3">
      <c r="A19" t="s">
        <v>147</v>
      </c>
      <c r="B19">
        <v>2021</v>
      </c>
      <c r="C19">
        <v>11</v>
      </c>
    </row>
    <row r="20" spans="1:3">
      <c r="A20" t="s">
        <v>147</v>
      </c>
      <c r="B20">
        <v>2022</v>
      </c>
      <c r="C20">
        <v>12</v>
      </c>
    </row>
    <row r="21" spans="1:3">
      <c r="A21" t="s">
        <v>147</v>
      </c>
      <c r="B21">
        <v>2023</v>
      </c>
      <c r="C21">
        <v>12</v>
      </c>
    </row>
    <row r="22" spans="1:3">
      <c r="A22" t="s">
        <v>147</v>
      </c>
      <c r="B22">
        <v>2024</v>
      </c>
      <c r="C22">
        <v>13</v>
      </c>
    </row>
    <row r="23" spans="1:3">
      <c r="A23" t="s">
        <v>147</v>
      </c>
      <c r="B23">
        <v>2025</v>
      </c>
      <c r="C23">
        <v>12</v>
      </c>
    </row>
    <row r="24" spans="1:3">
      <c r="A24" t="s">
        <v>148</v>
      </c>
      <c r="B24">
        <v>2015</v>
      </c>
      <c r="C24">
        <v>2</v>
      </c>
    </row>
    <row r="25" spans="1:3">
      <c r="A25" t="s">
        <v>148</v>
      </c>
      <c r="B25">
        <v>2016</v>
      </c>
      <c r="C25">
        <v>2</v>
      </c>
    </row>
    <row r="26" spans="1:3">
      <c r="A26" t="s">
        <v>148</v>
      </c>
      <c r="B26">
        <v>2017</v>
      </c>
      <c r="C26">
        <v>2</v>
      </c>
    </row>
    <row r="27" spans="1:3">
      <c r="A27" t="s">
        <v>148</v>
      </c>
      <c r="B27">
        <v>2018</v>
      </c>
      <c r="C27">
        <v>3</v>
      </c>
    </row>
    <row r="28" spans="1:3">
      <c r="A28" t="s">
        <v>148</v>
      </c>
      <c r="B28">
        <v>2019</v>
      </c>
      <c r="C28">
        <v>3</v>
      </c>
    </row>
    <row r="29" spans="1:3">
      <c r="A29" t="s">
        <v>148</v>
      </c>
      <c r="B29">
        <v>2020</v>
      </c>
      <c r="C29">
        <v>5</v>
      </c>
    </row>
    <row r="30" spans="1:3">
      <c r="A30" t="s">
        <v>148</v>
      </c>
      <c r="B30">
        <v>2021</v>
      </c>
      <c r="C30">
        <v>5</v>
      </c>
    </row>
    <row r="31" spans="1:3">
      <c r="A31" t="s">
        <v>148</v>
      </c>
      <c r="B31">
        <v>2022</v>
      </c>
      <c r="C31">
        <v>4</v>
      </c>
    </row>
    <row r="32" spans="1:3">
      <c r="A32" t="s">
        <v>148</v>
      </c>
      <c r="B32">
        <v>2023</v>
      </c>
      <c r="C32">
        <v>4</v>
      </c>
    </row>
    <row r="33" spans="1:3">
      <c r="A33" t="s">
        <v>148</v>
      </c>
      <c r="B33">
        <v>2024</v>
      </c>
      <c r="C33">
        <v>4</v>
      </c>
    </row>
    <row r="34" spans="1:3">
      <c r="A34" t="s">
        <v>148</v>
      </c>
      <c r="B34">
        <v>2025</v>
      </c>
      <c r="C34">
        <v>4</v>
      </c>
    </row>
    <row r="35" spans="1:3">
      <c r="A35" t="s">
        <v>149</v>
      </c>
      <c r="B35">
        <v>2015</v>
      </c>
      <c r="C35">
        <v>5</v>
      </c>
    </row>
    <row r="36" spans="1:3">
      <c r="A36" t="s">
        <v>149</v>
      </c>
      <c r="B36">
        <v>2016</v>
      </c>
      <c r="C36">
        <v>5</v>
      </c>
    </row>
    <row r="37" spans="1:3">
      <c r="A37" t="s">
        <v>149</v>
      </c>
      <c r="B37">
        <v>2017</v>
      </c>
      <c r="C37">
        <v>5</v>
      </c>
    </row>
    <row r="38" spans="1:3">
      <c r="A38" t="s">
        <v>149</v>
      </c>
      <c r="B38">
        <v>2018</v>
      </c>
      <c r="C38">
        <v>5</v>
      </c>
    </row>
    <row r="39" spans="1:3">
      <c r="A39" t="s">
        <v>149</v>
      </c>
      <c r="B39">
        <v>2019</v>
      </c>
      <c r="C39">
        <v>5</v>
      </c>
    </row>
    <row r="40" spans="1:3">
      <c r="A40" t="s">
        <v>149</v>
      </c>
      <c r="B40">
        <v>2020</v>
      </c>
      <c r="C40">
        <v>5</v>
      </c>
    </row>
    <row r="41" spans="1:3">
      <c r="A41" t="s">
        <v>149</v>
      </c>
      <c r="B41">
        <v>2021</v>
      </c>
      <c r="C41">
        <v>5</v>
      </c>
    </row>
    <row r="42" spans="1:3">
      <c r="A42" t="s">
        <v>149</v>
      </c>
      <c r="B42">
        <v>2022</v>
      </c>
      <c r="C42">
        <v>5</v>
      </c>
    </row>
    <row r="43" spans="1:3">
      <c r="A43" t="s">
        <v>149</v>
      </c>
      <c r="B43">
        <v>2023</v>
      </c>
      <c r="C43">
        <v>5</v>
      </c>
    </row>
    <row r="44" spans="1:3">
      <c r="A44" t="s">
        <v>149</v>
      </c>
      <c r="B44">
        <v>2024</v>
      </c>
      <c r="C44">
        <v>5</v>
      </c>
    </row>
    <row r="45" spans="1:3">
      <c r="A45" t="s">
        <v>149</v>
      </c>
      <c r="B45">
        <v>2025</v>
      </c>
      <c r="C45">
        <v>4</v>
      </c>
    </row>
    <row r="46" spans="1:3">
      <c r="A46" t="s">
        <v>150</v>
      </c>
      <c r="B46">
        <v>2015</v>
      </c>
      <c r="C46">
        <v>11</v>
      </c>
    </row>
    <row r="47" spans="1:3">
      <c r="A47" t="s">
        <v>150</v>
      </c>
      <c r="B47">
        <v>2016</v>
      </c>
      <c r="C47">
        <v>11</v>
      </c>
    </row>
    <row r="48" spans="1:3">
      <c r="A48" t="s">
        <v>150</v>
      </c>
      <c r="B48">
        <v>2017</v>
      </c>
      <c r="C48">
        <v>11</v>
      </c>
    </row>
    <row r="49" spans="1:3">
      <c r="A49" t="s">
        <v>150</v>
      </c>
      <c r="B49">
        <v>2018</v>
      </c>
      <c r="C49">
        <v>11</v>
      </c>
    </row>
    <row r="50" spans="1:3">
      <c r="A50" t="s">
        <v>150</v>
      </c>
      <c r="B50">
        <v>2019</v>
      </c>
      <c r="C50">
        <v>12</v>
      </c>
    </row>
    <row r="51" spans="1:3">
      <c r="A51" t="s">
        <v>150</v>
      </c>
      <c r="B51">
        <v>2020</v>
      </c>
      <c r="C51">
        <v>14</v>
      </c>
    </row>
    <row r="52" spans="1:3">
      <c r="A52" t="s">
        <v>150</v>
      </c>
      <c r="B52">
        <v>2021</v>
      </c>
      <c r="C52">
        <v>15</v>
      </c>
    </row>
    <row r="53" spans="1:3">
      <c r="A53" t="s">
        <v>150</v>
      </c>
      <c r="B53">
        <v>2022</v>
      </c>
      <c r="C53">
        <v>15</v>
      </c>
    </row>
    <row r="54" spans="1:3">
      <c r="A54" t="s">
        <v>150</v>
      </c>
      <c r="B54">
        <v>2023</v>
      </c>
      <c r="C54">
        <v>13</v>
      </c>
    </row>
    <row r="55" spans="1:3">
      <c r="A55" t="s">
        <v>150</v>
      </c>
      <c r="B55">
        <v>2024</v>
      </c>
      <c r="C55">
        <v>14</v>
      </c>
    </row>
    <row r="56" spans="1:3">
      <c r="A56" t="s">
        <v>150</v>
      </c>
      <c r="B56">
        <v>2025</v>
      </c>
      <c r="C56">
        <v>15</v>
      </c>
    </row>
    <row r="57" spans="1:3">
      <c r="A57" t="s">
        <v>151</v>
      </c>
      <c r="B57">
        <v>2015</v>
      </c>
      <c r="C57">
        <v>2</v>
      </c>
    </row>
    <row r="58" spans="1:3">
      <c r="A58" t="s">
        <v>151</v>
      </c>
      <c r="B58">
        <v>2016</v>
      </c>
      <c r="C58">
        <v>2</v>
      </c>
    </row>
    <row r="59" spans="1:3">
      <c r="A59" t="s">
        <v>151</v>
      </c>
      <c r="B59">
        <v>2017</v>
      </c>
      <c r="C59">
        <v>2</v>
      </c>
    </row>
    <row r="60" spans="1:3">
      <c r="A60" t="s">
        <v>151</v>
      </c>
      <c r="B60">
        <v>2018</v>
      </c>
      <c r="C60">
        <v>2</v>
      </c>
    </row>
    <row r="61" spans="1:3">
      <c r="A61" t="s">
        <v>151</v>
      </c>
      <c r="B61">
        <v>2019</v>
      </c>
      <c r="C61">
        <v>3</v>
      </c>
    </row>
    <row r="62" spans="1:3">
      <c r="A62" t="s">
        <v>151</v>
      </c>
      <c r="B62">
        <v>2020</v>
      </c>
      <c r="C62">
        <v>4</v>
      </c>
    </row>
    <row r="63" spans="1:3">
      <c r="A63" t="s">
        <v>151</v>
      </c>
      <c r="B63">
        <v>2021</v>
      </c>
      <c r="C63">
        <v>4</v>
      </c>
    </row>
    <row r="64" spans="1:3">
      <c r="A64" t="s">
        <v>151</v>
      </c>
      <c r="B64">
        <v>2022</v>
      </c>
      <c r="C64">
        <v>4</v>
      </c>
    </row>
    <row r="65" spans="1:3">
      <c r="A65" t="s">
        <v>151</v>
      </c>
      <c r="B65">
        <v>2023</v>
      </c>
      <c r="C65">
        <v>4</v>
      </c>
    </row>
    <row r="66" spans="1:3">
      <c r="A66" t="s">
        <v>151</v>
      </c>
      <c r="B66">
        <v>2024</v>
      </c>
      <c r="C66">
        <v>5</v>
      </c>
    </row>
    <row r="67" spans="1:3">
      <c r="A67" t="s">
        <v>151</v>
      </c>
      <c r="B67">
        <v>2025</v>
      </c>
      <c r="C67">
        <v>6</v>
      </c>
    </row>
    <row r="68" spans="1:3">
      <c r="A68" t="s">
        <v>152</v>
      </c>
      <c r="B68">
        <v>2015</v>
      </c>
      <c r="C68">
        <v>8</v>
      </c>
    </row>
    <row r="69" spans="1:3">
      <c r="A69" t="s">
        <v>152</v>
      </c>
      <c r="B69">
        <v>2016</v>
      </c>
      <c r="C69">
        <v>8</v>
      </c>
    </row>
    <row r="70" spans="1:3">
      <c r="A70" t="s">
        <v>152</v>
      </c>
      <c r="B70">
        <v>2017</v>
      </c>
      <c r="C70">
        <v>9</v>
      </c>
    </row>
    <row r="71" spans="1:3">
      <c r="A71" t="s">
        <v>152</v>
      </c>
      <c r="B71">
        <v>2018</v>
      </c>
      <c r="C71">
        <v>9</v>
      </c>
    </row>
    <row r="72" spans="1:3">
      <c r="A72" t="s">
        <v>152</v>
      </c>
      <c r="B72">
        <v>2019</v>
      </c>
      <c r="C72">
        <v>9</v>
      </c>
    </row>
    <row r="73" spans="1:3">
      <c r="A73" t="s">
        <v>152</v>
      </c>
      <c r="B73">
        <v>2020</v>
      </c>
      <c r="C73">
        <v>17</v>
      </c>
    </row>
    <row r="74" spans="1:3">
      <c r="A74" t="s">
        <v>152</v>
      </c>
      <c r="B74">
        <v>2021</v>
      </c>
      <c r="C74">
        <v>15</v>
      </c>
    </row>
    <row r="75" spans="1:3">
      <c r="A75" t="s">
        <v>152</v>
      </c>
      <c r="B75">
        <v>2022</v>
      </c>
      <c r="C75">
        <v>15</v>
      </c>
    </row>
    <row r="76" spans="1:3">
      <c r="A76" t="s">
        <v>152</v>
      </c>
      <c r="B76">
        <v>2023</v>
      </c>
      <c r="C76">
        <v>14</v>
      </c>
    </row>
    <row r="77" spans="1:3">
      <c r="A77" t="s">
        <v>152</v>
      </c>
      <c r="B77">
        <v>2024</v>
      </c>
      <c r="C77">
        <v>15</v>
      </c>
    </row>
    <row r="78" spans="1:3">
      <c r="A78" t="s">
        <v>152</v>
      </c>
      <c r="B78">
        <v>2025</v>
      </c>
      <c r="C78">
        <v>17</v>
      </c>
    </row>
    <row r="79" spans="1:3">
      <c r="A79" t="s">
        <v>153</v>
      </c>
      <c r="B79">
        <v>2015</v>
      </c>
      <c r="C79">
        <v>14</v>
      </c>
    </row>
    <row r="80" spans="1:3">
      <c r="A80" t="s">
        <v>153</v>
      </c>
      <c r="B80">
        <v>2016</v>
      </c>
      <c r="C80">
        <v>14</v>
      </c>
    </row>
    <row r="81" spans="1:3">
      <c r="A81" t="s">
        <v>153</v>
      </c>
      <c r="B81">
        <v>2017</v>
      </c>
      <c r="C81">
        <v>14</v>
      </c>
    </row>
    <row r="82" spans="1:3">
      <c r="A82" t="s">
        <v>153</v>
      </c>
      <c r="B82">
        <v>2018</v>
      </c>
      <c r="C82">
        <v>15</v>
      </c>
    </row>
    <row r="83" spans="1:3">
      <c r="A83" t="s">
        <v>153</v>
      </c>
      <c r="B83">
        <v>2019</v>
      </c>
      <c r="C83">
        <v>16</v>
      </c>
    </row>
    <row r="84" spans="1:3">
      <c r="A84" t="s">
        <v>153</v>
      </c>
      <c r="B84">
        <v>2020</v>
      </c>
      <c r="C84">
        <v>18</v>
      </c>
    </row>
    <row r="85" spans="1:3">
      <c r="A85" t="s">
        <v>153</v>
      </c>
      <c r="B85">
        <v>2021</v>
      </c>
      <c r="C85">
        <v>17</v>
      </c>
    </row>
    <row r="86" spans="1:3">
      <c r="A86" t="s">
        <v>153</v>
      </c>
      <c r="B86">
        <v>2022</v>
      </c>
      <c r="C86">
        <v>16</v>
      </c>
    </row>
    <row r="87" spans="1:3">
      <c r="A87" t="s">
        <v>153</v>
      </c>
      <c r="B87">
        <v>2023</v>
      </c>
      <c r="C87">
        <v>17</v>
      </c>
    </row>
    <row r="88" spans="1:3">
      <c r="A88" t="s">
        <v>153</v>
      </c>
      <c r="B88">
        <v>2024</v>
      </c>
      <c r="C88">
        <v>17</v>
      </c>
    </row>
    <row r="89" spans="1:3">
      <c r="A89" t="s">
        <v>153</v>
      </c>
      <c r="B89">
        <v>2025</v>
      </c>
      <c r="C89">
        <v>16</v>
      </c>
    </row>
    <row r="90" spans="1:3">
      <c r="A90" t="s">
        <v>154</v>
      </c>
      <c r="B90">
        <v>2015</v>
      </c>
      <c r="C90">
        <v>25</v>
      </c>
    </row>
    <row r="91" spans="1:3">
      <c r="A91" t="s">
        <v>154</v>
      </c>
      <c r="B91">
        <v>2016</v>
      </c>
      <c r="C91">
        <v>25</v>
      </c>
    </row>
    <row r="92" spans="1:3">
      <c r="A92" t="s">
        <v>154</v>
      </c>
      <c r="B92">
        <v>2017</v>
      </c>
      <c r="C92">
        <v>24</v>
      </c>
    </row>
    <row r="93" spans="1:3">
      <c r="A93" t="s">
        <v>154</v>
      </c>
      <c r="B93">
        <v>2018</v>
      </c>
      <c r="C93">
        <v>27</v>
      </c>
    </row>
    <row r="94" spans="1:3">
      <c r="A94" t="s">
        <v>154</v>
      </c>
      <c r="B94">
        <v>2019</v>
      </c>
      <c r="C94">
        <v>26</v>
      </c>
    </row>
    <row r="95" spans="1:3">
      <c r="A95" t="s">
        <v>154</v>
      </c>
      <c r="B95">
        <v>2020</v>
      </c>
      <c r="C95">
        <v>32</v>
      </c>
    </row>
    <row r="96" spans="1:3">
      <c r="A96" t="s">
        <v>154</v>
      </c>
      <c r="B96">
        <v>2021</v>
      </c>
      <c r="C96">
        <v>30</v>
      </c>
    </row>
    <row r="97" spans="1:3">
      <c r="A97" t="s">
        <v>154</v>
      </c>
      <c r="B97">
        <v>2022</v>
      </c>
      <c r="C97">
        <v>31</v>
      </c>
    </row>
    <row r="98" spans="1:3">
      <c r="A98" t="s">
        <v>154</v>
      </c>
      <c r="B98">
        <v>2023</v>
      </c>
      <c r="C98">
        <v>30</v>
      </c>
    </row>
    <row r="99" spans="1:3">
      <c r="A99" t="s">
        <v>154</v>
      </c>
      <c r="B99">
        <v>2024</v>
      </c>
      <c r="C99">
        <v>30</v>
      </c>
    </row>
    <row r="100" spans="1:3">
      <c r="A100" t="s">
        <v>154</v>
      </c>
      <c r="B100">
        <v>2025</v>
      </c>
      <c r="C100">
        <v>32</v>
      </c>
    </row>
    <row r="101" spans="1:3">
      <c r="A101" t="s">
        <v>155</v>
      </c>
      <c r="B101">
        <v>2015</v>
      </c>
      <c r="C101">
        <v>10</v>
      </c>
    </row>
    <row r="102" spans="1:3">
      <c r="A102" t="s">
        <v>155</v>
      </c>
      <c r="B102">
        <v>2016</v>
      </c>
      <c r="C102">
        <v>10</v>
      </c>
    </row>
    <row r="103" spans="1:3">
      <c r="A103" t="s">
        <v>155</v>
      </c>
      <c r="B103">
        <v>2017</v>
      </c>
      <c r="C103">
        <v>8</v>
      </c>
    </row>
    <row r="104" spans="1:3">
      <c r="A104" t="s">
        <v>155</v>
      </c>
      <c r="B104">
        <v>2018</v>
      </c>
      <c r="C104">
        <v>8</v>
      </c>
    </row>
    <row r="105" spans="1:3">
      <c r="A105" t="s">
        <v>155</v>
      </c>
      <c r="B105">
        <v>2019</v>
      </c>
      <c r="C105">
        <v>10</v>
      </c>
    </row>
    <row r="106" spans="1:3">
      <c r="A106" t="s">
        <v>155</v>
      </c>
      <c r="B106">
        <v>2020</v>
      </c>
      <c r="C106">
        <v>11</v>
      </c>
    </row>
    <row r="107" spans="1:3">
      <c r="A107" t="s">
        <v>155</v>
      </c>
      <c r="B107">
        <v>2021</v>
      </c>
      <c r="C107">
        <v>12</v>
      </c>
    </row>
    <row r="108" spans="1:3">
      <c r="A108" t="s">
        <v>155</v>
      </c>
      <c r="B108">
        <v>2022</v>
      </c>
      <c r="C108">
        <v>12</v>
      </c>
    </row>
    <row r="109" spans="1:3">
      <c r="A109" t="s">
        <v>155</v>
      </c>
      <c r="B109">
        <v>2023</v>
      </c>
      <c r="C109">
        <v>12</v>
      </c>
    </row>
    <row r="110" spans="1:3">
      <c r="A110" t="s">
        <v>155</v>
      </c>
      <c r="B110">
        <v>2024</v>
      </c>
      <c r="C110">
        <v>12</v>
      </c>
    </row>
    <row r="111" spans="1:3">
      <c r="A111" t="s">
        <v>155</v>
      </c>
      <c r="B111">
        <v>2025</v>
      </c>
      <c r="C111">
        <v>13</v>
      </c>
    </row>
    <row r="112" spans="1:3">
      <c r="A112" t="s">
        <v>156</v>
      </c>
      <c r="B112">
        <v>2015</v>
      </c>
      <c r="C112">
        <v>8</v>
      </c>
    </row>
    <row r="113" spans="1:3">
      <c r="A113" t="s">
        <v>156</v>
      </c>
      <c r="B113">
        <v>2016</v>
      </c>
      <c r="C113">
        <v>8</v>
      </c>
    </row>
    <row r="114" spans="1:3">
      <c r="A114" t="s">
        <v>156</v>
      </c>
      <c r="B114">
        <v>2017</v>
      </c>
      <c r="C114">
        <v>8</v>
      </c>
    </row>
    <row r="115" spans="1:3">
      <c r="A115" t="s">
        <v>156</v>
      </c>
      <c r="B115">
        <v>2018</v>
      </c>
      <c r="C115">
        <v>8</v>
      </c>
    </row>
    <row r="116" spans="1:3">
      <c r="A116" t="s">
        <v>156</v>
      </c>
      <c r="B116">
        <v>2019</v>
      </c>
      <c r="C116">
        <v>8</v>
      </c>
    </row>
    <row r="117" spans="1:3">
      <c r="A117" t="s">
        <v>156</v>
      </c>
      <c r="B117">
        <v>2020</v>
      </c>
      <c r="C117">
        <v>10</v>
      </c>
    </row>
    <row r="118" spans="1:3">
      <c r="A118" t="s">
        <v>156</v>
      </c>
      <c r="B118">
        <v>2021</v>
      </c>
      <c r="C118">
        <v>11</v>
      </c>
    </row>
    <row r="119" spans="1:3">
      <c r="A119" t="s">
        <v>156</v>
      </c>
      <c r="B119">
        <v>2022</v>
      </c>
      <c r="C119">
        <v>10</v>
      </c>
    </row>
    <row r="120" spans="1:3">
      <c r="A120" t="s">
        <v>156</v>
      </c>
      <c r="B120">
        <v>2023</v>
      </c>
      <c r="C120">
        <v>10</v>
      </c>
    </row>
    <row r="121" spans="1:3">
      <c r="A121" t="s">
        <v>156</v>
      </c>
      <c r="B121">
        <v>2024</v>
      </c>
      <c r="C121">
        <v>10</v>
      </c>
    </row>
    <row r="122" spans="1:3">
      <c r="A122" t="s">
        <v>156</v>
      </c>
      <c r="B122">
        <v>2025</v>
      </c>
      <c r="C122">
        <v>11</v>
      </c>
    </row>
    <row r="123" spans="1:3">
      <c r="A123" t="s">
        <v>157</v>
      </c>
      <c r="B123">
        <v>2015</v>
      </c>
      <c r="C123">
        <v>10</v>
      </c>
    </row>
    <row r="124" spans="1:3">
      <c r="A124" t="s">
        <v>157</v>
      </c>
      <c r="B124">
        <v>2016</v>
      </c>
      <c r="C124">
        <v>9</v>
      </c>
    </row>
    <row r="125" spans="1:3">
      <c r="A125" t="s">
        <v>157</v>
      </c>
      <c r="B125">
        <v>2017</v>
      </c>
      <c r="C125">
        <v>11</v>
      </c>
    </row>
    <row r="126" spans="1:3">
      <c r="A126" t="s">
        <v>157</v>
      </c>
      <c r="B126">
        <v>2018</v>
      </c>
      <c r="C126">
        <v>11</v>
      </c>
    </row>
    <row r="127" spans="1:3">
      <c r="A127" t="s">
        <v>157</v>
      </c>
      <c r="B127">
        <v>2019</v>
      </c>
      <c r="C127">
        <v>11</v>
      </c>
    </row>
    <row r="128" spans="1:3">
      <c r="A128" t="s">
        <v>157</v>
      </c>
      <c r="B128">
        <v>2020</v>
      </c>
      <c r="C128">
        <v>13</v>
      </c>
    </row>
    <row r="129" spans="1:3">
      <c r="A129" t="s">
        <v>157</v>
      </c>
      <c r="B129">
        <v>2021</v>
      </c>
      <c r="C129">
        <v>13</v>
      </c>
    </row>
    <row r="130" spans="1:3">
      <c r="A130" t="s">
        <v>157</v>
      </c>
      <c r="B130">
        <v>2022</v>
      </c>
      <c r="C130">
        <v>13</v>
      </c>
    </row>
    <row r="131" spans="1:3">
      <c r="A131" t="s">
        <v>157</v>
      </c>
      <c r="B131">
        <v>2023</v>
      </c>
      <c r="C131">
        <v>12</v>
      </c>
    </row>
    <row r="132" spans="1:3">
      <c r="A132" t="s">
        <v>157</v>
      </c>
      <c r="B132">
        <v>2024</v>
      </c>
      <c r="C132">
        <v>12</v>
      </c>
    </row>
    <row r="133" spans="1:3">
      <c r="A133" t="s">
        <v>157</v>
      </c>
      <c r="B133">
        <v>2025</v>
      </c>
      <c r="C133">
        <v>14</v>
      </c>
    </row>
    <row r="134" spans="1:3">
      <c r="A134" t="s">
        <v>158</v>
      </c>
      <c r="B134">
        <v>2015</v>
      </c>
      <c r="C134">
        <v>7</v>
      </c>
    </row>
    <row r="135" spans="1:3">
      <c r="A135" t="s">
        <v>158</v>
      </c>
      <c r="B135">
        <v>2016</v>
      </c>
      <c r="C135">
        <v>7</v>
      </c>
    </row>
    <row r="136" spans="1:3">
      <c r="A136" t="s">
        <v>158</v>
      </c>
      <c r="B136">
        <v>2017</v>
      </c>
      <c r="C136">
        <v>6</v>
      </c>
    </row>
    <row r="137" spans="1:3">
      <c r="A137" t="s">
        <v>158</v>
      </c>
      <c r="B137">
        <v>2018</v>
      </c>
      <c r="C137">
        <v>7</v>
      </c>
    </row>
    <row r="138" spans="1:3">
      <c r="A138" t="s">
        <v>158</v>
      </c>
      <c r="B138">
        <v>2019</v>
      </c>
      <c r="C138">
        <v>7</v>
      </c>
    </row>
    <row r="139" spans="1:3">
      <c r="A139" t="s">
        <v>158</v>
      </c>
      <c r="B139">
        <v>2020</v>
      </c>
      <c r="C139">
        <v>8</v>
      </c>
    </row>
    <row r="140" spans="1:3">
      <c r="A140" t="s">
        <v>158</v>
      </c>
      <c r="B140">
        <v>2021</v>
      </c>
      <c r="C140">
        <v>8</v>
      </c>
    </row>
    <row r="141" spans="1:3">
      <c r="A141" t="s">
        <v>158</v>
      </c>
      <c r="B141">
        <v>2022</v>
      </c>
      <c r="C141">
        <v>8</v>
      </c>
    </row>
    <row r="142" spans="1:3">
      <c r="A142" t="s">
        <v>158</v>
      </c>
      <c r="B142">
        <v>2023</v>
      </c>
      <c r="C142">
        <v>8</v>
      </c>
    </row>
    <row r="143" spans="1:3">
      <c r="A143" t="s">
        <v>158</v>
      </c>
      <c r="B143">
        <v>2024</v>
      </c>
      <c r="C143">
        <v>9</v>
      </c>
    </row>
    <row r="144" spans="1:3">
      <c r="A144" t="s">
        <v>158</v>
      </c>
      <c r="B144">
        <v>2025</v>
      </c>
      <c r="C144">
        <v>8</v>
      </c>
    </row>
    <row r="145" spans="1:3">
      <c r="A145" t="s">
        <v>159</v>
      </c>
      <c r="B145">
        <v>2015</v>
      </c>
      <c r="C145">
        <v>4</v>
      </c>
    </row>
    <row r="146" spans="1:3">
      <c r="A146" t="s">
        <v>159</v>
      </c>
      <c r="B146">
        <v>2016</v>
      </c>
      <c r="C146">
        <v>4</v>
      </c>
    </row>
    <row r="147" spans="1:3">
      <c r="A147" t="s">
        <v>159</v>
      </c>
      <c r="B147">
        <v>2017</v>
      </c>
      <c r="C147">
        <v>4</v>
      </c>
    </row>
    <row r="148" spans="1:3">
      <c r="A148" t="s">
        <v>159</v>
      </c>
      <c r="B148">
        <v>2018</v>
      </c>
      <c r="C148">
        <v>5</v>
      </c>
    </row>
    <row r="149" spans="1:3">
      <c r="A149" t="s">
        <v>159</v>
      </c>
      <c r="B149">
        <v>2019</v>
      </c>
      <c r="C149">
        <v>5</v>
      </c>
    </row>
    <row r="150" spans="1:3">
      <c r="A150" t="s">
        <v>159</v>
      </c>
      <c r="B150">
        <v>2020</v>
      </c>
      <c r="C150">
        <v>6</v>
      </c>
    </row>
    <row r="151" spans="1:3">
      <c r="A151" t="s">
        <v>159</v>
      </c>
      <c r="B151">
        <v>2021</v>
      </c>
      <c r="C151">
        <v>6</v>
      </c>
    </row>
    <row r="152" spans="1:3">
      <c r="A152" t="s">
        <v>159</v>
      </c>
      <c r="B152">
        <v>2022</v>
      </c>
      <c r="C152">
        <v>6</v>
      </c>
    </row>
    <row r="153" spans="1:3">
      <c r="A153" t="s">
        <v>159</v>
      </c>
      <c r="B153">
        <v>2023</v>
      </c>
      <c r="C153">
        <v>4</v>
      </c>
    </row>
    <row r="154" spans="1:3">
      <c r="A154" t="s">
        <v>159</v>
      </c>
      <c r="B154">
        <v>2024</v>
      </c>
      <c r="C154">
        <v>4</v>
      </c>
    </row>
    <row r="155" spans="1:3">
      <c r="A155" t="s">
        <v>159</v>
      </c>
      <c r="B155">
        <v>2025</v>
      </c>
      <c r="C155">
        <v>4</v>
      </c>
    </row>
    <row r="156" spans="1:3">
      <c r="A156" t="s">
        <v>160</v>
      </c>
      <c r="B156">
        <v>2015</v>
      </c>
      <c r="C156">
        <v>4</v>
      </c>
    </row>
    <row r="157" spans="1:3">
      <c r="A157" t="s">
        <v>160</v>
      </c>
      <c r="B157">
        <v>2016</v>
      </c>
      <c r="C157">
        <v>4</v>
      </c>
    </row>
    <row r="158" spans="1:3">
      <c r="A158" t="s">
        <v>160</v>
      </c>
      <c r="B158">
        <v>2017</v>
      </c>
      <c r="C158">
        <v>5</v>
      </c>
    </row>
    <row r="159" spans="1:3">
      <c r="A159" t="s">
        <v>160</v>
      </c>
      <c r="B159">
        <v>2018</v>
      </c>
      <c r="C159">
        <v>6</v>
      </c>
    </row>
    <row r="160" spans="1:3">
      <c r="A160" t="s">
        <v>160</v>
      </c>
      <c r="B160">
        <v>2019</v>
      </c>
      <c r="C160">
        <v>7</v>
      </c>
    </row>
    <row r="161" spans="1:3">
      <c r="A161" t="s">
        <v>160</v>
      </c>
      <c r="B161">
        <v>2020</v>
      </c>
      <c r="C161">
        <v>10</v>
      </c>
    </row>
    <row r="162" spans="1:3">
      <c r="A162" t="s">
        <v>160</v>
      </c>
      <c r="B162">
        <v>2021</v>
      </c>
      <c r="C162">
        <v>10</v>
      </c>
    </row>
    <row r="163" spans="1:3">
      <c r="A163" t="s">
        <v>160</v>
      </c>
      <c r="B163">
        <v>2022</v>
      </c>
      <c r="C163">
        <v>8</v>
      </c>
    </row>
    <row r="164" spans="1:3">
      <c r="A164" t="s">
        <v>160</v>
      </c>
      <c r="B164">
        <v>2023</v>
      </c>
      <c r="C164">
        <v>8</v>
      </c>
    </row>
    <row r="165" spans="1:3">
      <c r="A165" t="s">
        <v>160</v>
      </c>
      <c r="B165">
        <v>2024</v>
      </c>
      <c r="C165">
        <v>9</v>
      </c>
    </row>
    <row r="166" spans="1:3">
      <c r="A166" t="s">
        <v>160</v>
      </c>
      <c r="B166">
        <v>2025</v>
      </c>
      <c r="C166">
        <v>9</v>
      </c>
    </row>
    <row r="167" spans="1:3">
      <c r="A167" t="s">
        <v>161</v>
      </c>
      <c r="B167">
        <v>2015</v>
      </c>
      <c r="C167">
        <v>26</v>
      </c>
    </row>
    <row r="168" spans="1:3">
      <c r="A168" t="s">
        <v>161</v>
      </c>
      <c r="B168">
        <v>2016</v>
      </c>
      <c r="C168">
        <v>26</v>
      </c>
    </row>
    <row r="169" spans="1:3">
      <c r="A169" t="s">
        <v>161</v>
      </c>
      <c r="B169">
        <v>2017</v>
      </c>
      <c r="C169">
        <v>26</v>
      </c>
    </row>
    <row r="170" spans="1:3">
      <c r="A170" t="s">
        <v>161</v>
      </c>
      <c r="B170">
        <v>2018</v>
      </c>
      <c r="C170">
        <v>25</v>
      </c>
    </row>
    <row r="171" spans="1:3">
      <c r="A171" t="s">
        <v>161</v>
      </c>
      <c r="B171">
        <v>2019</v>
      </c>
      <c r="C171">
        <v>25</v>
      </c>
    </row>
    <row r="172" spans="1:3">
      <c r="A172" t="s">
        <v>161</v>
      </c>
      <c r="B172">
        <v>2020</v>
      </c>
      <c r="C172">
        <v>33</v>
      </c>
    </row>
    <row r="173" spans="1:3">
      <c r="A173" t="s">
        <v>161</v>
      </c>
      <c r="B173">
        <v>2021</v>
      </c>
      <c r="C173">
        <v>33</v>
      </c>
    </row>
    <row r="174" spans="1:3">
      <c r="A174" t="s">
        <v>161</v>
      </c>
      <c r="B174">
        <v>2022</v>
      </c>
      <c r="C174">
        <v>33</v>
      </c>
    </row>
    <row r="175" spans="1:3">
      <c r="A175" t="s">
        <v>161</v>
      </c>
      <c r="B175">
        <v>2023</v>
      </c>
      <c r="C175">
        <v>29</v>
      </c>
    </row>
    <row r="176" spans="1:3">
      <c r="A176" t="s">
        <v>161</v>
      </c>
      <c r="B176">
        <v>2024</v>
      </c>
      <c r="C176">
        <v>30</v>
      </c>
    </row>
    <row r="177" spans="1:3">
      <c r="A177" t="s">
        <v>161</v>
      </c>
      <c r="B177">
        <v>2025</v>
      </c>
      <c r="C177">
        <v>29</v>
      </c>
    </row>
    <row r="178" spans="1:3">
      <c r="A178" t="s">
        <v>162</v>
      </c>
      <c r="B178">
        <v>2015</v>
      </c>
      <c r="C178">
        <v>11</v>
      </c>
    </row>
    <row r="179" spans="1:3">
      <c r="A179" t="s">
        <v>162</v>
      </c>
      <c r="B179">
        <v>2016</v>
      </c>
      <c r="C179">
        <v>13</v>
      </c>
    </row>
    <row r="180" spans="1:3">
      <c r="A180" t="s">
        <v>162</v>
      </c>
      <c r="B180">
        <v>2017</v>
      </c>
      <c r="C180">
        <v>12</v>
      </c>
    </row>
    <row r="181" spans="1:3">
      <c r="A181" t="s">
        <v>162</v>
      </c>
      <c r="B181">
        <v>2018</v>
      </c>
      <c r="C181">
        <v>11</v>
      </c>
    </row>
    <row r="182" spans="1:3">
      <c r="A182" t="s">
        <v>162</v>
      </c>
      <c r="B182">
        <v>2019</v>
      </c>
      <c r="C182">
        <v>12</v>
      </c>
    </row>
    <row r="183" spans="1:3">
      <c r="A183" t="s">
        <v>162</v>
      </c>
      <c r="B183">
        <v>2020</v>
      </c>
      <c r="C183">
        <v>15</v>
      </c>
    </row>
    <row r="184" spans="1:3">
      <c r="A184" t="s">
        <v>162</v>
      </c>
      <c r="B184">
        <v>2021</v>
      </c>
      <c r="C184">
        <v>14</v>
      </c>
    </row>
    <row r="185" spans="1:3">
      <c r="A185" t="s">
        <v>162</v>
      </c>
      <c r="B185">
        <v>2022</v>
      </c>
      <c r="C185">
        <v>15</v>
      </c>
    </row>
    <row r="186" spans="1:3">
      <c r="A186" t="s">
        <v>162</v>
      </c>
      <c r="B186">
        <v>2023</v>
      </c>
      <c r="C186">
        <v>14</v>
      </c>
    </row>
    <row r="187" spans="1:3">
      <c r="A187" t="s">
        <v>162</v>
      </c>
      <c r="B187">
        <v>2024</v>
      </c>
      <c r="C187">
        <v>12</v>
      </c>
    </row>
    <row r="188" spans="1:3">
      <c r="A188" t="s">
        <v>162</v>
      </c>
      <c r="B188">
        <v>2025</v>
      </c>
      <c r="C188">
        <v>12</v>
      </c>
    </row>
    <row r="189" spans="1:3">
      <c r="A189" t="s">
        <v>163</v>
      </c>
      <c r="B189">
        <v>2015</v>
      </c>
      <c r="C189">
        <v>6</v>
      </c>
    </row>
    <row r="190" spans="1:3">
      <c r="A190" t="s">
        <v>163</v>
      </c>
      <c r="B190">
        <v>2016</v>
      </c>
      <c r="C190">
        <v>6</v>
      </c>
    </row>
    <row r="191" spans="1:3">
      <c r="A191" t="s">
        <v>163</v>
      </c>
      <c r="B191">
        <v>2017</v>
      </c>
      <c r="C191">
        <v>6</v>
      </c>
    </row>
    <row r="192" spans="1:3">
      <c r="A192" t="s">
        <v>163</v>
      </c>
      <c r="B192">
        <v>2018</v>
      </c>
      <c r="C192">
        <v>7</v>
      </c>
    </row>
    <row r="193" spans="1:3">
      <c r="A193" t="s">
        <v>163</v>
      </c>
      <c r="B193">
        <v>2019</v>
      </c>
      <c r="C193">
        <v>7</v>
      </c>
    </row>
    <row r="194" spans="1:3">
      <c r="A194" t="s">
        <v>163</v>
      </c>
      <c r="B194">
        <v>2020</v>
      </c>
      <c r="C194">
        <v>8</v>
      </c>
    </row>
    <row r="195" spans="1:3">
      <c r="A195" t="s">
        <v>163</v>
      </c>
      <c r="B195">
        <v>2021</v>
      </c>
      <c r="C195">
        <v>9</v>
      </c>
    </row>
    <row r="196" spans="1:3">
      <c r="A196" t="s">
        <v>163</v>
      </c>
      <c r="B196">
        <v>2022</v>
      </c>
      <c r="C196">
        <v>7</v>
      </c>
    </row>
    <row r="197" spans="1:3">
      <c r="A197" t="s">
        <v>163</v>
      </c>
      <c r="B197">
        <v>2023</v>
      </c>
      <c r="C197">
        <v>9</v>
      </c>
    </row>
    <row r="198" spans="1:3">
      <c r="A198" t="s">
        <v>163</v>
      </c>
      <c r="B198">
        <v>2024</v>
      </c>
      <c r="C198">
        <v>9</v>
      </c>
    </row>
    <row r="199" spans="1:3">
      <c r="A199" t="s">
        <v>163</v>
      </c>
      <c r="B199">
        <v>2025</v>
      </c>
      <c r="C199">
        <v>12</v>
      </c>
    </row>
    <row r="200" spans="1:3">
      <c r="A200" t="s">
        <v>164</v>
      </c>
      <c r="B200">
        <v>2015</v>
      </c>
      <c r="C200">
        <v>4</v>
      </c>
    </row>
    <row r="201" spans="1:3">
      <c r="A201" t="s">
        <v>164</v>
      </c>
      <c r="B201">
        <v>2016</v>
      </c>
      <c r="C201">
        <v>5</v>
      </c>
    </row>
    <row r="202" spans="1:3">
      <c r="A202" t="s">
        <v>164</v>
      </c>
      <c r="B202">
        <v>2017</v>
      </c>
      <c r="C202">
        <v>4</v>
      </c>
    </row>
    <row r="203" spans="1:3">
      <c r="A203" t="s">
        <v>164</v>
      </c>
      <c r="B203">
        <v>2018</v>
      </c>
      <c r="C203">
        <v>4</v>
      </c>
    </row>
    <row r="204" spans="1:3">
      <c r="A204" t="s">
        <v>164</v>
      </c>
      <c r="B204">
        <v>2019</v>
      </c>
      <c r="C204">
        <v>4</v>
      </c>
    </row>
    <row r="205" spans="1:3">
      <c r="A205" t="s">
        <v>164</v>
      </c>
      <c r="B205">
        <v>2020</v>
      </c>
      <c r="C205">
        <v>5</v>
      </c>
    </row>
    <row r="206" spans="1:3">
      <c r="A206" t="s">
        <v>164</v>
      </c>
      <c r="B206">
        <v>2021</v>
      </c>
      <c r="C206">
        <v>4</v>
      </c>
    </row>
    <row r="207" spans="1:3">
      <c r="A207" t="s">
        <v>164</v>
      </c>
      <c r="B207">
        <v>2022</v>
      </c>
      <c r="C207">
        <v>4</v>
      </c>
    </row>
    <row r="208" spans="1:3">
      <c r="A208" t="s">
        <v>164</v>
      </c>
      <c r="B208">
        <v>2023</v>
      </c>
      <c r="C208">
        <v>4</v>
      </c>
    </row>
    <row r="209" spans="1:3">
      <c r="A209" t="s">
        <v>164</v>
      </c>
      <c r="B209">
        <v>2024</v>
      </c>
      <c r="C209">
        <v>4</v>
      </c>
    </row>
    <row r="210" spans="1:3">
      <c r="A210" t="s">
        <v>164</v>
      </c>
      <c r="B210">
        <v>2025</v>
      </c>
      <c r="C210">
        <v>6</v>
      </c>
    </row>
    <row r="211" spans="1:3">
      <c r="A211" t="s">
        <v>165</v>
      </c>
      <c r="B211">
        <v>2015</v>
      </c>
      <c r="C211">
        <v>21</v>
      </c>
    </row>
    <row r="212" spans="1:3">
      <c r="A212" t="s">
        <v>165</v>
      </c>
      <c r="B212">
        <v>2016</v>
      </c>
      <c r="C212">
        <v>19</v>
      </c>
    </row>
    <row r="213" spans="1:3">
      <c r="A213" t="s">
        <v>165</v>
      </c>
      <c r="B213">
        <v>2017</v>
      </c>
      <c r="C213">
        <v>20</v>
      </c>
    </row>
    <row r="214" spans="1:3">
      <c r="A214" t="s">
        <v>165</v>
      </c>
      <c r="B214">
        <v>2018</v>
      </c>
      <c r="C214">
        <v>21</v>
      </c>
    </row>
    <row r="215" spans="1:3">
      <c r="A215" t="s">
        <v>165</v>
      </c>
      <c r="B215">
        <v>2019</v>
      </c>
      <c r="C215">
        <v>21</v>
      </c>
    </row>
    <row r="216" spans="1:3">
      <c r="A216" t="s">
        <v>165</v>
      </c>
      <c r="B216">
        <v>2020</v>
      </c>
      <c r="C216">
        <v>29</v>
      </c>
    </row>
    <row r="217" spans="1:3">
      <c r="A217" t="s">
        <v>165</v>
      </c>
      <c r="B217">
        <v>2021</v>
      </c>
      <c r="C217">
        <v>26</v>
      </c>
    </row>
    <row r="218" spans="1:3">
      <c r="A218" t="s">
        <v>165</v>
      </c>
      <c r="B218">
        <v>2022</v>
      </c>
      <c r="C218">
        <v>24</v>
      </c>
    </row>
    <row r="219" spans="1:3">
      <c r="A219" t="s">
        <v>165</v>
      </c>
      <c r="B219">
        <v>2023</v>
      </c>
      <c r="C219">
        <v>21</v>
      </c>
    </row>
    <row r="220" spans="1:3">
      <c r="A220" t="s">
        <v>165</v>
      </c>
      <c r="B220">
        <v>2024</v>
      </c>
      <c r="C220">
        <v>21</v>
      </c>
    </row>
    <row r="221" spans="1:3">
      <c r="A221" t="s">
        <v>165</v>
      </c>
      <c r="B221">
        <v>2025</v>
      </c>
      <c r="C221">
        <v>21</v>
      </c>
    </row>
    <row r="222" spans="1:3">
      <c r="A222" t="s">
        <v>166</v>
      </c>
      <c r="B222">
        <v>2015</v>
      </c>
      <c r="C222">
        <v>20</v>
      </c>
    </row>
    <row r="223" spans="1:3">
      <c r="A223" t="s">
        <v>166</v>
      </c>
      <c r="B223">
        <v>2016</v>
      </c>
      <c r="C223">
        <v>19</v>
      </c>
    </row>
    <row r="224" spans="1:3">
      <c r="A224" t="s">
        <v>166</v>
      </c>
      <c r="B224">
        <v>2017</v>
      </c>
      <c r="C224">
        <v>21</v>
      </c>
    </row>
    <row r="225" spans="1:3">
      <c r="A225" t="s">
        <v>166</v>
      </c>
      <c r="B225">
        <v>2018</v>
      </c>
      <c r="C225">
        <v>21</v>
      </c>
    </row>
    <row r="226" spans="1:3">
      <c r="A226" t="s">
        <v>166</v>
      </c>
      <c r="B226">
        <v>2019</v>
      </c>
      <c r="C226">
        <v>20</v>
      </c>
    </row>
    <row r="227" spans="1:3">
      <c r="A227" t="s">
        <v>166</v>
      </c>
      <c r="B227">
        <v>2020</v>
      </c>
      <c r="C227">
        <v>21</v>
      </c>
    </row>
    <row r="228" spans="1:3">
      <c r="A228" t="s">
        <v>166</v>
      </c>
      <c r="B228">
        <v>2021</v>
      </c>
      <c r="C228">
        <v>22</v>
      </c>
    </row>
    <row r="229" spans="1:3">
      <c r="A229" t="s">
        <v>166</v>
      </c>
      <c r="B229">
        <v>2022</v>
      </c>
      <c r="C229">
        <v>20</v>
      </c>
    </row>
    <row r="230" spans="1:3">
      <c r="A230" t="s">
        <v>166</v>
      </c>
      <c r="B230">
        <v>2023</v>
      </c>
      <c r="C230">
        <v>20</v>
      </c>
    </row>
    <row r="231" spans="1:3">
      <c r="A231" t="s">
        <v>166</v>
      </c>
      <c r="B231">
        <v>2024</v>
      </c>
      <c r="C231">
        <v>21</v>
      </c>
    </row>
    <row r="232" spans="1:3">
      <c r="A232" t="s">
        <v>166</v>
      </c>
      <c r="B232">
        <v>2025</v>
      </c>
      <c r="C232">
        <v>23</v>
      </c>
    </row>
    <row r="233" spans="1:3">
      <c r="A233" t="s">
        <v>167</v>
      </c>
      <c r="B233">
        <v>2015</v>
      </c>
      <c r="C233">
        <v>2</v>
      </c>
    </row>
    <row r="234" spans="1:3">
      <c r="A234" t="s">
        <v>167</v>
      </c>
      <c r="B234">
        <v>2016</v>
      </c>
      <c r="C234">
        <v>2</v>
      </c>
    </row>
    <row r="235" spans="1:3">
      <c r="A235" t="s">
        <v>167</v>
      </c>
      <c r="B235">
        <v>2017</v>
      </c>
      <c r="C235">
        <v>2</v>
      </c>
    </row>
    <row r="236" spans="1:3">
      <c r="A236" t="s">
        <v>167</v>
      </c>
      <c r="B236">
        <v>2018</v>
      </c>
      <c r="C236">
        <v>2</v>
      </c>
    </row>
    <row r="237" spans="1:3">
      <c r="A237" t="s">
        <v>167</v>
      </c>
      <c r="B237">
        <v>2019</v>
      </c>
      <c r="C237">
        <v>2</v>
      </c>
    </row>
    <row r="238" spans="1:3">
      <c r="A238" t="s">
        <v>167</v>
      </c>
      <c r="B238">
        <v>2020</v>
      </c>
      <c r="C238">
        <v>3</v>
      </c>
    </row>
    <row r="239" spans="1:3">
      <c r="A239" t="s">
        <v>167</v>
      </c>
      <c r="B239">
        <v>2021</v>
      </c>
      <c r="C239">
        <v>2</v>
      </c>
    </row>
    <row r="240" spans="1:3">
      <c r="A240" t="s">
        <v>167</v>
      </c>
      <c r="B240">
        <v>2022</v>
      </c>
      <c r="C240">
        <v>2</v>
      </c>
    </row>
    <row r="241" spans="1:3">
      <c r="A241" t="s">
        <v>167</v>
      </c>
      <c r="B241">
        <v>2023</v>
      </c>
      <c r="C241">
        <v>2</v>
      </c>
    </row>
    <row r="242" spans="1:3">
      <c r="A242" t="s">
        <v>167</v>
      </c>
      <c r="B242">
        <v>2024</v>
      </c>
      <c r="C242">
        <v>2</v>
      </c>
    </row>
    <row r="243" spans="1:3">
      <c r="A243" t="s">
        <v>167</v>
      </c>
      <c r="B243">
        <v>2025</v>
      </c>
      <c r="C243">
        <v>2</v>
      </c>
    </row>
    <row r="244" spans="1:3">
      <c r="A244" t="s">
        <v>168</v>
      </c>
      <c r="B244">
        <v>2015</v>
      </c>
      <c r="C244">
        <v>1</v>
      </c>
    </row>
    <row r="245" spans="1:3">
      <c r="A245" t="s">
        <v>168</v>
      </c>
      <c r="B245">
        <v>2016</v>
      </c>
      <c r="C245">
        <v>1</v>
      </c>
    </row>
    <row r="246" spans="1:3">
      <c r="A246" t="s">
        <v>168</v>
      </c>
      <c r="B246">
        <v>2017</v>
      </c>
      <c r="C246">
        <v>2</v>
      </c>
    </row>
    <row r="247" spans="1:3">
      <c r="A247" t="s">
        <v>168</v>
      </c>
      <c r="B247">
        <v>2018</v>
      </c>
      <c r="C247">
        <v>2</v>
      </c>
    </row>
    <row r="248" spans="1:3">
      <c r="A248" t="s">
        <v>168</v>
      </c>
      <c r="B248">
        <v>2019</v>
      </c>
      <c r="C248">
        <v>2</v>
      </c>
    </row>
    <row r="249" spans="1:3">
      <c r="A249" t="s">
        <v>168</v>
      </c>
      <c r="B249">
        <v>2020</v>
      </c>
      <c r="C249">
        <v>2</v>
      </c>
    </row>
    <row r="250" spans="1:3">
      <c r="A250" t="s">
        <v>168</v>
      </c>
      <c r="B250">
        <v>2021</v>
      </c>
      <c r="C250">
        <v>2</v>
      </c>
    </row>
    <row r="251" spans="1:3">
      <c r="A251" t="s">
        <v>168</v>
      </c>
      <c r="B251">
        <v>2022</v>
      </c>
      <c r="C251">
        <v>4</v>
      </c>
    </row>
    <row r="252" spans="1:3">
      <c r="A252" t="s">
        <v>168</v>
      </c>
      <c r="B252">
        <v>2023</v>
      </c>
      <c r="C252">
        <v>3</v>
      </c>
    </row>
    <row r="253" spans="1:3">
      <c r="A253" t="s">
        <v>168</v>
      </c>
      <c r="B253">
        <v>2024</v>
      </c>
      <c r="C253">
        <v>3</v>
      </c>
    </row>
    <row r="254" spans="1:3">
      <c r="A254" t="s">
        <v>168</v>
      </c>
      <c r="B254">
        <v>2025</v>
      </c>
      <c r="C254">
        <v>3</v>
      </c>
    </row>
    <row r="255" spans="1:3">
      <c r="A255" t="s">
        <v>169</v>
      </c>
      <c r="B255">
        <v>2015</v>
      </c>
      <c r="C255">
        <v>10</v>
      </c>
    </row>
    <row r="256" spans="1:3">
      <c r="A256" t="s">
        <v>169</v>
      </c>
      <c r="B256">
        <v>2016</v>
      </c>
      <c r="C256">
        <v>10</v>
      </c>
    </row>
    <row r="257" spans="1:3">
      <c r="A257" t="s">
        <v>169</v>
      </c>
      <c r="B257">
        <v>2017</v>
      </c>
      <c r="C257">
        <v>10</v>
      </c>
    </row>
    <row r="258" spans="1:3">
      <c r="A258" t="s">
        <v>169</v>
      </c>
      <c r="B258">
        <v>2018</v>
      </c>
      <c r="C258">
        <v>11</v>
      </c>
    </row>
    <row r="259" spans="1:3">
      <c r="A259" t="s">
        <v>169</v>
      </c>
      <c r="B259">
        <v>2019</v>
      </c>
      <c r="C259">
        <v>11</v>
      </c>
    </row>
    <row r="260" spans="1:3">
      <c r="A260" t="s">
        <v>169</v>
      </c>
      <c r="B260">
        <v>2020</v>
      </c>
      <c r="C260">
        <v>11</v>
      </c>
    </row>
    <row r="261" spans="1:3">
      <c r="A261" t="s">
        <v>169</v>
      </c>
      <c r="B261">
        <v>2021</v>
      </c>
      <c r="C261">
        <v>12</v>
      </c>
    </row>
    <row r="262" spans="1:3">
      <c r="A262" t="s">
        <v>169</v>
      </c>
      <c r="B262">
        <v>2022</v>
      </c>
      <c r="C262">
        <v>11</v>
      </c>
    </row>
    <row r="263" spans="1:3">
      <c r="A263" t="s">
        <v>169</v>
      </c>
      <c r="B263">
        <v>2023</v>
      </c>
      <c r="C263">
        <v>11</v>
      </c>
    </row>
    <row r="264" spans="1:3">
      <c r="A264" t="s">
        <v>169</v>
      </c>
      <c r="B264">
        <v>2024</v>
      </c>
      <c r="C264">
        <v>11</v>
      </c>
    </row>
    <row r="265" spans="1:3">
      <c r="A265" t="s">
        <v>169</v>
      </c>
      <c r="B265">
        <v>2025</v>
      </c>
      <c r="C265">
        <v>11</v>
      </c>
    </row>
    <row r="266" spans="1:3">
      <c r="A266" t="s">
        <v>170</v>
      </c>
      <c r="B266">
        <v>2015</v>
      </c>
      <c r="C266">
        <v>5</v>
      </c>
    </row>
    <row r="267" spans="1:3">
      <c r="A267" t="s">
        <v>170</v>
      </c>
      <c r="B267">
        <v>2016</v>
      </c>
      <c r="C267">
        <v>5</v>
      </c>
    </row>
    <row r="268" spans="1:3">
      <c r="A268" t="s">
        <v>170</v>
      </c>
      <c r="B268">
        <v>2017</v>
      </c>
      <c r="C268">
        <v>6</v>
      </c>
    </row>
    <row r="269" spans="1:3">
      <c r="A269" t="s">
        <v>170</v>
      </c>
      <c r="B269">
        <v>2018</v>
      </c>
      <c r="C269">
        <v>6</v>
      </c>
    </row>
    <row r="270" spans="1:3">
      <c r="A270" t="s">
        <v>170</v>
      </c>
      <c r="B270">
        <v>2019</v>
      </c>
      <c r="C270">
        <v>6</v>
      </c>
    </row>
    <row r="271" spans="1:3">
      <c r="A271" t="s">
        <v>170</v>
      </c>
      <c r="B271">
        <v>2020</v>
      </c>
      <c r="C271">
        <v>6</v>
      </c>
    </row>
    <row r="272" spans="1:3">
      <c r="A272" t="s">
        <v>170</v>
      </c>
      <c r="B272">
        <v>2021</v>
      </c>
      <c r="C272">
        <v>8</v>
      </c>
    </row>
    <row r="273" spans="1:3">
      <c r="A273" t="s">
        <v>170</v>
      </c>
      <c r="B273">
        <v>2022</v>
      </c>
      <c r="C273">
        <v>7</v>
      </c>
    </row>
    <row r="274" spans="1:3">
      <c r="A274" t="s">
        <v>170</v>
      </c>
      <c r="B274">
        <v>2023</v>
      </c>
      <c r="C274">
        <v>7</v>
      </c>
    </row>
    <row r="275" spans="1:3">
      <c r="A275" t="s">
        <v>170</v>
      </c>
      <c r="B275">
        <v>2024</v>
      </c>
      <c r="C275">
        <v>9</v>
      </c>
    </row>
    <row r="276" spans="1:3">
      <c r="A276" t="s">
        <v>170</v>
      </c>
      <c r="B276">
        <v>2025</v>
      </c>
      <c r="C276">
        <v>8</v>
      </c>
    </row>
    <row r="277" spans="1:3">
      <c r="A277" t="s">
        <v>171</v>
      </c>
      <c r="B277">
        <v>2015</v>
      </c>
      <c r="C277">
        <v>6</v>
      </c>
    </row>
    <row r="278" spans="1:3">
      <c r="A278" t="s">
        <v>171</v>
      </c>
      <c r="B278">
        <v>2016</v>
      </c>
      <c r="C278">
        <v>6</v>
      </c>
    </row>
    <row r="279" spans="1:3">
      <c r="A279" t="s">
        <v>171</v>
      </c>
      <c r="B279">
        <v>2017</v>
      </c>
      <c r="C279">
        <v>6</v>
      </c>
    </row>
    <row r="280" spans="1:3">
      <c r="A280" t="s">
        <v>171</v>
      </c>
      <c r="B280">
        <v>2018</v>
      </c>
      <c r="C280">
        <v>6</v>
      </c>
    </row>
    <row r="281" spans="1:3">
      <c r="A281" t="s">
        <v>171</v>
      </c>
      <c r="B281">
        <v>2019</v>
      </c>
      <c r="C281">
        <v>7</v>
      </c>
    </row>
    <row r="282" spans="1:3">
      <c r="A282" t="s">
        <v>171</v>
      </c>
      <c r="B282">
        <v>2020</v>
      </c>
      <c r="C282">
        <v>9</v>
      </c>
    </row>
    <row r="283" spans="1:3">
      <c r="A283" t="s">
        <v>171</v>
      </c>
      <c r="B283">
        <v>2021</v>
      </c>
      <c r="C283">
        <v>8</v>
      </c>
    </row>
    <row r="284" spans="1:3">
      <c r="A284" t="s">
        <v>171</v>
      </c>
      <c r="B284">
        <v>2022</v>
      </c>
      <c r="C284">
        <v>10</v>
      </c>
    </row>
    <row r="285" spans="1:3">
      <c r="A285" t="s">
        <v>171</v>
      </c>
      <c r="B285">
        <v>2023</v>
      </c>
      <c r="C285">
        <v>9</v>
      </c>
    </row>
    <row r="286" spans="1:3">
      <c r="A286" t="s">
        <v>171</v>
      </c>
      <c r="B286">
        <v>2024</v>
      </c>
      <c r="C286">
        <v>7</v>
      </c>
    </row>
    <row r="287" spans="1:3">
      <c r="A287" t="s">
        <v>171</v>
      </c>
      <c r="B287">
        <v>2025</v>
      </c>
      <c r="C287">
        <v>7</v>
      </c>
    </row>
    <row r="288" spans="1:3">
      <c r="A288" t="s">
        <v>172</v>
      </c>
      <c r="B288">
        <v>2015</v>
      </c>
      <c r="C288">
        <v>3</v>
      </c>
    </row>
    <row r="289" spans="1:3">
      <c r="A289" t="s">
        <v>172</v>
      </c>
      <c r="B289">
        <v>2016</v>
      </c>
      <c r="C289">
        <v>3</v>
      </c>
    </row>
    <row r="290" spans="1:3">
      <c r="A290" t="s">
        <v>172</v>
      </c>
      <c r="B290">
        <v>2017</v>
      </c>
      <c r="C290">
        <v>3</v>
      </c>
    </row>
    <row r="291" spans="1:3">
      <c r="A291" t="s">
        <v>172</v>
      </c>
      <c r="B291">
        <v>2018</v>
      </c>
      <c r="C291">
        <v>3</v>
      </c>
    </row>
    <row r="292" spans="1:3">
      <c r="A292" t="s">
        <v>172</v>
      </c>
      <c r="B292">
        <v>2019</v>
      </c>
      <c r="C292">
        <v>3</v>
      </c>
    </row>
    <row r="293" spans="1:3">
      <c r="A293" t="s">
        <v>172</v>
      </c>
      <c r="B293">
        <v>2020</v>
      </c>
      <c r="C293">
        <v>3</v>
      </c>
    </row>
    <row r="294" spans="1:3">
      <c r="A294" t="s">
        <v>172</v>
      </c>
      <c r="B294">
        <v>2021</v>
      </c>
      <c r="C294">
        <v>3</v>
      </c>
    </row>
    <row r="295" spans="1:3">
      <c r="A295" t="s">
        <v>172</v>
      </c>
      <c r="B295">
        <v>2022</v>
      </c>
      <c r="C295">
        <v>3</v>
      </c>
    </row>
    <row r="296" spans="1:3">
      <c r="A296" t="s">
        <v>172</v>
      </c>
      <c r="B296">
        <v>2023</v>
      </c>
      <c r="C296">
        <v>4</v>
      </c>
    </row>
    <row r="297" spans="1:3">
      <c r="A297" t="s">
        <v>172</v>
      </c>
      <c r="B297">
        <v>2024</v>
      </c>
      <c r="C297">
        <v>4</v>
      </c>
    </row>
    <row r="298" spans="1:3">
      <c r="A298" t="s">
        <v>172</v>
      </c>
      <c r="B298">
        <v>2025</v>
      </c>
      <c r="C298">
        <v>4</v>
      </c>
    </row>
    <row r="299" spans="1:3">
      <c r="A299" t="s">
        <v>173</v>
      </c>
      <c r="B299">
        <v>2015</v>
      </c>
      <c r="C299">
        <v>5</v>
      </c>
    </row>
    <row r="300" spans="1:3">
      <c r="A300" t="s">
        <v>173</v>
      </c>
      <c r="B300">
        <v>2016</v>
      </c>
      <c r="C300">
        <v>5</v>
      </c>
    </row>
    <row r="301" spans="1:3">
      <c r="A301" t="s">
        <v>173</v>
      </c>
      <c r="B301">
        <v>2017</v>
      </c>
      <c r="C301">
        <v>5</v>
      </c>
    </row>
    <row r="302" spans="1:3">
      <c r="A302" t="s">
        <v>173</v>
      </c>
      <c r="B302">
        <v>2018</v>
      </c>
      <c r="C302">
        <v>6</v>
      </c>
    </row>
    <row r="303" spans="1:3">
      <c r="A303" t="s">
        <v>173</v>
      </c>
      <c r="B303">
        <v>2019</v>
      </c>
      <c r="C303">
        <v>5</v>
      </c>
    </row>
    <row r="304" spans="1:3">
      <c r="A304" t="s">
        <v>173</v>
      </c>
      <c r="B304">
        <v>2020</v>
      </c>
      <c r="C304">
        <v>8</v>
      </c>
    </row>
    <row r="305" spans="1:3">
      <c r="A305" t="s">
        <v>173</v>
      </c>
      <c r="B305">
        <v>2021</v>
      </c>
      <c r="C305">
        <v>8</v>
      </c>
    </row>
    <row r="306" spans="1:3">
      <c r="A306" t="s">
        <v>173</v>
      </c>
      <c r="B306">
        <v>2022</v>
      </c>
      <c r="C306">
        <v>6</v>
      </c>
    </row>
    <row r="307" spans="1:3">
      <c r="A307" t="s">
        <v>173</v>
      </c>
      <c r="B307">
        <v>2023</v>
      </c>
      <c r="C307">
        <v>6</v>
      </c>
    </row>
    <row r="308" spans="1:3">
      <c r="A308" t="s">
        <v>173</v>
      </c>
      <c r="B308">
        <v>2024</v>
      </c>
      <c r="C308">
        <v>6</v>
      </c>
    </row>
    <row r="309" spans="1:3">
      <c r="A309" t="s">
        <v>173</v>
      </c>
      <c r="B309">
        <v>2025</v>
      </c>
      <c r="C309">
        <v>6</v>
      </c>
    </row>
    <row r="310" spans="1:3">
      <c r="A310" t="s">
        <v>174</v>
      </c>
      <c r="B310">
        <v>2015</v>
      </c>
      <c r="C310">
        <v>2</v>
      </c>
    </row>
    <row r="311" spans="1:3">
      <c r="A311" t="s">
        <v>174</v>
      </c>
      <c r="B311">
        <v>2016</v>
      </c>
      <c r="C311">
        <v>2</v>
      </c>
    </row>
    <row r="312" spans="1:3">
      <c r="A312" t="s">
        <v>174</v>
      </c>
      <c r="B312">
        <v>2017</v>
      </c>
      <c r="C312">
        <v>1</v>
      </c>
    </row>
    <row r="313" spans="1:3">
      <c r="A313" t="s">
        <v>174</v>
      </c>
      <c r="B313">
        <v>2018</v>
      </c>
      <c r="C313">
        <v>1</v>
      </c>
    </row>
    <row r="314" spans="1:3">
      <c r="A314" t="s">
        <v>174</v>
      </c>
      <c r="B314">
        <v>2019</v>
      </c>
      <c r="C314">
        <v>1</v>
      </c>
    </row>
    <row r="315" spans="1:3">
      <c r="A315" t="s">
        <v>174</v>
      </c>
      <c r="B315">
        <v>2020</v>
      </c>
      <c r="C315">
        <v>3</v>
      </c>
    </row>
    <row r="316" spans="1:3">
      <c r="A316" t="s">
        <v>174</v>
      </c>
      <c r="B316">
        <v>2021</v>
      </c>
      <c r="C316">
        <v>2</v>
      </c>
    </row>
    <row r="317" spans="1:3">
      <c r="A317" t="s">
        <v>174</v>
      </c>
      <c r="B317">
        <v>2022</v>
      </c>
      <c r="C317">
        <v>3</v>
      </c>
    </row>
    <row r="318" spans="1:3">
      <c r="A318" t="s">
        <v>174</v>
      </c>
      <c r="B318">
        <v>2023</v>
      </c>
      <c r="C318">
        <v>2</v>
      </c>
    </row>
    <row r="319" spans="1:3">
      <c r="A319" t="s">
        <v>174</v>
      </c>
      <c r="B319">
        <v>2024</v>
      </c>
      <c r="C319">
        <v>3</v>
      </c>
    </row>
    <row r="320" spans="1:3">
      <c r="A320" t="s">
        <v>174</v>
      </c>
      <c r="B320">
        <v>2025</v>
      </c>
      <c r="C320">
        <v>3</v>
      </c>
    </row>
    <row r="321" spans="1:3">
      <c r="A321" t="s">
        <v>175</v>
      </c>
      <c r="B321">
        <v>2015</v>
      </c>
      <c r="C321">
        <v>7</v>
      </c>
    </row>
    <row r="322" spans="1:3">
      <c r="A322" t="s">
        <v>175</v>
      </c>
      <c r="B322">
        <v>2016</v>
      </c>
      <c r="C322">
        <v>7</v>
      </c>
    </row>
    <row r="323" spans="1:3">
      <c r="A323" t="s">
        <v>175</v>
      </c>
      <c r="B323">
        <v>2017</v>
      </c>
      <c r="C323">
        <v>7</v>
      </c>
    </row>
    <row r="324" spans="1:3">
      <c r="A324" t="s">
        <v>175</v>
      </c>
      <c r="B324">
        <v>2018</v>
      </c>
      <c r="C324">
        <v>7</v>
      </c>
    </row>
    <row r="325" spans="1:3">
      <c r="A325" t="s">
        <v>175</v>
      </c>
      <c r="B325">
        <v>2019</v>
      </c>
      <c r="C325">
        <v>7</v>
      </c>
    </row>
    <row r="326" spans="1:3">
      <c r="A326" t="s">
        <v>175</v>
      </c>
      <c r="B326">
        <v>2020</v>
      </c>
      <c r="C326">
        <v>7</v>
      </c>
    </row>
    <row r="327" spans="1:3">
      <c r="A327" t="s">
        <v>175</v>
      </c>
      <c r="B327">
        <v>2021</v>
      </c>
      <c r="C327">
        <v>8</v>
      </c>
    </row>
    <row r="328" spans="1:3">
      <c r="A328" t="s">
        <v>175</v>
      </c>
      <c r="B328">
        <v>2022</v>
      </c>
      <c r="C328">
        <v>8</v>
      </c>
    </row>
    <row r="329" spans="1:3">
      <c r="A329" t="s">
        <v>175</v>
      </c>
      <c r="B329">
        <v>2023</v>
      </c>
      <c r="C329">
        <v>8</v>
      </c>
    </row>
    <row r="330" spans="1:3">
      <c r="A330" t="s">
        <v>175</v>
      </c>
      <c r="B330">
        <v>2024</v>
      </c>
      <c r="C330">
        <v>8</v>
      </c>
    </row>
    <row r="331" spans="1:3">
      <c r="A331" t="s">
        <v>175</v>
      </c>
      <c r="B331">
        <v>2025</v>
      </c>
      <c r="C331">
        <v>8</v>
      </c>
    </row>
    <row r="332" spans="1:3">
      <c r="A332" t="s">
        <v>176</v>
      </c>
      <c r="B332">
        <v>2015</v>
      </c>
      <c r="C332">
        <v>4</v>
      </c>
    </row>
    <row r="333" spans="1:3">
      <c r="A333" t="s">
        <v>176</v>
      </c>
      <c r="B333">
        <v>2016</v>
      </c>
      <c r="C333">
        <v>4</v>
      </c>
    </row>
    <row r="334" spans="1:3">
      <c r="A334" t="s">
        <v>176</v>
      </c>
      <c r="B334">
        <v>2017</v>
      </c>
      <c r="C334">
        <v>3</v>
      </c>
    </row>
    <row r="335" spans="1:3">
      <c r="A335" t="s">
        <v>176</v>
      </c>
      <c r="B335">
        <v>2018</v>
      </c>
      <c r="C335">
        <v>3</v>
      </c>
    </row>
    <row r="336" spans="1:3">
      <c r="A336" t="s">
        <v>176</v>
      </c>
      <c r="B336">
        <v>2019</v>
      </c>
      <c r="C336">
        <v>3</v>
      </c>
    </row>
    <row r="337" spans="1:3">
      <c r="A337" t="s">
        <v>176</v>
      </c>
      <c r="B337">
        <v>2020</v>
      </c>
      <c r="C337">
        <v>4</v>
      </c>
    </row>
    <row r="338" spans="1:3">
      <c r="A338" t="s">
        <v>176</v>
      </c>
      <c r="B338">
        <v>2021</v>
      </c>
      <c r="C338">
        <v>4</v>
      </c>
    </row>
    <row r="339" spans="1:3">
      <c r="A339" t="s">
        <v>176</v>
      </c>
      <c r="B339">
        <v>2022</v>
      </c>
      <c r="C339">
        <v>4</v>
      </c>
    </row>
    <row r="340" spans="1:3">
      <c r="A340" t="s">
        <v>176</v>
      </c>
      <c r="B340">
        <v>2023</v>
      </c>
      <c r="C340">
        <v>4</v>
      </c>
    </row>
    <row r="341" spans="1:3">
      <c r="A341" t="s">
        <v>176</v>
      </c>
      <c r="B341">
        <v>2024</v>
      </c>
      <c r="C341">
        <v>4</v>
      </c>
    </row>
    <row r="342" spans="1:3">
      <c r="A342" t="s">
        <v>176</v>
      </c>
      <c r="B342">
        <v>2025</v>
      </c>
      <c r="C342">
        <v>4</v>
      </c>
    </row>
    <row r="343" spans="1:3">
      <c r="A343" t="s">
        <v>177</v>
      </c>
      <c r="B343">
        <v>2015</v>
      </c>
      <c r="C343">
        <v>4</v>
      </c>
    </row>
    <row r="344" spans="1:3">
      <c r="A344" t="s">
        <v>177</v>
      </c>
      <c r="B344">
        <v>2016</v>
      </c>
      <c r="C344">
        <v>4</v>
      </c>
    </row>
    <row r="345" spans="1:3">
      <c r="A345" t="s">
        <v>177</v>
      </c>
      <c r="B345">
        <v>2017</v>
      </c>
      <c r="C345">
        <v>4</v>
      </c>
    </row>
    <row r="346" spans="1:3">
      <c r="A346" t="s">
        <v>177</v>
      </c>
      <c r="B346">
        <v>2018</v>
      </c>
      <c r="C346">
        <v>4</v>
      </c>
    </row>
    <row r="347" spans="1:3">
      <c r="A347" t="s">
        <v>177</v>
      </c>
      <c r="B347">
        <v>2019</v>
      </c>
      <c r="C347">
        <v>4</v>
      </c>
    </row>
    <row r="348" spans="1:3">
      <c r="A348" t="s">
        <v>177</v>
      </c>
      <c r="B348">
        <v>2020</v>
      </c>
      <c r="C348">
        <v>5</v>
      </c>
    </row>
    <row r="349" spans="1:3">
      <c r="A349" t="s">
        <v>177</v>
      </c>
      <c r="B349">
        <v>2021</v>
      </c>
      <c r="C349">
        <v>5</v>
      </c>
    </row>
    <row r="350" spans="1:3">
      <c r="A350" t="s">
        <v>177</v>
      </c>
      <c r="B350">
        <v>2022</v>
      </c>
      <c r="C350">
        <v>5</v>
      </c>
    </row>
    <row r="351" spans="1:3">
      <c r="A351" t="s">
        <v>177</v>
      </c>
      <c r="B351">
        <v>2023</v>
      </c>
      <c r="C351">
        <v>5</v>
      </c>
    </row>
    <row r="352" spans="1:3">
      <c r="A352" t="s">
        <v>177</v>
      </c>
      <c r="B352">
        <v>2024</v>
      </c>
      <c r="C352">
        <v>5</v>
      </c>
    </row>
    <row r="353" spans="1:3">
      <c r="A353" t="s">
        <v>177</v>
      </c>
      <c r="B353">
        <v>2025</v>
      </c>
      <c r="C353">
        <v>5</v>
      </c>
    </row>
    <row r="354" spans="1:3">
      <c r="A354" t="s">
        <v>178</v>
      </c>
      <c r="B354">
        <v>2015</v>
      </c>
      <c r="C354">
        <v>1</v>
      </c>
    </row>
    <row r="355" spans="1:3">
      <c r="A355" t="s">
        <v>178</v>
      </c>
      <c r="B355">
        <v>2016</v>
      </c>
      <c r="C355">
        <v>1</v>
      </c>
    </row>
    <row r="356" spans="1:3">
      <c r="A356" t="s">
        <v>178</v>
      </c>
      <c r="B356">
        <v>2017</v>
      </c>
      <c r="C356">
        <v>1</v>
      </c>
    </row>
    <row r="357" spans="1:3">
      <c r="A357" t="s">
        <v>178</v>
      </c>
      <c r="B357">
        <v>2018</v>
      </c>
      <c r="C357">
        <v>1</v>
      </c>
    </row>
    <row r="358" spans="1:3">
      <c r="A358" t="s">
        <v>178</v>
      </c>
      <c r="B358">
        <v>2019</v>
      </c>
      <c r="C358">
        <v>1</v>
      </c>
    </row>
    <row r="359" spans="1:3">
      <c r="A359" t="s">
        <v>178</v>
      </c>
      <c r="B359">
        <v>2020</v>
      </c>
      <c r="C359">
        <v>1</v>
      </c>
    </row>
    <row r="360" spans="1:3">
      <c r="A360" t="s">
        <v>178</v>
      </c>
      <c r="B360">
        <v>2021</v>
      </c>
      <c r="C360">
        <v>2</v>
      </c>
    </row>
    <row r="361" spans="1:3">
      <c r="A361" t="s">
        <v>178</v>
      </c>
      <c r="B361">
        <v>2022</v>
      </c>
      <c r="C361">
        <v>2</v>
      </c>
    </row>
    <row r="362" spans="1:3">
      <c r="A362" t="s">
        <v>178</v>
      </c>
      <c r="B362">
        <v>2023</v>
      </c>
      <c r="C362">
        <v>2</v>
      </c>
    </row>
    <row r="363" spans="1:3">
      <c r="A363" t="s">
        <v>178</v>
      </c>
      <c r="B363">
        <v>2024</v>
      </c>
      <c r="C363">
        <v>2</v>
      </c>
    </row>
    <row r="364" spans="1:3">
      <c r="A364" t="s">
        <v>178</v>
      </c>
      <c r="B364">
        <v>2025</v>
      </c>
      <c r="C364">
        <v>2</v>
      </c>
    </row>
    <row r="365" spans="1:3">
      <c r="A365" t="s">
        <v>179</v>
      </c>
      <c r="B365">
        <v>2015</v>
      </c>
      <c r="C365">
        <v>37</v>
      </c>
    </row>
    <row r="366" spans="1:3">
      <c r="A366" t="s">
        <v>179</v>
      </c>
      <c r="B366">
        <v>2016</v>
      </c>
      <c r="C366">
        <v>38</v>
      </c>
    </row>
    <row r="367" spans="1:3">
      <c r="A367" t="s">
        <v>179</v>
      </c>
      <c r="B367">
        <v>2017</v>
      </c>
      <c r="C367">
        <v>37</v>
      </c>
    </row>
    <row r="368" spans="1:3">
      <c r="A368" t="s">
        <v>179</v>
      </c>
      <c r="B368">
        <v>2018</v>
      </c>
      <c r="C368">
        <v>36</v>
      </c>
    </row>
    <row r="369" spans="1:3">
      <c r="A369" t="s">
        <v>179</v>
      </c>
      <c r="B369">
        <v>2019</v>
      </c>
      <c r="C369">
        <v>34</v>
      </c>
    </row>
    <row r="370" spans="1:3">
      <c r="A370" t="s">
        <v>179</v>
      </c>
      <c r="B370">
        <v>2020</v>
      </c>
      <c r="C370">
        <v>38</v>
      </c>
    </row>
    <row r="371" spans="1:3">
      <c r="A371" t="s">
        <v>179</v>
      </c>
      <c r="B371">
        <v>2021</v>
      </c>
      <c r="C371">
        <v>34</v>
      </c>
    </row>
    <row r="372" spans="1:3">
      <c r="A372" t="s">
        <v>179</v>
      </c>
      <c r="B372">
        <v>2022</v>
      </c>
      <c r="C372">
        <v>35</v>
      </c>
    </row>
    <row r="373" spans="1:3">
      <c r="A373" t="s">
        <v>179</v>
      </c>
      <c r="B373">
        <v>2023</v>
      </c>
      <c r="C373">
        <v>32</v>
      </c>
    </row>
    <row r="374" spans="1:3">
      <c r="A374" t="s">
        <v>179</v>
      </c>
      <c r="B374">
        <v>2024</v>
      </c>
      <c r="C374">
        <v>32</v>
      </c>
    </row>
    <row r="375" spans="1:3">
      <c r="A375" t="s">
        <v>179</v>
      </c>
      <c r="B375">
        <v>2025</v>
      </c>
      <c r="C375">
        <v>33</v>
      </c>
    </row>
    <row r="376" spans="1:3">
      <c r="A376" t="s">
        <v>180</v>
      </c>
      <c r="B376">
        <v>2015</v>
      </c>
      <c r="C376">
        <v>5</v>
      </c>
    </row>
    <row r="377" spans="1:3">
      <c r="A377" t="s">
        <v>180</v>
      </c>
      <c r="B377">
        <v>2016</v>
      </c>
      <c r="C377">
        <v>6</v>
      </c>
    </row>
    <row r="378" spans="1:3">
      <c r="A378" t="s">
        <v>180</v>
      </c>
      <c r="B378">
        <v>2017</v>
      </c>
      <c r="C378">
        <v>6</v>
      </c>
    </row>
    <row r="379" spans="1:3">
      <c r="A379" t="s">
        <v>180</v>
      </c>
      <c r="B379">
        <v>2018</v>
      </c>
      <c r="C379">
        <v>7</v>
      </c>
    </row>
    <row r="380" spans="1:3">
      <c r="A380" t="s">
        <v>180</v>
      </c>
      <c r="B380">
        <v>2019</v>
      </c>
      <c r="C380">
        <v>6</v>
      </c>
    </row>
    <row r="381" spans="1:3">
      <c r="A381" t="s">
        <v>180</v>
      </c>
      <c r="B381">
        <v>2020</v>
      </c>
      <c r="C381">
        <v>6</v>
      </c>
    </row>
    <row r="382" spans="1:3">
      <c r="A382" t="s">
        <v>180</v>
      </c>
      <c r="B382">
        <v>2021</v>
      </c>
      <c r="C382">
        <v>4</v>
      </c>
    </row>
    <row r="383" spans="1:3">
      <c r="A383" t="s">
        <v>180</v>
      </c>
      <c r="B383">
        <v>2022</v>
      </c>
      <c r="C383">
        <v>4</v>
      </c>
    </row>
    <row r="384" spans="1:3">
      <c r="A384" t="s">
        <v>180</v>
      </c>
      <c r="B384">
        <v>2023</v>
      </c>
      <c r="C384">
        <v>4</v>
      </c>
    </row>
    <row r="385" spans="1:3">
      <c r="A385" t="s">
        <v>180</v>
      </c>
      <c r="B385">
        <v>2024</v>
      </c>
      <c r="C385">
        <v>5</v>
      </c>
    </row>
    <row r="386" spans="1:3">
      <c r="A386" t="s">
        <v>180</v>
      </c>
      <c r="B386">
        <v>2025</v>
      </c>
      <c r="C386">
        <v>5</v>
      </c>
    </row>
    <row r="387" spans="1:3">
      <c r="A387" t="s">
        <v>181</v>
      </c>
      <c r="B387">
        <v>2015</v>
      </c>
      <c r="C387">
        <v>1</v>
      </c>
    </row>
    <row r="388" spans="1:3">
      <c r="A388" t="s">
        <v>181</v>
      </c>
      <c r="B388">
        <v>2016</v>
      </c>
      <c r="C388">
        <v>1</v>
      </c>
    </row>
    <row r="389" spans="1:3">
      <c r="A389" t="s">
        <v>181</v>
      </c>
      <c r="B389">
        <v>2017</v>
      </c>
      <c r="C389">
        <v>1</v>
      </c>
    </row>
    <row r="390" spans="1:3">
      <c r="A390" t="s">
        <v>181</v>
      </c>
      <c r="B390">
        <v>2018</v>
      </c>
      <c r="C390" t="s">
        <v>225</v>
      </c>
    </row>
    <row r="391" spans="1:3">
      <c r="A391" t="s">
        <v>181</v>
      </c>
      <c r="B391">
        <v>2019</v>
      </c>
      <c r="C391" t="s">
        <v>225</v>
      </c>
    </row>
    <row r="392" spans="1:3">
      <c r="A392" t="s">
        <v>181</v>
      </c>
      <c r="B392">
        <v>2020</v>
      </c>
      <c r="C392">
        <v>1</v>
      </c>
    </row>
    <row r="393" spans="1:3">
      <c r="A393" t="s">
        <v>181</v>
      </c>
      <c r="B393">
        <v>2021</v>
      </c>
      <c r="C393">
        <v>2</v>
      </c>
    </row>
    <row r="394" spans="1:3">
      <c r="A394" t="s">
        <v>181</v>
      </c>
      <c r="B394">
        <v>2022</v>
      </c>
      <c r="C394">
        <v>2</v>
      </c>
    </row>
    <row r="395" spans="1:3">
      <c r="A395" t="s">
        <v>181</v>
      </c>
      <c r="B395">
        <v>2023</v>
      </c>
      <c r="C395">
        <v>3</v>
      </c>
    </row>
    <row r="396" spans="1:3">
      <c r="A396" t="s">
        <v>181</v>
      </c>
      <c r="B396">
        <v>2024</v>
      </c>
      <c r="C396">
        <v>3</v>
      </c>
    </row>
    <row r="397" spans="1:3">
      <c r="A397" t="s">
        <v>181</v>
      </c>
      <c r="B397">
        <v>2025</v>
      </c>
      <c r="C397">
        <v>1</v>
      </c>
    </row>
    <row r="398" spans="1:3">
      <c r="A398" t="s">
        <v>182</v>
      </c>
      <c r="B398">
        <v>2015</v>
      </c>
      <c r="C398">
        <v>7</v>
      </c>
    </row>
    <row r="399" spans="1:3">
      <c r="A399" t="s">
        <v>182</v>
      </c>
      <c r="B399">
        <v>2016</v>
      </c>
      <c r="C399">
        <v>7</v>
      </c>
    </row>
    <row r="400" spans="1:3">
      <c r="A400" t="s">
        <v>182</v>
      </c>
      <c r="B400">
        <v>2017</v>
      </c>
      <c r="C400">
        <v>7</v>
      </c>
    </row>
    <row r="401" spans="1:3">
      <c r="A401" t="s">
        <v>182</v>
      </c>
      <c r="B401">
        <v>2018</v>
      </c>
      <c r="C401">
        <v>7</v>
      </c>
    </row>
    <row r="402" spans="1:3">
      <c r="A402" t="s">
        <v>182</v>
      </c>
      <c r="B402">
        <v>2019</v>
      </c>
      <c r="C402">
        <v>7</v>
      </c>
    </row>
    <row r="403" spans="1:3">
      <c r="A403" t="s">
        <v>182</v>
      </c>
      <c r="B403">
        <v>2020</v>
      </c>
      <c r="C403">
        <v>10</v>
      </c>
    </row>
    <row r="404" spans="1:3">
      <c r="A404" t="s">
        <v>182</v>
      </c>
      <c r="B404">
        <v>2021</v>
      </c>
      <c r="C404">
        <v>9</v>
      </c>
    </row>
    <row r="405" spans="1:3">
      <c r="A405" t="s">
        <v>182</v>
      </c>
      <c r="B405">
        <v>2022</v>
      </c>
      <c r="C405">
        <v>7</v>
      </c>
    </row>
    <row r="406" spans="1:3">
      <c r="A406" t="s">
        <v>182</v>
      </c>
      <c r="B406">
        <v>2023</v>
      </c>
      <c r="C406">
        <v>7</v>
      </c>
    </row>
    <row r="407" spans="1:3">
      <c r="A407" t="s">
        <v>182</v>
      </c>
      <c r="B407">
        <v>2024</v>
      </c>
      <c r="C407">
        <v>7</v>
      </c>
    </row>
    <row r="408" spans="1:3">
      <c r="A408" t="s">
        <v>182</v>
      </c>
      <c r="B408">
        <v>2025</v>
      </c>
      <c r="C408">
        <v>7</v>
      </c>
    </row>
    <row r="409" spans="1:3">
      <c r="A409" t="s">
        <v>183</v>
      </c>
      <c r="B409">
        <v>2015</v>
      </c>
      <c r="C409">
        <v>3</v>
      </c>
    </row>
    <row r="410" spans="1:3">
      <c r="A410" t="s">
        <v>183</v>
      </c>
      <c r="B410">
        <v>2016</v>
      </c>
      <c r="C410">
        <v>3</v>
      </c>
    </row>
    <row r="411" spans="1:3">
      <c r="A411" t="s">
        <v>183</v>
      </c>
      <c r="B411">
        <v>2017</v>
      </c>
      <c r="C411">
        <v>3</v>
      </c>
    </row>
    <row r="412" spans="1:3">
      <c r="A412" t="s">
        <v>183</v>
      </c>
      <c r="B412">
        <v>2018</v>
      </c>
      <c r="C412">
        <v>3</v>
      </c>
    </row>
    <row r="413" spans="1:3">
      <c r="A413" t="s">
        <v>183</v>
      </c>
      <c r="B413">
        <v>2019</v>
      </c>
      <c r="C413">
        <v>3</v>
      </c>
    </row>
    <row r="414" spans="1:3">
      <c r="A414" t="s">
        <v>183</v>
      </c>
      <c r="B414">
        <v>2020</v>
      </c>
      <c r="C414">
        <v>3</v>
      </c>
    </row>
    <row r="415" spans="1:3">
      <c r="A415" t="s">
        <v>183</v>
      </c>
      <c r="B415">
        <v>2021</v>
      </c>
      <c r="C415">
        <v>3</v>
      </c>
    </row>
    <row r="416" spans="1:3">
      <c r="A416" t="s">
        <v>183</v>
      </c>
      <c r="B416">
        <v>2022</v>
      </c>
      <c r="C416">
        <v>3</v>
      </c>
    </row>
    <row r="417" spans="1:3">
      <c r="A417" t="s">
        <v>183</v>
      </c>
      <c r="B417">
        <v>2023</v>
      </c>
      <c r="C417">
        <v>3</v>
      </c>
    </row>
    <row r="418" spans="1:3">
      <c r="A418" t="s">
        <v>183</v>
      </c>
      <c r="B418">
        <v>2024</v>
      </c>
      <c r="C418">
        <v>3</v>
      </c>
    </row>
    <row r="419" spans="1:3">
      <c r="A419" t="s">
        <v>183</v>
      </c>
      <c r="B419">
        <v>2025</v>
      </c>
      <c r="C419">
        <v>3</v>
      </c>
    </row>
    <row r="420" spans="1:3">
      <c r="A420" t="s">
        <v>184</v>
      </c>
      <c r="B420">
        <v>2015</v>
      </c>
      <c r="C420">
        <v>5</v>
      </c>
    </row>
    <row r="421" spans="1:3">
      <c r="A421" t="s">
        <v>184</v>
      </c>
      <c r="B421">
        <v>2016</v>
      </c>
      <c r="C421">
        <v>5</v>
      </c>
    </row>
    <row r="422" spans="1:3">
      <c r="A422" t="s">
        <v>184</v>
      </c>
      <c r="B422">
        <v>2017</v>
      </c>
      <c r="C422">
        <v>5</v>
      </c>
    </row>
    <row r="423" spans="1:3">
      <c r="A423" t="s">
        <v>184</v>
      </c>
      <c r="B423">
        <v>2018</v>
      </c>
      <c r="C423">
        <v>5</v>
      </c>
    </row>
    <row r="424" spans="1:3">
      <c r="A424" t="s">
        <v>184</v>
      </c>
      <c r="B424">
        <v>2019</v>
      </c>
      <c r="C424">
        <v>5</v>
      </c>
    </row>
    <row r="425" spans="1:3">
      <c r="A425" t="s">
        <v>184</v>
      </c>
      <c r="B425">
        <v>2020</v>
      </c>
      <c r="C425">
        <v>6</v>
      </c>
    </row>
    <row r="426" spans="1:3">
      <c r="A426" t="s">
        <v>184</v>
      </c>
      <c r="B426">
        <v>2021</v>
      </c>
      <c r="C426">
        <v>5</v>
      </c>
    </row>
    <row r="427" spans="1:3">
      <c r="A427" t="s">
        <v>184</v>
      </c>
      <c r="B427">
        <v>2022</v>
      </c>
      <c r="C427">
        <v>5</v>
      </c>
    </row>
    <row r="428" spans="1:3">
      <c r="A428" t="s">
        <v>184</v>
      </c>
      <c r="B428">
        <v>2023</v>
      </c>
      <c r="C428">
        <v>5</v>
      </c>
    </row>
    <row r="429" spans="1:3">
      <c r="A429" t="s">
        <v>184</v>
      </c>
      <c r="B429">
        <v>2024</v>
      </c>
      <c r="C429">
        <v>5</v>
      </c>
    </row>
    <row r="430" spans="1:3">
      <c r="A430" t="s">
        <v>184</v>
      </c>
      <c r="B430">
        <v>2025</v>
      </c>
      <c r="C430">
        <v>5</v>
      </c>
    </row>
    <row r="431" spans="1:3">
      <c r="A431" t="s">
        <v>185</v>
      </c>
      <c r="B431">
        <v>2015</v>
      </c>
      <c r="C431">
        <v>2</v>
      </c>
    </row>
    <row r="432" spans="1:3">
      <c r="A432" t="s">
        <v>185</v>
      </c>
      <c r="B432">
        <v>2016</v>
      </c>
      <c r="C432">
        <v>2</v>
      </c>
    </row>
    <row r="433" spans="1:3">
      <c r="A433" t="s">
        <v>185</v>
      </c>
      <c r="B433">
        <v>2017</v>
      </c>
      <c r="C433">
        <v>2</v>
      </c>
    </row>
    <row r="434" spans="1:3">
      <c r="A434" t="s">
        <v>185</v>
      </c>
      <c r="B434">
        <v>2018</v>
      </c>
      <c r="C434">
        <v>2</v>
      </c>
    </row>
    <row r="435" spans="1:3">
      <c r="A435" t="s">
        <v>185</v>
      </c>
      <c r="B435">
        <v>2019</v>
      </c>
      <c r="C435">
        <v>2</v>
      </c>
    </row>
    <row r="436" spans="1:3">
      <c r="A436" t="s">
        <v>185</v>
      </c>
      <c r="B436">
        <v>2020</v>
      </c>
      <c r="C436">
        <v>2</v>
      </c>
    </row>
    <row r="437" spans="1:3">
      <c r="A437" t="s">
        <v>185</v>
      </c>
      <c r="B437">
        <v>2021</v>
      </c>
      <c r="C437">
        <v>2</v>
      </c>
    </row>
    <row r="438" spans="1:3">
      <c r="A438" t="s">
        <v>185</v>
      </c>
      <c r="B438">
        <v>2022</v>
      </c>
      <c r="C438">
        <v>2</v>
      </c>
    </row>
    <row r="439" spans="1:3">
      <c r="A439" t="s">
        <v>185</v>
      </c>
      <c r="B439">
        <v>2023</v>
      </c>
      <c r="C439">
        <v>2</v>
      </c>
    </row>
    <row r="440" spans="1:3">
      <c r="A440" t="s">
        <v>185</v>
      </c>
      <c r="B440">
        <v>2024</v>
      </c>
      <c r="C440">
        <v>2</v>
      </c>
    </row>
    <row r="441" spans="1:3">
      <c r="A441" t="s">
        <v>185</v>
      </c>
      <c r="B441">
        <v>2025</v>
      </c>
      <c r="C441">
        <v>2</v>
      </c>
    </row>
    <row r="442" spans="1:3">
      <c r="A442" t="s">
        <v>186</v>
      </c>
      <c r="B442">
        <v>2015</v>
      </c>
      <c r="C442">
        <v>2</v>
      </c>
    </row>
    <row r="443" spans="1:3">
      <c r="A443" t="s">
        <v>186</v>
      </c>
      <c r="B443">
        <v>2016</v>
      </c>
      <c r="C443">
        <v>2</v>
      </c>
    </row>
    <row r="444" spans="1:3">
      <c r="A444" t="s">
        <v>186</v>
      </c>
      <c r="B444">
        <v>2017</v>
      </c>
      <c r="C444">
        <v>2</v>
      </c>
    </row>
    <row r="445" spans="1:3">
      <c r="A445" t="s">
        <v>186</v>
      </c>
      <c r="B445">
        <v>2018</v>
      </c>
      <c r="C445">
        <v>2</v>
      </c>
    </row>
    <row r="446" spans="1:3">
      <c r="A446" t="s">
        <v>186</v>
      </c>
      <c r="B446">
        <v>2019</v>
      </c>
      <c r="C446">
        <v>2</v>
      </c>
    </row>
    <row r="447" spans="1:3">
      <c r="A447" t="s">
        <v>186</v>
      </c>
      <c r="B447">
        <v>2020</v>
      </c>
      <c r="C447">
        <v>3</v>
      </c>
    </row>
    <row r="448" spans="1:3">
      <c r="A448" t="s">
        <v>186</v>
      </c>
      <c r="B448">
        <v>2021</v>
      </c>
      <c r="C448">
        <v>3</v>
      </c>
    </row>
    <row r="449" spans="1:3">
      <c r="A449" t="s">
        <v>186</v>
      </c>
      <c r="B449">
        <v>2022</v>
      </c>
      <c r="C449">
        <v>2</v>
      </c>
    </row>
    <row r="450" spans="1:3">
      <c r="A450" t="s">
        <v>186</v>
      </c>
      <c r="B450">
        <v>2023</v>
      </c>
      <c r="C450">
        <v>2</v>
      </c>
    </row>
    <row r="451" spans="1:3">
      <c r="A451" t="s">
        <v>186</v>
      </c>
      <c r="B451">
        <v>2024</v>
      </c>
      <c r="C451">
        <v>2</v>
      </c>
    </row>
    <row r="452" spans="1:3">
      <c r="A452" t="s">
        <v>186</v>
      </c>
      <c r="B452">
        <v>2025</v>
      </c>
      <c r="C452">
        <v>2</v>
      </c>
    </row>
    <row r="453" spans="1:3">
      <c r="A453" t="s">
        <v>187</v>
      </c>
      <c r="B453">
        <v>2015</v>
      </c>
      <c r="C453">
        <v>4</v>
      </c>
    </row>
    <row r="454" spans="1:3">
      <c r="A454" t="s">
        <v>187</v>
      </c>
      <c r="B454">
        <v>2016</v>
      </c>
      <c r="C454">
        <v>4</v>
      </c>
    </row>
    <row r="455" spans="1:3">
      <c r="A455" t="s">
        <v>187</v>
      </c>
      <c r="B455">
        <v>2017</v>
      </c>
      <c r="C455">
        <v>4</v>
      </c>
    </row>
    <row r="456" spans="1:3">
      <c r="A456" t="s">
        <v>187</v>
      </c>
      <c r="B456">
        <v>2018</v>
      </c>
      <c r="C456">
        <v>4</v>
      </c>
    </row>
    <row r="457" spans="1:3">
      <c r="A457" t="s">
        <v>187</v>
      </c>
      <c r="B457">
        <v>2019</v>
      </c>
      <c r="C457">
        <v>4</v>
      </c>
    </row>
    <row r="458" spans="1:3">
      <c r="A458" t="s">
        <v>187</v>
      </c>
      <c r="B458">
        <v>2020</v>
      </c>
      <c r="C458">
        <v>4</v>
      </c>
    </row>
    <row r="459" spans="1:3">
      <c r="A459" t="s">
        <v>187</v>
      </c>
      <c r="B459">
        <v>2021</v>
      </c>
      <c r="C459">
        <v>4</v>
      </c>
    </row>
    <row r="460" spans="1:3">
      <c r="A460" t="s">
        <v>187</v>
      </c>
      <c r="B460">
        <v>2022</v>
      </c>
      <c r="C460">
        <v>4</v>
      </c>
    </row>
    <row r="461" spans="1:3">
      <c r="A461" t="s">
        <v>187</v>
      </c>
      <c r="B461">
        <v>2023</v>
      </c>
      <c r="C461">
        <v>4</v>
      </c>
    </row>
    <row r="462" spans="1:3">
      <c r="A462" t="s">
        <v>187</v>
      </c>
      <c r="B462">
        <v>2024</v>
      </c>
      <c r="C462">
        <v>4</v>
      </c>
    </row>
    <row r="463" spans="1:3">
      <c r="A463" t="s">
        <v>187</v>
      </c>
      <c r="B463">
        <v>2025</v>
      </c>
      <c r="C463">
        <v>5</v>
      </c>
    </row>
    <row r="464" spans="1:3">
      <c r="A464" t="s">
        <v>188</v>
      </c>
      <c r="B464">
        <v>2015</v>
      </c>
      <c r="C464">
        <v>2</v>
      </c>
    </row>
    <row r="465" spans="1:3">
      <c r="A465" t="s">
        <v>188</v>
      </c>
      <c r="B465">
        <v>2016</v>
      </c>
      <c r="C465">
        <v>2</v>
      </c>
    </row>
    <row r="466" spans="1:3">
      <c r="A466" t="s">
        <v>188</v>
      </c>
      <c r="B466">
        <v>2017</v>
      </c>
      <c r="C466">
        <v>2</v>
      </c>
    </row>
    <row r="467" spans="1:3">
      <c r="A467" t="s">
        <v>188</v>
      </c>
      <c r="B467">
        <v>2018</v>
      </c>
      <c r="C467">
        <v>2</v>
      </c>
    </row>
    <row r="468" spans="1:3">
      <c r="A468" t="s">
        <v>188</v>
      </c>
      <c r="B468">
        <v>2019</v>
      </c>
      <c r="C468">
        <v>2</v>
      </c>
    </row>
    <row r="469" spans="1:3">
      <c r="A469" t="s">
        <v>188</v>
      </c>
      <c r="B469">
        <v>2020</v>
      </c>
      <c r="C469">
        <v>3</v>
      </c>
    </row>
    <row r="470" spans="1:3">
      <c r="A470" t="s">
        <v>188</v>
      </c>
      <c r="B470">
        <v>2021</v>
      </c>
      <c r="C470">
        <v>2</v>
      </c>
    </row>
    <row r="471" spans="1:3">
      <c r="A471" t="s">
        <v>188</v>
      </c>
      <c r="B471">
        <v>2022</v>
      </c>
      <c r="C471">
        <v>2</v>
      </c>
    </row>
    <row r="472" spans="1:3">
      <c r="A472" t="s">
        <v>188</v>
      </c>
      <c r="B472">
        <v>2023</v>
      </c>
      <c r="C472">
        <v>2</v>
      </c>
    </row>
    <row r="473" spans="1:3">
      <c r="A473" t="s">
        <v>188</v>
      </c>
      <c r="B473">
        <v>2024</v>
      </c>
      <c r="C473">
        <v>2</v>
      </c>
    </row>
    <row r="474" spans="1:3">
      <c r="A474" t="s">
        <v>188</v>
      </c>
      <c r="B474">
        <v>2025</v>
      </c>
      <c r="C474">
        <v>2</v>
      </c>
    </row>
    <row r="475" spans="1:3">
      <c r="A475" t="s">
        <v>189</v>
      </c>
      <c r="B475">
        <v>2015</v>
      </c>
      <c r="C475">
        <v>2</v>
      </c>
    </row>
    <row r="476" spans="1:3">
      <c r="A476" t="s">
        <v>189</v>
      </c>
      <c r="B476">
        <v>2016</v>
      </c>
      <c r="C476">
        <v>2</v>
      </c>
    </row>
    <row r="477" spans="1:3">
      <c r="A477" t="s">
        <v>189</v>
      </c>
      <c r="B477">
        <v>2017</v>
      </c>
      <c r="C477">
        <v>2</v>
      </c>
    </row>
    <row r="478" spans="1:3">
      <c r="A478" t="s">
        <v>189</v>
      </c>
      <c r="B478">
        <v>2018</v>
      </c>
      <c r="C478">
        <v>3</v>
      </c>
    </row>
    <row r="479" spans="1:3">
      <c r="A479" t="s">
        <v>189</v>
      </c>
      <c r="B479">
        <v>2019</v>
      </c>
      <c r="C479">
        <v>3</v>
      </c>
    </row>
    <row r="480" spans="1:3">
      <c r="A480" t="s">
        <v>189</v>
      </c>
      <c r="B480">
        <v>2020</v>
      </c>
      <c r="C480">
        <v>3</v>
      </c>
    </row>
    <row r="481" spans="1:3">
      <c r="A481" t="s">
        <v>189</v>
      </c>
      <c r="B481">
        <v>2021</v>
      </c>
      <c r="C481">
        <v>3</v>
      </c>
    </row>
    <row r="482" spans="1:3">
      <c r="A482" t="s">
        <v>189</v>
      </c>
      <c r="B482">
        <v>2022</v>
      </c>
      <c r="C482">
        <v>4</v>
      </c>
    </row>
    <row r="483" spans="1:3">
      <c r="A483" t="s">
        <v>189</v>
      </c>
      <c r="B483">
        <v>2023</v>
      </c>
      <c r="C483">
        <v>4</v>
      </c>
    </row>
    <row r="484" spans="1:3">
      <c r="A484" t="s">
        <v>189</v>
      </c>
      <c r="B484">
        <v>2024</v>
      </c>
      <c r="C484">
        <v>4</v>
      </c>
    </row>
    <row r="485" spans="1:3">
      <c r="A485" t="s">
        <v>189</v>
      </c>
      <c r="B485">
        <v>2025</v>
      </c>
      <c r="C485">
        <v>4</v>
      </c>
    </row>
    <row r="486" spans="1:3">
      <c r="A486" t="s">
        <v>190</v>
      </c>
      <c r="B486">
        <v>2015</v>
      </c>
      <c r="C486">
        <v>9</v>
      </c>
    </row>
    <row r="487" spans="1:3">
      <c r="A487" t="s">
        <v>190</v>
      </c>
      <c r="B487">
        <v>2016</v>
      </c>
      <c r="C487">
        <v>9</v>
      </c>
    </row>
    <row r="488" spans="1:3">
      <c r="A488" t="s">
        <v>190</v>
      </c>
      <c r="B488">
        <v>2017</v>
      </c>
      <c r="C488">
        <v>9</v>
      </c>
    </row>
    <row r="489" spans="1:3">
      <c r="A489" t="s">
        <v>190</v>
      </c>
      <c r="B489">
        <v>2018</v>
      </c>
      <c r="C489">
        <v>9</v>
      </c>
    </row>
    <row r="490" spans="1:3">
      <c r="A490" t="s">
        <v>190</v>
      </c>
      <c r="B490">
        <v>2019</v>
      </c>
      <c r="C490">
        <v>8</v>
      </c>
    </row>
    <row r="491" spans="1:3">
      <c r="A491" t="s">
        <v>190</v>
      </c>
      <c r="B491">
        <v>2020</v>
      </c>
      <c r="C491">
        <v>9</v>
      </c>
    </row>
    <row r="492" spans="1:3">
      <c r="A492" t="s">
        <v>190</v>
      </c>
      <c r="B492">
        <v>2021</v>
      </c>
      <c r="C492">
        <v>10</v>
      </c>
    </row>
    <row r="493" spans="1:3">
      <c r="A493" t="s">
        <v>190</v>
      </c>
      <c r="B493">
        <v>2022</v>
      </c>
      <c r="C493">
        <v>11</v>
      </c>
    </row>
    <row r="494" spans="1:3">
      <c r="A494" t="s">
        <v>190</v>
      </c>
      <c r="B494">
        <v>2023</v>
      </c>
      <c r="C494">
        <v>11</v>
      </c>
    </row>
    <row r="495" spans="1:3">
      <c r="A495" t="s">
        <v>190</v>
      </c>
      <c r="B495">
        <v>2024</v>
      </c>
      <c r="C495">
        <v>11</v>
      </c>
    </row>
    <row r="496" spans="1:3">
      <c r="A496" t="s">
        <v>190</v>
      </c>
      <c r="B496">
        <v>2025</v>
      </c>
      <c r="C496">
        <v>11</v>
      </c>
    </row>
    <row r="497" spans="1:3">
      <c r="A497" t="s">
        <v>191</v>
      </c>
      <c r="B497">
        <v>2015</v>
      </c>
      <c r="C497">
        <v>2</v>
      </c>
    </row>
    <row r="498" spans="1:3">
      <c r="A498" t="s">
        <v>191</v>
      </c>
      <c r="B498">
        <v>2016</v>
      </c>
      <c r="C498">
        <v>2</v>
      </c>
    </row>
    <row r="499" spans="1:3">
      <c r="A499" t="s">
        <v>191</v>
      </c>
      <c r="B499">
        <v>2017</v>
      </c>
      <c r="C499">
        <v>2</v>
      </c>
    </row>
    <row r="500" spans="1:3">
      <c r="A500" t="s">
        <v>191</v>
      </c>
      <c r="B500">
        <v>2018</v>
      </c>
      <c r="C500">
        <v>2</v>
      </c>
    </row>
    <row r="501" spans="1:3">
      <c r="A501" t="s">
        <v>191</v>
      </c>
      <c r="B501">
        <v>2019</v>
      </c>
      <c r="C501">
        <v>2</v>
      </c>
    </row>
    <row r="502" spans="1:3">
      <c r="A502" t="s">
        <v>191</v>
      </c>
      <c r="B502">
        <v>2020</v>
      </c>
      <c r="C502">
        <v>4</v>
      </c>
    </row>
    <row r="503" spans="1:3">
      <c r="A503" t="s">
        <v>191</v>
      </c>
      <c r="B503">
        <v>2021</v>
      </c>
      <c r="C503">
        <v>3</v>
      </c>
    </row>
    <row r="504" spans="1:3">
      <c r="A504" t="s">
        <v>191</v>
      </c>
      <c r="B504">
        <v>2022</v>
      </c>
      <c r="C504">
        <v>2</v>
      </c>
    </row>
    <row r="505" spans="1:3">
      <c r="A505" t="s">
        <v>191</v>
      </c>
      <c r="B505">
        <v>2023</v>
      </c>
      <c r="C505">
        <v>2</v>
      </c>
    </row>
    <row r="506" spans="1:3">
      <c r="A506" t="s">
        <v>191</v>
      </c>
      <c r="B506">
        <v>2024</v>
      </c>
      <c r="C506">
        <v>2</v>
      </c>
    </row>
    <row r="507" spans="1:3">
      <c r="A507" t="s">
        <v>191</v>
      </c>
      <c r="B507">
        <v>2025</v>
      </c>
      <c r="C507">
        <v>2</v>
      </c>
    </row>
    <row r="508" spans="1:3">
      <c r="A508" t="s">
        <v>192</v>
      </c>
      <c r="B508">
        <v>2015</v>
      </c>
      <c r="C508">
        <v>6</v>
      </c>
    </row>
    <row r="509" spans="1:3">
      <c r="A509" t="s">
        <v>192</v>
      </c>
      <c r="B509">
        <v>2016</v>
      </c>
      <c r="C509">
        <v>6</v>
      </c>
    </row>
    <row r="510" spans="1:3">
      <c r="A510" t="s">
        <v>192</v>
      </c>
      <c r="B510">
        <v>2017</v>
      </c>
      <c r="C510">
        <v>6</v>
      </c>
    </row>
    <row r="511" spans="1:3">
      <c r="A511" t="s">
        <v>192</v>
      </c>
      <c r="B511">
        <v>2018</v>
      </c>
      <c r="C511">
        <v>7</v>
      </c>
    </row>
    <row r="512" spans="1:3">
      <c r="A512" t="s">
        <v>192</v>
      </c>
      <c r="B512">
        <v>2019</v>
      </c>
      <c r="C512">
        <v>7</v>
      </c>
    </row>
    <row r="513" spans="1:3">
      <c r="A513" t="s">
        <v>192</v>
      </c>
      <c r="B513">
        <v>2020</v>
      </c>
      <c r="C513">
        <v>7</v>
      </c>
    </row>
    <row r="514" spans="1:3">
      <c r="A514" t="s">
        <v>192</v>
      </c>
      <c r="B514">
        <v>2021</v>
      </c>
      <c r="C514">
        <v>6</v>
      </c>
    </row>
    <row r="515" spans="1:3">
      <c r="A515" t="s">
        <v>192</v>
      </c>
      <c r="B515">
        <v>2022</v>
      </c>
      <c r="C515">
        <v>6</v>
      </c>
    </row>
    <row r="516" spans="1:3">
      <c r="A516" t="s">
        <v>192</v>
      </c>
      <c r="B516">
        <v>2023</v>
      </c>
      <c r="C516">
        <v>5</v>
      </c>
    </row>
    <row r="517" spans="1:3">
      <c r="A517" t="s">
        <v>192</v>
      </c>
      <c r="B517">
        <v>2024</v>
      </c>
      <c r="C517">
        <v>5</v>
      </c>
    </row>
    <row r="518" spans="1:3">
      <c r="A518" t="s">
        <v>192</v>
      </c>
      <c r="B518">
        <v>2025</v>
      </c>
      <c r="C518">
        <v>5</v>
      </c>
    </row>
    <row r="519" spans="1:3">
      <c r="A519" t="s">
        <v>193</v>
      </c>
      <c r="B519">
        <v>2015</v>
      </c>
      <c r="C519">
        <v>5</v>
      </c>
    </row>
    <row r="520" spans="1:3">
      <c r="A520" t="s">
        <v>193</v>
      </c>
      <c r="B520">
        <v>2016</v>
      </c>
      <c r="C520">
        <v>5</v>
      </c>
    </row>
    <row r="521" spans="1:3">
      <c r="A521" t="s">
        <v>193</v>
      </c>
      <c r="B521">
        <v>2017</v>
      </c>
      <c r="C521">
        <v>5</v>
      </c>
    </row>
    <row r="522" spans="1:3">
      <c r="A522" t="s">
        <v>193</v>
      </c>
      <c r="B522">
        <v>2018</v>
      </c>
      <c r="C522">
        <v>5</v>
      </c>
    </row>
    <row r="523" spans="1:3">
      <c r="A523" t="s">
        <v>193</v>
      </c>
      <c r="B523">
        <v>2019</v>
      </c>
      <c r="C523">
        <v>5</v>
      </c>
    </row>
    <row r="524" spans="1:3">
      <c r="A524" t="s">
        <v>193</v>
      </c>
      <c r="B524">
        <v>2020</v>
      </c>
      <c r="C524">
        <v>7</v>
      </c>
    </row>
    <row r="525" spans="1:3">
      <c r="A525" t="s">
        <v>193</v>
      </c>
      <c r="B525">
        <v>2021</v>
      </c>
      <c r="C525">
        <v>7</v>
      </c>
    </row>
    <row r="526" spans="1:3">
      <c r="A526" t="s">
        <v>193</v>
      </c>
      <c r="B526">
        <v>2022</v>
      </c>
      <c r="C526">
        <v>5</v>
      </c>
    </row>
    <row r="527" spans="1:3">
      <c r="A527" t="s">
        <v>193</v>
      </c>
      <c r="B527">
        <v>2023</v>
      </c>
      <c r="C527">
        <v>5</v>
      </c>
    </row>
    <row r="528" spans="1:3">
      <c r="A528" t="s">
        <v>193</v>
      </c>
      <c r="B528">
        <v>2024</v>
      </c>
      <c r="C528">
        <v>5</v>
      </c>
    </row>
    <row r="529" spans="1:3">
      <c r="A529" t="s">
        <v>193</v>
      </c>
      <c r="B529">
        <v>2025</v>
      </c>
      <c r="C529">
        <v>5</v>
      </c>
    </row>
    <row r="530" spans="1:3">
      <c r="A530" t="s">
        <v>194</v>
      </c>
      <c r="B530">
        <v>2015</v>
      </c>
      <c r="C530">
        <v>5</v>
      </c>
    </row>
    <row r="531" spans="1:3">
      <c r="A531" t="s">
        <v>194</v>
      </c>
      <c r="B531">
        <v>2016</v>
      </c>
      <c r="C531">
        <v>5</v>
      </c>
    </row>
    <row r="532" spans="1:3">
      <c r="A532" t="s">
        <v>194</v>
      </c>
      <c r="B532">
        <v>2017</v>
      </c>
      <c r="C532">
        <v>4</v>
      </c>
    </row>
    <row r="533" spans="1:3">
      <c r="A533" t="s">
        <v>194</v>
      </c>
      <c r="B533">
        <v>2018</v>
      </c>
      <c r="C533">
        <v>4</v>
      </c>
    </row>
    <row r="534" spans="1:3">
      <c r="A534" t="s">
        <v>194</v>
      </c>
      <c r="B534">
        <v>2019</v>
      </c>
      <c r="C534">
        <v>4</v>
      </c>
    </row>
    <row r="535" spans="1:3">
      <c r="A535" t="s">
        <v>194</v>
      </c>
      <c r="B535">
        <v>2020</v>
      </c>
      <c r="C535">
        <v>4</v>
      </c>
    </row>
    <row r="536" spans="1:3">
      <c r="A536" t="s">
        <v>194</v>
      </c>
      <c r="B536">
        <v>2021</v>
      </c>
      <c r="C536">
        <v>4</v>
      </c>
    </row>
    <row r="537" spans="1:3">
      <c r="A537" t="s">
        <v>194</v>
      </c>
      <c r="B537">
        <v>2022</v>
      </c>
      <c r="C537">
        <v>5</v>
      </c>
    </row>
    <row r="538" spans="1:3">
      <c r="A538" t="s">
        <v>194</v>
      </c>
      <c r="B538">
        <v>2023</v>
      </c>
      <c r="C538">
        <v>5</v>
      </c>
    </row>
    <row r="539" spans="1:3">
      <c r="A539" t="s">
        <v>194</v>
      </c>
      <c r="B539">
        <v>2024</v>
      </c>
      <c r="C539">
        <v>5</v>
      </c>
    </row>
    <row r="540" spans="1:3">
      <c r="A540" t="s">
        <v>194</v>
      </c>
      <c r="B540">
        <v>2025</v>
      </c>
      <c r="C540">
        <v>5</v>
      </c>
    </row>
    <row r="541" spans="1:3">
      <c r="A541" t="s">
        <v>195</v>
      </c>
      <c r="B541">
        <v>2015</v>
      </c>
      <c r="C541">
        <v>5</v>
      </c>
    </row>
    <row r="542" spans="1:3">
      <c r="A542" t="s">
        <v>195</v>
      </c>
      <c r="B542">
        <v>2016</v>
      </c>
      <c r="C542">
        <v>5</v>
      </c>
    </row>
    <row r="543" spans="1:3">
      <c r="A543" t="s">
        <v>195</v>
      </c>
      <c r="B543">
        <v>2017</v>
      </c>
      <c r="C543">
        <v>5</v>
      </c>
    </row>
    <row r="544" spans="1:3">
      <c r="A544" t="s">
        <v>195</v>
      </c>
      <c r="B544">
        <v>2018</v>
      </c>
      <c r="C544">
        <v>6</v>
      </c>
    </row>
    <row r="545" spans="1:3">
      <c r="A545" t="s">
        <v>195</v>
      </c>
      <c r="B545">
        <v>2019</v>
      </c>
      <c r="C545">
        <v>6</v>
      </c>
    </row>
    <row r="546" spans="1:3">
      <c r="A546" t="s">
        <v>195</v>
      </c>
      <c r="B546">
        <v>2020</v>
      </c>
      <c r="C546">
        <v>6</v>
      </c>
    </row>
    <row r="547" spans="1:3">
      <c r="A547" t="s">
        <v>195</v>
      </c>
      <c r="B547">
        <v>2021</v>
      </c>
      <c r="C547">
        <v>6</v>
      </c>
    </row>
    <row r="548" spans="1:3">
      <c r="A548" t="s">
        <v>195</v>
      </c>
      <c r="B548">
        <v>2022</v>
      </c>
      <c r="C548">
        <v>6</v>
      </c>
    </row>
    <row r="549" spans="1:3">
      <c r="A549" t="s">
        <v>195</v>
      </c>
      <c r="B549">
        <v>2023</v>
      </c>
      <c r="C549">
        <v>6</v>
      </c>
    </row>
    <row r="550" spans="1:3">
      <c r="A550" t="s">
        <v>195</v>
      </c>
      <c r="B550">
        <v>2024</v>
      </c>
      <c r="C550">
        <v>6</v>
      </c>
    </row>
    <row r="551" spans="1:3">
      <c r="A551" t="s">
        <v>195</v>
      </c>
      <c r="B551">
        <v>2025</v>
      </c>
      <c r="C551">
        <v>6</v>
      </c>
    </row>
    <row r="552" spans="1:3">
      <c r="A552" t="s">
        <v>196</v>
      </c>
      <c r="B552">
        <v>2015</v>
      </c>
      <c r="C552">
        <v>58</v>
      </c>
    </row>
    <row r="553" spans="1:3">
      <c r="A553" t="s">
        <v>196</v>
      </c>
      <c r="B553">
        <v>2016</v>
      </c>
      <c r="C553">
        <v>55</v>
      </c>
    </row>
    <row r="554" spans="1:3">
      <c r="A554" t="s">
        <v>196</v>
      </c>
      <c r="B554">
        <v>2017</v>
      </c>
      <c r="C554">
        <v>55</v>
      </c>
    </row>
    <row r="555" spans="1:3">
      <c r="A555" t="s">
        <v>196</v>
      </c>
      <c r="B555">
        <v>2018</v>
      </c>
      <c r="C555">
        <v>55</v>
      </c>
    </row>
    <row r="556" spans="1:3">
      <c r="A556" t="s">
        <v>196</v>
      </c>
      <c r="B556">
        <v>2019</v>
      </c>
      <c r="C556">
        <v>55</v>
      </c>
    </row>
    <row r="557" spans="1:3">
      <c r="A557" t="s">
        <v>196</v>
      </c>
      <c r="B557">
        <v>2020</v>
      </c>
      <c r="C557">
        <v>65</v>
      </c>
    </row>
    <row r="558" spans="1:3">
      <c r="A558" t="s">
        <v>196</v>
      </c>
      <c r="B558">
        <v>2021</v>
      </c>
      <c r="C558">
        <v>74</v>
      </c>
    </row>
    <row r="559" spans="1:3">
      <c r="A559" t="s">
        <v>196</v>
      </c>
      <c r="B559">
        <v>2022</v>
      </c>
      <c r="C559">
        <v>67</v>
      </c>
    </row>
    <row r="560" spans="1:3">
      <c r="A560" t="s">
        <v>196</v>
      </c>
      <c r="B560">
        <v>2023</v>
      </c>
      <c r="C560">
        <v>66</v>
      </c>
    </row>
    <row r="561" spans="1:3">
      <c r="A561" t="s">
        <v>196</v>
      </c>
      <c r="B561">
        <v>2024</v>
      </c>
      <c r="C561">
        <v>65</v>
      </c>
    </row>
    <row r="562" spans="1:3">
      <c r="A562" t="s">
        <v>196</v>
      </c>
      <c r="B562">
        <v>2025</v>
      </c>
      <c r="C562">
        <v>68</v>
      </c>
    </row>
    <row r="563" spans="1:3">
      <c r="A563" t="s">
        <v>197</v>
      </c>
      <c r="B563">
        <v>2015</v>
      </c>
      <c r="C563">
        <v>5</v>
      </c>
    </row>
    <row r="564" spans="1:3">
      <c r="A564" t="s">
        <v>197</v>
      </c>
      <c r="B564">
        <v>2016</v>
      </c>
      <c r="C564">
        <v>5</v>
      </c>
    </row>
    <row r="565" spans="1:3">
      <c r="A565" t="s">
        <v>197</v>
      </c>
      <c r="B565">
        <v>2017</v>
      </c>
      <c r="C565">
        <v>5</v>
      </c>
    </row>
    <row r="566" spans="1:3">
      <c r="A566" t="s">
        <v>197</v>
      </c>
      <c r="B566">
        <v>2018</v>
      </c>
      <c r="C566">
        <v>6</v>
      </c>
    </row>
    <row r="567" spans="1:3">
      <c r="A567" t="s">
        <v>197</v>
      </c>
      <c r="B567">
        <v>2019</v>
      </c>
      <c r="C567">
        <v>6</v>
      </c>
    </row>
    <row r="568" spans="1:3">
      <c r="A568" t="s">
        <v>197</v>
      </c>
      <c r="B568">
        <v>2020</v>
      </c>
      <c r="C568">
        <v>7</v>
      </c>
    </row>
    <row r="569" spans="1:3">
      <c r="A569" t="s">
        <v>197</v>
      </c>
      <c r="B569">
        <v>2021</v>
      </c>
      <c r="C569">
        <v>7</v>
      </c>
    </row>
    <row r="570" spans="1:3">
      <c r="A570" t="s">
        <v>197</v>
      </c>
      <c r="B570">
        <v>2022</v>
      </c>
      <c r="C570">
        <v>7</v>
      </c>
    </row>
    <row r="571" spans="1:3">
      <c r="A571" t="s">
        <v>197</v>
      </c>
      <c r="B571">
        <v>2023</v>
      </c>
      <c r="C571">
        <v>6</v>
      </c>
    </row>
    <row r="572" spans="1:3">
      <c r="A572" t="s">
        <v>197</v>
      </c>
      <c r="B572">
        <v>2024</v>
      </c>
      <c r="C572">
        <v>7</v>
      </c>
    </row>
    <row r="573" spans="1:3">
      <c r="A573" t="s">
        <v>197</v>
      </c>
      <c r="B573">
        <v>2025</v>
      </c>
      <c r="C573">
        <v>7</v>
      </c>
    </row>
    <row r="574" spans="1:3">
      <c r="A574" t="s">
        <v>198</v>
      </c>
      <c r="B574">
        <v>2015</v>
      </c>
      <c r="C574">
        <v>16</v>
      </c>
    </row>
    <row r="575" spans="1:3">
      <c r="A575" t="s">
        <v>198</v>
      </c>
      <c r="B575">
        <v>2016</v>
      </c>
      <c r="C575">
        <v>15</v>
      </c>
    </row>
    <row r="576" spans="1:3">
      <c r="A576" t="s">
        <v>198</v>
      </c>
      <c r="B576">
        <v>2017</v>
      </c>
      <c r="C576">
        <v>17</v>
      </c>
    </row>
    <row r="577" spans="1:3">
      <c r="A577" t="s">
        <v>198</v>
      </c>
      <c r="B577">
        <v>2018</v>
      </c>
      <c r="C577">
        <v>18</v>
      </c>
    </row>
    <row r="578" spans="1:3">
      <c r="A578" t="s">
        <v>198</v>
      </c>
      <c r="B578">
        <v>2019</v>
      </c>
      <c r="C578">
        <v>19</v>
      </c>
    </row>
    <row r="579" spans="1:3">
      <c r="A579" t="s">
        <v>198</v>
      </c>
      <c r="B579">
        <v>2020</v>
      </c>
      <c r="C579">
        <v>20</v>
      </c>
    </row>
    <row r="580" spans="1:3">
      <c r="A580" t="s">
        <v>198</v>
      </c>
      <c r="B580">
        <v>2021</v>
      </c>
      <c r="C580">
        <v>18</v>
      </c>
    </row>
    <row r="581" spans="1:3">
      <c r="A581" t="s">
        <v>198</v>
      </c>
      <c r="B581">
        <v>2022</v>
      </c>
      <c r="C581">
        <v>16</v>
      </c>
    </row>
    <row r="582" spans="1:3">
      <c r="A582" t="s">
        <v>233</v>
      </c>
      <c r="B582">
        <v>2023</v>
      </c>
      <c r="C582">
        <v>16</v>
      </c>
    </row>
    <row r="583" spans="1:3">
      <c r="A583" t="s">
        <v>198</v>
      </c>
      <c r="B583">
        <v>2024</v>
      </c>
      <c r="C583">
        <v>17</v>
      </c>
    </row>
    <row r="584" spans="1:3">
      <c r="A584" t="s">
        <v>198</v>
      </c>
      <c r="B584">
        <v>2025</v>
      </c>
      <c r="C584">
        <v>18</v>
      </c>
    </row>
    <row r="585" spans="1:3">
      <c r="A585" t="s">
        <v>199</v>
      </c>
      <c r="B585">
        <v>2015</v>
      </c>
      <c r="C585">
        <v>6</v>
      </c>
    </row>
    <row r="586" spans="1:3">
      <c r="A586" t="s">
        <v>199</v>
      </c>
      <c r="B586">
        <v>2016</v>
      </c>
      <c r="C586">
        <v>6</v>
      </c>
    </row>
    <row r="587" spans="1:3">
      <c r="A587" t="s">
        <v>199</v>
      </c>
      <c r="B587">
        <v>2017</v>
      </c>
      <c r="C587">
        <v>6</v>
      </c>
    </row>
    <row r="588" spans="1:3">
      <c r="A588" t="s">
        <v>199</v>
      </c>
      <c r="B588">
        <v>2018</v>
      </c>
      <c r="C588">
        <v>6</v>
      </c>
    </row>
    <row r="589" spans="1:3">
      <c r="A589" t="s">
        <v>199</v>
      </c>
      <c r="B589">
        <v>2019</v>
      </c>
      <c r="C589">
        <v>6</v>
      </c>
    </row>
    <row r="590" spans="1:3">
      <c r="A590" t="s">
        <v>199</v>
      </c>
      <c r="B590">
        <v>2020</v>
      </c>
      <c r="C590">
        <v>6</v>
      </c>
    </row>
    <row r="591" spans="1:3">
      <c r="A591" t="s">
        <v>199</v>
      </c>
      <c r="B591">
        <v>2021</v>
      </c>
      <c r="C591">
        <v>5</v>
      </c>
    </row>
    <row r="592" spans="1:3">
      <c r="A592" t="s">
        <v>199</v>
      </c>
      <c r="B592">
        <v>2022</v>
      </c>
      <c r="C592">
        <v>5</v>
      </c>
    </row>
    <row r="593" spans="1:3">
      <c r="A593" t="s">
        <v>199</v>
      </c>
      <c r="B593">
        <v>2023</v>
      </c>
      <c r="C593">
        <v>5</v>
      </c>
    </row>
    <row r="594" spans="1:3">
      <c r="A594" t="s">
        <v>199</v>
      </c>
      <c r="B594">
        <v>2024</v>
      </c>
      <c r="C594">
        <v>5</v>
      </c>
    </row>
    <row r="595" spans="1:3">
      <c r="A595" t="s">
        <v>199</v>
      </c>
      <c r="B595">
        <v>2025</v>
      </c>
      <c r="C595">
        <v>5</v>
      </c>
    </row>
    <row r="596" spans="1:3">
      <c r="A596" t="s">
        <v>200</v>
      </c>
      <c r="B596">
        <v>2015</v>
      </c>
      <c r="C596">
        <v>8</v>
      </c>
    </row>
    <row r="597" spans="1:3">
      <c r="A597" t="s">
        <v>200</v>
      </c>
      <c r="B597">
        <v>2016</v>
      </c>
      <c r="C597">
        <v>8</v>
      </c>
    </row>
    <row r="598" spans="1:3">
      <c r="A598" t="s">
        <v>200</v>
      </c>
      <c r="B598">
        <v>2017</v>
      </c>
      <c r="C598">
        <v>8</v>
      </c>
    </row>
    <row r="599" spans="1:3">
      <c r="A599" t="s">
        <v>200</v>
      </c>
      <c r="B599">
        <v>2018</v>
      </c>
      <c r="C599">
        <v>8</v>
      </c>
    </row>
    <row r="600" spans="1:3">
      <c r="A600" t="s">
        <v>200</v>
      </c>
      <c r="B600">
        <v>2019</v>
      </c>
      <c r="C600">
        <v>9</v>
      </c>
    </row>
    <row r="601" spans="1:3">
      <c r="A601" t="s">
        <v>200</v>
      </c>
      <c r="B601">
        <v>2020</v>
      </c>
      <c r="C601">
        <v>9</v>
      </c>
    </row>
    <row r="602" spans="1:3">
      <c r="A602" t="s">
        <v>200</v>
      </c>
      <c r="B602">
        <v>2021</v>
      </c>
      <c r="C602">
        <v>9</v>
      </c>
    </row>
    <row r="603" spans="1:3">
      <c r="A603" t="s">
        <v>200</v>
      </c>
      <c r="B603">
        <v>2022</v>
      </c>
      <c r="C603">
        <v>9</v>
      </c>
    </row>
    <row r="604" spans="1:3">
      <c r="A604" t="s">
        <v>200</v>
      </c>
      <c r="B604">
        <v>2023</v>
      </c>
      <c r="C604">
        <v>8</v>
      </c>
    </row>
    <row r="605" spans="1:3">
      <c r="A605" t="s">
        <v>200</v>
      </c>
      <c r="B605">
        <v>2024</v>
      </c>
      <c r="C605">
        <v>7</v>
      </c>
    </row>
    <row r="606" spans="1:3">
      <c r="A606" t="s">
        <v>200</v>
      </c>
      <c r="B606">
        <v>2025</v>
      </c>
      <c r="C606">
        <v>7</v>
      </c>
    </row>
    <row r="607" spans="1:3">
      <c r="A607" t="s">
        <v>201</v>
      </c>
      <c r="B607">
        <v>2015</v>
      </c>
      <c r="C607">
        <v>10</v>
      </c>
    </row>
    <row r="608" spans="1:3">
      <c r="A608" t="s">
        <v>201</v>
      </c>
      <c r="B608">
        <v>2016</v>
      </c>
      <c r="C608">
        <v>9</v>
      </c>
    </row>
    <row r="609" spans="1:3">
      <c r="A609" t="s">
        <v>201</v>
      </c>
      <c r="B609">
        <v>2017</v>
      </c>
      <c r="C609">
        <v>9</v>
      </c>
    </row>
    <row r="610" spans="1:3">
      <c r="A610" t="s">
        <v>201</v>
      </c>
      <c r="B610">
        <v>2018</v>
      </c>
      <c r="C610">
        <v>10</v>
      </c>
    </row>
    <row r="611" spans="1:3">
      <c r="A611" t="s">
        <v>201</v>
      </c>
      <c r="B611">
        <v>2019</v>
      </c>
      <c r="C611">
        <v>10</v>
      </c>
    </row>
    <row r="612" spans="1:3">
      <c r="A612" t="s">
        <v>201</v>
      </c>
      <c r="B612">
        <v>2020</v>
      </c>
      <c r="C612">
        <v>10</v>
      </c>
    </row>
    <row r="613" spans="1:3">
      <c r="A613" t="s">
        <v>201</v>
      </c>
      <c r="B613">
        <v>2021</v>
      </c>
      <c r="C613">
        <v>10</v>
      </c>
    </row>
    <row r="614" spans="1:3">
      <c r="A614" t="s">
        <v>201</v>
      </c>
      <c r="B614">
        <v>2022</v>
      </c>
      <c r="C614">
        <v>10</v>
      </c>
    </row>
    <row r="615" spans="1:3">
      <c r="A615" t="s">
        <v>201</v>
      </c>
      <c r="B615">
        <v>2023</v>
      </c>
      <c r="C615">
        <v>11</v>
      </c>
    </row>
    <row r="616" spans="1:3">
      <c r="A616" t="s">
        <v>201</v>
      </c>
      <c r="B616">
        <v>2024</v>
      </c>
      <c r="C616">
        <v>11</v>
      </c>
    </row>
    <row r="617" spans="1:3">
      <c r="A617" t="s">
        <v>201</v>
      </c>
      <c r="B617">
        <v>2025</v>
      </c>
      <c r="C617">
        <v>11</v>
      </c>
    </row>
    <row r="618" spans="1:3">
      <c r="A618" t="s">
        <v>202</v>
      </c>
      <c r="B618">
        <v>2015</v>
      </c>
      <c r="C618">
        <v>5</v>
      </c>
    </row>
    <row r="619" spans="1:3">
      <c r="A619" t="s">
        <v>202</v>
      </c>
      <c r="B619">
        <v>2016</v>
      </c>
      <c r="C619">
        <v>6</v>
      </c>
    </row>
    <row r="620" spans="1:3">
      <c r="A620" t="s">
        <v>202</v>
      </c>
      <c r="B620">
        <v>2017</v>
      </c>
      <c r="C620">
        <v>6</v>
      </c>
    </row>
    <row r="621" spans="1:3">
      <c r="A621" t="s">
        <v>202</v>
      </c>
      <c r="B621">
        <v>2018</v>
      </c>
      <c r="C621">
        <v>6</v>
      </c>
    </row>
    <row r="622" spans="1:3">
      <c r="A622" t="s">
        <v>202</v>
      </c>
      <c r="B622">
        <v>2019</v>
      </c>
      <c r="C622">
        <v>6</v>
      </c>
    </row>
    <row r="623" spans="1:3">
      <c r="A623" t="s">
        <v>202</v>
      </c>
      <c r="B623">
        <v>2020</v>
      </c>
      <c r="C623">
        <v>6</v>
      </c>
    </row>
    <row r="624" spans="1:3">
      <c r="A624" t="s">
        <v>202</v>
      </c>
      <c r="B624">
        <v>2021</v>
      </c>
      <c r="C624">
        <v>6</v>
      </c>
    </row>
    <row r="625" spans="1:3">
      <c r="A625" t="s">
        <v>202</v>
      </c>
      <c r="B625">
        <v>2022</v>
      </c>
      <c r="C625">
        <v>6</v>
      </c>
    </row>
    <row r="626" spans="1:3">
      <c r="A626" t="s">
        <v>202</v>
      </c>
      <c r="B626">
        <v>2023</v>
      </c>
      <c r="C626">
        <v>6</v>
      </c>
    </row>
    <row r="627" spans="1:3">
      <c r="A627" t="s">
        <v>202</v>
      </c>
      <c r="B627">
        <v>2024</v>
      </c>
      <c r="C627">
        <v>7</v>
      </c>
    </row>
    <row r="628" spans="1:3">
      <c r="A628" t="s">
        <v>202</v>
      </c>
      <c r="B628">
        <v>2025</v>
      </c>
      <c r="C628">
        <v>7</v>
      </c>
    </row>
    <row r="629" spans="1:3">
      <c r="A629" t="s">
        <v>203</v>
      </c>
      <c r="B629">
        <v>2015</v>
      </c>
      <c r="C629">
        <v>4</v>
      </c>
    </row>
    <row r="630" spans="1:3">
      <c r="A630" t="s">
        <v>203</v>
      </c>
      <c r="B630">
        <v>2016</v>
      </c>
      <c r="C630">
        <v>4</v>
      </c>
    </row>
    <row r="631" spans="1:3">
      <c r="A631" t="s">
        <v>203</v>
      </c>
      <c r="B631">
        <v>2017</v>
      </c>
      <c r="C631">
        <v>4</v>
      </c>
    </row>
    <row r="632" spans="1:3">
      <c r="A632" t="s">
        <v>203</v>
      </c>
      <c r="B632">
        <v>2018</v>
      </c>
      <c r="C632">
        <v>4</v>
      </c>
    </row>
    <row r="633" spans="1:3">
      <c r="A633" t="s">
        <v>203</v>
      </c>
      <c r="B633">
        <v>2019</v>
      </c>
      <c r="C633">
        <v>4</v>
      </c>
    </row>
    <row r="634" spans="1:3">
      <c r="A634" t="s">
        <v>203</v>
      </c>
      <c r="B634">
        <v>2020</v>
      </c>
      <c r="C634">
        <v>5</v>
      </c>
    </row>
    <row r="635" spans="1:3">
      <c r="A635" t="s">
        <v>203</v>
      </c>
      <c r="B635">
        <v>2021</v>
      </c>
      <c r="C635">
        <v>5</v>
      </c>
    </row>
    <row r="636" spans="1:3">
      <c r="A636" t="s">
        <v>203</v>
      </c>
      <c r="B636">
        <v>2022</v>
      </c>
      <c r="C636">
        <v>5</v>
      </c>
    </row>
    <row r="637" spans="1:3">
      <c r="A637" t="s">
        <v>203</v>
      </c>
      <c r="B637">
        <v>2023</v>
      </c>
      <c r="C637">
        <v>5</v>
      </c>
    </row>
    <row r="638" spans="1:3">
      <c r="A638" t="s">
        <v>203</v>
      </c>
      <c r="B638">
        <v>2024</v>
      </c>
      <c r="C638">
        <v>4</v>
      </c>
    </row>
    <row r="639" spans="1:3">
      <c r="A639" t="s">
        <v>203</v>
      </c>
      <c r="B639">
        <v>2025</v>
      </c>
      <c r="C639">
        <v>4</v>
      </c>
    </row>
    <row r="640" spans="1:3">
      <c r="A640" t="s">
        <v>204</v>
      </c>
      <c r="B640">
        <v>2015</v>
      </c>
      <c r="C640">
        <v>17</v>
      </c>
    </row>
    <row r="641" spans="1:3">
      <c r="A641" t="s">
        <v>204</v>
      </c>
      <c r="B641">
        <v>2016</v>
      </c>
      <c r="C641">
        <v>17</v>
      </c>
    </row>
    <row r="642" spans="1:3">
      <c r="A642" t="s">
        <v>204</v>
      </c>
      <c r="B642">
        <v>2017</v>
      </c>
      <c r="C642">
        <v>16</v>
      </c>
    </row>
    <row r="643" spans="1:3">
      <c r="A643" t="s">
        <v>204</v>
      </c>
      <c r="B643">
        <v>2018</v>
      </c>
      <c r="C643">
        <v>15</v>
      </c>
    </row>
    <row r="644" spans="1:3">
      <c r="A644" t="s">
        <v>204</v>
      </c>
      <c r="B644">
        <v>2019</v>
      </c>
      <c r="C644">
        <v>14</v>
      </c>
    </row>
    <row r="645" spans="1:3">
      <c r="A645" t="s">
        <v>204</v>
      </c>
      <c r="B645">
        <v>2020</v>
      </c>
      <c r="C645">
        <v>14</v>
      </c>
    </row>
    <row r="646" spans="1:3">
      <c r="A646" t="s">
        <v>204</v>
      </c>
      <c r="B646">
        <v>2021</v>
      </c>
      <c r="C646">
        <v>15</v>
      </c>
    </row>
    <row r="647" spans="1:3">
      <c r="A647" t="s">
        <v>204</v>
      </c>
      <c r="B647">
        <v>2022</v>
      </c>
      <c r="C647">
        <v>14</v>
      </c>
    </row>
    <row r="648" spans="1:3">
      <c r="A648" t="s">
        <v>204</v>
      </c>
      <c r="B648">
        <v>2023</v>
      </c>
      <c r="C648">
        <v>13</v>
      </c>
    </row>
    <row r="649" spans="1:3">
      <c r="A649" t="s">
        <v>204</v>
      </c>
      <c r="B649">
        <v>2024</v>
      </c>
      <c r="C649">
        <v>13</v>
      </c>
    </row>
    <row r="650" spans="1:3">
      <c r="A650" t="s">
        <v>204</v>
      </c>
      <c r="B650">
        <v>2025</v>
      </c>
      <c r="C650">
        <v>13</v>
      </c>
    </row>
    <row r="651" spans="1:3">
      <c r="A651" t="s">
        <v>205</v>
      </c>
      <c r="B651">
        <v>2015</v>
      </c>
      <c r="C651">
        <v>5</v>
      </c>
    </row>
    <row r="652" spans="1:3">
      <c r="A652" t="s">
        <v>205</v>
      </c>
      <c r="B652">
        <v>2016</v>
      </c>
      <c r="C652">
        <v>5</v>
      </c>
    </row>
    <row r="653" spans="1:3">
      <c r="A653" t="s">
        <v>205</v>
      </c>
      <c r="B653">
        <v>2017</v>
      </c>
      <c r="C653">
        <v>4</v>
      </c>
    </row>
    <row r="654" spans="1:3">
      <c r="A654" t="s">
        <v>205</v>
      </c>
      <c r="B654">
        <v>2018</v>
      </c>
      <c r="C654">
        <v>5</v>
      </c>
    </row>
    <row r="655" spans="1:3">
      <c r="A655" t="s">
        <v>205</v>
      </c>
      <c r="B655">
        <v>2019</v>
      </c>
      <c r="C655">
        <v>6</v>
      </c>
    </row>
    <row r="656" spans="1:3">
      <c r="A656" t="s">
        <v>205</v>
      </c>
      <c r="B656">
        <v>2020</v>
      </c>
      <c r="C656">
        <v>10</v>
      </c>
    </row>
    <row r="657" spans="1:3">
      <c r="A657" t="s">
        <v>205</v>
      </c>
      <c r="B657">
        <v>2021</v>
      </c>
      <c r="C657">
        <v>9</v>
      </c>
    </row>
    <row r="658" spans="1:3">
      <c r="A658" t="s">
        <v>205</v>
      </c>
      <c r="B658">
        <v>2022</v>
      </c>
      <c r="C658">
        <v>7</v>
      </c>
    </row>
    <row r="659" spans="1:3">
      <c r="A659" t="s">
        <v>205</v>
      </c>
      <c r="B659">
        <v>2023</v>
      </c>
      <c r="C659">
        <v>7</v>
      </c>
    </row>
    <row r="660" spans="1:3">
      <c r="A660" t="s">
        <v>205</v>
      </c>
      <c r="B660">
        <v>2024</v>
      </c>
      <c r="C660">
        <v>6</v>
      </c>
    </row>
    <row r="661" spans="1:3">
      <c r="A661" t="s">
        <v>205</v>
      </c>
      <c r="B661">
        <v>2025</v>
      </c>
      <c r="C661">
        <v>7</v>
      </c>
    </row>
    <row r="662" spans="1:3">
      <c r="A662" t="s">
        <v>206</v>
      </c>
      <c r="B662">
        <v>2015</v>
      </c>
      <c r="C662">
        <v>8</v>
      </c>
    </row>
    <row r="663" spans="1:3">
      <c r="A663" t="s">
        <v>206</v>
      </c>
      <c r="B663">
        <v>2016</v>
      </c>
      <c r="C663">
        <v>8</v>
      </c>
    </row>
    <row r="664" spans="1:3">
      <c r="A664" t="s">
        <v>206</v>
      </c>
      <c r="B664">
        <v>2017</v>
      </c>
      <c r="C664">
        <v>9</v>
      </c>
    </row>
    <row r="665" spans="1:3">
      <c r="A665" t="s">
        <v>206</v>
      </c>
      <c r="B665">
        <v>2018</v>
      </c>
      <c r="C665">
        <v>10</v>
      </c>
    </row>
    <row r="666" spans="1:3">
      <c r="A666" t="s">
        <v>206</v>
      </c>
      <c r="B666">
        <v>2019</v>
      </c>
      <c r="C666">
        <v>11</v>
      </c>
    </row>
    <row r="667" spans="1:3">
      <c r="A667" t="s">
        <v>206</v>
      </c>
      <c r="B667">
        <v>2020</v>
      </c>
      <c r="C667">
        <v>10</v>
      </c>
    </row>
    <row r="668" spans="1:3">
      <c r="A668" t="s">
        <v>206</v>
      </c>
      <c r="B668">
        <v>2021</v>
      </c>
      <c r="C668">
        <v>10</v>
      </c>
    </row>
    <row r="669" spans="1:3">
      <c r="A669" t="s">
        <v>206</v>
      </c>
      <c r="B669">
        <v>2022</v>
      </c>
      <c r="C669">
        <v>10</v>
      </c>
    </row>
    <row r="670" spans="1:3">
      <c r="A670" t="s">
        <v>206</v>
      </c>
      <c r="B670">
        <v>2023</v>
      </c>
      <c r="C670">
        <v>11</v>
      </c>
    </row>
    <row r="671" spans="1:3">
      <c r="A671" t="s">
        <v>206</v>
      </c>
      <c r="B671">
        <v>2024</v>
      </c>
      <c r="C671">
        <v>12</v>
      </c>
    </row>
    <row r="672" spans="1:3">
      <c r="A672" t="s">
        <v>206</v>
      </c>
      <c r="B672">
        <v>2025</v>
      </c>
      <c r="C672">
        <v>14</v>
      </c>
    </row>
    <row r="673" spans="1:3">
      <c r="A673" t="s">
        <v>207</v>
      </c>
      <c r="B673">
        <v>2015</v>
      </c>
      <c r="C673">
        <v>6</v>
      </c>
    </row>
    <row r="674" spans="1:3">
      <c r="A674" t="s">
        <v>207</v>
      </c>
      <c r="B674">
        <v>2016</v>
      </c>
      <c r="C674">
        <v>7</v>
      </c>
    </row>
    <row r="675" spans="1:3">
      <c r="A675" t="s">
        <v>207</v>
      </c>
      <c r="B675">
        <v>2017</v>
      </c>
      <c r="C675">
        <v>6</v>
      </c>
    </row>
    <row r="676" spans="1:3">
      <c r="A676" t="s">
        <v>207</v>
      </c>
      <c r="B676">
        <v>2018</v>
      </c>
      <c r="C676">
        <v>6</v>
      </c>
    </row>
    <row r="677" spans="1:3">
      <c r="A677" t="s">
        <v>207</v>
      </c>
      <c r="B677">
        <v>2019</v>
      </c>
      <c r="C677">
        <v>6</v>
      </c>
    </row>
    <row r="678" spans="1:3">
      <c r="A678" t="s">
        <v>207</v>
      </c>
      <c r="B678">
        <v>2020</v>
      </c>
      <c r="C678">
        <v>6</v>
      </c>
    </row>
    <row r="679" spans="1:3">
      <c r="A679" t="s">
        <v>207</v>
      </c>
      <c r="B679">
        <v>2021</v>
      </c>
      <c r="C679">
        <v>8</v>
      </c>
    </row>
    <row r="680" spans="1:3">
      <c r="A680" t="s">
        <v>207</v>
      </c>
      <c r="B680">
        <v>2022</v>
      </c>
      <c r="C680">
        <v>6</v>
      </c>
    </row>
    <row r="681" spans="1:3">
      <c r="A681" t="s">
        <v>207</v>
      </c>
      <c r="B681">
        <v>2023</v>
      </c>
      <c r="C681">
        <v>6</v>
      </c>
    </row>
    <row r="682" spans="1:3">
      <c r="A682" t="s">
        <v>207</v>
      </c>
      <c r="B682">
        <v>2024</v>
      </c>
      <c r="C682">
        <v>4</v>
      </c>
    </row>
    <row r="683" spans="1:3">
      <c r="A683" t="s">
        <v>207</v>
      </c>
      <c r="B683">
        <v>2025</v>
      </c>
      <c r="C683">
        <v>4</v>
      </c>
    </row>
    <row r="684" spans="1:3">
      <c r="A684" t="s">
        <v>208</v>
      </c>
      <c r="B684">
        <v>2015</v>
      </c>
      <c r="C684">
        <v>5</v>
      </c>
    </row>
    <row r="685" spans="1:3">
      <c r="A685" t="s">
        <v>208</v>
      </c>
      <c r="B685">
        <v>2016</v>
      </c>
      <c r="C685">
        <v>5</v>
      </c>
    </row>
    <row r="686" spans="1:3">
      <c r="A686" t="s">
        <v>208</v>
      </c>
      <c r="B686">
        <v>2017</v>
      </c>
      <c r="C686">
        <v>5</v>
      </c>
    </row>
    <row r="687" spans="1:3">
      <c r="A687" t="s">
        <v>208</v>
      </c>
      <c r="B687">
        <v>2018</v>
      </c>
      <c r="C687">
        <v>6</v>
      </c>
    </row>
    <row r="688" spans="1:3">
      <c r="A688" t="s">
        <v>208</v>
      </c>
      <c r="B688">
        <v>2019</v>
      </c>
      <c r="C688">
        <v>6</v>
      </c>
    </row>
    <row r="689" spans="1:3">
      <c r="A689" t="s">
        <v>208</v>
      </c>
      <c r="B689">
        <v>2020</v>
      </c>
      <c r="C689">
        <v>7</v>
      </c>
    </row>
    <row r="690" spans="1:3">
      <c r="A690" t="s">
        <v>208</v>
      </c>
      <c r="B690">
        <v>2021</v>
      </c>
      <c r="C690">
        <v>7</v>
      </c>
    </row>
    <row r="691" spans="1:3">
      <c r="A691" t="s">
        <v>208</v>
      </c>
      <c r="B691">
        <v>2022</v>
      </c>
      <c r="C691">
        <v>7</v>
      </c>
    </row>
    <row r="692" spans="1:3">
      <c r="A692" t="s">
        <v>208</v>
      </c>
      <c r="B692">
        <v>2023</v>
      </c>
      <c r="C692">
        <v>7</v>
      </c>
    </row>
    <row r="693" spans="1:3">
      <c r="A693" t="s">
        <v>208</v>
      </c>
      <c r="B693">
        <v>2024</v>
      </c>
      <c r="C693">
        <v>6</v>
      </c>
    </row>
    <row r="694" spans="1:3">
      <c r="A694" t="s">
        <v>208</v>
      </c>
      <c r="B694">
        <v>2025</v>
      </c>
      <c r="C694">
        <v>6</v>
      </c>
    </row>
    <row r="695" spans="1:3">
      <c r="A695" t="s">
        <v>209</v>
      </c>
      <c r="B695">
        <v>2015</v>
      </c>
      <c r="C695">
        <v>31</v>
      </c>
    </row>
    <row r="696" spans="1:3">
      <c r="A696" t="s">
        <v>209</v>
      </c>
      <c r="B696">
        <v>2016</v>
      </c>
      <c r="C696">
        <v>31</v>
      </c>
    </row>
    <row r="697" spans="1:3">
      <c r="A697" t="s">
        <v>209</v>
      </c>
      <c r="B697">
        <v>2017</v>
      </c>
      <c r="C697">
        <v>30</v>
      </c>
    </row>
    <row r="698" spans="1:3">
      <c r="A698" t="s">
        <v>209</v>
      </c>
      <c r="B698">
        <v>2018</v>
      </c>
      <c r="C698">
        <v>27</v>
      </c>
    </row>
    <row r="699" spans="1:3">
      <c r="A699" t="s">
        <v>209</v>
      </c>
      <c r="B699">
        <v>2019</v>
      </c>
      <c r="C699">
        <v>23</v>
      </c>
    </row>
    <row r="700" spans="1:3">
      <c r="A700" t="s">
        <v>209</v>
      </c>
      <c r="B700">
        <v>2020</v>
      </c>
      <c r="C700">
        <v>28</v>
      </c>
    </row>
    <row r="701" spans="1:3">
      <c r="A701" t="s">
        <v>209</v>
      </c>
      <c r="B701">
        <v>2021</v>
      </c>
      <c r="C701">
        <v>29</v>
      </c>
    </row>
    <row r="702" spans="1:3">
      <c r="A702" t="s">
        <v>209</v>
      </c>
      <c r="B702">
        <v>2022</v>
      </c>
      <c r="C702">
        <v>26</v>
      </c>
    </row>
    <row r="703" spans="1:3">
      <c r="A703" t="s">
        <v>209</v>
      </c>
      <c r="B703">
        <v>2023</v>
      </c>
      <c r="C703">
        <v>24</v>
      </c>
    </row>
    <row r="704" spans="1:3">
      <c r="A704" t="s">
        <v>209</v>
      </c>
      <c r="B704">
        <v>2024</v>
      </c>
      <c r="C704">
        <v>23</v>
      </c>
    </row>
    <row r="705" spans="1:3">
      <c r="A705" t="s">
        <v>209</v>
      </c>
      <c r="B705">
        <v>2025</v>
      </c>
      <c r="C705">
        <v>24</v>
      </c>
    </row>
    <row r="706" spans="1:3">
      <c r="A706" t="s">
        <v>210</v>
      </c>
      <c r="B706">
        <v>2015</v>
      </c>
      <c r="C706">
        <v>18</v>
      </c>
    </row>
    <row r="707" spans="1:3">
      <c r="A707" t="s">
        <v>210</v>
      </c>
      <c r="B707">
        <v>2016</v>
      </c>
      <c r="C707">
        <v>17</v>
      </c>
    </row>
    <row r="708" spans="1:3">
      <c r="A708" t="s">
        <v>210</v>
      </c>
      <c r="B708">
        <v>2017</v>
      </c>
      <c r="C708">
        <v>15</v>
      </c>
    </row>
    <row r="709" spans="1:3">
      <c r="A709" t="s">
        <v>210</v>
      </c>
      <c r="B709">
        <v>2018</v>
      </c>
      <c r="C709">
        <v>16</v>
      </c>
    </row>
    <row r="710" spans="1:3">
      <c r="A710" t="s">
        <v>210</v>
      </c>
      <c r="B710">
        <v>2019</v>
      </c>
      <c r="C710">
        <v>15</v>
      </c>
    </row>
    <row r="711" spans="1:3">
      <c r="A711" t="s">
        <v>210</v>
      </c>
      <c r="B711">
        <v>2020</v>
      </c>
      <c r="C711">
        <v>24</v>
      </c>
    </row>
    <row r="712" spans="1:3">
      <c r="A712" t="s">
        <v>210</v>
      </c>
      <c r="B712">
        <v>2021</v>
      </c>
      <c r="C712">
        <v>26</v>
      </c>
    </row>
    <row r="713" spans="1:3">
      <c r="A713" t="s">
        <v>210</v>
      </c>
      <c r="B713">
        <v>2022</v>
      </c>
      <c r="C713">
        <v>25</v>
      </c>
    </row>
    <row r="714" spans="1:3">
      <c r="A714" t="s">
        <v>210</v>
      </c>
      <c r="B714">
        <v>2023</v>
      </c>
      <c r="C714">
        <v>27</v>
      </c>
    </row>
    <row r="715" spans="1:3">
      <c r="A715" t="s">
        <v>210</v>
      </c>
      <c r="B715">
        <v>2024</v>
      </c>
      <c r="C715">
        <v>25</v>
      </c>
    </row>
    <row r="716" spans="1:3">
      <c r="A716" t="s">
        <v>210</v>
      </c>
      <c r="B716">
        <v>2025</v>
      </c>
      <c r="C716">
        <v>26</v>
      </c>
    </row>
    <row r="717" spans="1:3">
      <c r="A717" t="s">
        <v>211</v>
      </c>
      <c r="B717">
        <v>2015</v>
      </c>
      <c r="C717">
        <v>573</v>
      </c>
    </row>
    <row r="718" spans="1:3">
      <c r="A718" t="s">
        <v>211</v>
      </c>
      <c r="B718">
        <v>2016</v>
      </c>
      <c r="C718">
        <v>566</v>
      </c>
    </row>
    <row r="719" spans="1:3">
      <c r="A719" t="s">
        <v>211</v>
      </c>
      <c r="B719">
        <v>2017</v>
      </c>
      <c r="C719">
        <v>562</v>
      </c>
    </row>
    <row r="720" spans="1:3">
      <c r="A720" t="s">
        <v>211</v>
      </c>
      <c r="B720">
        <v>2018</v>
      </c>
      <c r="C720">
        <v>576</v>
      </c>
    </row>
    <row r="721" spans="1:12">
      <c r="A721" t="s">
        <v>211</v>
      </c>
      <c r="B721">
        <v>2019</v>
      </c>
      <c r="C721">
        <v>577</v>
      </c>
    </row>
    <row r="722" spans="1:12">
      <c r="A722" t="s">
        <v>211</v>
      </c>
      <c r="B722">
        <v>2020</v>
      </c>
      <c r="C722">
        <v>687</v>
      </c>
    </row>
    <row r="723" spans="1:12">
      <c r="A723" t="s">
        <v>211</v>
      </c>
      <c r="B723">
        <v>2021</v>
      </c>
      <c r="C723">
        <v>687</v>
      </c>
    </row>
    <row r="724" spans="1:12">
      <c r="A724" t="s">
        <v>211</v>
      </c>
      <c r="B724">
        <v>2022</v>
      </c>
      <c r="C724">
        <v>659</v>
      </c>
    </row>
    <row r="725" spans="1:12">
      <c r="A725" t="s">
        <v>211</v>
      </c>
      <c r="B725">
        <v>2023</v>
      </c>
      <c r="C725">
        <v>640</v>
      </c>
    </row>
    <row r="726" spans="1:12">
      <c r="A726" t="s">
        <v>211</v>
      </c>
      <c r="B726">
        <v>2024</v>
      </c>
      <c r="C726">
        <v>644</v>
      </c>
    </row>
    <row r="727" spans="1:12">
      <c r="A727" t="s">
        <v>211</v>
      </c>
      <c r="B727">
        <v>2025</v>
      </c>
      <c r="C727">
        <v>667</v>
      </c>
    </row>
    <row r="729" spans="1:12">
      <c r="A729" t="s">
        <v>230</v>
      </c>
    </row>
    <row r="730" spans="1:12">
      <c r="A730" t="s">
        <v>231</v>
      </c>
    </row>
    <row r="731" spans="1:12">
      <c r="A731" t="s">
        <v>132</v>
      </c>
    </row>
    <row r="732" spans="1:12">
      <c r="A732" t="s">
        <v>232</v>
      </c>
    </row>
    <row r="733" spans="1:12">
      <c r="A733" t="s">
        <v>133</v>
      </c>
    </row>
    <row r="734" spans="1:12">
      <c r="A734" t="s">
        <v>134</v>
      </c>
      <c r="B734" t="s">
        <v>135</v>
      </c>
      <c r="C734" t="s">
        <v>136</v>
      </c>
      <c r="D734" t="s">
        <v>137</v>
      </c>
      <c r="E734" t="s">
        <v>138</v>
      </c>
      <c r="F734" t="s">
        <v>139</v>
      </c>
      <c r="G734" t="s">
        <v>140</v>
      </c>
      <c r="H734" t="s">
        <v>141</v>
      </c>
      <c r="I734" t="s">
        <v>142</v>
      </c>
      <c r="J734" t="s">
        <v>143</v>
      </c>
      <c r="K734" t="s">
        <v>144</v>
      </c>
      <c r="L734" t="s">
        <v>145</v>
      </c>
    </row>
    <row r="735" spans="1:12">
      <c r="A735" t="s">
        <v>146</v>
      </c>
      <c r="B735">
        <v>7</v>
      </c>
      <c r="C735">
        <v>6</v>
      </c>
      <c r="D735">
        <v>6</v>
      </c>
      <c r="E735">
        <v>6</v>
      </c>
      <c r="F735">
        <v>8</v>
      </c>
      <c r="G735">
        <v>7</v>
      </c>
      <c r="H735">
        <v>8</v>
      </c>
      <c r="I735">
        <v>7</v>
      </c>
      <c r="J735">
        <v>7</v>
      </c>
      <c r="K735">
        <v>9</v>
      </c>
      <c r="L735">
        <v>12</v>
      </c>
    </row>
    <row r="736" spans="1:12">
      <c r="A736" t="s">
        <v>147</v>
      </c>
      <c r="B736">
        <v>14</v>
      </c>
      <c r="C736">
        <v>11</v>
      </c>
      <c r="D736">
        <v>11</v>
      </c>
      <c r="E736">
        <v>11</v>
      </c>
      <c r="F736">
        <v>11</v>
      </c>
      <c r="G736">
        <v>11</v>
      </c>
      <c r="H736">
        <v>11</v>
      </c>
      <c r="I736">
        <v>12</v>
      </c>
      <c r="J736">
        <v>12</v>
      </c>
      <c r="K736">
        <v>13</v>
      </c>
      <c r="L736">
        <v>12</v>
      </c>
    </row>
    <row r="737" spans="1:12">
      <c r="A737" t="s">
        <v>148</v>
      </c>
      <c r="B737">
        <v>2</v>
      </c>
      <c r="C737">
        <v>2</v>
      </c>
      <c r="D737">
        <v>2</v>
      </c>
      <c r="E737">
        <v>3</v>
      </c>
      <c r="F737">
        <v>3</v>
      </c>
      <c r="G737">
        <v>5</v>
      </c>
      <c r="H737">
        <v>5</v>
      </c>
      <c r="I737">
        <v>4</v>
      </c>
      <c r="J737">
        <v>4</v>
      </c>
      <c r="K737">
        <v>4</v>
      </c>
      <c r="L737">
        <v>4</v>
      </c>
    </row>
    <row r="738" spans="1:12">
      <c r="A738" t="s">
        <v>149</v>
      </c>
      <c r="B738">
        <v>5</v>
      </c>
      <c r="C738">
        <v>5</v>
      </c>
      <c r="D738">
        <v>5</v>
      </c>
      <c r="E738">
        <v>5</v>
      </c>
      <c r="F738">
        <v>5</v>
      </c>
      <c r="G738">
        <v>5</v>
      </c>
      <c r="H738">
        <v>5</v>
      </c>
      <c r="I738">
        <v>5</v>
      </c>
      <c r="J738">
        <v>5</v>
      </c>
      <c r="K738">
        <v>5</v>
      </c>
      <c r="L738">
        <v>4</v>
      </c>
    </row>
    <row r="739" spans="1:12">
      <c r="A739" t="s">
        <v>150</v>
      </c>
      <c r="B739">
        <v>11</v>
      </c>
      <c r="C739">
        <v>11</v>
      </c>
      <c r="D739">
        <v>11</v>
      </c>
      <c r="E739">
        <v>11</v>
      </c>
      <c r="F739">
        <v>12</v>
      </c>
      <c r="G739">
        <v>14</v>
      </c>
      <c r="H739">
        <v>15</v>
      </c>
      <c r="I739">
        <v>15</v>
      </c>
      <c r="J739">
        <v>13</v>
      </c>
      <c r="K739">
        <v>14</v>
      </c>
      <c r="L739">
        <v>15</v>
      </c>
    </row>
    <row r="740" spans="1:12">
      <c r="A740" t="s">
        <v>151</v>
      </c>
      <c r="B740">
        <v>2</v>
      </c>
      <c r="C740">
        <v>2</v>
      </c>
      <c r="D740">
        <v>2</v>
      </c>
      <c r="E740">
        <v>2</v>
      </c>
      <c r="F740">
        <v>3</v>
      </c>
      <c r="G740">
        <v>4</v>
      </c>
      <c r="H740">
        <v>4</v>
      </c>
      <c r="I740">
        <v>4</v>
      </c>
      <c r="J740">
        <v>4</v>
      </c>
      <c r="K740">
        <v>5</v>
      </c>
      <c r="L740">
        <v>6</v>
      </c>
    </row>
    <row r="741" spans="1:12">
      <c r="A741" t="s">
        <v>152</v>
      </c>
      <c r="B741">
        <v>8</v>
      </c>
      <c r="C741">
        <v>8</v>
      </c>
      <c r="D741">
        <v>9</v>
      </c>
      <c r="E741">
        <v>9</v>
      </c>
      <c r="F741">
        <v>9</v>
      </c>
      <c r="G741">
        <v>17</v>
      </c>
      <c r="H741">
        <v>15</v>
      </c>
      <c r="I741">
        <v>15</v>
      </c>
      <c r="J741">
        <v>14</v>
      </c>
      <c r="K741">
        <v>15</v>
      </c>
      <c r="L741">
        <v>17</v>
      </c>
    </row>
    <row r="742" spans="1:12">
      <c r="A742" t="s">
        <v>153</v>
      </c>
      <c r="B742">
        <v>14</v>
      </c>
      <c r="C742">
        <v>14</v>
      </c>
      <c r="D742">
        <v>14</v>
      </c>
      <c r="E742">
        <v>15</v>
      </c>
      <c r="F742">
        <v>16</v>
      </c>
      <c r="G742">
        <v>18</v>
      </c>
      <c r="H742">
        <v>17</v>
      </c>
      <c r="I742">
        <v>16</v>
      </c>
      <c r="J742">
        <v>17</v>
      </c>
      <c r="K742">
        <v>17</v>
      </c>
      <c r="L742">
        <v>16</v>
      </c>
    </row>
    <row r="743" spans="1:12">
      <c r="A743" t="s">
        <v>154</v>
      </c>
      <c r="B743">
        <v>25</v>
      </c>
      <c r="C743">
        <v>25</v>
      </c>
      <c r="D743">
        <v>24</v>
      </c>
      <c r="E743">
        <v>27</v>
      </c>
      <c r="F743">
        <v>26</v>
      </c>
      <c r="G743">
        <v>32</v>
      </c>
      <c r="H743">
        <v>30</v>
      </c>
      <c r="I743">
        <v>31</v>
      </c>
      <c r="J743">
        <v>30</v>
      </c>
      <c r="K743">
        <v>30</v>
      </c>
      <c r="L743">
        <v>32</v>
      </c>
    </row>
    <row r="744" spans="1:12">
      <c r="A744" t="s">
        <v>155</v>
      </c>
      <c r="B744">
        <v>10</v>
      </c>
      <c r="C744">
        <v>10</v>
      </c>
      <c r="D744">
        <v>8</v>
      </c>
      <c r="E744">
        <v>8</v>
      </c>
      <c r="F744">
        <v>10</v>
      </c>
      <c r="G744">
        <v>11</v>
      </c>
      <c r="H744">
        <v>12</v>
      </c>
      <c r="I744">
        <v>12</v>
      </c>
      <c r="J744">
        <v>12</v>
      </c>
      <c r="K744">
        <v>12</v>
      </c>
      <c r="L744">
        <v>13</v>
      </c>
    </row>
    <row r="745" spans="1:12">
      <c r="A745" t="s">
        <v>156</v>
      </c>
      <c r="B745">
        <v>8</v>
      </c>
      <c r="C745">
        <v>8</v>
      </c>
      <c r="D745">
        <v>8</v>
      </c>
      <c r="E745">
        <v>8</v>
      </c>
      <c r="F745">
        <v>8</v>
      </c>
      <c r="G745">
        <v>10</v>
      </c>
      <c r="H745">
        <v>11</v>
      </c>
      <c r="I745">
        <v>10</v>
      </c>
      <c r="J745">
        <v>10</v>
      </c>
      <c r="K745">
        <v>10</v>
      </c>
      <c r="L745">
        <v>11</v>
      </c>
    </row>
    <row r="746" spans="1:12">
      <c r="A746" t="s">
        <v>157</v>
      </c>
      <c r="B746">
        <v>10</v>
      </c>
      <c r="C746">
        <v>9</v>
      </c>
      <c r="D746">
        <v>11</v>
      </c>
      <c r="E746">
        <v>11</v>
      </c>
      <c r="F746">
        <v>11</v>
      </c>
      <c r="G746">
        <v>13</v>
      </c>
      <c r="H746">
        <v>13</v>
      </c>
      <c r="I746">
        <v>13</v>
      </c>
      <c r="J746">
        <v>12</v>
      </c>
      <c r="K746">
        <v>12</v>
      </c>
      <c r="L746">
        <v>14</v>
      </c>
    </row>
    <row r="747" spans="1:12">
      <c r="A747" t="s">
        <v>158</v>
      </c>
      <c r="B747">
        <v>7</v>
      </c>
      <c r="C747">
        <v>7</v>
      </c>
      <c r="D747">
        <v>6</v>
      </c>
      <c r="E747">
        <v>7</v>
      </c>
      <c r="F747">
        <v>7</v>
      </c>
      <c r="G747">
        <v>8</v>
      </c>
      <c r="H747">
        <v>8</v>
      </c>
      <c r="I747">
        <v>8</v>
      </c>
      <c r="J747">
        <v>8</v>
      </c>
      <c r="K747">
        <v>9</v>
      </c>
      <c r="L747">
        <v>8</v>
      </c>
    </row>
    <row r="748" spans="1:12">
      <c r="A748" t="s">
        <v>159</v>
      </c>
      <c r="B748">
        <v>4</v>
      </c>
      <c r="C748">
        <v>4</v>
      </c>
      <c r="D748">
        <v>4</v>
      </c>
      <c r="E748">
        <v>5</v>
      </c>
      <c r="F748">
        <v>5</v>
      </c>
      <c r="G748">
        <v>6</v>
      </c>
      <c r="H748">
        <v>6</v>
      </c>
      <c r="I748">
        <v>6</v>
      </c>
      <c r="J748">
        <v>4</v>
      </c>
      <c r="K748">
        <v>4</v>
      </c>
      <c r="L748">
        <v>4</v>
      </c>
    </row>
    <row r="749" spans="1:12">
      <c r="A749" t="s">
        <v>160</v>
      </c>
      <c r="B749">
        <v>4</v>
      </c>
      <c r="C749">
        <v>4</v>
      </c>
      <c r="D749">
        <v>5</v>
      </c>
      <c r="E749">
        <v>6</v>
      </c>
      <c r="F749">
        <v>7</v>
      </c>
      <c r="G749">
        <v>10</v>
      </c>
      <c r="H749">
        <v>10</v>
      </c>
      <c r="I749">
        <v>8</v>
      </c>
      <c r="J749">
        <v>8</v>
      </c>
      <c r="K749">
        <v>9</v>
      </c>
      <c r="L749">
        <v>9</v>
      </c>
    </row>
    <row r="750" spans="1:12">
      <c r="A750" t="s">
        <v>161</v>
      </c>
      <c r="B750">
        <v>26</v>
      </c>
      <c r="C750">
        <v>26</v>
      </c>
      <c r="D750">
        <v>26</v>
      </c>
      <c r="E750">
        <v>25</v>
      </c>
      <c r="F750">
        <v>25</v>
      </c>
      <c r="G750">
        <v>33</v>
      </c>
      <c r="H750">
        <v>33</v>
      </c>
      <c r="I750">
        <v>33</v>
      </c>
      <c r="J750">
        <v>29</v>
      </c>
      <c r="K750">
        <v>30</v>
      </c>
      <c r="L750">
        <v>29</v>
      </c>
    </row>
    <row r="751" spans="1:12">
      <c r="A751" t="s">
        <v>162</v>
      </c>
      <c r="B751">
        <v>11</v>
      </c>
      <c r="C751">
        <v>13</v>
      </c>
      <c r="D751">
        <v>12</v>
      </c>
      <c r="E751">
        <v>11</v>
      </c>
      <c r="F751">
        <v>12</v>
      </c>
      <c r="G751">
        <v>15</v>
      </c>
      <c r="H751">
        <v>14</v>
      </c>
      <c r="I751">
        <v>15</v>
      </c>
      <c r="J751">
        <v>14</v>
      </c>
      <c r="K751">
        <v>12</v>
      </c>
      <c r="L751">
        <v>12</v>
      </c>
    </row>
    <row r="752" spans="1:12">
      <c r="A752" t="s">
        <v>163</v>
      </c>
      <c r="B752">
        <v>6</v>
      </c>
      <c r="C752">
        <v>6</v>
      </c>
      <c r="D752">
        <v>6</v>
      </c>
      <c r="E752">
        <v>7</v>
      </c>
      <c r="F752">
        <v>7</v>
      </c>
      <c r="G752">
        <v>8</v>
      </c>
      <c r="H752">
        <v>9</v>
      </c>
      <c r="I752">
        <v>7</v>
      </c>
      <c r="J752">
        <v>9</v>
      </c>
      <c r="K752">
        <v>9</v>
      </c>
      <c r="L752">
        <v>12</v>
      </c>
    </row>
    <row r="753" spans="1:12">
      <c r="A753" t="s">
        <v>164</v>
      </c>
      <c r="B753">
        <v>4</v>
      </c>
      <c r="C753">
        <v>5</v>
      </c>
      <c r="D753">
        <v>4</v>
      </c>
      <c r="E753">
        <v>4</v>
      </c>
      <c r="F753">
        <v>4</v>
      </c>
      <c r="G753">
        <v>5</v>
      </c>
      <c r="H753">
        <v>4</v>
      </c>
      <c r="I753">
        <v>4</v>
      </c>
      <c r="J753">
        <v>4</v>
      </c>
      <c r="K753">
        <v>4</v>
      </c>
      <c r="L753">
        <v>6</v>
      </c>
    </row>
    <row r="754" spans="1:12">
      <c r="A754" t="s">
        <v>165</v>
      </c>
      <c r="B754">
        <v>21</v>
      </c>
      <c r="C754">
        <v>19</v>
      </c>
      <c r="D754">
        <v>20</v>
      </c>
      <c r="E754">
        <v>21</v>
      </c>
      <c r="F754">
        <v>21</v>
      </c>
      <c r="G754">
        <v>29</v>
      </c>
      <c r="H754">
        <v>26</v>
      </c>
      <c r="I754">
        <v>24</v>
      </c>
      <c r="J754">
        <v>21</v>
      </c>
      <c r="K754">
        <v>21</v>
      </c>
      <c r="L754">
        <v>21</v>
      </c>
    </row>
    <row r="755" spans="1:12">
      <c r="A755" t="s">
        <v>166</v>
      </c>
      <c r="B755">
        <v>20</v>
      </c>
      <c r="C755">
        <v>19</v>
      </c>
      <c r="D755">
        <v>21</v>
      </c>
      <c r="E755">
        <v>21</v>
      </c>
      <c r="F755">
        <v>20</v>
      </c>
      <c r="G755">
        <v>21</v>
      </c>
      <c r="H755">
        <v>22</v>
      </c>
      <c r="I755">
        <v>20</v>
      </c>
      <c r="J755">
        <v>20</v>
      </c>
      <c r="K755">
        <v>21</v>
      </c>
      <c r="L755">
        <v>23</v>
      </c>
    </row>
    <row r="756" spans="1:12">
      <c r="A756" t="s">
        <v>167</v>
      </c>
      <c r="B756">
        <v>2</v>
      </c>
      <c r="C756">
        <v>2</v>
      </c>
      <c r="D756">
        <v>2</v>
      </c>
      <c r="E756">
        <v>2</v>
      </c>
      <c r="F756">
        <v>2</v>
      </c>
      <c r="G756">
        <v>3</v>
      </c>
      <c r="H756">
        <v>2</v>
      </c>
      <c r="I756">
        <v>2</v>
      </c>
      <c r="J756">
        <v>2</v>
      </c>
      <c r="K756">
        <v>2</v>
      </c>
      <c r="L756">
        <v>2</v>
      </c>
    </row>
    <row r="757" spans="1:12">
      <c r="A757" t="s">
        <v>168</v>
      </c>
      <c r="B757">
        <v>1</v>
      </c>
      <c r="C757">
        <v>1</v>
      </c>
      <c r="D757">
        <v>2</v>
      </c>
      <c r="E757">
        <v>2</v>
      </c>
      <c r="F757">
        <v>2</v>
      </c>
      <c r="G757">
        <v>2</v>
      </c>
      <c r="H757">
        <v>2</v>
      </c>
      <c r="I757">
        <v>4</v>
      </c>
      <c r="J757">
        <v>3</v>
      </c>
      <c r="K757">
        <v>3</v>
      </c>
      <c r="L757">
        <v>3</v>
      </c>
    </row>
    <row r="758" spans="1:12">
      <c r="A758" t="s">
        <v>169</v>
      </c>
      <c r="B758">
        <v>10</v>
      </c>
      <c r="C758">
        <v>10</v>
      </c>
      <c r="D758">
        <v>10</v>
      </c>
      <c r="E758">
        <v>11</v>
      </c>
      <c r="F758">
        <v>11</v>
      </c>
      <c r="G758">
        <v>11</v>
      </c>
      <c r="H758">
        <v>12</v>
      </c>
      <c r="I758">
        <v>11</v>
      </c>
      <c r="J758">
        <v>11</v>
      </c>
      <c r="K758">
        <v>11</v>
      </c>
      <c r="L758">
        <v>11</v>
      </c>
    </row>
    <row r="759" spans="1:12">
      <c r="A759" t="s">
        <v>170</v>
      </c>
      <c r="B759">
        <v>5</v>
      </c>
      <c r="C759">
        <v>5</v>
      </c>
      <c r="D759">
        <v>6</v>
      </c>
      <c r="E759">
        <v>6</v>
      </c>
      <c r="F759">
        <v>6</v>
      </c>
      <c r="G759">
        <v>6</v>
      </c>
      <c r="H759">
        <v>8</v>
      </c>
      <c r="I759">
        <v>7</v>
      </c>
      <c r="J759">
        <v>7</v>
      </c>
      <c r="K759">
        <v>9</v>
      </c>
      <c r="L759">
        <v>8</v>
      </c>
    </row>
    <row r="760" spans="1:12">
      <c r="A760" t="s">
        <v>171</v>
      </c>
      <c r="B760">
        <v>6</v>
      </c>
      <c r="C760">
        <v>6</v>
      </c>
      <c r="D760">
        <v>6</v>
      </c>
      <c r="E760">
        <v>6</v>
      </c>
      <c r="F760">
        <v>7</v>
      </c>
      <c r="G760">
        <v>9</v>
      </c>
      <c r="H760">
        <v>8</v>
      </c>
      <c r="I760">
        <v>10</v>
      </c>
      <c r="J760">
        <v>9</v>
      </c>
      <c r="K760">
        <v>7</v>
      </c>
      <c r="L760">
        <v>7</v>
      </c>
    </row>
    <row r="761" spans="1:12">
      <c r="A761" t="s">
        <v>172</v>
      </c>
      <c r="B761">
        <v>3</v>
      </c>
      <c r="C761">
        <v>3</v>
      </c>
      <c r="D761">
        <v>3</v>
      </c>
      <c r="E761">
        <v>3</v>
      </c>
      <c r="F761">
        <v>3</v>
      </c>
      <c r="G761">
        <v>3</v>
      </c>
      <c r="H761">
        <v>3</v>
      </c>
      <c r="I761">
        <v>3</v>
      </c>
      <c r="J761">
        <v>4</v>
      </c>
      <c r="K761">
        <v>4</v>
      </c>
      <c r="L761">
        <v>4</v>
      </c>
    </row>
    <row r="762" spans="1:12">
      <c r="A762" t="s">
        <v>173</v>
      </c>
      <c r="B762">
        <v>5</v>
      </c>
      <c r="C762">
        <v>5</v>
      </c>
      <c r="D762">
        <v>5</v>
      </c>
      <c r="E762">
        <v>6</v>
      </c>
      <c r="F762">
        <v>5</v>
      </c>
      <c r="G762">
        <v>8</v>
      </c>
      <c r="H762">
        <v>8</v>
      </c>
      <c r="I762">
        <v>6</v>
      </c>
      <c r="J762">
        <v>6</v>
      </c>
      <c r="K762">
        <v>6</v>
      </c>
      <c r="L762">
        <v>6</v>
      </c>
    </row>
    <row r="763" spans="1:12">
      <c r="A763" t="s">
        <v>174</v>
      </c>
      <c r="B763">
        <v>2</v>
      </c>
      <c r="C763">
        <v>2</v>
      </c>
      <c r="D763">
        <v>1</v>
      </c>
      <c r="E763">
        <v>1</v>
      </c>
      <c r="F763">
        <v>1</v>
      </c>
      <c r="G763">
        <v>3</v>
      </c>
      <c r="H763">
        <v>2</v>
      </c>
      <c r="I763">
        <v>3</v>
      </c>
      <c r="J763">
        <v>2</v>
      </c>
      <c r="K763">
        <v>3</v>
      </c>
      <c r="L763">
        <v>3</v>
      </c>
    </row>
    <row r="764" spans="1:12">
      <c r="A764" t="s">
        <v>175</v>
      </c>
      <c r="B764">
        <v>7</v>
      </c>
      <c r="C764">
        <v>7</v>
      </c>
      <c r="D764">
        <v>7</v>
      </c>
      <c r="E764">
        <v>7</v>
      </c>
      <c r="F764">
        <v>7</v>
      </c>
      <c r="G764">
        <v>7</v>
      </c>
      <c r="H764">
        <v>8</v>
      </c>
      <c r="I764">
        <v>8</v>
      </c>
      <c r="J764">
        <v>8</v>
      </c>
      <c r="K764">
        <v>8</v>
      </c>
      <c r="L764">
        <v>8</v>
      </c>
    </row>
    <row r="765" spans="1:12">
      <c r="A765" t="s">
        <v>176</v>
      </c>
      <c r="B765">
        <v>4</v>
      </c>
      <c r="C765">
        <v>4</v>
      </c>
      <c r="D765">
        <v>3</v>
      </c>
      <c r="E765">
        <v>3</v>
      </c>
      <c r="F765">
        <v>3</v>
      </c>
      <c r="G765">
        <v>4</v>
      </c>
      <c r="H765">
        <v>4</v>
      </c>
      <c r="I765">
        <v>4</v>
      </c>
      <c r="J765">
        <v>4</v>
      </c>
      <c r="K765">
        <v>4</v>
      </c>
      <c r="L765">
        <v>4</v>
      </c>
    </row>
    <row r="766" spans="1:12">
      <c r="A766" t="s">
        <v>177</v>
      </c>
      <c r="B766">
        <v>4</v>
      </c>
      <c r="C766">
        <v>4</v>
      </c>
      <c r="D766">
        <v>4</v>
      </c>
      <c r="E766">
        <v>4</v>
      </c>
      <c r="F766">
        <v>4</v>
      </c>
      <c r="G766">
        <v>5</v>
      </c>
      <c r="H766">
        <v>5</v>
      </c>
      <c r="I766">
        <v>5</v>
      </c>
      <c r="J766">
        <v>5</v>
      </c>
      <c r="K766">
        <v>5</v>
      </c>
      <c r="L766">
        <v>5</v>
      </c>
    </row>
    <row r="767" spans="1:12">
      <c r="A767" t="s">
        <v>178</v>
      </c>
      <c r="B767">
        <v>1</v>
      </c>
      <c r="C767">
        <v>1</v>
      </c>
      <c r="D767">
        <v>1</v>
      </c>
      <c r="E767">
        <v>1</v>
      </c>
      <c r="F767">
        <v>1</v>
      </c>
      <c r="G767">
        <v>1</v>
      </c>
      <c r="H767">
        <v>2</v>
      </c>
      <c r="I767">
        <v>2</v>
      </c>
      <c r="J767">
        <v>2</v>
      </c>
      <c r="K767">
        <v>2</v>
      </c>
      <c r="L767">
        <v>2</v>
      </c>
    </row>
    <row r="768" spans="1:12">
      <c r="A768" t="s">
        <v>179</v>
      </c>
      <c r="B768">
        <v>37</v>
      </c>
      <c r="C768">
        <v>38</v>
      </c>
      <c r="D768">
        <v>37</v>
      </c>
      <c r="E768">
        <v>36</v>
      </c>
      <c r="F768">
        <v>34</v>
      </c>
      <c r="G768">
        <v>38</v>
      </c>
      <c r="H768">
        <v>34</v>
      </c>
      <c r="I768">
        <v>35</v>
      </c>
      <c r="J768">
        <v>32</v>
      </c>
      <c r="K768">
        <v>32</v>
      </c>
      <c r="L768">
        <v>33</v>
      </c>
    </row>
    <row r="769" spans="1:12">
      <c r="A769" t="s">
        <v>180</v>
      </c>
      <c r="B769">
        <v>5</v>
      </c>
      <c r="C769">
        <v>6</v>
      </c>
      <c r="D769">
        <v>6</v>
      </c>
      <c r="E769">
        <v>7</v>
      </c>
      <c r="F769">
        <v>6</v>
      </c>
      <c r="G769">
        <v>6</v>
      </c>
      <c r="H769">
        <v>4</v>
      </c>
      <c r="I769">
        <v>4</v>
      </c>
      <c r="J769">
        <v>4</v>
      </c>
      <c r="K769">
        <v>5</v>
      </c>
      <c r="L769">
        <v>5</v>
      </c>
    </row>
    <row r="770" spans="1:12">
      <c r="A770" t="s">
        <v>181</v>
      </c>
      <c r="B770">
        <v>1</v>
      </c>
      <c r="C770">
        <v>1</v>
      </c>
      <c r="D770">
        <v>1</v>
      </c>
      <c r="E770" t="s">
        <v>225</v>
      </c>
      <c r="F770" t="s">
        <v>225</v>
      </c>
      <c r="G770">
        <v>1</v>
      </c>
      <c r="H770">
        <v>2</v>
      </c>
      <c r="I770">
        <v>2</v>
      </c>
      <c r="J770">
        <v>3</v>
      </c>
      <c r="K770">
        <v>3</v>
      </c>
      <c r="L770">
        <v>1</v>
      </c>
    </row>
    <row r="771" spans="1:12">
      <c r="A771" t="s">
        <v>182</v>
      </c>
      <c r="B771">
        <v>7</v>
      </c>
      <c r="C771">
        <v>7</v>
      </c>
      <c r="D771">
        <v>7</v>
      </c>
      <c r="E771">
        <v>7</v>
      </c>
      <c r="F771">
        <v>7</v>
      </c>
      <c r="G771">
        <v>10</v>
      </c>
      <c r="H771">
        <v>9</v>
      </c>
      <c r="I771">
        <v>7</v>
      </c>
      <c r="J771">
        <v>7</v>
      </c>
      <c r="K771">
        <v>7</v>
      </c>
      <c r="L771">
        <v>7</v>
      </c>
    </row>
    <row r="772" spans="1:12">
      <c r="A772" t="s">
        <v>183</v>
      </c>
      <c r="B772">
        <v>3</v>
      </c>
      <c r="C772">
        <v>3</v>
      </c>
      <c r="D772">
        <v>3</v>
      </c>
      <c r="E772">
        <v>3</v>
      </c>
      <c r="F772">
        <v>3</v>
      </c>
      <c r="G772">
        <v>3</v>
      </c>
      <c r="H772">
        <v>3</v>
      </c>
      <c r="I772">
        <v>3</v>
      </c>
      <c r="J772">
        <v>3</v>
      </c>
      <c r="K772">
        <v>3</v>
      </c>
      <c r="L772">
        <v>3</v>
      </c>
    </row>
    <row r="773" spans="1:12">
      <c r="A773" t="s">
        <v>184</v>
      </c>
      <c r="B773">
        <v>5</v>
      </c>
      <c r="C773">
        <v>5</v>
      </c>
      <c r="D773">
        <v>5</v>
      </c>
      <c r="E773">
        <v>5</v>
      </c>
      <c r="F773">
        <v>5</v>
      </c>
      <c r="G773">
        <v>6</v>
      </c>
      <c r="H773">
        <v>5</v>
      </c>
      <c r="I773">
        <v>5</v>
      </c>
      <c r="J773">
        <v>5</v>
      </c>
      <c r="K773">
        <v>5</v>
      </c>
      <c r="L773">
        <v>5</v>
      </c>
    </row>
    <row r="774" spans="1:12">
      <c r="A774" t="s">
        <v>185</v>
      </c>
      <c r="B774">
        <v>2</v>
      </c>
      <c r="C774">
        <v>2</v>
      </c>
      <c r="D774">
        <v>2</v>
      </c>
      <c r="E774">
        <v>2</v>
      </c>
      <c r="F774">
        <v>2</v>
      </c>
      <c r="G774">
        <v>2</v>
      </c>
      <c r="H774">
        <v>2</v>
      </c>
      <c r="I774">
        <v>2</v>
      </c>
      <c r="J774">
        <v>2</v>
      </c>
      <c r="K774">
        <v>2</v>
      </c>
      <c r="L774">
        <v>2</v>
      </c>
    </row>
    <row r="775" spans="1:12">
      <c r="A775" t="s">
        <v>186</v>
      </c>
      <c r="B775">
        <v>2</v>
      </c>
      <c r="C775">
        <v>2</v>
      </c>
      <c r="D775">
        <v>2</v>
      </c>
      <c r="E775">
        <v>2</v>
      </c>
      <c r="F775">
        <v>2</v>
      </c>
      <c r="G775">
        <v>3</v>
      </c>
      <c r="H775">
        <v>3</v>
      </c>
      <c r="I775">
        <v>2</v>
      </c>
      <c r="J775">
        <v>2</v>
      </c>
      <c r="K775">
        <v>2</v>
      </c>
      <c r="L775">
        <v>2</v>
      </c>
    </row>
    <row r="776" spans="1:12">
      <c r="A776" t="s">
        <v>187</v>
      </c>
      <c r="B776">
        <v>4</v>
      </c>
      <c r="C776">
        <v>4</v>
      </c>
      <c r="D776">
        <v>4</v>
      </c>
      <c r="E776">
        <v>4</v>
      </c>
      <c r="F776">
        <v>4</v>
      </c>
      <c r="G776">
        <v>4</v>
      </c>
      <c r="H776">
        <v>4</v>
      </c>
      <c r="I776">
        <v>4</v>
      </c>
      <c r="J776">
        <v>4</v>
      </c>
      <c r="K776">
        <v>4</v>
      </c>
      <c r="L776">
        <v>5</v>
      </c>
    </row>
    <row r="777" spans="1:12">
      <c r="A777" t="s">
        <v>188</v>
      </c>
      <c r="B777">
        <v>2</v>
      </c>
      <c r="C777">
        <v>2</v>
      </c>
      <c r="D777">
        <v>2</v>
      </c>
      <c r="E777">
        <v>2</v>
      </c>
      <c r="F777">
        <v>2</v>
      </c>
      <c r="G777">
        <v>3</v>
      </c>
      <c r="H777">
        <v>2</v>
      </c>
      <c r="I777">
        <v>2</v>
      </c>
      <c r="J777">
        <v>2</v>
      </c>
      <c r="K777">
        <v>2</v>
      </c>
      <c r="L777">
        <v>2</v>
      </c>
    </row>
    <row r="778" spans="1:12">
      <c r="A778" t="s">
        <v>189</v>
      </c>
      <c r="B778">
        <v>2</v>
      </c>
      <c r="C778">
        <v>2</v>
      </c>
      <c r="D778">
        <v>2</v>
      </c>
      <c r="E778">
        <v>3</v>
      </c>
      <c r="F778">
        <v>3</v>
      </c>
      <c r="G778">
        <v>3</v>
      </c>
      <c r="H778">
        <v>3</v>
      </c>
      <c r="I778">
        <v>4</v>
      </c>
      <c r="J778">
        <v>4</v>
      </c>
      <c r="K778">
        <v>4</v>
      </c>
      <c r="L778">
        <v>4</v>
      </c>
    </row>
    <row r="779" spans="1:12">
      <c r="A779" t="s">
        <v>190</v>
      </c>
      <c r="B779">
        <v>9</v>
      </c>
      <c r="C779">
        <v>9</v>
      </c>
      <c r="D779">
        <v>9</v>
      </c>
      <c r="E779">
        <v>9</v>
      </c>
      <c r="F779">
        <v>8</v>
      </c>
      <c r="G779">
        <v>9</v>
      </c>
      <c r="H779">
        <v>10</v>
      </c>
      <c r="I779">
        <v>11</v>
      </c>
      <c r="J779">
        <v>11</v>
      </c>
      <c r="K779">
        <v>11</v>
      </c>
      <c r="L779">
        <v>11</v>
      </c>
    </row>
    <row r="780" spans="1:12">
      <c r="A780" t="s">
        <v>191</v>
      </c>
      <c r="B780">
        <v>2</v>
      </c>
      <c r="C780">
        <v>2</v>
      </c>
      <c r="D780">
        <v>2</v>
      </c>
      <c r="E780">
        <v>2</v>
      </c>
      <c r="F780">
        <v>2</v>
      </c>
      <c r="G780">
        <v>4</v>
      </c>
      <c r="H780">
        <v>3</v>
      </c>
      <c r="I780">
        <v>2</v>
      </c>
      <c r="J780">
        <v>2</v>
      </c>
      <c r="K780">
        <v>2</v>
      </c>
      <c r="L780">
        <v>2</v>
      </c>
    </row>
    <row r="781" spans="1:12">
      <c r="A781" t="s">
        <v>192</v>
      </c>
      <c r="B781">
        <v>6</v>
      </c>
      <c r="C781">
        <v>6</v>
      </c>
      <c r="D781">
        <v>6</v>
      </c>
      <c r="E781">
        <v>6</v>
      </c>
      <c r="F781">
        <v>6</v>
      </c>
      <c r="G781">
        <v>7</v>
      </c>
      <c r="H781">
        <v>6</v>
      </c>
      <c r="I781">
        <v>6</v>
      </c>
      <c r="J781">
        <v>5</v>
      </c>
      <c r="K781">
        <v>5</v>
      </c>
      <c r="L781">
        <v>5</v>
      </c>
    </row>
    <row r="782" spans="1:12">
      <c r="A782" t="s">
        <v>193</v>
      </c>
      <c r="B782">
        <v>5</v>
      </c>
      <c r="C782">
        <v>5</v>
      </c>
      <c r="D782">
        <v>5</v>
      </c>
      <c r="E782">
        <v>5</v>
      </c>
      <c r="F782">
        <v>5</v>
      </c>
      <c r="G782">
        <v>7</v>
      </c>
      <c r="H782">
        <v>7</v>
      </c>
      <c r="I782">
        <v>5</v>
      </c>
      <c r="J782">
        <v>5</v>
      </c>
      <c r="K782">
        <v>5</v>
      </c>
      <c r="L782">
        <v>5</v>
      </c>
    </row>
    <row r="783" spans="1:12">
      <c r="A783" t="s">
        <v>194</v>
      </c>
      <c r="B783">
        <v>5</v>
      </c>
      <c r="C783">
        <v>5</v>
      </c>
      <c r="D783">
        <v>4</v>
      </c>
      <c r="E783">
        <v>4</v>
      </c>
      <c r="F783">
        <v>4</v>
      </c>
      <c r="G783">
        <v>4</v>
      </c>
      <c r="H783">
        <v>4</v>
      </c>
      <c r="I783">
        <v>5</v>
      </c>
      <c r="J783">
        <v>5</v>
      </c>
      <c r="K783">
        <v>5</v>
      </c>
      <c r="L783">
        <v>5</v>
      </c>
    </row>
    <row r="784" spans="1:12">
      <c r="A784" t="s">
        <v>195</v>
      </c>
      <c r="B784">
        <v>5</v>
      </c>
      <c r="C784">
        <v>5</v>
      </c>
      <c r="D784">
        <v>5</v>
      </c>
      <c r="E784">
        <v>6</v>
      </c>
      <c r="F784">
        <v>6</v>
      </c>
      <c r="G784">
        <v>6</v>
      </c>
      <c r="H784">
        <v>6</v>
      </c>
      <c r="I784">
        <v>6</v>
      </c>
      <c r="J784">
        <v>6</v>
      </c>
      <c r="K784">
        <v>6</v>
      </c>
      <c r="L784">
        <v>6</v>
      </c>
    </row>
    <row r="785" spans="1:12">
      <c r="A785" t="s">
        <v>196</v>
      </c>
      <c r="B785">
        <v>58</v>
      </c>
      <c r="C785">
        <v>55</v>
      </c>
      <c r="D785">
        <v>55</v>
      </c>
      <c r="E785">
        <v>55</v>
      </c>
      <c r="F785">
        <v>55</v>
      </c>
      <c r="G785">
        <v>65</v>
      </c>
      <c r="H785">
        <v>74</v>
      </c>
      <c r="I785">
        <v>67</v>
      </c>
      <c r="J785">
        <v>66</v>
      </c>
      <c r="K785">
        <v>65</v>
      </c>
      <c r="L785">
        <v>68</v>
      </c>
    </row>
    <row r="786" spans="1:12">
      <c r="A786" t="s">
        <v>197</v>
      </c>
      <c r="B786">
        <v>5</v>
      </c>
      <c r="C786">
        <v>5</v>
      </c>
      <c r="D786">
        <v>5</v>
      </c>
      <c r="E786">
        <v>6</v>
      </c>
      <c r="F786">
        <v>6</v>
      </c>
      <c r="G786">
        <v>7</v>
      </c>
      <c r="H786">
        <v>7</v>
      </c>
      <c r="I786">
        <v>7</v>
      </c>
      <c r="J786">
        <v>6</v>
      </c>
      <c r="K786">
        <v>7</v>
      </c>
      <c r="L786">
        <v>7</v>
      </c>
    </row>
    <row r="787" spans="1:12">
      <c r="A787" t="s">
        <v>198</v>
      </c>
      <c r="B787">
        <v>16</v>
      </c>
      <c r="C787">
        <v>15</v>
      </c>
      <c r="D787">
        <v>17</v>
      </c>
      <c r="E787">
        <v>18</v>
      </c>
      <c r="F787">
        <v>19</v>
      </c>
      <c r="G787">
        <v>20</v>
      </c>
      <c r="H787">
        <v>18</v>
      </c>
      <c r="I787">
        <v>16</v>
      </c>
      <c r="J787">
        <v>16</v>
      </c>
      <c r="K787">
        <v>17</v>
      </c>
      <c r="L787">
        <v>18</v>
      </c>
    </row>
    <row r="788" spans="1:12">
      <c r="A788" t="s">
        <v>199</v>
      </c>
      <c r="B788">
        <v>6</v>
      </c>
      <c r="C788">
        <v>6</v>
      </c>
      <c r="D788">
        <v>6</v>
      </c>
      <c r="E788">
        <v>6</v>
      </c>
      <c r="F788">
        <v>6</v>
      </c>
      <c r="G788">
        <v>6</v>
      </c>
      <c r="H788">
        <v>5</v>
      </c>
      <c r="I788">
        <v>5</v>
      </c>
      <c r="J788">
        <v>5</v>
      </c>
      <c r="K788">
        <v>5</v>
      </c>
      <c r="L788">
        <v>5</v>
      </c>
    </row>
    <row r="789" spans="1:12">
      <c r="A789" t="s">
        <v>200</v>
      </c>
      <c r="B789">
        <v>8</v>
      </c>
      <c r="C789">
        <v>8</v>
      </c>
      <c r="D789">
        <v>8</v>
      </c>
      <c r="E789">
        <v>8</v>
      </c>
      <c r="F789">
        <v>9</v>
      </c>
      <c r="G789">
        <v>9</v>
      </c>
      <c r="H789">
        <v>9</v>
      </c>
      <c r="I789">
        <v>9</v>
      </c>
      <c r="J789">
        <v>8</v>
      </c>
      <c r="K789">
        <v>7</v>
      </c>
      <c r="L789">
        <v>7</v>
      </c>
    </row>
    <row r="790" spans="1:12">
      <c r="A790" t="s">
        <v>201</v>
      </c>
      <c r="B790">
        <v>10</v>
      </c>
      <c r="C790">
        <v>9</v>
      </c>
      <c r="D790">
        <v>9</v>
      </c>
      <c r="E790">
        <v>10</v>
      </c>
      <c r="F790">
        <v>10</v>
      </c>
      <c r="G790">
        <v>10</v>
      </c>
      <c r="H790">
        <v>10</v>
      </c>
      <c r="I790">
        <v>10</v>
      </c>
      <c r="J790">
        <v>11</v>
      </c>
      <c r="K790">
        <v>11</v>
      </c>
      <c r="L790">
        <v>11</v>
      </c>
    </row>
    <row r="791" spans="1:12">
      <c r="A791" t="s">
        <v>202</v>
      </c>
      <c r="B791">
        <v>5</v>
      </c>
      <c r="C791">
        <v>6</v>
      </c>
      <c r="D791">
        <v>6</v>
      </c>
      <c r="E791">
        <v>6</v>
      </c>
      <c r="F791">
        <v>6</v>
      </c>
      <c r="G791">
        <v>6</v>
      </c>
      <c r="H791">
        <v>6</v>
      </c>
      <c r="I791">
        <v>6</v>
      </c>
      <c r="J791">
        <v>6</v>
      </c>
      <c r="K791">
        <v>7</v>
      </c>
      <c r="L791">
        <v>7</v>
      </c>
    </row>
    <row r="792" spans="1:12">
      <c r="A792" t="s">
        <v>203</v>
      </c>
      <c r="B792">
        <v>4</v>
      </c>
      <c r="C792">
        <v>4</v>
      </c>
      <c r="D792">
        <v>4</v>
      </c>
      <c r="E792">
        <v>4</v>
      </c>
      <c r="F792">
        <v>4</v>
      </c>
      <c r="G792">
        <v>5</v>
      </c>
      <c r="H792">
        <v>5</v>
      </c>
      <c r="I792">
        <v>5</v>
      </c>
      <c r="J792">
        <v>5</v>
      </c>
      <c r="K792">
        <v>4</v>
      </c>
      <c r="L792">
        <v>4</v>
      </c>
    </row>
    <row r="793" spans="1:12">
      <c r="A793" t="s">
        <v>204</v>
      </c>
      <c r="B793">
        <v>17</v>
      </c>
      <c r="C793">
        <v>17</v>
      </c>
      <c r="D793">
        <v>16</v>
      </c>
      <c r="E793">
        <v>15</v>
      </c>
      <c r="F793">
        <v>14</v>
      </c>
      <c r="G793">
        <v>14</v>
      </c>
      <c r="H793">
        <v>15</v>
      </c>
      <c r="I793">
        <v>14</v>
      </c>
      <c r="J793">
        <v>13</v>
      </c>
      <c r="K793">
        <v>13</v>
      </c>
      <c r="L793">
        <v>13</v>
      </c>
    </row>
    <row r="794" spans="1:12">
      <c r="A794" t="s">
        <v>205</v>
      </c>
      <c r="B794">
        <v>5</v>
      </c>
      <c r="C794">
        <v>5</v>
      </c>
      <c r="D794">
        <v>4</v>
      </c>
      <c r="E794">
        <v>5</v>
      </c>
      <c r="F794">
        <v>6</v>
      </c>
      <c r="G794">
        <v>10</v>
      </c>
      <c r="H794">
        <v>9</v>
      </c>
      <c r="I794">
        <v>7</v>
      </c>
      <c r="J794">
        <v>7</v>
      </c>
      <c r="K794">
        <v>6</v>
      </c>
      <c r="L794">
        <v>7</v>
      </c>
    </row>
    <row r="795" spans="1:12">
      <c r="A795" t="s">
        <v>206</v>
      </c>
      <c r="B795">
        <v>8</v>
      </c>
      <c r="C795">
        <v>8</v>
      </c>
      <c r="D795">
        <v>9</v>
      </c>
      <c r="E795">
        <v>10</v>
      </c>
      <c r="F795">
        <v>11</v>
      </c>
      <c r="G795">
        <v>10</v>
      </c>
      <c r="H795">
        <v>10</v>
      </c>
      <c r="I795">
        <v>10</v>
      </c>
      <c r="J795">
        <v>11</v>
      </c>
      <c r="K795">
        <v>12</v>
      </c>
      <c r="L795">
        <v>14</v>
      </c>
    </row>
    <row r="796" spans="1:12">
      <c r="A796" t="s">
        <v>207</v>
      </c>
      <c r="B796">
        <v>6</v>
      </c>
      <c r="C796">
        <v>7</v>
      </c>
      <c r="D796">
        <v>6</v>
      </c>
      <c r="E796">
        <v>6</v>
      </c>
      <c r="F796">
        <v>6</v>
      </c>
      <c r="G796">
        <v>6</v>
      </c>
      <c r="H796">
        <v>8</v>
      </c>
      <c r="I796">
        <v>6</v>
      </c>
      <c r="J796">
        <v>6</v>
      </c>
      <c r="K796">
        <v>4</v>
      </c>
      <c r="L796">
        <v>4</v>
      </c>
    </row>
    <row r="797" spans="1:12">
      <c r="A797" t="s">
        <v>208</v>
      </c>
      <c r="B797">
        <v>5</v>
      </c>
      <c r="C797">
        <v>5</v>
      </c>
      <c r="D797">
        <v>5</v>
      </c>
      <c r="E797">
        <v>6</v>
      </c>
      <c r="F797">
        <v>6</v>
      </c>
      <c r="G797">
        <v>7</v>
      </c>
      <c r="H797">
        <v>7</v>
      </c>
      <c r="I797">
        <v>7</v>
      </c>
      <c r="J797">
        <v>7</v>
      </c>
      <c r="K797">
        <v>6</v>
      </c>
      <c r="L797">
        <v>6</v>
      </c>
    </row>
    <row r="798" spans="1:12">
      <c r="A798" t="s">
        <v>209</v>
      </c>
      <c r="B798">
        <v>31</v>
      </c>
      <c r="C798">
        <v>31</v>
      </c>
      <c r="D798">
        <v>30</v>
      </c>
      <c r="E798">
        <v>27</v>
      </c>
      <c r="F798">
        <v>23</v>
      </c>
      <c r="G798">
        <v>28</v>
      </c>
      <c r="H798">
        <v>29</v>
      </c>
      <c r="I798">
        <v>26</v>
      </c>
      <c r="J798">
        <v>24</v>
      </c>
      <c r="K798">
        <v>23</v>
      </c>
      <c r="L798">
        <v>24</v>
      </c>
    </row>
    <row r="799" spans="1:12">
      <c r="A799" t="s">
        <v>210</v>
      </c>
      <c r="B799">
        <v>18</v>
      </c>
      <c r="C799">
        <v>17</v>
      </c>
      <c r="D799">
        <v>15</v>
      </c>
      <c r="E799">
        <v>16</v>
      </c>
      <c r="F799">
        <v>15</v>
      </c>
      <c r="G799">
        <v>24</v>
      </c>
      <c r="H799">
        <v>26</v>
      </c>
      <c r="I799">
        <v>25</v>
      </c>
      <c r="J799">
        <v>27</v>
      </c>
      <c r="K799">
        <v>25</v>
      </c>
      <c r="L799">
        <v>26</v>
      </c>
    </row>
    <row r="800" spans="1:12">
      <c r="A800" t="s">
        <v>211</v>
      </c>
      <c r="B800">
        <v>573</v>
      </c>
      <c r="C800">
        <v>566</v>
      </c>
      <c r="D800">
        <v>562</v>
      </c>
      <c r="E800">
        <v>576</v>
      </c>
      <c r="F800">
        <v>577</v>
      </c>
      <c r="G800">
        <v>687</v>
      </c>
      <c r="H800">
        <v>687</v>
      </c>
      <c r="I800">
        <v>659</v>
      </c>
      <c r="J800">
        <v>640</v>
      </c>
      <c r="K800">
        <v>644</v>
      </c>
      <c r="L800">
        <v>667</v>
      </c>
    </row>
    <row r="801" spans="1:1">
      <c r="A801" t="s">
        <v>215</v>
      </c>
    </row>
    <row r="802" spans="1:1">
      <c r="A802" t="s">
        <v>216</v>
      </c>
    </row>
    <row r="803" spans="1:1">
      <c r="A803" t="s">
        <v>217</v>
      </c>
    </row>
    <row r="804" spans="1:1">
      <c r="A804" t="s">
        <v>218</v>
      </c>
    </row>
    <row r="805" spans="1:1">
      <c r="A805" t="s">
        <v>219</v>
      </c>
    </row>
    <row r="806" spans="1:1">
      <c r="A806" t="s">
        <v>220</v>
      </c>
    </row>
    <row r="807" spans="1:1">
      <c r="A807" t="s">
        <v>221</v>
      </c>
    </row>
    <row r="808" spans="1:1">
      <c r="A808" t="s">
        <v>222</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31CE9-0AB5-D94D-8A95-F4458F2A8CAE}">
  <dimension ref="A1:L979"/>
  <sheetViews>
    <sheetView topLeftCell="A861" workbookViewId="0">
      <selection activeCell="A884" sqref="A884:XFD979"/>
    </sheetView>
  </sheetViews>
  <sheetFormatPr baseColWidth="10" defaultColWidth="11.5" defaultRowHeight="15"/>
  <cols>
    <col min="1" max="1" width="28.6640625" bestFit="1" customWidth="1"/>
    <col min="2" max="2" width="5.1640625" bestFit="1" customWidth="1"/>
    <col min="3" max="3" width="9.6640625" bestFit="1" customWidth="1"/>
    <col min="18" max="18" width="30" bestFit="1" customWidth="1"/>
    <col min="19" max="20" width="5.1640625" bestFit="1" customWidth="1"/>
  </cols>
  <sheetData>
    <row r="1" spans="1:3">
      <c r="A1" t="s">
        <v>223</v>
      </c>
      <c r="B1" t="s">
        <v>0</v>
      </c>
      <c r="C1" t="s">
        <v>224</v>
      </c>
    </row>
    <row r="2" spans="1:3">
      <c r="A2" t="s">
        <v>146</v>
      </c>
      <c r="B2">
        <v>2015</v>
      </c>
      <c r="C2">
        <v>19</v>
      </c>
    </row>
    <row r="3" spans="1:3">
      <c r="A3" t="s">
        <v>146</v>
      </c>
      <c r="B3">
        <v>2016</v>
      </c>
      <c r="C3">
        <v>18</v>
      </c>
    </row>
    <row r="4" spans="1:3">
      <c r="A4" t="s">
        <v>146</v>
      </c>
      <c r="B4">
        <v>2017</v>
      </c>
      <c r="C4">
        <v>24</v>
      </c>
    </row>
    <row r="5" spans="1:3">
      <c r="A5" t="s">
        <v>146</v>
      </c>
      <c r="B5">
        <v>2018</v>
      </c>
      <c r="C5">
        <v>32</v>
      </c>
    </row>
    <row r="6" spans="1:3">
      <c r="A6" t="s">
        <v>146</v>
      </c>
      <c r="B6">
        <v>2019</v>
      </c>
      <c r="C6">
        <v>28</v>
      </c>
    </row>
    <row r="7" spans="1:3">
      <c r="A7" t="s">
        <v>146</v>
      </c>
      <c r="B7">
        <v>2020</v>
      </c>
      <c r="C7">
        <v>3</v>
      </c>
    </row>
    <row r="8" spans="1:3">
      <c r="A8" t="s">
        <v>146</v>
      </c>
      <c r="B8">
        <v>2021</v>
      </c>
      <c r="C8">
        <v>2</v>
      </c>
    </row>
    <row r="9" spans="1:3">
      <c r="A9" t="s">
        <v>146</v>
      </c>
      <c r="B9">
        <v>2022</v>
      </c>
      <c r="C9">
        <v>2</v>
      </c>
    </row>
    <row r="10" spans="1:3">
      <c r="A10" t="s">
        <v>146</v>
      </c>
      <c r="B10">
        <v>2023</v>
      </c>
      <c r="C10">
        <v>2</v>
      </c>
    </row>
    <row r="11" spans="1:3">
      <c r="A11" t="s">
        <v>146</v>
      </c>
      <c r="B11">
        <v>2024</v>
      </c>
      <c r="C11">
        <v>2</v>
      </c>
    </row>
    <row r="12" spans="1:3">
      <c r="A12" t="s">
        <v>146</v>
      </c>
      <c r="B12">
        <v>2025</v>
      </c>
      <c r="C12">
        <v>2</v>
      </c>
    </row>
    <row r="13" spans="1:3">
      <c r="A13" t="s">
        <v>147</v>
      </c>
      <c r="B13">
        <v>2015</v>
      </c>
      <c r="C13">
        <v>111</v>
      </c>
    </row>
    <row r="14" spans="1:3">
      <c r="A14" t="s">
        <v>147</v>
      </c>
      <c r="B14">
        <v>2016</v>
      </c>
      <c r="C14">
        <v>120</v>
      </c>
    </row>
    <row r="15" spans="1:3">
      <c r="A15" t="s">
        <v>147</v>
      </c>
      <c r="B15">
        <v>2017</v>
      </c>
      <c r="C15">
        <v>115</v>
      </c>
    </row>
    <row r="16" spans="1:3">
      <c r="A16" t="s">
        <v>147</v>
      </c>
      <c r="B16">
        <v>2018</v>
      </c>
      <c r="C16">
        <v>124</v>
      </c>
    </row>
    <row r="17" spans="1:3">
      <c r="A17" t="s">
        <v>147</v>
      </c>
      <c r="B17">
        <v>2019</v>
      </c>
      <c r="C17">
        <v>127</v>
      </c>
    </row>
    <row r="18" spans="1:3">
      <c r="A18" t="s">
        <v>147</v>
      </c>
      <c r="B18">
        <v>2020</v>
      </c>
      <c r="C18" t="s">
        <v>225</v>
      </c>
    </row>
    <row r="19" spans="1:3">
      <c r="A19" t="s">
        <v>147</v>
      </c>
      <c r="B19">
        <v>2021</v>
      </c>
      <c r="C19" t="s">
        <v>225</v>
      </c>
    </row>
    <row r="20" spans="1:3">
      <c r="A20" t="s">
        <v>147</v>
      </c>
      <c r="B20">
        <v>2022</v>
      </c>
      <c r="C20" t="s">
        <v>225</v>
      </c>
    </row>
    <row r="21" spans="1:3">
      <c r="A21" t="s">
        <v>147</v>
      </c>
      <c r="B21">
        <v>2023</v>
      </c>
      <c r="C21" t="s">
        <v>225</v>
      </c>
    </row>
    <row r="22" spans="1:3">
      <c r="A22" t="s">
        <v>147</v>
      </c>
      <c r="B22">
        <v>2024</v>
      </c>
      <c r="C22" t="s">
        <v>225</v>
      </c>
    </row>
    <row r="23" spans="1:3">
      <c r="A23" t="s">
        <v>147</v>
      </c>
      <c r="B23">
        <v>2025</v>
      </c>
      <c r="C23" t="s">
        <v>225</v>
      </c>
    </row>
    <row r="24" spans="1:3">
      <c r="A24" t="s">
        <v>148</v>
      </c>
      <c r="B24">
        <v>2015</v>
      </c>
      <c r="C24">
        <v>54</v>
      </c>
    </row>
    <row r="25" spans="1:3">
      <c r="A25" t="s">
        <v>148</v>
      </c>
      <c r="B25">
        <v>2016</v>
      </c>
      <c r="C25">
        <v>56</v>
      </c>
    </row>
    <row r="26" spans="1:3">
      <c r="A26" t="s">
        <v>148</v>
      </c>
      <c r="B26">
        <v>2017</v>
      </c>
      <c r="C26">
        <v>50</v>
      </c>
    </row>
    <row r="27" spans="1:3">
      <c r="A27" t="s">
        <v>148</v>
      </c>
      <c r="B27">
        <v>2018</v>
      </c>
      <c r="C27">
        <v>56</v>
      </c>
    </row>
    <row r="28" spans="1:3">
      <c r="A28" t="s">
        <v>148</v>
      </c>
      <c r="B28">
        <v>2019</v>
      </c>
      <c r="C28">
        <v>41</v>
      </c>
    </row>
    <row r="29" spans="1:3">
      <c r="A29" t="s">
        <v>148</v>
      </c>
      <c r="B29">
        <v>2020</v>
      </c>
      <c r="C29" t="s">
        <v>225</v>
      </c>
    </row>
    <row r="30" spans="1:3">
      <c r="A30" t="s">
        <v>148</v>
      </c>
      <c r="B30">
        <v>2021</v>
      </c>
      <c r="C30" t="s">
        <v>225</v>
      </c>
    </row>
    <row r="31" spans="1:3">
      <c r="A31" t="s">
        <v>148</v>
      </c>
      <c r="B31">
        <v>2022</v>
      </c>
      <c r="C31" t="s">
        <v>225</v>
      </c>
    </row>
    <row r="32" spans="1:3">
      <c r="A32" t="s">
        <v>148</v>
      </c>
      <c r="B32">
        <v>2023</v>
      </c>
      <c r="C32" t="s">
        <v>225</v>
      </c>
    </row>
    <row r="33" spans="1:3">
      <c r="A33" t="s">
        <v>148</v>
      </c>
      <c r="B33">
        <v>2024</v>
      </c>
      <c r="C33" t="s">
        <v>225</v>
      </c>
    </row>
    <row r="34" spans="1:3">
      <c r="A34" t="s">
        <v>148</v>
      </c>
      <c r="B34">
        <v>2025</v>
      </c>
      <c r="C34" t="s">
        <v>225</v>
      </c>
    </row>
    <row r="35" spans="1:3">
      <c r="A35" t="s">
        <v>150</v>
      </c>
      <c r="B35">
        <v>2015</v>
      </c>
      <c r="C35">
        <v>86</v>
      </c>
    </row>
    <row r="36" spans="1:3">
      <c r="A36" t="s">
        <v>150</v>
      </c>
      <c r="B36">
        <v>2016</v>
      </c>
      <c r="C36">
        <v>93</v>
      </c>
    </row>
    <row r="37" spans="1:3">
      <c r="A37" t="s">
        <v>150</v>
      </c>
      <c r="B37">
        <v>2017</v>
      </c>
      <c r="C37">
        <v>95</v>
      </c>
    </row>
    <row r="38" spans="1:3">
      <c r="A38" t="s">
        <v>150</v>
      </c>
      <c r="B38">
        <v>2018</v>
      </c>
      <c r="C38">
        <v>85</v>
      </c>
    </row>
    <row r="39" spans="1:3">
      <c r="A39" t="s">
        <v>150</v>
      </c>
      <c r="B39">
        <v>2019</v>
      </c>
      <c r="C39">
        <v>82</v>
      </c>
    </row>
    <row r="40" spans="1:3">
      <c r="A40" t="s">
        <v>150</v>
      </c>
      <c r="B40">
        <v>2020</v>
      </c>
      <c r="C40" t="s">
        <v>225</v>
      </c>
    </row>
    <row r="41" spans="1:3">
      <c r="A41" t="s">
        <v>150</v>
      </c>
      <c r="B41">
        <v>2021</v>
      </c>
      <c r="C41" t="s">
        <v>225</v>
      </c>
    </row>
    <row r="42" spans="1:3">
      <c r="A42" t="s">
        <v>150</v>
      </c>
      <c r="B42">
        <v>2022</v>
      </c>
      <c r="C42" t="s">
        <v>225</v>
      </c>
    </row>
    <row r="43" spans="1:3">
      <c r="A43" t="s">
        <v>150</v>
      </c>
      <c r="B43">
        <v>2023</v>
      </c>
      <c r="C43" t="s">
        <v>225</v>
      </c>
    </row>
    <row r="44" spans="1:3">
      <c r="A44" t="s">
        <v>150</v>
      </c>
      <c r="B44">
        <v>2024</v>
      </c>
      <c r="C44" t="s">
        <v>225</v>
      </c>
    </row>
    <row r="45" spans="1:3">
      <c r="A45" t="s">
        <v>150</v>
      </c>
      <c r="B45">
        <v>2025</v>
      </c>
      <c r="C45" t="s">
        <v>225</v>
      </c>
    </row>
    <row r="46" spans="1:3">
      <c r="A46" t="s">
        <v>151</v>
      </c>
      <c r="B46">
        <v>2015</v>
      </c>
      <c r="C46">
        <v>55</v>
      </c>
    </row>
    <row r="47" spans="1:3">
      <c r="A47" t="s">
        <v>151</v>
      </c>
      <c r="B47">
        <v>2016</v>
      </c>
      <c r="C47">
        <v>49</v>
      </c>
    </row>
    <row r="48" spans="1:3">
      <c r="A48" t="s">
        <v>151</v>
      </c>
      <c r="B48">
        <v>2017</v>
      </c>
      <c r="C48">
        <v>22</v>
      </c>
    </row>
    <row r="49" spans="1:3">
      <c r="A49" t="s">
        <v>151</v>
      </c>
      <c r="B49">
        <v>2018</v>
      </c>
      <c r="C49">
        <v>38</v>
      </c>
    </row>
    <row r="50" spans="1:3">
      <c r="A50" t="s">
        <v>151</v>
      </c>
      <c r="B50">
        <v>2019</v>
      </c>
      <c r="C50">
        <v>26</v>
      </c>
    </row>
    <row r="51" spans="1:3">
      <c r="A51" t="s">
        <v>151</v>
      </c>
      <c r="B51">
        <v>2020</v>
      </c>
      <c r="C51" t="s">
        <v>225</v>
      </c>
    </row>
    <row r="52" spans="1:3">
      <c r="A52" t="s">
        <v>151</v>
      </c>
      <c r="B52">
        <v>2021</v>
      </c>
      <c r="C52" t="s">
        <v>225</v>
      </c>
    </row>
    <row r="53" spans="1:3">
      <c r="A53" t="s">
        <v>151</v>
      </c>
      <c r="B53">
        <v>2022</v>
      </c>
      <c r="C53" t="s">
        <v>225</v>
      </c>
    </row>
    <row r="54" spans="1:3">
      <c r="A54" t="s">
        <v>151</v>
      </c>
      <c r="B54">
        <v>2023</v>
      </c>
      <c r="C54" t="s">
        <v>225</v>
      </c>
    </row>
    <row r="55" spans="1:3">
      <c r="A55" t="s">
        <v>151</v>
      </c>
      <c r="B55">
        <v>2024</v>
      </c>
      <c r="C55" t="s">
        <v>225</v>
      </c>
    </row>
    <row r="56" spans="1:3">
      <c r="A56" t="s">
        <v>151</v>
      </c>
      <c r="B56">
        <v>2025</v>
      </c>
      <c r="C56" t="s">
        <v>225</v>
      </c>
    </row>
    <row r="57" spans="1:3">
      <c r="A57" t="s">
        <v>152</v>
      </c>
      <c r="B57">
        <v>2015</v>
      </c>
      <c r="C57">
        <v>64</v>
      </c>
    </row>
    <row r="58" spans="1:3">
      <c r="A58" t="s">
        <v>152</v>
      </c>
      <c r="B58">
        <v>2016</v>
      </c>
      <c r="C58">
        <v>63</v>
      </c>
    </row>
    <row r="59" spans="1:3">
      <c r="A59" t="s">
        <v>152</v>
      </c>
      <c r="B59">
        <v>2017</v>
      </c>
      <c r="C59">
        <v>63</v>
      </c>
    </row>
    <row r="60" spans="1:3">
      <c r="A60" t="s">
        <v>152</v>
      </c>
      <c r="B60">
        <v>2018</v>
      </c>
      <c r="C60">
        <v>63</v>
      </c>
    </row>
    <row r="61" spans="1:3">
      <c r="A61" t="s">
        <v>152</v>
      </c>
      <c r="B61">
        <v>2019</v>
      </c>
      <c r="C61">
        <v>63</v>
      </c>
    </row>
    <row r="62" spans="1:3">
      <c r="A62" t="s">
        <v>152</v>
      </c>
      <c r="B62">
        <v>2020</v>
      </c>
      <c r="C62" t="s">
        <v>225</v>
      </c>
    </row>
    <row r="63" spans="1:3">
      <c r="A63" t="s">
        <v>152</v>
      </c>
      <c r="B63">
        <v>2021</v>
      </c>
      <c r="C63" t="s">
        <v>225</v>
      </c>
    </row>
    <row r="64" spans="1:3">
      <c r="A64" t="s">
        <v>152</v>
      </c>
      <c r="B64">
        <v>2022</v>
      </c>
      <c r="C64" t="s">
        <v>225</v>
      </c>
    </row>
    <row r="65" spans="1:3">
      <c r="A65" t="s">
        <v>152</v>
      </c>
      <c r="B65">
        <v>2023</v>
      </c>
      <c r="C65" t="s">
        <v>225</v>
      </c>
    </row>
    <row r="66" spans="1:3">
      <c r="A66" t="s">
        <v>152</v>
      </c>
      <c r="B66">
        <v>2024</v>
      </c>
      <c r="C66" t="s">
        <v>225</v>
      </c>
    </row>
    <row r="67" spans="1:3">
      <c r="A67" t="s">
        <v>152</v>
      </c>
      <c r="B67">
        <v>2025</v>
      </c>
      <c r="C67" t="s">
        <v>225</v>
      </c>
    </row>
    <row r="68" spans="1:3">
      <c r="A68" t="s">
        <v>153</v>
      </c>
      <c r="B68">
        <v>2015</v>
      </c>
      <c r="C68">
        <v>27</v>
      </c>
    </row>
    <row r="69" spans="1:3">
      <c r="A69" t="s">
        <v>153</v>
      </c>
      <c r="B69">
        <v>2016</v>
      </c>
      <c r="C69">
        <v>24</v>
      </c>
    </row>
    <row r="70" spans="1:3">
      <c r="A70" t="s">
        <v>153</v>
      </c>
      <c r="B70">
        <v>2017</v>
      </c>
      <c r="C70">
        <v>22</v>
      </c>
    </row>
    <row r="71" spans="1:3">
      <c r="A71" t="s">
        <v>153</v>
      </c>
      <c r="B71">
        <v>2018</v>
      </c>
      <c r="C71">
        <v>21</v>
      </c>
    </row>
    <row r="72" spans="1:3">
      <c r="A72" t="s">
        <v>153</v>
      </c>
      <c r="B72">
        <v>2019</v>
      </c>
      <c r="C72">
        <v>18</v>
      </c>
    </row>
    <row r="73" spans="1:3">
      <c r="A73" t="s">
        <v>153</v>
      </c>
      <c r="B73">
        <v>2020</v>
      </c>
      <c r="C73" t="s">
        <v>225</v>
      </c>
    </row>
    <row r="74" spans="1:3">
      <c r="A74" t="s">
        <v>153</v>
      </c>
      <c r="B74">
        <v>2021</v>
      </c>
      <c r="C74" t="s">
        <v>225</v>
      </c>
    </row>
    <row r="75" spans="1:3">
      <c r="A75" t="s">
        <v>153</v>
      </c>
      <c r="B75">
        <v>2022</v>
      </c>
      <c r="C75" t="s">
        <v>225</v>
      </c>
    </row>
    <row r="76" spans="1:3">
      <c r="A76" t="s">
        <v>153</v>
      </c>
      <c r="B76">
        <v>2023</v>
      </c>
      <c r="C76" t="s">
        <v>225</v>
      </c>
    </row>
    <row r="77" spans="1:3">
      <c r="A77" t="s">
        <v>153</v>
      </c>
      <c r="B77">
        <v>2024</v>
      </c>
      <c r="C77" t="s">
        <v>225</v>
      </c>
    </row>
    <row r="78" spans="1:3">
      <c r="A78" t="s">
        <v>153</v>
      </c>
      <c r="B78">
        <v>2025</v>
      </c>
      <c r="C78" t="s">
        <v>225</v>
      </c>
    </row>
    <row r="79" spans="1:3">
      <c r="A79" t="s">
        <v>154</v>
      </c>
      <c r="B79">
        <v>2015</v>
      </c>
      <c r="C79">
        <v>131</v>
      </c>
    </row>
    <row r="80" spans="1:3">
      <c r="A80" t="s">
        <v>154</v>
      </c>
      <c r="B80">
        <v>2016</v>
      </c>
      <c r="C80">
        <v>127</v>
      </c>
    </row>
    <row r="81" spans="1:3">
      <c r="A81" t="s">
        <v>154</v>
      </c>
      <c r="B81">
        <v>2017</v>
      </c>
      <c r="C81">
        <v>144</v>
      </c>
    </row>
    <row r="82" spans="1:3">
      <c r="A82" t="s">
        <v>154</v>
      </c>
      <c r="B82">
        <v>2018</v>
      </c>
      <c r="C82">
        <v>129</v>
      </c>
    </row>
    <row r="83" spans="1:3">
      <c r="A83" t="s">
        <v>154</v>
      </c>
      <c r="B83">
        <v>2019</v>
      </c>
      <c r="C83">
        <v>151</v>
      </c>
    </row>
    <row r="84" spans="1:3">
      <c r="A84" t="s">
        <v>154</v>
      </c>
      <c r="B84">
        <v>2020</v>
      </c>
      <c r="C84">
        <v>1</v>
      </c>
    </row>
    <row r="85" spans="1:3">
      <c r="A85" t="s">
        <v>154</v>
      </c>
      <c r="B85">
        <v>2021</v>
      </c>
      <c r="C85">
        <v>1</v>
      </c>
    </row>
    <row r="86" spans="1:3">
      <c r="A86" t="s">
        <v>154</v>
      </c>
      <c r="B86">
        <v>2022</v>
      </c>
      <c r="C86" t="s">
        <v>225</v>
      </c>
    </row>
    <row r="87" spans="1:3">
      <c r="A87" t="s">
        <v>154</v>
      </c>
      <c r="B87">
        <v>2023</v>
      </c>
      <c r="C87" t="s">
        <v>225</v>
      </c>
    </row>
    <row r="88" spans="1:3">
      <c r="A88" t="s">
        <v>154</v>
      </c>
      <c r="B88">
        <v>2024</v>
      </c>
      <c r="C88" t="s">
        <v>225</v>
      </c>
    </row>
    <row r="89" spans="1:3">
      <c r="A89" t="s">
        <v>154</v>
      </c>
      <c r="B89">
        <v>2025</v>
      </c>
      <c r="C89" t="s">
        <v>225</v>
      </c>
    </row>
    <row r="90" spans="1:3">
      <c r="A90" t="s">
        <v>155</v>
      </c>
      <c r="B90">
        <v>2015</v>
      </c>
      <c r="C90">
        <v>38</v>
      </c>
    </row>
    <row r="91" spans="1:3">
      <c r="A91" t="s">
        <v>155</v>
      </c>
      <c r="B91">
        <v>2016</v>
      </c>
      <c r="C91">
        <v>33</v>
      </c>
    </row>
    <row r="92" spans="1:3">
      <c r="A92" t="s">
        <v>155</v>
      </c>
      <c r="B92">
        <v>2017</v>
      </c>
      <c r="C92">
        <v>47</v>
      </c>
    </row>
    <row r="93" spans="1:3">
      <c r="A93" t="s">
        <v>155</v>
      </c>
      <c r="B93">
        <v>2018</v>
      </c>
      <c r="C93">
        <v>50</v>
      </c>
    </row>
    <row r="94" spans="1:3">
      <c r="A94" t="s">
        <v>155</v>
      </c>
      <c r="B94">
        <v>2019</v>
      </c>
      <c r="C94">
        <v>53</v>
      </c>
    </row>
    <row r="95" spans="1:3">
      <c r="A95" t="s">
        <v>155</v>
      </c>
      <c r="B95">
        <v>2020</v>
      </c>
      <c r="C95" t="s">
        <v>225</v>
      </c>
    </row>
    <row r="96" spans="1:3">
      <c r="A96" t="s">
        <v>155</v>
      </c>
      <c r="B96">
        <v>2021</v>
      </c>
      <c r="C96" t="s">
        <v>225</v>
      </c>
    </row>
    <row r="97" spans="1:3">
      <c r="A97" t="s">
        <v>155</v>
      </c>
      <c r="B97">
        <v>2022</v>
      </c>
      <c r="C97" t="s">
        <v>225</v>
      </c>
    </row>
    <row r="98" spans="1:3">
      <c r="A98" t="s">
        <v>155</v>
      </c>
      <c r="B98">
        <v>2023</v>
      </c>
      <c r="C98" t="s">
        <v>225</v>
      </c>
    </row>
    <row r="99" spans="1:3">
      <c r="A99" t="s">
        <v>155</v>
      </c>
      <c r="B99">
        <v>2024</v>
      </c>
      <c r="C99" t="s">
        <v>225</v>
      </c>
    </row>
    <row r="100" spans="1:3">
      <c r="A100" t="s">
        <v>155</v>
      </c>
      <c r="B100">
        <v>2025</v>
      </c>
      <c r="C100" t="s">
        <v>225</v>
      </c>
    </row>
    <row r="101" spans="1:3">
      <c r="A101" t="s">
        <v>157</v>
      </c>
      <c r="B101">
        <v>2015</v>
      </c>
      <c r="C101">
        <v>11</v>
      </c>
    </row>
    <row r="102" spans="1:3">
      <c r="A102" t="s">
        <v>157</v>
      </c>
      <c r="B102">
        <v>2016</v>
      </c>
      <c r="C102">
        <v>16</v>
      </c>
    </row>
    <row r="103" spans="1:3">
      <c r="A103" t="s">
        <v>157</v>
      </c>
      <c r="B103">
        <v>2017</v>
      </c>
      <c r="C103">
        <v>19</v>
      </c>
    </row>
    <row r="104" spans="1:3">
      <c r="A104" t="s">
        <v>157</v>
      </c>
      <c r="B104">
        <v>2018</v>
      </c>
      <c r="C104">
        <v>19</v>
      </c>
    </row>
    <row r="105" spans="1:3">
      <c r="A105" t="s">
        <v>157</v>
      </c>
      <c r="B105">
        <v>2019</v>
      </c>
      <c r="C105">
        <v>25</v>
      </c>
    </row>
    <row r="106" spans="1:3">
      <c r="A106" t="s">
        <v>157</v>
      </c>
      <c r="B106">
        <v>2020</v>
      </c>
      <c r="C106" t="s">
        <v>225</v>
      </c>
    </row>
    <row r="107" spans="1:3">
      <c r="A107" t="s">
        <v>157</v>
      </c>
      <c r="B107">
        <v>2021</v>
      </c>
      <c r="C107" t="s">
        <v>225</v>
      </c>
    </row>
    <row r="108" spans="1:3">
      <c r="A108" t="s">
        <v>157</v>
      </c>
      <c r="B108">
        <v>2022</v>
      </c>
      <c r="C108" t="s">
        <v>225</v>
      </c>
    </row>
    <row r="109" spans="1:3">
      <c r="A109" t="s">
        <v>157</v>
      </c>
      <c r="B109">
        <v>2023</v>
      </c>
      <c r="C109" t="s">
        <v>225</v>
      </c>
    </row>
    <row r="110" spans="1:3">
      <c r="A110" t="s">
        <v>157</v>
      </c>
      <c r="B110">
        <v>2024</v>
      </c>
      <c r="C110" t="s">
        <v>225</v>
      </c>
    </row>
    <row r="111" spans="1:3">
      <c r="A111" t="s">
        <v>157</v>
      </c>
      <c r="B111">
        <v>2025</v>
      </c>
      <c r="C111" t="s">
        <v>225</v>
      </c>
    </row>
    <row r="112" spans="1:3">
      <c r="A112" t="s">
        <v>159</v>
      </c>
      <c r="B112">
        <v>2015</v>
      </c>
      <c r="C112">
        <v>32</v>
      </c>
    </row>
    <row r="113" spans="1:3">
      <c r="A113" t="s">
        <v>159</v>
      </c>
      <c r="B113">
        <v>2016</v>
      </c>
      <c r="C113">
        <v>31</v>
      </c>
    </row>
    <row r="114" spans="1:3">
      <c r="A114" t="s">
        <v>159</v>
      </c>
      <c r="B114">
        <v>2017</v>
      </c>
      <c r="C114">
        <v>27</v>
      </c>
    </row>
    <row r="115" spans="1:3">
      <c r="A115" t="s">
        <v>159</v>
      </c>
      <c r="B115">
        <v>2018</v>
      </c>
      <c r="C115">
        <v>25</v>
      </c>
    </row>
    <row r="116" spans="1:3">
      <c r="A116" t="s">
        <v>159</v>
      </c>
      <c r="B116">
        <v>2019</v>
      </c>
      <c r="C116">
        <v>26</v>
      </c>
    </row>
    <row r="117" spans="1:3">
      <c r="A117" t="s">
        <v>159</v>
      </c>
      <c r="B117">
        <v>2020</v>
      </c>
      <c r="C117" t="s">
        <v>225</v>
      </c>
    </row>
    <row r="118" spans="1:3">
      <c r="A118" t="s">
        <v>159</v>
      </c>
      <c r="B118">
        <v>2021</v>
      </c>
      <c r="C118" t="s">
        <v>225</v>
      </c>
    </row>
    <row r="119" spans="1:3">
      <c r="A119" t="s">
        <v>159</v>
      </c>
      <c r="B119">
        <v>2022</v>
      </c>
      <c r="C119" t="s">
        <v>225</v>
      </c>
    </row>
    <row r="120" spans="1:3">
      <c r="A120" t="s">
        <v>159</v>
      </c>
      <c r="B120">
        <v>2023</v>
      </c>
      <c r="C120" t="s">
        <v>225</v>
      </c>
    </row>
    <row r="121" spans="1:3">
      <c r="A121" t="s">
        <v>159</v>
      </c>
      <c r="B121">
        <v>2024</v>
      </c>
      <c r="C121" t="s">
        <v>225</v>
      </c>
    </row>
    <row r="122" spans="1:3">
      <c r="A122" t="s">
        <v>159</v>
      </c>
      <c r="B122">
        <v>2025</v>
      </c>
      <c r="C122" t="s">
        <v>225</v>
      </c>
    </row>
    <row r="123" spans="1:3">
      <c r="A123" t="s">
        <v>161</v>
      </c>
      <c r="B123">
        <v>2015</v>
      </c>
      <c r="C123">
        <v>101</v>
      </c>
    </row>
    <row r="124" spans="1:3">
      <c r="A124" t="s">
        <v>161</v>
      </c>
      <c r="B124">
        <v>2016</v>
      </c>
      <c r="C124">
        <v>114</v>
      </c>
    </row>
    <row r="125" spans="1:3">
      <c r="A125" t="s">
        <v>161</v>
      </c>
      <c r="B125">
        <v>2017</v>
      </c>
      <c r="C125">
        <v>111</v>
      </c>
    </row>
    <row r="126" spans="1:3">
      <c r="A126" t="s">
        <v>161</v>
      </c>
      <c r="B126">
        <v>2018</v>
      </c>
      <c r="C126">
        <v>109</v>
      </c>
    </row>
    <row r="127" spans="1:3">
      <c r="A127" t="s">
        <v>161</v>
      </c>
      <c r="B127">
        <v>2019</v>
      </c>
      <c r="C127">
        <v>107</v>
      </c>
    </row>
    <row r="128" spans="1:3">
      <c r="A128" t="s">
        <v>161</v>
      </c>
      <c r="B128">
        <v>2020</v>
      </c>
      <c r="C128" t="s">
        <v>225</v>
      </c>
    </row>
    <row r="129" spans="1:3">
      <c r="A129" t="s">
        <v>161</v>
      </c>
      <c r="B129">
        <v>2021</v>
      </c>
      <c r="C129" t="s">
        <v>225</v>
      </c>
    </row>
    <row r="130" spans="1:3">
      <c r="A130" t="s">
        <v>161</v>
      </c>
      <c r="B130">
        <v>2022</v>
      </c>
      <c r="C130" t="s">
        <v>225</v>
      </c>
    </row>
    <row r="131" spans="1:3">
      <c r="A131" t="s">
        <v>161</v>
      </c>
      <c r="B131">
        <v>2023</v>
      </c>
      <c r="C131" t="s">
        <v>225</v>
      </c>
    </row>
    <row r="132" spans="1:3">
      <c r="A132" t="s">
        <v>161</v>
      </c>
      <c r="B132">
        <v>2024</v>
      </c>
      <c r="C132" t="s">
        <v>225</v>
      </c>
    </row>
    <row r="133" spans="1:3">
      <c r="A133" t="s">
        <v>161</v>
      </c>
      <c r="B133">
        <v>2025</v>
      </c>
      <c r="C133" t="s">
        <v>225</v>
      </c>
    </row>
    <row r="134" spans="1:3">
      <c r="A134" t="s">
        <v>162</v>
      </c>
      <c r="B134">
        <v>2015</v>
      </c>
      <c r="C134">
        <v>22</v>
      </c>
    </row>
    <row r="135" spans="1:3">
      <c r="A135" t="s">
        <v>162</v>
      </c>
      <c r="B135">
        <v>2016</v>
      </c>
      <c r="C135">
        <v>24</v>
      </c>
    </row>
    <row r="136" spans="1:3">
      <c r="A136" t="s">
        <v>162</v>
      </c>
      <c r="B136">
        <v>2017</v>
      </c>
      <c r="C136">
        <v>45</v>
      </c>
    </row>
    <row r="137" spans="1:3">
      <c r="A137" t="s">
        <v>162</v>
      </c>
      <c r="B137">
        <v>2018</v>
      </c>
      <c r="C137">
        <v>43</v>
      </c>
    </row>
    <row r="138" spans="1:3">
      <c r="A138" t="s">
        <v>162</v>
      </c>
      <c r="B138">
        <v>2019</v>
      </c>
      <c r="C138">
        <v>45</v>
      </c>
    </row>
    <row r="139" spans="1:3">
      <c r="A139" t="s">
        <v>162</v>
      </c>
      <c r="B139">
        <v>2020</v>
      </c>
      <c r="C139">
        <v>2</v>
      </c>
    </row>
    <row r="140" spans="1:3">
      <c r="A140" t="s">
        <v>162</v>
      </c>
      <c r="B140">
        <v>2021</v>
      </c>
      <c r="C140">
        <v>2</v>
      </c>
    </row>
    <row r="141" spans="1:3">
      <c r="A141" t="s">
        <v>162</v>
      </c>
      <c r="B141">
        <v>2022</v>
      </c>
      <c r="C141">
        <v>2</v>
      </c>
    </row>
    <row r="142" spans="1:3">
      <c r="A142" t="s">
        <v>162</v>
      </c>
      <c r="B142">
        <v>2023</v>
      </c>
      <c r="C142">
        <v>2</v>
      </c>
    </row>
    <row r="143" spans="1:3">
      <c r="A143" t="s">
        <v>162</v>
      </c>
      <c r="B143">
        <v>2024</v>
      </c>
      <c r="C143">
        <v>2</v>
      </c>
    </row>
    <row r="144" spans="1:3">
      <c r="A144" t="s">
        <v>162</v>
      </c>
      <c r="B144">
        <v>2025</v>
      </c>
      <c r="C144">
        <v>2</v>
      </c>
    </row>
    <row r="145" spans="1:3">
      <c r="A145" t="s">
        <v>163</v>
      </c>
      <c r="B145">
        <v>2015</v>
      </c>
      <c r="C145">
        <v>20</v>
      </c>
    </row>
    <row r="146" spans="1:3">
      <c r="A146" t="s">
        <v>163</v>
      </c>
      <c r="B146">
        <v>2016</v>
      </c>
      <c r="C146">
        <v>22</v>
      </c>
    </row>
    <row r="147" spans="1:3">
      <c r="A147" t="s">
        <v>163</v>
      </c>
      <c r="B147">
        <v>2017</v>
      </c>
      <c r="C147">
        <v>24</v>
      </c>
    </row>
    <row r="148" spans="1:3">
      <c r="A148" t="s">
        <v>163</v>
      </c>
      <c r="B148">
        <v>2018</v>
      </c>
      <c r="C148">
        <v>15</v>
      </c>
    </row>
    <row r="149" spans="1:3">
      <c r="A149" t="s">
        <v>163</v>
      </c>
      <c r="B149">
        <v>2019</v>
      </c>
      <c r="C149">
        <v>27</v>
      </c>
    </row>
    <row r="150" spans="1:3">
      <c r="A150" t="s">
        <v>163</v>
      </c>
      <c r="B150">
        <v>2020</v>
      </c>
      <c r="C150" t="s">
        <v>225</v>
      </c>
    </row>
    <row r="151" spans="1:3">
      <c r="A151" t="s">
        <v>163</v>
      </c>
      <c r="B151">
        <v>2021</v>
      </c>
      <c r="C151" t="s">
        <v>225</v>
      </c>
    </row>
    <row r="152" spans="1:3">
      <c r="A152" t="s">
        <v>163</v>
      </c>
      <c r="B152">
        <v>2022</v>
      </c>
      <c r="C152" t="s">
        <v>225</v>
      </c>
    </row>
    <row r="153" spans="1:3">
      <c r="A153" t="s">
        <v>163</v>
      </c>
      <c r="B153">
        <v>2023</v>
      </c>
      <c r="C153" t="s">
        <v>225</v>
      </c>
    </row>
    <row r="154" spans="1:3">
      <c r="A154" t="s">
        <v>163</v>
      </c>
      <c r="B154">
        <v>2024</v>
      </c>
      <c r="C154" t="s">
        <v>225</v>
      </c>
    </row>
    <row r="155" spans="1:3">
      <c r="A155" t="s">
        <v>163</v>
      </c>
      <c r="B155">
        <v>2025</v>
      </c>
      <c r="C155" t="s">
        <v>225</v>
      </c>
    </row>
    <row r="156" spans="1:3">
      <c r="A156" t="s">
        <v>164</v>
      </c>
      <c r="B156">
        <v>2015</v>
      </c>
      <c r="C156">
        <v>56</v>
      </c>
    </row>
    <row r="157" spans="1:3">
      <c r="A157" t="s">
        <v>164</v>
      </c>
      <c r="B157">
        <v>2016</v>
      </c>
      <c r="C157">
        <v>68</v>
      </c>
    </row>
    <row r="158" spans="1:3">
      <c r="A158" t="s">
        <v>164</v>
      </c>
      <c r="B158">
        <v>2017</v>
      </c>
      <c r="C158">
        <v>63</v>
      </c>
    </row>
    <row r="159" spans="1:3">
      <c r="A159" t="s">
        <v>164</v>
      </c>
      <c r="B159">
        <v>2018</v>
      </c>
      <c r="C159">
        <v>61</v>
      </c>
    </row>
    <row r="160" spans="1:3">
      <c r="A160" t="s">
        <v>164</v>
      </c>
      <c r="B160">
        <v>2019</v>
      </c>
      <c r="C160">
        <v>74</v>
      </c>
    </row>
    <row r="161" spans="1:3">
      <c r="A161" t="s">
        <v>164</v>
      </c>
      <c r="B161">
        <v>2020</v>
      </c>
      <c r="C161" t="s">
        <v>225</v>
      </c>
    </row>
    <row r="162" spans="1:3">
      <c r="A162" t="s">
        <v>164</v>
      </c>
      <c r="B162">
        <v>2021</v>
      </c>
      <c r="C162" t="s">
        <v>225</v>
      </c>
    </row>
    <row r="163" spans="1:3">
      <c r="A163" t="s">
        <v>164</v>
      </c>
      <c r="B163">
        <v>2022</v>
      </c>
      <c r="C163" t="s">
        <v>225</v>
      </c>
    </row>
    <row r="164" spans="1:3">
      <c r="A164" t="s">
        <v>164</v>
      </c>
      <c r="B164">
        <v>2023</v>
      </c>
      <c r="C164" t="s">
        <v>225</v>
      </c>
    </row>
    <row r="165" spans="1:3">
      <c r="A165" t="s">
        <v>164</v>
      </c>
      <c r="B165">
        <v>2024</v>
      </c>
      <c r="C165" t="s">
        <v>225</v>
      </c>
    </row>
    <row r="166" spans="1:3">
      <c r="A166" t="s">
        <v>164</v>
      </c>
      <c r="B166">
        <v>2025</v>
      </c>
      <c r="C166" t="s">
        <v>225</v>
      </c>
    </row>
    <row r="167" spans="1:3">
      <c r="A167" t="s">
        <v>165</v>
      </c>
      <c r="B167">
        <v>2015</v>
      </c>
      <c r="C167">
        <v>43</v>
      </c>
    </row>
    <row r="168" spans="1:3">
      <c r="A168" t="s">
        <v>165</v>
      </c>
      <c r="B168">
        <v>2016</v>
      </c>
      <c r="C168">
        <v>76</v>
      </c>
    </row>
    <row r="169" spans="1:3">
      <c r="A169" t="s">
        <v>165</v>
      </c>
      <c r="B169">
        <v>2017</v>
      </c>
      <c r="C169">
        <v>72</v>
      </c>
    </row>
    <row r="170" spans="1:3">
      <c r="A170" t="s">
        <v>165</v>
      </c>
      <c r="B170">
        <v>2018</v>
      </c>
      <c r="C170">
        <v>57</v>
      </c>
    </row>
    <row r="171" spans="1:3">
      <c r="A171" t="s">
        <v>165</v>
      </c>
      <c r="B171">
        <v>2019</v>
      </c>
      <c r="C171">
        <v>52</v>
      </c>
    </row>
    <row r="172" spans="1:3">
      <c r="A172" t="s">
        <v>165</v>
      </c>
      <c r="B172">
        <v>2020</v>
      </c>
      <c r="C172">
        <v>8</v>
      </c>
    </row>
    <row r="173" spans="1:3">
      <c r="A173" t="s">
        <v>165</v>
      </c>
      <c r="B173">
        <v>2021</v>
      </c>
      <c r="C173">
        <v>8</v>
      </c>
    </row>
    <row r="174" spans="1:3">
      <c r="A174" t="s">
        <v>165</v>
      </c>
      <c r="B174">
        <v>2022</v>
      </c>
      <c r="C174">
        <v>8</v>
      </c>
    </row>
    <row r="175" spans="1:3">
      <c r="A175" t="s">
        <v>165</v>
      </c>
      <c r="B175">
        <v>2023</v>
      </c>
      <c r="C175">
        <v>8</v>
      </c>
    </row>
    <row r="176" spans="1:3">
      <c r="A176" t="s">
        <v>165</v>
      </c>
      <c r="B176">
        <v>2024</v>
      </c>
      <c r="C176">
        <v>8</v>
      </c>
    </row>
    <row r="177" spans="1:3">
      <c r="A177" t="s">
        <v>165</v>
      </c>
      <c r="B177">
        <v>2025</v>
      </c>
      <c r="C177">
        <v>8</v>
      </c>
    </row>
    <row r="178" spans="1:3">
      <c r="A178" t="s">
        <v>166</v>
      </c>
      <c r="B178">
        <v>2015</v>
      </c>
      <c r="C178">
        <v>304</v>
      </c>
    </row>
    <row r="179" spans="1:3">
      <c r="A179" t="s">
        <v>166</v>
      </c>
      <c r="B179">
        <v>2016</v>
      </c>
      <c r="C179">
        <v>307</v>
      </c>
    </row>
    <row r="180" spans="1:3">
      <c r="A180" t="s">
        <v>166</v>
      </c>
      <c r="B180">
        <v>2017</v>
      </c>
      <c r="C180">
        <v>309</v>
      </c>
    </row>
    <row r="181" spans="1:3">
      <c r="A181" t="s">
        <v>166</v>
      </c>
      <c r="B181">
        <v>2018</v>
      </c>
      <c r="C181">
        <v>317</v>
      </c>
    </row>
    <row r="182" spans="1:3">
      <c r="A182" t="s">
        <v>166</v>
      </c>
      <c r="B182">
        <v>2019</v>
      </c>
      <c r="C182">
        <v>309</v>
      </c>
    </row>
    <row r="183" spans="1:3">
      <c r="A183" t="s">
        <v>166</v>
      </c>
      <c r="B183">
        <v>2020</v>
      </c>
      <c r="C183">
        <v>26</v>
      </c>
    </row>
    <row r="184" spans="1:3">
      <c r="A184" t="s">
        <v>166</v>
      </c>
      <c r="B184">
        <v>2021</v>
      </c>
      <c r="C184">
        <v>25</v>
      </c>
    </row>
    <row r="185" spans="1:3">
      <c r="A185" t="s">
        <v>166</v>
      </c>
      <c r="B185">
        <v>2022</v>
      </c>
      <c r="C185">
        <v>25</v>
      </c>
    </row>
    <row r="186" spans="1:3">
      <c r="A186" t="s">
        <v>166</v>
      </c>
      <c r="B186">
        <v>2023</v>
      </c>
      <c r="C186">
        <v>25</v>
      </c>
    </row>
    <row r="187" spans="1:3">
      <c r="A187" t="s">
        <v>166</v>
      </c>
      <c r="B187">
        <v>2024</v>
      </c>
      <c r="C187">
        <v>25</v>
      </c>
    </row>
    <row r="188" spans="1:3">
      <c r="A188" t="s">
        <v>166</v>
      </c>
      <c r="B188">
        <v>2025</v>
      </c>
      <c r="C188">
        <v>25</v>
      </c>
    </row>
    <row r="189" spans="1:3">
      <c r="A189" t="s">
        <v>168</v>
      </c>
      <c r="B189">
        <v>2015</v>
      </c>
      <c r="C189">
        <v>74</v>
      </c>
    </row>
    <row r="190" spans="1:3">
      <c r="A190" t="s">
        <v>168</v>
      </c>
      <c r="B190">
        <v>2016</v>
      </c>
      <c r="C190">
        <v>74</v>
      </c>
    </row>
    <row r="191" spans="1:3">
      <c r="A191" t="s">
        <v>168</v>
      </c>
      <c r="B191">
        <v>2017</v>
      </c>
      <c r="C191">
        <v>73</v>
      </c>
    </row>
    <row r="192" spans="1:3">
      <c r="A192" t="s">
        <v>168</v>
      </c>
      <c r="B192">
        <v>2018</v>
      </c>
      <c r="C192">
        <v>90</v>
      </c>
    </row>
    <row r="193" spans="1:3">
      <c r="A193" t="s">
        <v>168</v>
      </c>
      <c r="B193">
        <v>2019</v>
      </c>
      <c r="C193">
        <v>91</v>
      </c>
    </row>
    <row r="194" spans="1:3">
      <c r="A194" t="s">
        <v>168</v>
      </c>
      <c r="B194">
        <v>2020</v>
      </c>
      <c r="C194" t="s">
        <v>225</v>
      </c>
    </row>
    <row r="195" spans="1:3">
      <c r="A195" t="s">
        <v>168</v>
      </c>
      <c r="B195">
        <v>2021</v>
      </c>
      <c r="C195" t="s">
        <v>225</v>
      </c>
    </row>
    <row r="196" spans="1:3">
      <c r="A196" t="s">
        <v>168</v>
      </c>
      <c r="B196">
        <v>2022</v>
      </c>
      <c r="C196" t="s">
        <v>225</v>
      </c>
    </row>
    <row r="197" spans="1:3">
      <c r="A197" t="s">
        <v>168</v>
      </c>
      <c r="B197">
        <v>2023</v>
      </c>
      <c r="C197" t="s">
        <v>225</v>
      </c>
    </row>
    <row r="198" spans="1:3">
      <c r="A198" t="s">
        <v>168</v>
      </c>
      <c r="B198">
        <v>2024</v>
      </c>
      <c r="C198" t="s">
        <v>225</v>
      </c>
    </row>
    <row r="199" spans="1:3">
      <c r="A199" t="s">
        <v>168</v>
      </c>
      <c r="B199">
        <v>2025</v>
      </c>
      <c r="C199" t="s">
        <v>225</v>
      </c>
    </row>
    <row r="200" spans="1:3">
      <c r="A200" t="s">
        <v>169</v>
      </c>
      <c r="B200">
        <v>2015</v>
      </c>
      <c r="C200">
        <v>93</v>
      </c>
    </row>
    <row r="201" spans="1:3">
      <c r="A201" t="s">
        <v>169</v>
      </c>
      <c r="B201">
        <v>2016</v>
      </c>
      <c r="C201">
        <v>94</v>
      </c>
    </row>
    <row r="202" spans="1:3">
      <c r="A202" t="s">
        <v>169</v>
      </c>
      <c r="B202">
        <v>2017</v>
      </c>
      <c r="C202">
        <v>94</v>
      </c>
    </row>
    <row r="203" spans="1:3">
      <c r="A203" t="s">
        <v>169</v>
      </c>
      <c r="B203">
        <v>2018</v>
      </c>
      <c r="C203">
        <v>94</v>
      </c>
    </row>
    <row r="204" spans="1:3">
      <c r="A204" t="s">
        <v>169</v>
      </c>
      <c r="B204">
        <v>2019</v>
      </c>
      <c r="C204">
        <v>94</v>
      </c>
    </row>
    <row r="205" spans="1:3">
      <c r="A205" t="s">
        <v>169</v>
      </c>
      <c r="B205">
        <v>2020</v>
      </c>
      <c r="C205" t="s">
        <v>225</v>
      </c>
    </row>
    <row r="206" spans="1:3">
      <c r="A206" t="s">
        <v>169</v>
      </c>
      <c r="B206">
        <v>2021</v>
      </c>
      <c r="C206" t="s">
        <v>225</v>
      </c>
    </row>
    <row r="207" spans="1:3">
      <c r="A207" t="s">
        <v>169</v>
      </c>
      <c r="B207">
        <v>2022</v>
      </c>
      <c r="C207" t="s">
        <v>225</v>
      </c>
    </row>
    <row r="208" spans="1:3">
      <c r="A208" t="s">
        <v>169</v>
      </c>
      <c r="B208">
        <v>2023</v>
      </c>
      <c r="C208" t="s">
        <v>225</v>
      </c>
    </row>
    <row r="209" spans="1:3">
      <c r="A209" t="s">
        <v>169</v>
      </c>
      <c r="B209">
        <v>2024</v>
      </c>
      <c r="C209" t="s">
        <v>225</v>
      </c>
    </row>
    <row r="210" spans="1:3">
      <c r="A210" t="s">
        <v>169</v>
      </c>
      <c r="B210">
        <v>2025</v>
      </c>
      <c r="C210" t="s">
        <v>225</v>
      </c>
    </row>
    <row r="211" spans="1:3">
      <c r="A211" t="s">
        <v>171</v>
      </c>
      <c r="B211">
        <v>2015</v>
      </c>
      <c r="C211">
        <v>46</v>
      </c>
    </row>
    <row r="212" spans="1:3">
      <c r="A212" t="s">
        <v>171</v>
      </c>
      <c r="B212">
        <v>2016</v>
      </c>
      <c r="C212">
        <v>44</v>
      </c>
    </row>
    <row r="213" spans="1:3">
      <c r="A213" t="s">
        <v>171</v>
      </c>
      <c r="B213">
        <v>2017</v>
      </c>
      <c r="C213">
        <v>44</v>
      </c>
    </row>
    <row r="214" spans="1:3">
      <c r="A214" t="s">
        <v>171</v>
      </c>
      <c r="B214">
        <v>2018</v>
      </c>
      <c r="C214">
        <v>46</v>
      </c>
    </row>
    <row r="215" spans="1:3">
      <c r="A215" t="s">
        <v>171</v>
      </c>
      <c r="B215">
        <v>2019</v>
      </c>
      <c r="C215">
        <v>42</v>
      </c>
    </row>
    <row r="216" spans="1:3">
      <c r="A216" t="s">
        <v>171</v>
      </c>
      <c r="B216">
        <v>2020</v>
      </c>
      <c r="C216" t="s">
        <v>225</v>
      </c>
    </row>
    <row r="217" spans="1:3">
      <c r="A217" t="s">
        <v>171</v>
      </c>
      <c r="B217">
        <v>2021</v>
      </c>
      <c r="C217" t="s">
        <v>225</v>
      </c>
    </row>
    <row r="218" spans="1:3">
      <c r="A218" t="s">
        <v>171</v>
      </c>
      <c r="B218">
        <v>2022</v>
      </c>
      <c r="C218" t="s">
        <v>225</v>
      </c>
    </row>
    <row r="219" spans="1:3">
      <c r="A219" t="s">
        <v>171</v>
      </c>
      <c r="B219">
        <v>2023</v>
      </c>
      <c r="C219" t="s">
        <v>225</v>
      </c>
    </row>
    <row r="220" spans="1:3">
      <c r="A220" t="s">
        <v>171</v>
      </c>
      <c r="B220">
        <v>2024</v>
      </c>
      <c r="C220" t="s">
        <v>225</v>
      </c>
    </row>
    <row r="221" spans="1:3">
      <c r="A221" t="s">
        <v>171</v>
      </c>
      <c r="B221">
        <v>2025</v>
      </c>
      <c r="C221" t="s">
        <v>225</v>
      </c>
    </row>
    <row r="222" spans="1:3">
      <c r="A222" t="s">
        <v>172</v>
      </c>
      <c r="B222">
        <v>2015</v>
      </c>
      <c r="C222">
        <v>24</v>
      </c>
    </row>
    <row r="223" spans="1:3">
      <c r="A223" t="s">
        <v>172</v>
      </c>
      <c r="B223">
        <v>2016</v>
      </c>
      <c r="C223">
        <v>25</v>
      </c>
    </row>
    <row r="224" spans="1:3">
      <c r="A224" t="s">
        <v>172</v>
      </c>
      <c r="B224">
        <v>2017</v>
      </c>
      <c r="C224">
        <v>25</v>
      </c>
    </row>
    <row r="225" spans="1:3">
      <c r="A225" t="s">
        <v>172</v>
      </c>
      <c r="B225">
        <v>2018</v>
      </c>
      <c r="C225">
        <v>25</v>
      </c>
    </row>
    <row r="226" spans="1:3">
      <c r="A226" t="s">
        <v>172</v>
      </c>
      <c r="B226">
        <v>2019</v>
      </c>
      <c r="C226">
        <v>28</v>
      </c>
    </row>
    <row r="227" spans="1:3">
      <c r="A227" t="s">
        <v>172</v>
      </c>
      <c r="B227">
        <v>2020</v>
      </c>
      <c r="C227" t="s">
        <v>225</v>
      </c>
    </row>
    <row r="228" spans="1:3">
      <c r="A228" t="s">
        <v>172</v>
      </c>
      <c r="B228">
        <v>2021</v>
      </c>
      <c r="C228" t="s">
        <v>225</v>
      </c>
    </row>
    <row r="229" spans="1:3">
      <c r="A229" t="s">
        <v>172</v>
      </c>
      <c r="B229">
        <v>2022</v>
      </c>
      <c r="C229" t="s">
        <v>225</v>
      </c>
    </row>
    <row r="230" spans="1:3">
      <c r="A230" t="s">
        <v>172</v>
      </c>
      <c r="B230">
        <v>2023</v>
      </c>
      <c r="C230" t="s">
        <v>225</v>
      </c>
    </row>
    <row r="231" spans="1:3">
      <c r="A231" t="s">
        <v>172</v>
      </c>
      <c r="B231">
        <v>2024</v>
      </c>
      <c r="C231" t="s">
        <v>225</v>
      </c>
    </row>
    <row r="232" spans="1:3">
      <c r="A232" t="s">
        <v>172</v>
      </c>
      <c r="B232">
        <v>2025</v>
      </c>
      <c r="C232" t="s">
        <v>225</v>
      </c>
    </row>
    <row r="233" spans="1:3">
      <c r="A233" t="s">
        <v>173</v>
      </c>
      <c r="B233">
        <v>2015</v>
      </c>
      <c r="C233">
        <v>15</v>
      </c>
    </row>
    <row r="234" spans="1:3">
      <c r="A234" t="s">
        <v>173</v>
      </c>
      <c r="B234">
        <v>2016</v>
      </c>
      <c r="C234">
        <v>8</v>
      </c>
    </row>
    <row r="235" spans="1:3">
      <c r="A235" t="s">
        <v>173</v>
      </c>
      <c r="B235">
        <v>2017</v>
      </c>
      <c r="C235">
        <v>6</v>
      </c>
    </row>
    <row r="236" spans="1:3">
      <c r="A236" t="s">
        <v>173</v>
      </c>
      <c r="B236">
        <v>2018</v>
      </c>
      <c r="C236">
        <v>6</v>
      </c>
    </row>
    <row r="237" spans="1:3">
      <c r="A237" t="s">
        <v>173</v>
      </c>
      <c r="B237">
        <v>2019</v>
      </c>
      <c r="C237">
        <v>8</v>
      </c>
    </row>
    <row r="238" spans="1:3">
      <c r="A238" t="s">
        <v>173</v>
      </c>
      <c r="B238">
        <v>2020</v>
      </c>
      <c r="C238" t="s">
        <v>225</v>
      </c>
    </row>
    <row r="239" spans="1:3">
      <c r="A239" t="s">
        <v>173</v>
      </c>
      <c r="B239">
        <v>2021</v>
      </c>
      <c r="C239" t="s">
        <v>225</v>
      </c>
    </row>
    <row r="240" spans="1:3">
      <c r="A240" t="s">
        <v>173</v>
      </c>
      <c r="B240">
        <v>2022</v>
      </c>
      <c r="C240" t="s">
        <v>225</v>
      </c>
    </row>
    <row r="241" spans="1:3">
      <c r="A241" t="s">
        <v>173</v>
      </c>
      <c r="B241">
        <v>2023</v>
      </c>
      <c r="C241" t="s">
        <v>225</v>
      </c>
    </row>
    <row r="242" spans="1:3">
      <c r="A242" t="s">
        <v>173</v>
      </c>
      <c r="B242">
        <v>2024</v>
      </c>
      <c r="C242" t="s">
        <v>225</v>
      </c>
    </row>
    <row r="243" spans="1:3">
      <c r="A243" t="s">
        <v>173</v>
      </c>
      <c r="B243">
        <v>2025</v>
      </c>
      <c r="C243" t="s">
        <v>225</v>
      </c>
    </row>
    <row r="244" spans="1:3">
      <c r="A244" t="s">
        <v>174</v>
      </c>
      <c r="B244">
        <v>2015</v>
      </c>
      <c r="C244">
        <v>34</v>
      </c>
    </row>
    <row r="245" spans="1:3">
      <c r="A245" t="s">
        <v>174</v>
      </c>
      <c r="B245">
        <v>2016</v>
      </c>
      <c r="C245">
        <v>37</v>
      </c>
    </row>
    <row r="246" spans="1:3">
      <c r="A246" t="s">
        <v>174</v>
      </c>
      <c r="B246">
        <v>2017</v>
      </c>
      <c r="C246">
        <v>37</v>
      </c>
    </row>
    <row r="247" spans="1:3">
      <c r="A247" t="s">
        <v>174</v>
      </c>
      <c r="B247">
        <v>2018</v>
      </c>
      <c r="C247">
        <v>39</v>
      </c>
    </row>
    <row r="248" spans="1:3">
      <c r="A248" t="s">
        <v>174</v>
      </c>
      <c r="B248">
        <v>2019</v>
      </c>
      <c r="C248">
        <v>39</v>
      </c>
    </row>
    <row r="249" spans="1:3">
      <c r="A249" t="s">
        <v>174</v>
      </c>
      <c r="B249">
        <v>2020</v>
      </c>
      <c r="C249" t="s">
        <v>225</v>
      </c>
    </row>
    <row r="250" spans="1:3">
      <c r="A250" t="s">
        <v>174</v>
      </c>
      <c r="B250">
        <v>2021</v>
      </c>
      <c r="C250" t="s">
        <v>225</v>
      </c>
    </row>
    <row r="251" spans="1:3">
      <c r="A251" t="s">
        <v>174</v>
      </c>
      <c r="B251">
        <v>2022</v>
      </c>
      <c r="C251" t="s">
        <v>225</v>
      </c>
    </row>
    <row r="252" spans="1:3">
      <c r="A252" t="s">
        <v>174</v>
      </c>
      <c r="B252">
        <v>2023</v>
      </c>
      <c r="C252" t="s">
        <v>225</v>
      </c>
    </row>
    <row r="253" spans="1:3">
      <c r="A253" t="s">
        <v>174</v>
      </c>
      <c r="B253">
        <v>2024</v>
      </c>
      <c r="C253" t="s">
        <v>225</v>
      </c>
    </row>
    <row r="254" spans="1:3">
      <c r="A254" t="s">
        <v>174</v>
      </c>
      <c r="B254">
        <v>2025</v>
      </c>
      <c r="C254" t="s">
        <v>225</v>
      </c>
    </row>
    <row r="255" spans="1:3">
      <c r="A255" t="s">
        <v>175</v>
      </c>
      <c r="B255">
        <v>2015</v>
      </c>
      <c r="C255">
        <v>3</v>
      </c>
    </row>
    <row r="256" spans="1:3">
      <c r="A256" t="s">
        <v>175</v>
      </c>
      <c r="B256">
        <v>2016</v>
      </c>
      <c r="C256">
        <v>6</v>
      </c>
    </row>
    <row r="257" spans="1:3">
      <c r="A257" t="s">
        <v>175</v>
      </c>
      <c r="B257">
        <v>2017</v>
      </c>
      <c r="C257">
        <v>13</v>
      </c>
    </row>
    <row r="258" spans="1:3">
      <c r="A258" t="s">
        <v>175</v>
      </c>
      <c r="B258">
        <v>2018</v>
      </c>
      <c r="C258">
        <v>21</v>
      </c>
    </row>
    <row r="259" spans="1:3">
      <c r="A259" t="s">
        <v>175</v>
      </c>
      <c r="B259">
        <v>2019</v>
      </c>
      <c r="C259">
        <v>19</v>
      </c>
    </row>
    <row r="260" spans="1:3">
      <c r="A260" t="s">
        <v>175</v>
      </c>
      <c r="B260">
        <v>2020</v>
      </c>
      <c r="C260">
        <v>4</v>
      </c>
    </row>
    <row r="261" spans="1:3">
      <c r="A261" t="s">
        <v>175</v>
      </c>
      <c r="B261">
        <v>2021</v>
      </c>
      <c r="C261">
        <v>2</v>
      </c>
    </row>
    <row r="262" spans="1:3">
      <c r="A262" t="s">
        <v>175</v>
      </c>
      <c r="B262">
        <v>2022</v>
      </c>
      <c r="C262">
        <v>2</v>
      </c>
    </row>
    <row r="263" spans="1:3">
      <c r="A263" t="s">
        <v>175</v>
      </c>
      <c r="B263">
        <v>2023</v>
      </c>
      <c r="C263">
        <v>2</v>
      </c>
    </row>
    <row r="264" spans="1:3">
      <c r="A264" t="s">
        <v>175</v>
      </c>
      <c r="B264">
        <v>2024</v>
      </c>
      <c r="C264">
        <v>2</v>
      </c>
    </row>
    <row r="265" spans="1:3">
      <c r="A265" t="s">
        <v>175</v>
      </c>
      <c r="B265">
        <v>2025</v>
      </c>
      <c r="C265">
        <v>2</v>
      </c>
    </row>
    <row r="266" spans="1:3">
      <c r="A266" t="s">
        <v>176</v>
      </c>
      <c r="B266">
        <v>2015</v>
      </c>
      <c r="C266">
        <v>41</v>
      </c>
    </row>
    <row r="267" spans="1:3">
      <c r="A267" t="s">
        <v>176</v>
      </c>
      <c r="B267">
        <v>2016</v>
      </c>
      <c r="C267">
        <v>39</v>
      </c>
    </row>
    <row r="268" spans="1:3">
      <c r="A268" t="s">
        <v>176</v>
      </c>
      <c r="B268">
        <v>2017</v>
      </c>
      <c r="C268">
        <v>36</v>
      </c>
    </row>
    <row r="269" spans="1:3">
      <c r="A269" t="s">
        <v>176</v>
      </c>
      <c r="B269">
        <v>2018</v>
      </c>
      <c r="C269">
        <v>38</v>
      </c>
    </row>
    <row r="270" spans="1:3">
      <c r="A270" t="s">
        <v>176</v>
      </c>
      <c r="B270">
        <v>2019</v>
      </c>
      <c r="C270">
        <v>37</v>
      </c>
    </row>
    <row r="271" spans="1:3">
      <c r="A271" t="s">
        <v>176</v>
      </c>
      <c r="B271">
        <v>2020</v>
      </c>
      <c r="C271" t="s">
        <v>225</v>
      </c>
    </row>
    <row r="272" spans="1:3">
      <c r="A272" t="s">
        <v>176</v>
      </c>
      <c r="B272">
        <v>2021</v>
      </c>
      <c r="C272" t="s">
        <v>225</v>
      </c>
    </row>
    <row r="273" spans="1:3">
      <c r="A273" t="s">
        <v>176</v>
      </c>
      <c r="B273">
        <v>2022</v>
      </c>
      <c r="C273" t="s">
        <v>225</v>
      </c>
    </row>
    <row r="274" spans="1:3">
      <c r="A274" t="s">
        <v>176</v>
      </c>
      <c r="B274">
        <v>2023</v>
      </c>
      <c r="C274" t="s">
        <v>225</v>
      </c>
    </row>
    <row r="275" spans="1:3">
      <c r="A275" t="s">
        <v>176</v>
      </c>
      <c r="B275">
        <v>2024</v>
      </c>
      <c r="C275" t="s">
        <v>225</v>
      </c>
    </row>
    <row r="276" spans="1:3">
      <c r="A276" t="s">
        <v>176</v>
      </c>
      <c r="B276">
        <v>2025</v>
      </c>
      <c r="C276" t="s">
        <v>225</v>
      </c>
    </row>
    <row r="277" spans="1:3">
      <c r="A277" t="s">
        <v>177</v>
      </c>
      <c r="B277">
        <v>2015</v>
      </c>
      <c r="C277">
        <v>76</v>
      </c>
    </row>
    <row r="278" spans="1:3">
      <c r="A278" t="s">
        <v>177</v>
      </c>
      <c r="B278">
        <v>2016</v>
      </c>
      <c r="C278">
        <v>69</v>
      </c>
    </row>
    <row r="279" spans="1:3">
      <c r="A279" t="s">
        <v>177</v>
      </c>
      <c r="B279">
        <v>2017</v>
      </c>
      <c r="C279">
        <v>76</v>
      </c>
    </row>
    <row r="280" spans="1:3">
      <c r="A280" t="s">
        <v>177</v>
      </c>
      <c r="B280">
        <v>2018</v>
      </c>
      <c r="C280">
        <v>70</v>
      </c>
    </row>
    <row r="281" spans="1:3">
      <c r="A281" t="s">
        <v>177</v>
      </c>
      <c r="B281">
        <v>2019</v>
      </c>
      <c r="C281">
        <v>75</v>
      </c>
    </row>
    <row r="282" spans="1:3">
      <c r="A282" t="s">
        <v>177</v>
      </c>
      <c r="B282">
        <v>2020</v>
      </c>
      <c r="C282" t="s">
        <v>225</v>
      </c>
    </row>
    <row r="283" spans="1:3">
      <c r="A283" t="s">
        <v>177</v>
      </c>
      <c r="B283">
        <v>2021</v>
      </c>
      <c r="C283" t="s">
        <v>225</v>
      </c>
    </row>
    <row r="284" spans="1:3">
      <c r="A284" t="s">
        <v>177</v>
      </c>
      <c r="B284">
        <v>2022</v>
      </c>
      <c r="C284" t="s">
        <v>225</v>
      </c>
    </row>
    <row r="285" spans="1:3">
      <c r="A285" t="s">
        <v>177</v>
      </c>
      <c r="B285">
        <v>2023</v>
      </c>
      <c r="C285" t="s">
        <v>225</v>
      </c>
    </row>
    <row r="286" spans="1:3">
      <c r="A286" t="s">
        <v>177</v>
      </c>
      <c r="B286">
        <v>2024</v>
      </c>
      <c r="C286" t="s">
        <v>225</v>
      </c>
    </row>
    <row r="287" spans="1:3">
      <c r="A287" t="s">
        <v>177</v>
      </c>
      <c r="B287">
        <v>2025</v>
      </c>
      <c r="C287" t="s">
        <v>225</v>
      </c>
    </row>
    <row r="288" spans="1:3">
      <c r="A288" t="s">
        <v>178</v>
      </c>
      <c r="B288">
        <v>2015</v>
      </c>
      <c r="C288">
        <v>64</v>
      </c>
    </row>
    <row r="289" spans="1:3">
      <c r="A289" t="s">
        <v>178</v>
      </c>
      <c r="B289">
        <v>2016</v>
      </c>
      <c r="C289">
        <v>60</v>
      </c>
    </row>
    <row r="290" spans="1:3">
      <c r="A290" t="s">
        <v>178</v>
      </c>
      <c r="B290">
        <v>2017</v>
      </c>
      <c r="C290">
        <v>62</v>
      </c>
    </row>
    <row r="291" spans="1:3">
      <c r="A291" t="s">
        <v>178</v>
      </c>
      <c r="B291">
        <v>2018</v>
      </c>
      <c r="C291">
        <v>91</v>
      </c>
    </row>
    <row r="292" spans="1:3">
      <c r="A292" t="s">
        <v>178</v>
      </c>
      <c r="B292">
        <v>2019</v>
      </c>
      <c r="C292">
        <v>92</v>
      </c>
    </row>
    <row r="293" spans="1:3">
      <c r="A293" t="s">
        <v>178</v>
      </c>
      <c r="B293">
        <v>2020</v>
      </c>
      <c r="C293">
        <v>1</v>
      </c>
    </row>
    <row r="294" spans="1:3">
      <c r="A294" t="s">
        <v>178</v>
      </c>
      <c r="B294">
        <v>2021</v>
      </c>
      <c r="C294">
        <v>1</v>
      </c>
    </row>
    <row r="295" spans="1:3">
      <c r="A295" t="s">
        <v>178</v>
      </c>
      <c r="B295">
        <v>2022</v>
      </c>
      <c r="C295">
        <v>1</v>
      </c>
    </row>
    <row r="296" spans="1:3">
      <c r="A296" t="s">
        <v>178</v>
      </c>
      <c r="B296">
        <v>2023</v>
      </c>
      <c r="C296">
        <v>1</v>
      </c>
    </row>
    <row r="297" spans="1:3">
      <c r="A297" t="s">
        <v>178</v>
      </c>
      <c r="B297">
        <v>2024</v>
      </c>
      <c r="C297">
        <v>1</v>
      </c>
    </row>
    <row r="298" spans="1:3">
      <c r="A298" t="s">
        <v>178</v>
      </c>
      <c r="B298">
        <v>2025</v>
      </c>
      <c r="C298">
        <v>1</v>
      </c>
    </row>
    <row r="299" spans="1:3">
      <c r="A299" t="s">
        <v>179</v>
      </c>
      <c r="B299">
        <v>2015</v>
      </c>
      <c r="C299">
        <v>363</v>
      </c>
    </row>
    <row r="300" spans="1:3">
      <c r="A300" t="s">
        <v>179</v>
      </c>
      <c r="B300">
        <v>2016</v>
      </c>
      <c r="C300">
        <v>493</v>
      </c>
    </row>
    <row r="301" spans="1:3">
      <c r="A301" t="s">
        <v>179</v>
      </c>
      <c r="B301">
        <v>2017</v>
      </c>
      <c r="C301">
        <v>591</v>
      </c>
    </row>
    <row r="302" spans="1:3">
      <c r="A302" t="s">
        <v>179</v>
      </c>
      <c r="B302">
        <v>2018</v>
      </c>
      <c r="C302">
        <v>542</v>
      </c>
    </row>
    <row r="303" spans="1:3">
      <c r="A303" t="s">
        <v>179</v>
      </c>
      <c r="B303">
        <v>2019</v>
      </c>
      <c r="C303">
        <v>517</v>
      </c>
    </row>
    <row r="304" spans="1:3">
      <c r="A304" t="s">
        <v>179</v>
      </c>
      <c r="B304">
        <v>2020</v>
      </c>
      <c r="C304">
        <v>62</v>
      </c>
    </row>
    <row r="305" spans="1:3">
      <c r="A305" t="s">
        <v>179</v>
      </c>
      <c r="B305">
        <v>2021</v>
      </c>
      <c r="C305">
        <v>51</v>
      </c>
    </row>
    <row r="306" spans="1:3">
      <c r="A306" t="s">
        <v>179</v>
      </c>
      <c r="B306">
        <v>2022</v>
      </c>
      <c r="C306">
        <v>46</v>
      </c>
    </row>
    <row r="307" spans="1:3">
      <c r="A307" t="s">
        <v>179</v>
      </c>
      <c r="B307">
        <v>2023</v>
      </c>
      <c r="C307">
        <v>45</v>
      </c>
    </row>
    <row r="308" spans="1:3">
      <c r="A308" t="s">
        <v>179</v>
      </c>
      <c r="B308">
        <v>2024</v>
      </c>
      <c r="C308">
        <v>45</v>
      </c>
    </row>
    <row r="309" spans="1:3">
      <c r="A309" t="s">
        <v>179</v>
      </c>
      <c r="B309">
        <v>2025</v>
      </c>
      <c r="C309">
        <v>42</v>
      </c>
    </row>
    <row r="310" spans="1:3">
      <c r="A310" t="s">
        <v>180</v>
      </c>
      <c r="B310">
        <v>2015</v>
      </c>
      <c r="C310">
        <v>62</v>
      </c>
    </row>
    <row r="311" spans="1:3">
      <c r="A311" t="s">
        <v>180</v>
      </c>
      <c r="B311">
        <v>2016</v>
      </c>
      <c r="C311">
        <v>111</v>
      </c>
    </row>
    <row r="312" spans="1:3">
      <c r="A312" t="s">
        <v>180</v>
      </c>
      <c r="B312">
        <v>2017</v>
      </c>
      <c r="C312">
        <v>114</v>
      </c>
    </row>
    <row r="313" spans="1:3">
      <c r="A313" t="s">
        <v>180</v>
      </c>
      <c r="B313">
        <v>2018</v>
      </c>
      <c r="C313">
        <v>115</v>
      </c>
    </row>
    <row r="314" spans="1:3">
      <c r="A314" t="s">
        <v>180</v>
      </c>
      <c r="B314">
        <v>2019</v>
      </c>
      <c r="C314">
        <v>115</v>
      </c>
    </row>
    <row r="315" spans="1:3">
      <c r="A315" t="s">
        <v>180</v>
      </c>
      <c r="B315">
        <v>2020</v>
      </c>
      <c r="C315" t="s">
        <v>225</v>
      </c>
    </row>
    <row r="316" spans="1:3">
      <c r="A316" t="s">
        <v>180</v>
      </c>
      <c r="B316">
        <v>2021</v>
      </c>
      <c r="C316" t="s">
        <v>225</v>
      </c>
    </row>
    <row r="317" spans="1:3">
      <c r="A317" t="s">
        <v>180</v>
      </c>
      <c r="B317">
        <v>2022</v>
      </c>
      <c r="C317" t="s">
        <v>225</v>
      </c>
    </row>
    <row r="318" spans="1:3">
      <c r="A318" t="s">
        <v>180</v>
      </c>
      <c r="B318">
        <v>2023</v>
      </c>
      <c r="C318" t="s">
        <v>225</v>
      </c>
    </row>
    <row r="319" spans="1:3">
      <c r="A319" t="s">
        <v>180</v>
      </c>
      <c r="B319">
        <v>2024</v>
      </c>
      <c r="C319" t="s">
        <v>225</v>
      </c>
    </row>
    <row r="320" spans="1:3">
      <c r="A320" t="s">
        <v>180</v>
      </c>
      <c r="B320">
        <v>2025</v>
      </c>
      <c r="C320" t="s">
        <v>225</v>
      </c>
    </row>
    <row r="321" spans="1:3">
      <c r="A321" t="s">
        <v>181</v>
      </c>
      <c r="B321">
        <v>2015</v>
      </c>
      <c r="C321">
        <v>39</v>
      </c>
    </row>
    <row r="322" spans="1:3">
      <c r="A322" t="s">
        <v>181</v>
      </c>
      <c r="B322">
        <v>2016</v>
      </c>
      <c r="C322">
        <v>35</v>
      </c>
    </row>
    <row r="323" spans="1:3">
      <c r="A323" t="s">
        <v>181</v>
      </c>
      <c r="B323">
        <v>2017</v>
      </c>
      <c r="C323">
        <v>52</v>
      </c>
    </row>
    <row r="324" spans="1:3">
      <c r="A324" t="s">
        <v>181</v>
      </c>
      <c r="B324">
        <v>2018</v>
      </c>
      <c r="C324">
        <v>58</v>
      </c>
    </row>
    <row r="325" spans="1:3">
      <c r="A325" t="s">
        <v>181</v>
      </c>
      <c r="B325">
        <v>2019</v>
      </c>
      <c r="C325">
        <v>58</v>
      </c>
    </row>
    <row r="326" spans="1:3">
      <c r="A326" t="s">
        <v>181</v>
      </c>
      <c r="B326">
        <v>2020</v>
      </c>
      <c r="C326" t="s">
        <v>225</v>
      </c>
    </row>
    <row r="327" spans="1:3">
      <c r="A327" t="s">
        <v>181</v>
      </c>
      <c r="B327">
        <v>2021</v>
      </c>
      <c r="C327" t="s">
        <v>225</v>
      </c>
    </row>
    <row r="328" spans="1:3">
      <c r="A328" t="s">
        <v>181</v>
      </c>
      <c r="B328">
        <v>2022</v>
      </c>
      <c r="C328" t="s">
        <v>225</v>
      </c>
    </row>
    <row r="329" spans="1:3">
      <c r="A329" t="s">
        <v>181</v>
      </c>
      <c r="B329">
        <v>2023</v>
      </c>
      <c r="C329" t="s">
        <v>225</v>
      </c>
    </row>
    <row r="330" spans="1:3">
      <c r="A330" t="s">
        <v>181</v>
      </c>
      <c r="B330">
        <v>2024</v>
      </c>
      <c r="C330" t="s">
        <v>225</v>
      </c>
    </row>
    <row r="331" spans="1:3">
      <c r="A331" t="s">
        <v>181</v>
      </c>
      <c r="B331">
        <v>2025</v>
      </c>
      <c r="C331" t="s">
        <v>225</v>
      </c>
    </row>
    <row r="332" spans="1:3">
      <c r="A332" t="s">
        <v>182</v>
      </c>
      <c r="B332">
        <v>2015</v>
      </c>
      <c r="C332">
        <v>86</v>
      </c>
    </row>
    <row r="333" spans="1:3">
      <c r="A333" t="s">
        <v>182</v>
      </c>
      <c r="B333">
        <v>2016</v>
      </c>
      <c r="C333">
        <v>86</v>
      </c>
    </row>
    <row r="334" spans="1:3">
      <c r="A334" t="s">
        <v>182</v>
      </c>
      <c r="B334">
        <v>2017</v>
      </c>
      <c r="C334">
        <v>93</v>
      </c>
    </row>
    <row r="335" spans="1:3">
      <c r="A335" t="s">
        <v>182</v>
      </c>
      <c r="B335">
        <v>2018</v>
      </c>
      <c r="C335">
        <v>79</v>
      </c>
    </row>
    <row r="336" spans="1:3">
      <c r="A336" t="s">
        <v>182</v>
      </c>
      <c r="B336">
        <v>2019</v>
      </c>
      <c r="C336">
        <v>72</v>
      </c>
    </row>
    <row r="337" spans="1:3">
      <c r="A337" t="s">
        <v>182</v>
      </c>
      <c r="B337">
        <v>2020</v>
      </c>
      <c r="C337">
        <v>4</v>
      </c>
    </row>
    <row r="338" spans="1:3">
      <c r="A338" t="s">
        <v>182</v>
      </c>
      <c r="B338">
        <v>2021</v>
      </c>
      <c r="C338">
        <v>3</v>
      </c>
    </row>
    <row r="339" spans="1:3">
      <c r="A339" t="s">
        <v>182</v>
      </c>
      <c r="B339">
        <v>2022</v>
      </c>
      <c r="C339">
        <v>3</v>
      </c>
    </row>
    <row r="340" spans="1:3">
      <c r="A340" t="s">
        <v>182</v>
      </c>
      <c r="B340">
        <v>2023</v>
      </c>
      <c r="C340">
        <v>3</v>
      </c>
    </row>
    <row r="341" spans="1:3">
      <c r="A341" t="s">
        <v>182</v>
      </c>
      <c r="B341">
        <v>2024</v>
      </c>
      <c r="C341">
        <v>3</v>
      </c>
    </row>
    <row r="342" spans="1:3">
      <c r="A342" t="s">
        <v>182</v>
      </c>
      <c r="B342">
        <v>2025</v>
      </c>
      <c r="C342">
        <v>3</v>
      </c>
    </row>
    <row r="343" spans="1:3">
      <c r="A343" t="s">
        <v>184</v>
      </c>
      <c r="B343">
        <v>2015</v>
      </c>
      <c r="C343">
        <v>61</v>
      </c>
    </row>
    <row r="344" spans="1:3">
      <c r="A344" t="s">
        <v>184</v>
      </c>
      <c r="B344">
        <v>2016</v>
      </c>
      <c r="C344">
        <v>57</v>
      </c>
    </row>
    <row r="345" spans="1:3">
      <c r="A345" t="s">
        <v>184</v>
      </c>
      <c r="B345">
        <v>2017</v>
      </c>
      <c r="C345">
        <v>55</v>
      </c>
    </row>
    <row r="346" spans="1:3">
      <c r="A346" t="s">
        <v>184</v>
      </c>
      <c r="B346">
        <v>2018</v>
      </c>
      <c r="C346">
        <v>69</v>
      </c>
    </row>
    <row r="347" spans="1:3">
      <c r="A347" t="s">
        <v>184</v>
      </c>
      <c r="B347">
        <v>2019</v>
      </c>
      <c r="C347">
        <v>62</v>
      </c>
    </row>
    <row r="348" spans="1:3">
      <c r="A348" t="s">
        <v>184</v>
      </c>
      <c r="B348">
        <v>2020</v>
      </c>
      <c r="C348" t="s">
        <v>225</v>
      </c>
    </row>
    <row r="349" spans="1:3">
      <c r="A349" t="s">
        <v>184</v>
      </c>
      <c r="B349">
        <v>2021</v>
      </c>
      <c r="C349" t="s">
        <v>225</v>
      </c>
    </row>
    <row r="350" spans="1:3">
      <c r="A350" t="s">
        <v>184</v>
      </c>
      <c r="B350">
        <v>2022</v>
      </c>
      <c r="C350" t="s">
        <v>225</v>
      </c>
    </row>
    <row r="351" spans="1:3">
      <c r="A351" t="s">
        <v>184</v>
      </c>
      <c r="B351">
        <v>2023</v>
      </c>
      <c r="C351" t="s">
        <v>225</v>
      </c>
    </row>
    <row r="352" spans="1:3">
      <c r="A352" t="s">
        <v>184</v>
      </c>
      <c r="B352">
        <v>2024</v>
      </c>
      <c r="C352" t="s">
        <v>225</v>
      </c>
    </row>
    <row r="353" spans="1:3">
      <c r="A353" t="s">
        <v>184</v>
      </c>
      <c r="B353">
        <v>2025</v>
      </c>
      <c r="C353" t="s">
        <v>225</v>
      </c>
    </row>
    <row r="354" spans="1:3">
      <c r="A354" t="s">
        <v>185</v>
      </c>
      <c r="B354">
        <v>2015</v>
      </c>
      <c r="C354">
        <v>5</v>
      </c>
    </row>
    <row r="355" spans="1:3">
      <c r="A355" t="s">
        <v>185</v>
      </c>
      <c r="B355">
        <v>2016</v>
      </c>
      <c r="C355">
        <v>5</v>
      </c>
    </row>
    <row r="356" spans="1:3">
      <c r="A356" t="s">
        <v>185</v>
      </c>
      <c r="B356">
        <v>2017</v>
      </c>
      <c r="C356">
        <v>7</v>
      </c>
    </row>
    <row r="357" spans="1:3">
      <c r="A357" t="s">
        <v>185</v>
      </c>
      <c r="B357">
        <v>2018</v>
      </c>
      <c r="C357">
        <v>7</v>
      </c>
    </row>
    <row r="358" spans="1:3">
      <c r="A358" t="s">
        <v>185</v>
      </c>
      <c r="B358">
        <v>2019</v>
      </c>
      <c r="C358">
        <v>8</v>
      </c>
    </row>
    <row r="359" spans="1:3">
      <c r="A359" t="s">
        <v>185</v>
      </c>
      <c r="B359">
        <v>2020</v>
      </c>
      <c r="C359" t="s">
        <v>225</v>
      </c>
    </row>
    <row r="360" spans="1:3">
      <c r="A360" t="s">
        <v>185</v>
      </c>
      <c r="B360">
        <v>2021</v>
      </c>
      <c r="C360" t="s">
        <v>225</v>
      </c>
    </row>
    <row r="361" spans="1:3">
      <c r="A361" t="s">
        <v>185</v>
      </c>
      <c r="B361">
        <v>2022</v>
      </c>
      <c r="C361" t="s">
        <v>225</v>
      </c>
    </row>
    <row r="362" spans="1:3">
      <c r="A362" t="s">
        <v>185</v>
      </c>
      <c r="B362">
        <v>2023</v>
      </c>
      <c r="C362" t="s">
        <v>225</v>
      </c>
    </row>
    <row r="363" spans="1:3">
      <c r="A363" t="s">
        <v>185</v>
      </c>
      <c r="B363">
        <v>2024</v>
      </c>
      <c r="C363" t="s">
        <v>225</v>
      </c>
    </row>
    <row r="364" spans="1:3">
      <c r="A364" t="s">
        <v>185</v>
      </c>
      <c r="B364">
        <v>2025</v>
      </c>
      <c r="C364" t="s">
        <v>225</v>
      </c>
    </row>
    <row r="365" spans="1:3">
      <c r="A365" t="s">
        <v>187</v>
      </c>
      <c r="B365">
        <v>2015</v>
      </c>
      <c r="C365">
        <v>5</v>
      </c>
    </row>
    <row r="366" spans="1:3">
      <c r="A366" t="s">
        <v>187</v>
      </c>
      <c r="B366">
        <v>2016</v>
      </c>
      <c r="C366">
        <v>4</v>
      </c>
    </row>
    <row r="367" spans="1:3">
      <c r="A367" t="s">
        <v>187</v>
      </c>
      <c r="B367">
        <v>2017</v>
      </c>
      <c r="C367">
        <v>4</v>
      </c>
    </row>
    <row r="368" spans="1:3">
      <c r="A368" t="s">
        <v>187</v>
      </c>
      <c r="B368">
        <v>2018</v>
      </c>
      <c r="C368">
        <v>4</v>
      </c>
    </row>
    <row r="369" spans="1:3">
      <c r="A369" t="s">
        <v>187</v>
      </c>
      <c r="B369">
        <v>2019</v>
      </c>
      <c r="C369">
        <v>4</v>
      </c>
    </row>
    <row r="370" spans="1:3">
      <c r="A370" t="s">
        <v>187</v>
      </c>
      <c r="B370">
        <v>2020</v>
      </c>
      <c r="C370" t="s">
        <v>225</v>
      </c>
    </row>
    <row r="371" spans="1:3">
      <c r="A371" t="s">
        <v>187</v>
      </c>
      <c r="B371">
        <v>2021</v>
      </c>
      <c r="C371" t="s">
        <v>225</v>
      </c>
    </row>
    <row r="372" spans="1:3">
      <c r="A372" t="s">
        <v>187</v>
      </c>
      <c r="B372">
        <v>2022</v>
      </c>
      <c r="C372" t="s">
        <v>225</v>
      </c>
    </row>
    <row r="373" spans="1:3">
      <c r="A373" t="s">
        <v>187</v>
      </c>
      <c r="B373">
        <v>2023</v>
      </c>
      <c r="C373" t="s">
        <v>225</v>
      </c>
    </row>
    <row r="374" spans="1:3">
      <c r="A374" t="s">
        <v>187</v>
      </c>
      <c r="B374">
        <v>2024</v>
      </c>
      <c r="C374" t="s">
        <v>225</v>
      </c>
    </row>
    <row r="375" spans="1:3">
      <c r="A375" t="s">
        <v>187</v>
      </c>
      <c r="B375">
        <v>2025</v>
      </c>
      <c r="C375" t="s">
        <v>225</v>
      </c>
    </row>
    <row r="376" spans="1:3">
      <c r="A376" t="s">
        <v>188</v>
      </c>
      <c r="B376">
        <v>2015</v>
      </c>
      <c r="C376">
        <v>55</v>
      </c>
    </row>
    <row r="377" spans="1:3">
      <c r="A377" t="s">
        <v>188</v>
      </c>
      <c r="B377">
        <v>2016</v>
      </c>
      <c r="C377">
        <v>68</v>
      </c>
    </row>
    <row r="378" spans="1:3">
      <c r="A378" t="s">
        <v>188</v>
      </c>
      <c r="B378">
        <v>2017</v>
      </c>
      <c r="C378">
        <v>57</v>
      </c>
    </row>
    <row r="379" spans="1:3">
      <c r="A379" t="s">
        <v>188</v>
      </c>
      <c r="B379">
        <v>2018</v>
      </c>
      <c r="C379">
        <v>36</v>
      </c>
    </row>
    <row r="380" spans="1:3">
      <c r="A380" t="s">
        <v>188</v>
      </c>
      <c r="B380">
        <v>2019</v>
      </c>
      <c r="C380">
        <v>48</v>
      </c>
    </row>
    <row r="381" spans="1:3">
      <c r="A381" t="s">
        <v>188</v>
      </c>
      <c r="B381">
        <v>2020</v>
      </c>
      <c r="C381">
        <v>4</v>
      </c>
    </row>
    <row r="382" spans="1:3">
      <c r="A382" t="s">
        <v>188</v>
      </c>
      <c r="B382">
        <v>2021</v>
      </c>
      <c r="C382">
        <v>4</v>
      </c>
    </row>
    <row r="383" spans="1:3">
      <c r="A383" t="s">
        <v>188</v>
      </c>
      <c r="B383">
        <v>2022</v>
      </c>
      <c r="C383" t="s">
        <v>225</v>
      </c>
    </row>
    <row r="384" spans="1:3">
      <c r="A384" t="s">
        <v>188</v>
      </c>
      <c r="B384">
        <v>2023</v>
      </c>
      <c r="C384" t="s">
        <v>225</v>
      </c>
    </row>
    <row r="385" spans="1:3">
      <c r="A385" t="s">
        <v>188</v>
      </c>
      <c r="B385">
        <v>2024</v>
      </c>
      <c r="C385" t="s">
        <v>225</v>
      </c>
    </row>
    <row r="386" spans="1:3">
      <c r="A386" t="s">
        <v>188</v>
      </c>
      <c r="B386">
        <v>2025</v>
      </c>
      <c r="C386" t="s">
        <v>225</v>
      </c>
    </row>
    <row r="387" spans="1:3">
      <c r="A387" t="s">
        <v>190</v>
      </c>
      <c r="B387">
        <v>2015</v>
      </c>
      <c r="C387">
        <v>18</v>
      </c>
    </row>
    <row r="388" spans="1:3">
      <c r="A388" t="s">
        <v>190</v>
      </c>
      <c r="B388">
        <v>2016</v>
      </c>
      <c r="C388">
        <v>20</v>
      </c>
    </row>
    <row r="389" spans="1:3">
      <c r="A389" t="s">
        <v>190</v>
      </c>
      <c r="B389">
        <v>2017</v>
      </c>
      <c r="C389">
        <v>20</v>
      </c>
    </row>
    <row r="390" spans="1:3">
      <c r="A390" t="s">
        <v>190</v>
      </c>
      <c r="B390">
        <v>2018</v>
      </c>
      <c r="C390">
        <v>21</v>
      </c>
    </row>
    <row r="391" spans="1:3">
      <c r="A391" t="s">
        <v>190</v>
      </c>
      <c r="B391">
        <v>2019</v>
      </c>
      <c r="C391">
        <v>24</v>
      </c>
    </row>
    <row r="392" spans="1:3">
      <c r="A392" t="s">
        <v>190</v>
      </c>
      <c r="B392">
        <v>2020</v>
      </c>
      <c r="C392" t="s">
        <v>225</v>
      </c>
    </row>
    <row r="393" spans="1:3">
      <c r="A393" t="s">
        <v>190</v>
      </c>
      <c r="B393">
        <v>2021</v>
      </c>
      <c r="C393" t="s">
        <v>225</v>
      </c>
    </row>
    <row r="394" spans="1:3">
      <c r="A394" t="s">
        <v>190</v>
      </c>
      <c r="B394">
        <v>2022</v>
      </c>
      <c r="C394" t="s">
        <v>225</v>
      </c>
    </row>
    <row r="395" spans="1:3">
      <c r="A395" t="s">
        <v>190</v>
      </c>
      <c r="B395">
        <v>2023</v>
      </c>
      <c r="C395" t="s">
        <v>225</v>
      </c>
    </row>
    <row r="396" spans="1:3">
      <c r="A396" t="s">
        <v>190</v>
      </c>
      <c r="B396">
        <v>2024</v>
      </c>
      <c r="C396" t="s">
        <v>225</v>
      </c>
    </row>
    <row r="397" spans="1:3">
      <c r="A397" t="s">
        <v>190</v>
      </c>
      <c r="B397">
        <v>2025</v>
      </c>
      <c r="C397" t="s">
        <v>225</v>
      </c>
    </row>
    <row r="398" spans="1:3">
      <c r="A398" t="s">
        <v>191</v>
      </c>
      <c r="B398">
        <v>2015</v>
      </c>
      <c r="C398">
        <v>38</v>
      </c>
    </row>
    <row r="399" spans="1:3">
      <c r="A399" t="s">
        <v>191</v>
      </c>
      <c r="B399">
        <v>2016</v>
      </c>
      <c r="C399">
        <v>36</v>
      </c>
    </row>
    <row r="400" spans="1:3">
      <c r="A400" t="s">
        <v>191</v>
      </c>
      <c r="B400">
        <v>2017</v>
      </c>
      <c r="C400">
        <v>36</v>
      </c>
    </row>
    <row r="401" spans="1:3">
      <c r="A401" t="s">
        <v>191</v>
      </c>
      <c r="B401">
        <v>2018</v>
      </c>
      <c r="C401">
        <v>36</v>
      </c>
    </row>
    <row r="402" spans="1:3">
      <c r="A402" t="s">
        <v>191</v>
      </c>
      <c r="B402">
        <v>2019</v>
      </c>
      <c r="C402">
        <v>36</v>
      </c>
    </row>
    <row r="403" spans="1:3">
      <c r="A403" t="s">
        <v>191</v>
      </c>
      <c r="B403">
        <v>2020</v>
      </c>
      <c r="C403" t="s">
        <v>225</v>
      </c>
    </row>
    <row r="404" spans="1:3">
      <c r="A404" t="s">
        <v>191</v>
      </c>
      <c r="B404">
        <v>2021</v>
      </c>
      <c r="C404" t="s">
        <v>225</v>
      </c>
    </row>
    <row r="405" spans="1:3">
      <c r="A405" t="s">
        <v>191</v>
      </c>
      <c r="B405">
        <v>2022</v>
      </c>
      <c r="C405" t="s">
        <v>225</v>
      </c>
    </row>
    <row r="406" spans="1:3">
      <c r="A406" t="s">
        <v>191</v>
      </c>
      <c r="B406">
        <v>2023</v>
      </c>
      <c r="C406" t="s">
        <v>225</v>
      </c>
    </row>
    <row r="407" spans="1:3">
      <c r="A407" t="s">
        <v>191</v>
      </c>
      <c r="B407">
        <v>2024</v>
      </c>
      <c r="C407" t="s">
        <v>225</v>
      </c>
    </row>
    <row r="408" spans="1:3">
      <c r="A408" t="s">
        <v>191</v>
      </c>
      <c r="B408">
        <v>2025</v>
      </c>
      <c r="C408" t="s">
        <v>225</v>
      </c>
    </row>
    <row r="409" spans="1:3">
      <c r="A409" t="s">
        <v>193</v>
      </c>
      <c r="B409">
        <v>2015</v>
      </c>
      <c r="C409">
        <v>34</v>
      </c>
    </row>
    <row r="410" spans="1:3">
      <c r="A410" t="s">
        <v>193</v>
      </c>
      <c r="B410">
        <v>2016</v>
      </c>
      <c r="C410">
        <v>30</v>
      </c>
    </row>
    <row r="411" spans="1:3">
      <c r="A411" t="s">
        <v>193</v>
      </c>
      <c r="B411">
        <v>2017</v>
      </c>
      <c r="C411">
        <v>37</v>
      </c>
    </row>
    <row r="412" spans="1:3">
      <c r="A412" t="s">
        <v>193</v>
      </c>
      <c r="B412">
        <v>2018</v>
      </c>
      <c r="C412">
        <v>42</v>
      </c>
    </row>
    <row r="413" spans="1:3">
      <c r="A413" t="s">
        <v>193</v>
      </c>
      <c r="B413">
        <v>2019</v>
      </c>
      <c r="C413">
        <v>42</v>
      </c>
    </row>
    <row r="414" spans="1:3">
      <c r="A414" t="s">
        <v>193</v>
      </c>
      <c r="B414">
        <v>2020</v>
      </c>
      <c r="C414">
        <v>7</v>
      </c>
    </row>
    <row r="415" spans="1:3">
      <c r="A415" t="s">
        <v>193</v>
      </c>
      <c r="B415">
        <v>2021</v>
      </c>
      <c r="C415">
        <v>6</v>
      </c>
    </row>
    <row r="416" spans="1:3">
      <c r="A416" t="s">
        <v>193</v>
      </c>
      <c r="B416">
        <v>2022</v>
      </c>
      <c r="C416">
        <v>6</v>
      </c>
    </row>
    <row r="417" spans="1:3">
      <c r="A417" t="s">
        <v>193</v>
      </c>
      <c r="B417">
        <v>2023</v>
      </c>
      <c r="C417">
        <v>6</v>
      </c>
    </row>
    <row r="418" spans="1:3">
      <c r="A418" t="s">
        <v>193</v>
      </c>
      <c r="B418">
        <v>2024</v>
      </c>
      <c r="C418">
        <v>6</v>
      </c>
    </row>
    <row r="419" spans="1:3">
      <c r="A419" t="s">
        <v>193</v>
      </c>
      <c r="B419">
        <v>2025</v>
      </c>
      <c r="C419">
        <v>6</v>
      </c>
    </row>
    <row r="420" spans="1:3">
      <c r="A420" t="s">
        <v>194</v>
      </c>
      <c r="B420">
        <v>2015</v>
      </c>
      <c r="C420">
        <v>23</v>
      </c>
    </row>
    <row r="421" spans="1:3">
      <c r="A421" t="s">
        <v>194</v>
      </c>
      <c r="B421">
        <v>2016</v>
      </c>
      <c r="C421">
        <v>23</v>
      </c>
    </row>
    <row r="422" spans="1:3">
      <c r="A422" t="s">
        <v>194</v>
      </c>
      <c r="B422">
        <v>2017</v>
      </c>
      <c r="C422">
        <v>31</v>
      </c>
    </row>
    <row r="423" spans="1:3">
      <c r="A423" t="s">
        <v>194</v>
      </c>
      <c r="B423">
        <v>2018</v>
      </c>
      <c r="C423">
        <v>37</v>
      </c>
    </row>
    <row r="424" spans="1:3">
      <c r="A424" t="s">
        <v>194</v>
      </c>
      <c r="B424">
        <v>2019</v>
      </c>
      <c r="C424">
        <v>40</v>
      </c>
    </row>
    <row r="425" spans="1:3">
      <c r="A425" t="s">
        <v>194</v>
      </c>
      <c r="B425">
        <v>2020</v>
      </c>
      <c r="C425">
        <v>3</v>
      </c>
    </row>
    <row r="426" spans="1:3">
      <c r="A426" t="s">
        <v>194</v>
      </c>
      <c r="B426">
        <v>2021</v>
      </c>
      <c r="C426">
        <v>3</v>
      </c>
    </row>
    <row r="427" spans="1:3">
      <c r="A427" t="s">
        <v>194</v>
      </c>
      <c r="B427">
        <v>2022</v>
      </c>
      <c r="C427">
        <v>3</v>
      </c>
    </row>
    <row r="428" spans="1:3">
      <c r="A428" t="s">
        <v>194</v>
      </c>
      <c r="B428">
        <v>2023</v>
      </c>
      <c r="C428">
        <v>3</v>
      </c>
    </row>
    <row r="429" spans="1:3">
      <c r="A429" t="s">
        <v>194</v>
      </c>
      <c r="B429">
        <v>2024</v>
      </c>
      <c r="C429">
        <v>3</v>
      </c>
    </row>
    <row r="430" spans="1:3">
      <c r="A430" t="s">
        <v>194</v>
      </c>
      <c r="B430">
        <v>2025</v>
      </c>
      <c r="C430">
        <v>3</v>
      </c>
    </row>
    <row r="431" spans="1:3">
      <c r="A431" t="s">
        <v>195</v>
      </c>
      <c r="B431">
        <v>2015</v>
      </c>
      <c r="C431">
        <v>42</v>
      </c>
    </row>
    <row r="432" spans="1:3">
      <c r="A432" t="s">
        <v>195</v>
      </c>
      <c r="B432">
        <v>2016</v>
      </c>
      <c r="C432">
        <v>44</v>
      </c>
    </row>
    <row r="433" spans="1:3">
      <c r="A433" t="s">
        <v>195</v>
      </c>
      <c r="B433">
        <v>2017</v>
      </c>
      <c r="C433">
        <v>44</v>
      </c>
    </row>
    <row r="434" spans="1:3">
      <c r="A434" t="s">
        <v>195</v>
      </c>
      <c r="B434">
        <v>2018</v>
      </c>
      <c r="C434">
        <v>41</v>
      </c>
    </row>
    <row r="435" spans="1:3">
      <c r="A435" t="s">
        <v>195</v>
      </c>
      <c r="B435">
        <v>2019</v>
      </c>
      <c r="C435">
        <v>37</v>
      </c>
    </row>
    <row r="436" spans="1:3">
      <c r="A436" t="s">
        <v>195</v>
      </c>
      <c r="B436">
        <v>2020</v>
      </c>
      <c r="C436" t="s">
        <v>225</v>
      </c>
    </row>
    <row r="437" spans="1:3">
      <c r="A437" t="s">
        <v>195</v>
      </c>
      <c r="B437">
        <v>2021</v>
      </c>
      <c r="C437" t="s">
        <v>225</v>
      </c>
    </row>
    <row r="438" spans="1:3">
      <c r="A438" t="s">
        <v>195</v>
      </c>
      <c r="B438">
        <v>2022</v>
      </c>
      <c r="C438" t="s">
        <v>225</v>
      </c>
    </row>
    <row r="439" spans="1:3">
      <c r="A439" t="s">
        <v>195</v>
      </c>
      <c r="B439">
        <v>2023</v>
      </c>
      <c r="C439" t="s">
        <v>225</v>
      </c>
    </row>
    <row r="440" spans="1:3">
      <c r="A440" t="s">
        <v>195</v>
      </c>
      <c r="B440">
        <v>2024</v>
      </c>
      <c r="C440" t="s">
        <v>225</v>
      </c>
    </row>
    <row r="441" spans="1:3">
      <c r="A441" t="s">
        <v>195</v>
      </c>
      <c r="B441">
        <v>2025</v>
      </c>
      <c r="C441" t="s">
        <v>225</v>
      </c>
    </row>
    <row r="442" spans="1:3">
      <c r="A442" t="s">
        <v>196</v>
      </c>
      <c r="B442">
        <v>2015</v>
      </c>
      <c r="C442">
        <v>735</v>
      </c>
    </row>
    <row r="443" spans="1:3">
      <c r="A443" t="s">
        <v>196</v>
      </c>
      <c r="B443">
        <v>2016</v>
      </c>
      <c r="C443">
        <v>802</v>
      </c>
    </row>
    <row r="444" spans="1:3">
      <c r="A444" t="s">
        <v>196</v>
      </c>
      <c r="B444">
        <v>2017</v>
      </c>
      <c r="C444">
        <v>799</v>
      </c>
    </row>
    <row r="445" spans="1:3">
      <c r="A445" t="s">
        <v>196</v>
      </c>
      <c r="B445">
        <v>2018</v>
      </c>
      <c r="C445">
        <v>884</v>
      </c>
    </row>
    <row r="446" spans="1:3">
      <c r="A446" t="s">
        <v>196</v>
      </c>
      <c r="B446">
        <v>2019</v>
      </c>
      <c r="C446">
        <v>900</v>
      </c>
    </row>
    <row r="447" spans="1:3">
      <c r="A447" t="s">
        <v>196</v>
      </c>
      <c r="B447">
        <v>2020</v>
      </c>
      <c r="C447">
        <v>6</v>
      </c>
    </row>
    <row r="448" spans="1:3">
      <c r="A448" t="s">
        <v>196</v>
      </c>
      <c r="B448">
        <v>2021</v>
      </c>
      <c r="C448">
        <v>6</v>
      </c>
    </row>
    <row r="449" spans="1:3">
      <c r="A449" t="s">
        <v>196</v>
      </c>
      <c r="B449">
        <v>2022</v>
      </c>
      <c r="C449">
        <v>6</v>
      </c>
    </row>
    <row r="450" spans="1:3">
      <c r="A450" t="s">
        <v>196</v>
      </c>
      <c r="B450">
        <v>2023</v>
      </c>
      <c r="C450">
        <v>6</v>
      </c>
    </row>
    <row r="451" spans="1:3">
      <c r="A451" t="s">
        <v>196</v>
      </c>
      <c r="B451">
        <v>2024</v>
      </c>
      <c r="C451">
        <v>6</v>
      </c>
    </row>
    <row r="452" spans="1:3">
      <c r="A452" t="s">
        <v>196</v>
      </c>
      <c r="B452">
        <v>2025</v>
      </c>
      <c r="C452">
        <v>6</v>
      </c>
    </row>
    <row r="453" spans="1:3">
      <c r="A453" t="s">
        <v>197</v>
      </c>
      <c r="B453">
        <v>2015</v>
      </c>
      <c r="C453">
        <v>38</v>
      </c>
    </row>
    <row r="454" spans="1:3">
      <c r="A454" t="s">
        <v>197</v>
      </c>
      <c r="B454">
        <v>2016</v>
      </c>
      <c r="C454">
        <v>40</v>
      </c>
    </row>
    <row r="455" spans="1:3">
      <c r="A455" t="s">
        <v>197</v>
      </c>
      <c r="B455">
        <v>2017</v>
      </c>
      <c r="C455">
        <v>41</v>
      </c>
    </row>
    <row r="456" spans="1:3">
      <c r="A456" t="s">
        <v>197</v>
      </c>
      <c r="B456">
        <v>2018</v>
      </c>
      <c r="C456">
        <v>43</v>
      </c>
    </row>
    <row r="457" spans="1:3">
      <c r="A457" t="s">
        <v>197</v>
      </c>
      <c r="B457">
        <v>2019</v>
      </c>
      <c r="C457">
        <v>41</v>
      </c>
    </row>
    <row r="458" spans="1:3">
      <c r="A458" t="s">
        <v>197</v>
      </c>
      <c r="B458">
        <v>2020</v>
      </c>
      <c r="C458">
        <v>1</v>
      </c>
    </row>
    <row r="459" spans="1:3">
      <c r="A459" t="s">
        <v>197</v>
      </c>
      <c r="B459">
        <v>2021</v>
      </c>
      <c r="C459" t="s">
        <v>225</v>
      </c>
    </row>
    <row r="460" spans="1:3">
      <c r="A460" t="s">
        <v>197</v>
      </c>
      <c r="B460">
        <v>2022</v>
      </c>
      <c r="C460" t="s">
        <v>225</v>
      </c>
    </row>
    <row r="461" spans="1:3">
      <c r="A461" t="s">
        <v>197</v>
      </c>
      <c r="B461">
        <v>2023</v>
      </c>
      <c r="C461" t="s">
        <v>225</v>
      </c>
    </row>
    <row r="462" spans="1:3">
      <c r="A462" t="s">
        <v>197</v>
      </c>
      <c r="B462">
        <v>2024</v>
      </c>
      <c r="C462" t="s">
        <v>225</v>
      </c>
    </row>
    <row r="463" spans="1:3">
      <c r="A463" t="s">
        <v>197</v>
      </c>
      <c r="B463">
        <v>2025</v>
      </c>
      <c r="C463" t="s">
        <v>225</v>
      </c>
    </row>
    <row r="464" spans="1:3">
      <c r="A464" t="s">
        <v>198</v>
      </c>
      <c r="B464">
        <v>2015</v>
      </c>
      <c r="C464">
        <v>65</v>
      </c>
    </row>
    <row r="465" spans="1:3">
      <c r="A465" t="s">
        <v>198</v>
      </c>
      <c r="B465">
        <v>2016</v>
      </c>
      <c r="C465">
        <v>65</v>
      </c>
    </row>
    <row r="466" spans="1:3">
      <c r="A466" t="s">
        <v>198</v>
      </c>
      <c r="B466">
        <v>2017</v>
      </c>
      <c r="C466">
        <v>77</v>
      </c>
    </row>
    <row r="467" spans="1:3">
      <c r="A467" t="s">
        <v>198</v>
      </c>
      <c r="B467">
        <v>2018</v>
      </c>
      <c r="C467">
        <v>77</v>
      </c>
    </row>
    <row r="468" spans="1:3">
      <c r="A468" t="s">
        <v>198</v>
      </c>
      <c r="B468">
        <v>2019</v>
      </c>
      <c r="C468">
        <v>66</v>
      </c>
    </row>
    <row r="469" spans="1:3">
      <c r="A469" t="s">
        <v>198</v>
      </c>
      <c r="B469">
        <v>2020</v>
      </c>
      <c r="C469" t="s">
        <v>225</v>
      </c>
    </row>
    <row r="470" spans="1:3">
      <c r="A470" t="s">
        <v>198</v>
      </c>
      <c r="B470">
        <v>2021</v>
      </c>
      <c r="C470" t="s">
        <v>225</v>
      </c>
    </row>
    <row r="471" spans="1:3">
      <c r="A471" t="s">
        <v>198</v>
      </c>
      <c r="B471">
        <v>2022</v>
      </c>
      <c r="C471" t="s">
        <v>225</v>
      </c>
    </row>
    <row r="472" spans="1:3">
      <c r="A472" t="s">
        <v>198</v>
      </c>
      <c r="B472">
        <v>2023</v>
      </c>
      <c r="C472" t="s">
        <v>225</v>
      </c>
    </row>
    <row r="473" spans="1:3">
      <c r="A473" t="s">
        <v>198</v>
      </c>
      <c r="B473">
        <v>2024</v>
      </c>
      <c r="C473" t="s">
        <v>225</v>
      </c>
    </row>
    <row r="474" spans="1:3">
      <c r="A474" t="s">
        <v>198</v>
      </c>
      <c r="B474">
        <v>2025</v>
      </c>
      <c r="C474" t="s">
        <v>225</v>
      </c>
    </row>
    <row r="475" spans="1:3">
      <c r="A475" t="s">
        <v>199</v>
      </c>
      <c r="B475">
        <v>2015</v>
      </c>
      <c r="C475">
        <v>77</v>
      </c>
    </row>
    <row r="476" spans="1:3">
      <c r="A476" t="s">
        <v>199</v>
      </c>
      <c r="B476">
        <v>2016</v>
      </c>
      <c r="C476">
        <v>78</v>
      </c>
    </row>
    <row r="477" spans="1:3">
      <c r="A477" t="s">
        <v>199</v>
      </c>
      <c r="B477">
        <v>2017</v>
      </c>
      <c r="C477">
        <v>72</v>
      </c>
    </row>
    <row r="478" spans="1:3">
      <c r="A478" t="s">
        <v>199</v>
      </c>
      <c r="B478">
        <v>2018</v>
      </c>
      <c r="C478">
        <v>73</v>
      </c>
    </row>
    <row r="479" spans="1:3">
      <c r="A479" t="s">
        <v>199</v>
      </c>
      <c r="B479">
        <v>2019</v>
      </c>
      <c r="C479">
        <v>73</v>
      </c>
    </row>
    <row r="480" spans="1:3">
      <c r="A480" t="s">
        <v>199</v>
      </c>
      <c r="B480">
        <v>2020</v>
      </c>
      <c r="C480">
        <v>16</v>
      </c>
    </row>
    <row r="481" spans="1:3">
      <c r="A481" t="s">
        <v>199</v>
      </c>
      <c r="B481">
        <v>2021</v>
      </c>
      <c r="C481">
        <v>16</v>
      </c>
    </row>
    <row r="482" spans="1:3">
      <c r="A482" t="s">
        <v>199</v>
      </c>
      <c r="B482">
        <v>2022</v>
      </c>
      <c r="C482">
        <v>15</v>
      </c>
    </row>
    <row r="483" spans="1:3">
      <c r="A483" t="s">
        <v>199</v>
      </c>
      <c r="B483">
        <v>2023</v>
      </c>
      <c r="C483">
        <v>13</v>
      </c>
    </row>
    <row r="484" spans="1:3">
      <c r="A484" t="s">
        <v>199</v>
      </c>
      <c r="B484">
        <v>2024</v>
      </c>
      <c r="C484">
        <v>13</v>
      </c>
    </row>
    <row r="485" spans="1:3">
      <c r="A485" t="s">
        <v>199</v>
      </c>
      <c r="B485">
        <v>2025</v>
      </c>
      <c r="C485">
        <v>12</v>
      </c>
    </row>
    <row r="486" spans="1:3">
      <c r="A486" t="s">
        <v>201</v>
      </c>
      <c r="B486">
        <v>2015</v>
      </c>
      <c r="C486">
        <v>70</v>
      </c>
    </row>
    <row r="487" spans="1:3">
      <c r="A487" t="s">
        <v>201</v>
      </c>
      <c r="B487">
        <v>2016</v>
      </c>
      <c r="C487">
        <v>85</v>
      </c>
    </row>
    <row r="488" spans="1:3">
      <c r="A488" t="s">
        <v>201</v>
      </c>
      <c r="B488">
        <v>2017</v>
      </c>
      <c r="C488">
        <v>86</v>
      </c>
    </row>
    <row r="489" spans="1:3">
      <c r="A489" t="s">
        <v>201</v>
      </c>
      <c r="B489">
        <v>2018</v>
      </c>
      <c r="C489">
        <v>104</v>
      </c>
    </row>
    <row r="490" spans="1:3">
      <c r="A490" t="s">
        <v>201</v>
      </c>
      <c r="B490">
        <v>2019</v>
      </c>
      <c r="C490">
        <v>123</v>
      </c>
    </row>
    <row r="491" spans="1:3">
      <c r="A491" t="s">
        <v>201</v>
      </c>
      <c r="B491">
        <v>2020</v>
      </c>
      <c r="C491">
        <v>4</v>
      </c>
    </row>
    <row r="492" spans="1:3">
      <c r="A492" t="s">
        <v>201</v>
      </c>
      <c r="B492">
        <v>2021</v>
      </c>
      <c r="C492">
        <v>3</v>
      </c>
    </row>
    <row r="493" spans="1:3">
      <c r="A493" t="s">
        <v>201</v>
      </c>
      <c r="B493">
        <v>2022</v>
      </c>
      <c r="C493">
        <v>3</v>
      </c>
    </row>
    <row r="494" spans="1:3">
      <c r="A494" t="s">
        <v>201</v>
      </c>
      <c r="B494">
        <v>2023</v>
      </c>
      <c r="C494">
        <v>3</v>
      </c>
    </row>
    <row r="495" spans="1:3">
      <c r="A495" t="s">
        <v>201</v>
      </c>
      <c r="B495">
        <v>2024</v>
      </c>
      <c r="C495">
        <v>2</v>
      </c>
    </row>
    <row r="496" spans="1:3">
      <c r="A496" t="s">
        <v>201</v>
      </c>
      <c r="B496">
        <v>2025</v>
      </c>
      <c r="C496">
        <v>1</v>
      </c>
    </row>
    <row r="497" spans="1:3">
      <c r="A497" t="s">
        <v>202</v>
      </c>
      <c r="B497">
        <v>2015</v>
      </c>
      <c r="C497">
        <v>59</v>
      </c>
    </row>
    <row r="498" spans="1:3">
      <c r="A498" t="s">
        <v>202</v>
      </c>
      <c r="B498">
        <v>2016</v>
      </c>
      <c r="C498">
        <v>62</v>
      </c>
    </row>
    <row r="499" spans="1:3">
      <c r="A499" t="s">
        <v>202</v>
      </c>
      <c r="B499">
        <v>2017</v>
      </c>
      <c r="C499">
        <v>83</v>
      </c>
    </row>
    <row r="500" spans="1:3">
      <c r="A500" t="s">
        <v>202</v>
      </c>
      <c r="B500">
        <v>2018</v>
      </c>
      <c r="C500">
        <v>108</v>
      </c>
    </row>
    <row r="501" spans="1:3">
      <c r="A501" t="s">
        <v>202</v>
      </c>
      <c r="B501">
        <v>2019</v>
      </c>
      <c r="C501">
        <v>127</v>
      </c>
    </row>
    <row r="502" spans="1:3">
      <c r="A502" t="s">
        <v>202</v>
      </c>
      <c r="B502">
        <v>2020</v>
      </c>
      <c r="C502">
        <v>1</v>
      </c>
    </row>
    <row r="503" spans="1:3">
      <c r="A503" t="s">
        <v>202</v>
      </c>
      <c r="B503">
        <v>2021</v>
      </c>
      <c r="C503">
        <v>1</v>
      </c>
    </row>
    <row r="504" spans="1:3">
      <c r="A504" t="s">
        <v>202</v>
      </c>
      <c r="B504">
        <v>2022</v>
      </c>
      <c r="C504">
        <v>1</v>
      </c>
    </row>
    <row r="505" spans="1:3">
      <c r="A505" t="s">
        <v>202</v>
      </c>
      <c r="B505">
        <v>2023</v>
      </c>
      <c r="C505">
        <v>1</v>
      </c>
    </row>
    <row r="506" spans="1:3">
      <c r="A506" t="s">
        <v>202</v>
      </c>
      <c r="B506">
        <v>2024</v>
      </c>
      <c r="C506">
        <v>1</v>
      </c>
    </row>
    <row r="507" spans="1:3">
      <c r="A507" t="s">
        <v>202</v>
      </c>
      <c r="B507">
        <v>2025</v>
      </c>
      <c r="C507">
        <v>1</v>
      </c>
    </row>
    <row r="508" spans="1:3">
      <c r="A508" t="s">
        <v>203</v>
      </c>
      <c r="B508">
        <v>2015</v>
      </c>
      <c r="C508">
        <v>18</v>
      </c>
    </row>
    <row r="509" spans="1:3">
      <c r="A509" t="s">
        <v>203</v>
      </c>
      <c r="B509">
        <v>2016</v>
      </c>
      <c r="C509">
        <v>18</v>
      </c>
    </row>
    <row r="510" spans="1:3">
      <c r="A510" t="s">
        <v>203</v>
      </c>
      <c r="B510">
        <v>2017</v>
      </c>
      <c r="C510">
        <v>18</v>
      </c>
    </row>
    <row r="511" spans="1:3">
      <c r="A511" t="s">
        <v>203</v>
      </c>
      <c r="B511">
        <v>2018</v>
      </c>
      <c r="C511">
        <v>22</v>
      </c>
    </row>
    <row r="512" spans="1:3">
      <c r="A512" t="s">
        <v>203</v>
      </c>
      <c r="B512">
        <v>2019</v>
      </c>
      <c r="C512">
        <v>17</v>
      </c>
    </row>
    <row r="513" spans="1:3">
      <c r="A513" t="s">
        <v>203</v>
      </c>
      <c r="B513">
        <v>2020</v>
      </c>
      <c r="C513" t="s">
        <v>225</v>
      </c>
    </row>
    <row r="514" spans="1:3">
      <c r="A514" t="s">
        <v>203</v>
      </c>
      <c r="B514">
        <v>2021</v>
      </c>
      <c r="C514" t="s">
        <v>225</v>
      </c>
    </row>
    <row r="515" spans="1:3">
      <c r="A515" t="s">
        <v>203</v>
      </c>
      <c r="B515">
        <v>2022</v>
      </c>
      <c r="C515" t="s">
        <v>225</v>
      </c>
    </row>
    <row r="516" spans="1:3">
      <c r="A516" t="s">
        <v>203</v>
      </c>
      <c r="B516">
        <v>2023</v>
      </c>
      <c r="C516" t="s">
        <v>225</v>
      </c>
    </row>
    <row r="517" spans="1:3">
      <c r="A517" t="s">
        <v>203</v>
      </c>
      <c r="B517">
        <v>2024</v>
      </c>
      <c r="C517" t="s">
        <v>225</v>
      </c>
    </row>
    <row r="518" spans="1:3">
      <c r="A518" t="s">
        <v>203</v>
      </c>
      <c r="B518">
        <v>2025</v>
      </c>
      <c r="C518" t="s">
        <v>225</v>
      </c>
    </row>
    <row r="519" spans="1:3">
      <c r="A519" t="s">
        <v>204</v>
      </c>
      <c r="B519">
        <v>2015</v>
      </c>
      <c r="C519">
        <v>107</v>
      </c>
    </row>
    <row r="520" spans="1:3">
      <c r="A520" t="s">
        <v>204</v>
      </c>
      <c r="B520">
        <v>2016</v>
      </c>
      <c r="C520">
        <v>108</v>
      </c>
    </row>
    <row r="521" spans="1:3">
      <c r="A521" t="s">
        <v>204</v>
      </c>
      <c r="B521">
        <v>2017</v>
      </c>
      <c r="C521">
        <v>96</v>
      </c>
    </row>
    <row r="522" spans="1:3">
      <c r="A522" t="s">
        <v>204</v>
      </c>
      <c r="B522">
        <v>2018</v>
      </c>
      <c r="C522">
        <v>116</v>
      </c>
    </row>
    <row r="523" spans="1:3">
      <c r="A523" t="s">
        <v>204</v>
      </c>
      <c r="B523">
        <v>2019</v>
      </c>
      <c r="C523">
        <v>105</v>
      </c>
    </row>
    <row r="524" spans="1:3">
      <c r="A524" t="s">
        <v>204</v>
      </c>
      <c r="B524">
        <v>2020</v>
      </c>
      <c r="C524">
        <v>5</v>
      </c>
    </row>
    <row r="525" spans="1:3">
      <c r="A525" t="s">
        <v>204</v>
      </c>
      <c r="B525">
        <v>2021</v>
      </c>
      <c r="C525">
        <v>3</v>
      </c>
    </row>
    <row r="526" spans="1:3">
      <c r="A526" t="s">
        <v>204</v>
      </c>
      <c r="B526">
        <v>2022</v>
      </c>
      <c r="C526" t="s">
        <v>225</v>
      </c>
    </row>
    <row r="527" spans="1:3">
      <c r="A527" t="s">
        <v>204</v>
      </c>
      <c r="B527">
        <v>2023</v>
      </c>
      <c r="C527" t="s">
        <v>225</v>
      </c>
    </row>
    <row r="528" spans="1:3">
      <c r="A528" t="s">
        <v>204</v>
      </c>
      <c r="B528">
        <v>2024</v>
      </c>
      <c r="C528" t="s">
        <v>225</v>
      </c>
    </row>
    <row r="529" spans="1:3">
      <c r="A529" t="s">
        <v>204</v>
      </c>
      <c r="B529">
        <v>2025</v>
      </c>
      <c r="C529" t="s">
        <v>225</v>
      </c>
    </row>
    <row r="530" spans="1:3">
      <c r="A530" t="s">
        <v>205</v>
      </c>
      <c r="B530">
        <v>2015</v>
      </c>
      <c r="C530">
        <v>1</v>
      </c>
    </row>
    <row r="531" spans="1:3">
      <c r="A531" t="s">
        <v>205</v>
      </c>
      <c r="B531">
        <v>2016</v>
      </c>
      <c r="C531">
        <v>1</v>
      </c>
    </row>
    <row r="532" spans="1:3">
      <c r="A532" t="s">
        <v>205</v>
      </c>
      <c r="B532">
        <v>2017</v>
      </c>
      <c r="C532">
        <v>5</v>
      </c>
    </row>
    <row r="533" spans="1:3">
      <c r="A533" t="s">
        <v>205</v>
      </c>
      <c r="B533">
        <v>2018</v>
      </c>
      <c r="C533">
        <v>13</v>
      </c>
    </row>
    <row r="534" spans="1:3">
      <c r="A534" t="s">
        <v>205</v>
      </c>
      <c r="B534">
        <v>2019</v>
      </c>
      <c r="C534">
        <v>15</v>
      </c>
    </row>
    <row r="535" spans="1:3">
      <c r="A535" t="s">
        <v>205</v>
      </c>
      <c r="B535">
        <v>2020</v>
      </c>
      <c r="C535" t="s">
        <v>225</v>
      </c>
    </row>
    <row r="536" spans="1:3">
      <c r="A536" t="s">
        <v>205</v>
      </c>
      <c r="B536">
        <v>2021</v>
      </c>
      <c r="C536" t="s">
        <v>225</v>
      </c>
    </row>
    <row r="537" spans="1:3">
      <c r="A537" t="s">
        <v>205</v>
      </c>
      <c r="B537">
        <v>2022</v>
      </c>
      <c r="C537" t="s">
        <v>225</v>
      </c>
    </row>
    <row r="538" spans="1:3">
      <c r="A538" t="s">
        <v>205</v>
      </c>
      <c r="B538">
        <v>2023</v>
      </c>
      <c r="C538" t="s">
        <v>225</v>
      </c>
    </row>
    <row r="539" spans="1:3">
      <c r="A539" t="s">
        <v>205</v>
      </c>
      <c r="B539">
        <v>2024</v>
      </c>
      <c r="C539" t="s">
        <v>225</v>
      </c>
    </row>
    <row r="540" spans="1:3">
      <c r="A540" t="s">
        <v>205</v>
      </c>
      <c r="B540">
        <v>2025</v>
      </c>
      <c r="C540" t="s">
        <v>225</v>
      </c>
    </row>
    <row r="541" spans="1:3">
      <c r="A541" t="s">
        <v>206</v>
      </c>
      <c r="B541">
        <v>2015</v>
      </c>
      <c r="C541">
        <v>55</v>
      </c>
    </row>
    <row r="542" spans="1:3">
      <c r="A542" t="s">
        <v>206</v>
      </c>
      <c r="B542">
        <v>2016</v>
      </c>
      <c r="C542">
        <v>57</v>
      </c>
    </row>
    <row r="543" spans="1:3">
      <c r="A543" t="s">
        <v>206</v>
      </c>
      <c r="B543">
        <v>2017</v>
      </c>
      <c r="C543">
        <v>57</v>
      </c>
    </row>
    <row r="544" spans="1:3">
      <c r="A544" t="s">
        <v>206</v>
      </c>
      <c r="B544">
        <v>2018</v>
      </c>
      <c r="C544">
        <v>59</v>
      </c>
    </row>
    <row r="545" spans="1:3">
      <c r="A545" t="s">
        <v>206</v>
      </c>
      <c r="B545">
        <v>2019</v>
      </c>
      <c r="C545">
        <v>50</v>
      </c>
    </row>
    <row r="546" spans="1:3">
      <c r="A546" t="s">
        <v>206</v>
      </c>
      <c r="B546">
        <v>2020</v>
      </c>
      <c r="C546" t="s">
        <v>225</v>
      </c>
    </row>
    <row r="547" spans="1:3">
      <c r="A547" t="s">
        <v>206</v>
      </c>
      <c r="B547">
        <v>2021</v>
      </c>
      <c r="C547" t="s">
        <v>225</v>
      </c>
    </row>
    <row r="548" spans="1:3">
      <c r="A548" t="s">
        <v>206</v>
      </c>
      <c r="B548">
        <v>2022</v>
      </c>
      <c r="C548" t="s">
        <v>225</v>
      </c>
    </row>
    <row r="549" spans="1:3">
      <c r="A549" t="s">
        <v>206</v>
      </c>
      <c r="B549">
        <v>2023</v>
      </c>
      <c r="C549" t="s">
        <v>225</v>
      </c>
    </row>
    <row r="550" spans="1:3">
      <c r="A550" t="s">
        <v>206</v>
      </c>
      <c r="B550">
        <v>2024</v>
      </c>
      <c r="C550" t="s">
        <v>225</v>
      </c>
    </row>
    <row r="551" spans="1:3">
      <c r="A551" t="s">
        <v>206</v>
      </c>
      <c r="B551">
        <v>2025</v>
      </c>
      <c r="C551" t="s">
        <v>225</v>
      </c>
    </row>
    <row r="552" spans="1:3">
      <c r="A552" t="s">
        <v>208</v>
      </c>
      <c r="B552">
        <v>2015</v>
      </c>
      <c r="C552">
        <v>58</v>
      </c>
    </row>
    <row r="553" spans="1:3">
      <c r="A553" t="s">
        <v>208</v>
      </c>
      <c r="B553">
        <v>2016</v>
      </c>
      <c r="C553">
        <v>57</v>
      </c>
    </row>
    <row r="554" spans="1:3">
      <c r="A554" t="s">
        <v>208</v>
      </c>
      <c r="B554">
        <v>2017</v>
      </c>
      <c r="C554">
        <v>63</v>
      </c>
    </row>
    <row r="555" spans="1:3">
      <c r="A555" t="s">
        <v>208</v>
      </c>
      <c r="B555">
        <v>2018</v>
      </c>
      <c r="C555">
        <v>56</v>
      </c>
    </row>
    <row r="556" spans="1:3">
      <c r="A556" t="s">
        <v>208</v>
      </c>
      <c r="B556">
        <v>2019</v>
      </c>
      <c r="C556">
        <v>66</v>
      </c>
    </row>
    <row r="557" spans="1:3">
      <c r="A557" t="s">
        <v>208</v>
      </c>
      <c r="B557">
        <v>2020</v>
      </c>
      <c r="C557" t="s">
        <v>225</v>
      </c>
    </row>
    <row r="558" spans="1:3">
      <c r="A558" t="s">
        <v>208</v>
      </c>
      <c r="B558">
        <v>2021</v>
      </c>
      <c r="C558" t="s">
        <v>225</v>
      </c>
    </row>
    <row r="559" spans="1:3">
      <c r="A559" t="s">
        <v>208</v>
      </c>
      <c r="B559">
        <v>2022</v>
      </c>
      <c r="C559" t="s">
        <v>225</v>
      </c>
    </row>
    <row r="560" spans="1:3">
      <c r="A560" t="s">
        <v>208</v>
      </c>
      <c r="B560">
        <v>2023</v>
      </c>
      <c r="C560" t="s">
        <v>225</v>
      </c>
    </row>
    <row r="561" spans="1:3">
      <c r="A561" t="s">
        <v>208</v>
      </c>
      <c r="B561">
        <v>2024</v>
      </c>
      <c r="C561" t="s">
        <v>225</v>
      </c>
    </row>
    <row r="562" spans="1:3">
      <c r="A562" t="s">
        <v>208</v>
      </c>
      <c r="B562">
        <v>2025</v>
      </c>
      <c r="C562" t="s">
        <v>225</v>
      </c>
    </row>
    <row r="563" spans="1:3">
      <c r="A563" t="s">
        <v>209</v>
      </c>
      <c r="B563">
        <v>2015</v>
      </c>
      <c r="C563">
        <v>91</v>
      </c>
    </row>
    <row r="564" spans="1:3">
      <c r="A564" t="s">
        <v>209</v>
      </c>
      <c r="B564">
        <v>2016</v>
      </c>
      <c r="C564">
        <v>89</v>
      </c>
    </row>
    <row r="565" spans="1:3">
      <c r="A565" t="s">
        <v>209</v>
      </c>
      <c r="B565">
        <v>2017</v>
      </c>
      <c r="C565">
        <v>77</v>
      </c>
    </row>
    <row r="566" spans="1:3">
      <c r="A566" t="s">
        <v>209</v>
      </c>
      <c r="B566">
        <v>2018</v>
      </c>
      <c r="C566">
        <v>86</v>
      </c>
    </row>
    <row r="567" spans="1:3">
      <c r="A567" t="s">
        <v>209</v>
      </c>
      <c r="B567">
        <v>2019</v>
      </c>
      <c r="C567">
        <v>93</v>
      </c>
    </row>
    <row r="568" spans="1:3">
      <c r="A568" t="s">
        <v>209</v>
      </c>
      <c r="B568">
        <v>2020</v>
      </c>
      <c r="C568">
        <v>2</v>
      </c>
    </row>
    <row r="569" spans="1:3">
      <c r="A569" t="s">
        <v>209</v>
      </c>
      <c r="B569">
        <v>2021</v>
      </c>
      <c r="C569" t="s">
        <v>225</v>
      </c>
    </row>
    <row r="570" spans="1:3">
      <c r="A570" t="s">
        <v>209</v>
      </c>
      <c r="B570">
        <v>2022</v>
      </c>
      <c r="C570" t="s">
        <v>225</v>
      </c>
    </row>
    <row r="571" spans="1:3">
      <c r="A571" t="s">
        <v>209</v>
      </c>
      <c r="B571">
        <v>2023</v>
      </c>
      <c r="C571" t="s">
        <v>225</v>
      </c>
    </row>
    <row r="572" spans="1:3">
      <c r="A572" t="s">
        <v>209</v>
      </c>
      <c r="B572">
        <v>2024</v>
      </c>
      <c r="C572" t="s">
        <v>225</v>
      </c>
    </row>
    <row r="573" spans="1:3">
      <c r="A573" t="s">
        <v>209</v>
      </c>
      <c r="B573">
        <v>2025</v>
      </c>
      <c r="C573" t="s">
        <v>225</v>
      </c>
    </row>
    <row r="574" spans="1:3">
      <c r="A574" t="s">
        <v>210</v>
      </c>
      <c r="B574">
        <v>2015</v>
      </c>
      <c r="C574">
        <v>185</v>
      </c>
    </row>
    <row r="575" spans="1:3">
      <c r="A575" t="s">
        <v>210</v>
      </c>
      <c r="B575">
        <v>2016</v>
      </c>
      <c r="C575">
        <v>186</v>
      </c>
    </row>
    <row r="576" spans="1:3">
      <c r="A576" t="s">
        <v>210</v>
      </c>
      <c r="B576">
        <v>2017</v>
      </c>
      <c r="C576">
        <v>216</v>
      </c>
    </row>
    <row r="577" spans="1:3">
      <c r="A577" t="s">
        <v>210</v>
      </c>
      <c r="B577">
        <v>2018</v>
      </c>
      <c r="C577">
        <v>327</v>
      </c>
    </row>
    <row r="578" spans="1:3">
      <c r="A578" t="s">
        <v>210</v>
      </c>
      <c r="B578">
        <v>2019</v>
      </c>
      <c r="C578">
        <v>324</v>
      </c>
    </row>
    <row r="579" spans="1:3">
      <c r="A579" t="s">
        <v>210</v>
      </c>
      <c r="B579">
        <v>2020</v>
      </c>
      <c r="C579">
        <v>2</v>
      </c>
    </row>
    <row r="580" spans="1:3">
      <c r="A580" t="s">
        <v>210</v>
      </c>
      <c r="B580">
        <v>2021</v>
      </c>
      <c r="C580">
        <v>2</v>
      </c>
    </row>
    <row r="581" spans="1:3">
      <c r="A581" t="s">
        <v>210</v>
      </c>
      <c r="B581">
        <v>2022</v>
      </c>
      <c r="C581">
        <v>2</v>
      </c>
    </row>
    <row r="582" spans="1:3">
      <c r="A582" t="s">
        <v>210</v>
      </c>
      <c r="B582">
        <v>2023</v>
      </c>
      <c r="C582">
        <v>2</v>
      </c>
    </row>
    <row r="583" spans="1:3">
      <c r="A583" t="s">
        <v>210</v>
      </c>
      <c r="B583">
        <v>2024</v>
      </c>
      <c r="C583">
        <v>2</v>
      </c>
    </row>
    <row r="584" spans="1:3">
      <c r="A584" t="s">
        <v>237</v>
      </c>
      <c r="B584">
        <v>2025</v>
      </c>
      <c r="C584">
        <v>2</v>
      </c>
    </row>
    <row r="585" spans="1:3">
      <c r="A585" t="s">
        <v>146</v>
      </c>
      <c r="B585">
        <v>2015</v>
      </c>
      <c r="C585">
        <v>19</v>
      </c>
    </row>
    <row r="586" spans="1:3">
      <c r="A586" t="s">
        <v>146</v>
      </c>
      <c r="B586">
        <v>2016</v>
      </c>
      <c r="C586">
        <v>18</v>
      </c>
    </row>
    <row r="587" spans="1:3">
      <c r="A587" t="s">
        <v>146</v>
      </c>
      <c r="B587">
        <v>2017</v>
      </c>
      <c r="C587">
        <v>24</v>
      </c>
    </row>
    <row r="588" spans="1:3">
      <c r="A588" t="s">
        <v>146</v>
      </c>
      <c r="B588">
        <v>2018</v>
      </c>
      <c r="C588">
        <v>32</v>
      </c>
    </row>
    <row r="589" spans="1:3">
      <c r="A589" t="s">
        <v>146</v>
      </c>
      <c r="B589">
        <v>2019</v>
      </c>
      <c r="C589">
        <v>28</v>
      </c>
    </row>
    <row r="590" spans="1:3">
      <c r="A590" t="s">
        <v>146</v>
      </c>
      <c r="B590">
        <v>2020</v>
      </c>
      <c r="C590">
        <v>3</v>
      </c>
    </row>
    <row r="591" spans="1:3">
      <c r="A591" t="s">
        <v>146</v>
      </c>
      <c r="B591">
        <v>2021</v>
      </c>
      <c r="C591">
        <v>2</v>
      </c>
    </row>
    <row r="592" spans="1:3">
      <c r="A592" t="s">
        <v>146</v>
      </c>
      <c r="B592">
        <v>2022</v>
      </c>
      <c r="C592">
        <v>2</v>
      </c>
    </row>
    <row r="593" spans="1:3">
      <c r="A593" t="s">
        <v>146</v>
      </c>
      <c r="B593">
        <v>2023</v>
      </c>
      <c r="C593">
        <v>2</v>
      </c>
    </row>
    <row r="594" spans="1:3">
      <c r="A594" t="s">
        <v>146</v>
      </c>
      <c r="B594">
        <v>2024</v>
      </c>
      <c r="C594">
        <v>2</v>
      </c>
    </row>
    <row r="595" spans="1:3">
      <c r="A595" t="s">
        <v>146</v>
      </c>
      <c r="B595">
        <v>2025</v>
      </c>
      <c r="C595">
        <v>2</v>
      </c>
    </row>
    <row r="596" spans="1:3">
      <c r="A596" t="s">
        <v>148</v>
      </c>
      <c r="B596">
        <v>2015</v>
      </c>
      <c r="C596">
        <v>54</v>
      </c>
    </row>
    <row r="597" spans="1:3">
      <c r="A597" t="s">
        <v>148</v>
      </c>
      <c r="B597">
        <v>2016</v>
      </c>
      <c r="C597">
        <v>56</v>
      </c>
    </row>
    <row r="598" spans="1:3">
      <c r="A598" t="s">
        <v>148</v>
      </c>
      <c r="B598">
        <v>2017</v>
      </c>
      <c r="C598">
        <v>50</v>
      </c>
    </row>
    <row r="599" spans="1:3">
      <c r="A599" t="s">
        <v>148</v>
      </c>
      <c r="B599">
        <v>2018</v>
      </c>
      <c r="C599">
        <v>56</v>
      </c>
    </row>
    <row r="600" spans="1:3">
      <c r="A600" t="s">
        <v>148</v>
      </c>
      <c r="B600">
        <v>2019</v>
      </c>
      <c r="C600">
        <v>41</v>
      </c>
    </row>
    <row r="601" spans="1:3">
      <c r="A601" t="s">
        <v>148</v>
      </c>
      <c r="B601">
        <v>2020</v>
      </c>
      <c r="C601" t="s">
        <v>225</v>
      </c>
    </row>
    <row r="602" spans="1:3">
      <c r="A602" t="s">
        <v>148</v>
      </c>
      <c r="B602">
        <v>2021</v>
      </c>
      <c r="C602" t="s">
        <v>225</v>
      </c>
    </row>
    <row r="603" spans="1:3">
      <c r="A603" t="s">
        <v>148</v>
      </c>
      <c r="B603">
        <v>2022</v>
      </c>
      <c r="C603" t="s">
        <v>225</v>
      </c>
    </row>
    <row r="604" spans="1:3">
      <c r="A604" t="s">
        <v>148</v>
      </c>
      <c r="B604">
        <v>2023</v>
      </c>
      <c r="C604" t="s">
        <v>225</v>
      </c>
    </row>
    <row r="605" spans="1:3">
      <c r="A605" t="s">
        <v>148</v>
      </c>
      <c r="B605">
        <v>2024</v>
      </c>
      <c r="C605" t="s">
        <v>225</v>
      </c>
    </row>
    <row r="606" spans="1:3">
      <c r="A606" t="s">
        <v>148</v>
      </c>
      <c r="B606">
        <v>2025</v>
      </c>
      <c r="C606" t="s">
        <v>225</v>
      </c>
    </row>
    <row r="607" spans="1:3">
      <c r="A607" t="s">
        <v>149</v>
      </c>
      <c r="B607">
        <v>2015</v>
      </c>
      <c r="C607">
        <v>83</v>
      </c>
    </row>
    <row r="608" spans="1:3">
      <c r="A608" t="s">
        <v>149</v>
      </c>
      <c r="B608">
        <v>2016</v>
      </c>
      <c r="C608">
        <v>78</v>
      </c>
    </row>
    <row r="609" spans="1:3">
      <c r="A609" t="s">
        <v>149</v>
      </c>
      <c r="B609">
        <v>2017</v>
      </c>
      <c r="C609">
        <v>78</v>
      </c>
    </row>
    <row r="610" spans="1:3">
      <c r="A610" t="s">
        <v>149</v>
      </c>
      <c r="B610">
        <v>2018</v>
      </c>
      <c r="C610">
        <v>80</v>
      </c>
    </row>
    <row r="611" spans="1:3">
      <c r="A611" t="s">
        <v>149</v>
      </c>
      <c r="B611">
        <v>2019</v>
      </c>
      <c r="C611">
        <v>87</v>
      </c>
    </row>
    <row r="612" spans="1:3">
      <c r="A612" t="s">
        <v>149</v>
      </c>
      <c r="B612">
        <v>2020</v>
      </c>
      <c r="C612" t="s">
        <v>225</v>
      </c>
    </row>
    <row r="613" spans="1:3">
      <c r="A613" t="s">
        <v>149</v>
      </c>
      <c r="B613">
        <v>2021</v>
      </c>
      <c r="C613" t="s">
        <v>225</v>
      </c>
    </row>
    <row r="614" spans="1:3">
      <c r="A614" t="s">
        <v>149</v>
      </c>
      <c r="B614">
        <v>2022</v>
      </c>
      <c r="C614" t="s">
        <v>225</v>
      </c>
    </row>
    <row r="615" spans="1:3">
      <c r="A615" t="s">
        <v>149</v>
      </c>
      <c r="B615">
        <v>2023</v>
      </c>
      <c r="C615" t="s">
        <v>225</v>
      </c>
    </row>
    <row r="616" spans="1:3">
      <c r="A616" t="s">
        <v>149</v>
      </c>
      <c r="B616">
        <v>2024</v>
      </c>
      <c r="C616" t="s">
        <v>225</v>
      </c>
    </row>
    <row r="617" spans="1:3">
      <c r="A617" t="s">
        <v>149</v>
      </c>
      <c r="B617">
        <v>2025</v>
      </c>
      <c r="C617" t="s">
        <v>225</v>
      </c>
    </row>
    <row r="618" spans="1:3">
      <c r="A618" t="s">
        <v>151</v>
      </c>
      <c r="B618">
        <v>2015</v>
      </c>
      <c r="C618">
        <v>55</v>
      </c>
    </row>
    <row r="619" spans="1:3">
      <c r="A619" t="s">
        <v>151</v>
      </c>
      <c r="B619">
        <v>2016</v>
      </c>
      <c r="C619">
        <v>49</v>
      </c>
    </row>
    <row r="620" spans="1:3">
      <c r="A620" t="s">
        <v>151</v>
      </c>
      <c r="B620">
        <v>2017</v>
      </c>
      <c r="C620">
        <v>22</v>
      </c>
    </row>
    <row r="621" spans="1:3">
      <c r="A621" t="s">
        <v>151</v>
      </c>
      <c r="B621">
        <v>2018</v>
      </c>
      <c r="C621">
        <v>38</v>
      </c>
    </row>
    <row r="622" spans="1:3">
      <c r="A622" t="s">
        <v>151</v>
      </c>
      <c r="B622">
        <v>2019</v>
      </c>
      <c r="C622">
        <v>26</v>
      </c>
    </row>
    <row r="623" spans="1:3">
      <c r="A623" t="s">
        <v>151</v>
      </c>
      <c r="B623">
        <v>2020</v>
      </c>
      <c r="C623" t="s">
        <v>225</v>
      </c>
    </row>
    <row r="624" spans="1:3">
      <c r="A624" t="s">
        <v>151</v>
      </c>
      <c r="B624">
        <v>2021</v>
      </c>
      <c r="C624" t="s">
        <v>225</v>
      </c>
    </row>
    <row r="625" spans="1:3">
      <c r="A625" t="s">
        <v>151</v>
      </c>
      <c r="B625">
        <v>2022</v>
      </c>
      <c r="C625" t="s">
        <v>225</v>
      </c>
    </row>
    <row r="626" spans="1:3">
      <c r="A626" t="s">
        <v>151</v>
      </c>
      <c r="B626">
        <v>2023</v>
      </c>
      <c r="C626" t="s">
        <v>225</v>
      </c>
    </row>
    <row r="627" spans="1:3">
      <c r="A627" t="s">
        <v>151</v>
      </c>
      <c r="B627">
        <v>2024</v>
      </c>
      <c r="C627" t="s">
        <v>225</v>
      </c>
    </row>
    <row r="628" spans="1:3">
      <c r="A628" t="s">
        <v>151</v>
      </c>
      <c r="B628">
        <v>2025</v>
      </c>
      <c r="C628" t="s">
        <v>225</v>
      </c>
    </row>
    <row r="629" spans="1:3">
      <c r="A629" t="s">
        <v>156</v>
      </c>
      <c r="B629">
        <v>2015</v>
      </c>
      <c r="C629">
        <v>50</v>
      </c>
    </row>
    <row r="630" spans="1:3">
      <c r="A630" t="s">
        <v>156</v>
      </c>
      <c r="B630">
        <v>2016</v>
      </c>
      <c r="C630">
        <v>48</v>
      </c>
    </row>
    <row r="631" spans="1:3">
      <c r="A631" t="s">
        <v>156</v>
      </c>
      <c r="B631">
        <v>2017</v>
      </c>
      <c r="C631">
        <v>59</v>
      </c>
    </row>
    <row r="632" spans="1:3">
      <c r="A632" t="s">
        <v>156</v>
      </c>
      <c r="B632">
        <v>2018</v>
      </c>
      <c r="C632">
        <v>53</v>
      </c>
    </row>
    <row r="633" spans="1:3">
      <c r="A633" t="s">
        <v>156</v>
      </c>
      <c r="B633">
        <v>2019</v>
      </c>
      <c r="C633">
        <v>55</v>
      </c>
    </row>
    <row r="634" spans="1:3">
      <c r="A634" t="s">
        <v>156</v>
      </c>
      <c r="B634">
        <v>2020</v>
      </c>
      <c r="C634" t="s">
        <v>225</v>
      </c>
    </row>
    <row r="635" spans="1:3">
      <c r="A635" t="s">
        <v>156</v>
      </c>
      <c r="B635">
        <v>2021</v>
      </c>
      <c r="C635" t="s">
        <v>225</v>
      </c>
    </row>
    <row r="636" spans="1:3">
      <c r="A636" t="s">
        <v>156</v>
      </c>
      <c r="B636">
        <v>2022</v>
      </c>
      <c r="C636" t="s">
        <v>225</v>
      </c>
    </row>
    <row r="637" spans="1:3">
      <c r="A637" t="s">
        <v>156</v>
      </c>
      <c r="B637">
        <v>2023</v>
      </c>
      <c r="C637" t="s">
        <v>225</v>
      </c>
    </row>
    <row r="638" spans="1:3">
      <c r="A638" t="s">
        <v>156</v>
      </c>
      <c r="B638">
        <v>2024</v>
      </c>
      <c r="C638" t="s">
        <v>225</v>
      </c>
    </row>
    <row r="639" spans="1:3">
      <c r="A639" t="s">
        <v>156</v>
      </c>
      <c r="B639">
        <v>2025</v>
      </c>
      <c r="C639" t="s">
        <v>225</v>
      </c>
    </row>
    <row r="640" spans="1:3">
      <c r="A640" t="s">
        <v>158</v>
      </c>
      <c r="B640">
        <v>2015</v>
      </c>
      <c r="C640">
        <v>15</v>
      </c>
    </row>
    <row r="641" spans="1:3">
      <c r="A641" t="s">
        <v>158</v>
      </c>
      <c r="B641">
        <v>2016</v>
      </c>
      <c r="C641">
        <v>18</v>
      </c>
    </row>
    <row r="642" spans="1:3">
      <c r="A642" t="s">
        <v>158</v>
      </c>
      <c r="B642">
        <v>2017</v>
      </c>
      <c r="C642">
        <v>16</v>
      </c>
    </row>
    <row r="643" spans="1:3">
      <c r="A643" t="s">
        <v>158</v>
      </c>
      <c r="B643">
        <v>2018</v>
      </c>
      <c r="C643">
        <v>14</v>
      </c>
    </row>
    <row r="644" spans="1:3">
      <c r="A644" t="s">
        <v>158</v>
      </c>
      <c r="B644">
        <v>2019</v>
      </c>
      <c r="C644">
        <v>11</v>
      </c>
    </row>
    <row r="645" spans="1:3">
      <c r="A645" t="s">
        <v>158</v>
      </c>
      <c r="B645">
        <v>2020</v>
      </c>
      <c r="C645" t="s">
        <v>225</v>
      </c>
    </row>
    <row r="646" spans="1:3">
      <c r="A646" t="s">
        <v>158</v>
      </c>
      <c r="B646">
        <v>2021</v>
      </c>
      <c r="C646" t="s">
        <v>225</v>
      </c>
    </row>
    <row r="647" spans="1:3">
      <c r="A647" t="s">
        <v>158</v>
      </c>
      <c r="B647">
        <v>2022</v>
      </c>
      <c r="C647" t="s">
        <v>225</v>
      </c>
    </row>
    <row r="648" spans="1:3">
      <c r="A648" t="s">
        <v>158</v>
      </c>
      <c r="B648">
        <v>2023</v>
      </c>
      <c r="C648" t="s">
        <v>225</v>
      </c>
    </row>
    <row r="649" spans="1:3">
      <c r="A649" t="s">
        <v>158</v>
      </c>
      <c r="B649">
        <v>2024</v>
      </c>
      <c r="C649" t="s">
        <v>225</v>
      </c>
    </row>
    <row r="650" spans="1:3">
      <c r="A650" t="s">
        <v>158</v>
      </c>
      <c r="B650">
        <v>2025</v>
      </c>
      <c r="C650" t="s">
        <v>225</v>
      </c>
    </row>
    <row r="651" spans="1:3">
      <c r="A651" t="s">
        <v>160</v>
      </c>
      <c r="B651">
        <v>2015</v>
      </c>
      <c r="C651">
        <v>48</v>
      </c>
    </row>
    <row r="652" spans="1:3">
      <c r="A652" t="s">
        <v>160</v>
      </c>
      <c r="B652">
        <v>2016</v>
      </c>
      <c r="C652">
        <v>47</v>
      </c>
    </row>
    <row r="653" spans="1:3">
      <c r="A653" t="s">
        <v>160</v>
      </c>
      <c r="B653">
        <v>2017</v>
      </c>
      <c r="C653">
        <v>45</v>
      </c>
    </row>
    <row r="654" spans="1:3">
      <c r="A654" t="s">
        <v>160</v>
      </c>
      <c r="B654">
        <v>2018</v>
      </c>
      <c r="C654">
        <v>43</v>
      </c>
    </row>
    <row r="655" spans="1:3">
      <c r="A655" t="s">
        <v>160</v>
      </c>
      <c r="B655">
        <v>2019</v>
      </c>
      <c r="C655">
        <v>42</v>
      </c>
    </row>
    <row r="656" spans="1:3">
      <c r="A656" t="s">
        <v>160</v>
      </c>
      <c r="B656">
        <v>2020</v>
      </c>
      <c r="C656" t="s">
        <v>225</v>
      </c>
    </row>
    <row r="657" spans="1:3">
      <c r="A657" t="s">
        <v>160</v>
      </c>
      <c r="B657">
        <v>2021</v>
      </c>
      <c r="C657" t="s">
        <v>225</v>
      </c>
    </row>
    <row r="658" spans="1:3">
      <c r="A658" t="s">
        <v>160</v>
      </c>
      <c r="B658">
        <v>2022</v>
      </c>
      <c r="C658" t="s">
        <v>225</v>
      </c>
    </row>
    <row r="659" spans="1:3">
      <c r="A659" t="s">
        <v>160</v>
      </c>
      <c r="B659">
        <v>2023</v>
      </c>
      <c r="C659" t="s">
        <v>225</v>
      </c>
    </row>
    <row r="660" spans="1:3">
      <c r="A660" t="s">
        <v>160</v>
      </c>
      <c r="B660">
        <v>2024</v>
      </c>
      <c r="C660" t="s">
        <v>225</v>
      </c>
    </row>
    <row r="661" spans="1:3">
      <c r="A661" t="s">
        <v>160</v>
      </c>
      <c r="B661">
        <v>2025</v>
      </c>
      <c r="C661" t="s">
        <v>225</v>
      </c>
    </row>
    <row r="662" spans="1:3">
      <c r="A662" t="s">
        <v>167</v>
      </c>
      <c r="B662">
        <v>2015</v>
      </c>
      <c r="C662">
        <v>67</v>
      </c>
    </row>
    <row r="663" spans="1:3">
      <c r="A663" t="s">
        <v>167</v>
      </c>
      <c r="B663">
        <v>2016</v>
      </c>
      <c r="C663">
        <v>67</v>
      </c>
    </row>
    <row r="664" spans="1:3">
      <c r="A664" t="s">
        <v>167</v>
      </c>
      <c r="B664">
        <v>2017</v>
      </c>
      <c r="C664">
        <v>77</v>
      </c>
    </row>
    <row r="665" spans="1:3">
      <c r="A665" t="s">
        <v>167</v>
      </c>
      <c r="B665">
        <v>2018</v>
      </c>
      <c r="C665">
        <v>79</v>
      </c>
    </row>
    <row r="666" spans="1:3">
      <c r="A666" t="s">
        <v>167</v>
      </c>
      <c r="B666">
        <v>2019</v>
      </c>
      <c r="C666">
        <v>78</v>
      </c>
    </row>
    <row r="667" spans="1:3">
      <c r="A667" t="s">
        <v>167</v>
      </c>
      <c r="B667">
        <v>2020</v>
      </c>
      <c r="C667" t="s">
        <v>225</v>
      </c>
    </row>
    <row r="668" spans="1:3">
      <c r="A668" t="s">
        <v>167</v>
      </c>
      <c r="B668">
        <v>2021</v>
      </c>
      <c r="C668" t="s">
        <v>225</v>
      </c>
    </row>
    <row r="669" spans="1:3">
      <c r="A669" t="s">
        <v>167</v>
      </c>
      <c r="B669">
        <v>2022</v>
      </c>
      <c r="C669" t="s">
        <v>225</v>
      </c>
    </row>
    <row r="670" spans="1:3">
      <c r="A670" t="s">
        <v>167</v>
      </c>
      <c r="B670">
        <v>2023</v>
      </c>
      <c r="C670" t="s">
        <v>225</v>
      </c>
    </row>
    <row r="671" spans="1:3">
      <c r="A671" t="s">
        <v>167</v>
      </c>
      <c r="B671">
        <v>2024</v>
      </c>
      <c r="C671" t="s">
        <v>225</v>
      </c>
    </row>
    <row r="672" spans="1:3">
      <c r="A672" t="s">
        <v>167</v>
      </c>
      <c r="B672">
        <v>2025</v>
      </c>
      <c r="C672" t="s">
        <v>225</v>
      </c>
    </row>
    <row r="673" spans="1:3">
      <c r="A673" t="s">
        <v>169</v>
      </c>
      <c r="B673">
        <v>2015</v>
      </c>
      <c r="C673">
        <v>93</v>
      </c>
    </row>
    <row r="674" spans="1:3">
      <c r="A674" t="s">
        <v>169</v>
      </c>
      <c r="B674">
        <v>2016</v>
      </c>
      <c r="C674">
        <v>94</v>
      </c>
    </row>
    <row r="675" spans="1:3">
      <c r="A675" t="s">
        <v>169</v>
      </c>
      <c r="B675">
        <v>2017</v>
      </c>
      <c r="C675">
        <v>94</v>
      </c>
    </row>
    <row r="676" spans="1:3">
      <c r="A676" t="s">
        <v>169</v>
      </c>
      <c r="B676">
        <v>2018</v>
      </c>
      <c r="C676">
        <v>94</v>
      </c>
    </row>
    <row r="677" spans="1:3">
      <c r="A677" t="s">
        <v>169</v>
      </c>
      <c r="B677">
        <v>2019</v>
      </c>
      <c r="C677">
        <v>94</v>
      </c>
    </row>
    <row r="678" spans="1:3">
      <c r="A678" t="s">
        <v>169</v>
      </c>
      <c r="B678">
        <v>2020</v>
      </c>
      <c r="C678" t="s">
        <v>225</v>
      </c>
    </row>
    <row r="679" spans="1:3">
      <c r="A679" t="s">
        <v>169</v>
      </c>
      <c r="B679">
        <v>2021</v>
      </c>
      <c r="C679" t="s">
        <v>225</v>
      </c>
    </row>
    <row r="680" spans="1:3">
      <c r="A680" t="s">
        <v>169</v>
      </c>
      <c r="B680">
        <v>2022</v>
      </c>
      <c r="C680" t="s">
        <v>225</v>
      </c>
    </row>
    <row r="681" spans="1:3">
      <c r="A681" t="s">
        <v>169</v>
      </c>
      <c r="B681">
        <v>2023</v>
      </c>
      <c r="C681" t="s">
        <v>225</v>
      </c>
    </row>
    <row r="682" spans="1:3">
      <c r="A682" t="s">
        <v>169</v>
      </c>
      <c r="B682">
        <v>2024</v>
      </c>
      <c r="C682" t="s">
        <v>225</v>
      </c>
    </row>
    <row r="683" spans="1:3">
      <c r="A683" t="s">
        <v>169</v>
      </c>
      <c r="B683">
        <v>2025</v>
      </c>
      <c r="C683" t="s">
        <v>225</v>
      </c>
    </row>
    <row r="684" spans="1:3">
      <c r="A684" t="s">
        <v>170</v>
      </c>
      <c r="B684">
        <v>2015</v>
      </c>
      <c r="C684">
        <v>48</v>
      </c>
    </row>
    <row r="685" spans="1:3">
      <c r="A685" t="s">
        <v>170</v>
      </c>
      <c r="B685">
        <v>2016</v>
      </c>
      <c r="C685">
        <v>35</v>
      </c>
    </row>
    <row r="686" spans="1:3">
      <c r="A686" t="s">
        <v>170</v>
      </c>
      <c r="B686">
        <v>2017</v>
      </c>
      <c r="C686">
        <v>37</v>
      </c>
    </row>
    <row r="687" spans="1:3">
      <c r="A687" t="s">
        <v>170</v>
      </c>
      <c r="B687">
        <v>2018</v>
      </c>
      <c r="C687">
        <v>37</v>
      </c>
    </row>
    <row r="688" spans="1:3">
      <c r="A688" t="s">
        <v>170</v>
      </c>
      <c r="B688">
        <v>2019</v>
      </c>
      <c r="C688">
        <v>30</v>
      </c>
    </row>
    <row r="689" spans="1:3">
      <c r="A689" t="s">
        <v>170</v>
      </c>
      <c r="B689">
        <v>2020</v>
      </c>
      <c r="C689" t="s">
        <v>225</v>
      </c>
    </row>
    <row r="690" spans="1:3">
      <c r="A690" t="s">
        <v>170</v>
      </c>
      <c r="B690">
        <v>2021</v>
      </c>
      <c r="C690" t="s">
        <v>225</v>
      </c>
    </row>
    <row r="691" spans="1:3">
      <c r="A691" t="s">
        <v>170</v>
      </c>
      <c r="B691">
        <v>2022</v>
      </c>
      <c r="C691" t="s">
        <v>225</v>
      </c>
    </row>
    <row r="692" spans="1:3">
      <c r="A692" t="s">
        <v>170</v>
      </c>
      <c r="B692">
        <v>2023</v>
      </c>
      <c r="C692" t="s">
        <v>225</v>
      </c>
    </row>
    <row r="693" spans="1:3">
      <c r="A693" t="s">
        <v>170</v>
      </c>
      <c r="B693">
        <v>2024</v>
      </c>
      <c r="C693" t="s">
        <v>225</v>
      </c>
    </row>
    <row r="694" spans="1:3">
      <c r="A694" t="s">
        <v>170</v>
      </c>
      <c r="B694">
        <v>2025</v>
      </c>
      <c r="C694" t="s">
        <v>225</v>
      </c>
    </row>
    <row r="695" spans="1:3">
      <c r="A695" t="s">
        <v>172</v>
      </c>
      <c r="B695">
        <v>2015</v>
      </c>
      <c r="C695">
        <v>24</v>
      </c>
    </row>
    <row r="696" spans="1:3">
      <c r="A696" t="s">
        <v>172</v>
      </c>
      <c r="B696">
        <v>2016</v>
      </c>
      <c r="C696">
        <v>25</v>
      </c>
    </row>
    <row r="697" spans="1:3">
      <c r="A697" t="s">
        <v>172</v>
      </c>
      <c r="B697">
        <v>2017</v>
      </c>
      <c r="C697">
        <v>25</v>
      </c>
    </row>
    <row r="698" spans="1:3">
      <c r="A698" t="s">
        <v>172</v>
      </c>
      <c r="B698">
        <v>2018</v>
      </c>
      <c r="C698">
        <v>25</v>
      </c>
    </row>
    <row r="699" spans="1:3">
      <c r="A699" t="s">
        <v>172</v>
      </c>
      <c r="B699">
        <v>2019</v>
      </c>
      <c r="C699">
        <v>28</v>
      </c>
    </row>
    <row r="700" spans="1:3">
      <c r="A700" t="s">
        <v>172</v>
      </c>
      <c r="B700">
        <v>2020</v>
      </c>
      <c r="C700" t="s">
        <v>225</v>
      </c>
    </row>
    <row r="701" spans="1:3">
      <c r="A701" t="s">
        <v>172</v>
      </c>
      <c r="B701">
        <v>2021</v>
      </c>
      <c r="C701" t="s">
        <v>225</v>
      </c>
    </row>
    <row r="702" spans="1:3">
      <c r="A702" t="s">
        <v>172</v>
      </c>
      <c r="B702">
        <v>2022</v>
      </c>
      <c r="C702" t="s">
        <v>225</v>
      </c>
    </row>
    <row r="703" spans="1:3">
      <c r="A703" t="s">
        <v>172</v>
      </c>
      <c r="B703">
        <v>2023</v>
      </c>
      <c r="C703" t="s">
        <v>225</v>
      </c>
    </row>
    <row r="704" spans="1:3">
      <c r="A704" t="s">
        <v>172</v>
      </c>
      <c r="B704">
        <v>2024</v>
      </c>
      <c r="C704" t="s">
        <v>225</v>
      </c>
    </row>
    <row r="705" spans="1:3">
      <c r="A705" t="s">
        <v>172</v>
      </c>
      <c r="B705">
        <v>2025</v>
      </c>
      <c r="C705" t="s">
        <v>225</v>
      </c>
    </row>
    <row r="706" spans="1:3">
      <c r="A706" t="s">
        <v>173</v>
      </c>
      <c r="B706">
        <v>2015</v>
      </c>
      <c r="C706">
        <v>15</v>
      </c>
    </row>
    <row r="707" spans="1:3">
      <c r="A707" t="s">
        <v>173</v>
      </c>
      <c r="B707">
        <v>2016</v>
      </c>
      <c r="C707">
        <v>8</v>
      </c>
    </row>
    <row r="708" spans="1:3">
      <c r="A708" t="s">
        <v>173</v>
      </c>
      <c r="B708">
        <v>2017</v>
      </c>
      <c r="C708">
        <v>6</v>
      </c>
    </row>
    <row r="709" spans="1:3">
      <c r="A709" t="s">
        <v>173</v>
      </c>
      <c r="B709">
        <v>2018</v>
      </c>
      <c r="C709">
        <v>6</v>
      </c>
    </row>
    <row r="710" spans="1:3">
      <c r="A710" t="s">
        <v>173</v>
      </c>
      <c r="B710">
        <v>2019</v>
      </c>
      <c r="C710">
        <v>8</v>
      </c>
    </row>
    <row r="711" spans="1:3">
      <c r="A711" t="s">
        <v>173</v>
      </c>
      <c r="B711">
        <v>2020</v>
      </c>
      <c r="C711" t="s">
        <v>225</v>
      </c>
    </row>
    <row r="712" spans="1:3">
      <c r="A712" t="s">
        <v>173</v>
      </c>
      <c r="B712">
        <v>2021</v>
      </c>
      <c r="C712" t="s">
        <v>225</v>
      </c>
    </row>
    <row r="713" spans="1:3">
      <c r="A713" t="s">
        <v>173</v>
      </c>
      <c r="B713">
        <v>2022</v>
      </c>
      <c r="C713" t="s">
        <v>225</v>
      </c>
    </row>
    <row r="714" spans="1:3">
      <c r="A714" t="s">
        <v>173</v>
      </c>
      <c r="B714">
        <v>2023</v>
      </c>
      <c r="C714" t="s">
        <v>225</v>
      </c>
    </row>
    <row r="715" spans="1:3">
      <c r="A715" t="s">
        <v>173</v>
      </c>
      <c r="B715">
        <v>2024</v>
      </c>
      <c r="C715" t="s">
        <v>225</v>
      </c>
    </row>
    <row r="716" spans="1:3">
      <c r="A716" t="s">
        <v>173</v>
      </c>
      <c r="B716">
        <v>2025</v>
      </c>
      <c r="C716" t="s">
        <v>225</v>
      </c>
    </row>
    <row r="717" spans="1:3">
      <c r="A717" t="s">
        <v>174</v>
      </c>
      <c r="B717">
        <v>2015</v>
      </c>
      <c r="C717">
        <v>34</v>
      </c>
    </row>
    <row r="718" spans="1:3">
      <c r="A718" t="s">
        <v>174</v>
      </c>
      <c r="B718">
        <v>2016</v>
      </c>
      <c r="C718">
        <v>37</v>
      </c>
    </row>
    <row r="719" spans="1:3">
      <c r="A719" t="s">
        <v>174</v>
      </c>
      <c r="B719">
        <v>2017</v>
      </c>
      <c r="C719">
        <v>37</v>
      </c>
    </row>
    <row r="720" spans="1:3">
      <c r="A720" t="s">
        <v>174</v>
      </c>
      <c r="B720">
        <v>2018</v>
      </c>
      <c r="C720">
        <v>39</v>
      </c>
    </row>
    <row r="721" spans="1:3">
      <c r="A721" t="s">
        <v>174</v>
      </c>
      <c r="B721">
        <v>2019</v>
      </c>
      <c r="C721">
        <v>39</v>
      </c>
    </row>
    <row r="722" spans="1:3">
      <c r="A722" t="s">
        <v>174</v>
      </c>
      <c r="B722">
        <v>2020</v>
      </c>
      <c r="C722" t="s">
        <v>225</v>
      </c>
    </row>
    <row r="723" spans="1:3">
      <c r="A723" t="s">
        <v>174</v>
      </c>
      <c r="B723">
        <v>2021</v>
      </c>
      <c r="C723" t="s">
        <v>225</v>
      </c>
    </row>
    <row r="724" spans="1:3">
      <c r="A724" t="s">
        <v>174</v>
      </c>
      <c r="B724">
        <v>2022</v>
      </c>
      <c r="C724" t="s">
        <v>225</v>
      </c>
    </row>
    <row r="725" spans="1:3">
      <c r="A725" t="s">
        <v>174</v>
      </c>
      <c r="B725">
        <v>2023</v>
      </c>
      <c r="C725" t="s">
        <v>225</v>
      </c>
    </row>
    <row r="726" spans="1:3">
      <c r="A726" t="s">
        <v>174</v>
      </c>
      <c r="B726">
        <v>2024</v>
      </c>
      <c r="C726" t="s">
        <v>225</v>
      </c>
    </row>
    <row r="727" spans="1:3">
      <c r="A727" t="s">
        <v>174</v>
      </c>
      <c r="B727">
        <v>2025</v>
      </c>
      <c r="C727" t="s">
        <v>225</v>
      </c>
    </row>
    <row r="728" spans="1:3">
      <c r="A728" t="s">
        <v>175</v>
      </c>
      <c r="B728">
        <v>2015</v>
      </c>
      <c r="C728">
        <v>3</v>
      </c>
    </row>
    <row r="729" spans="1:3">
      <c r="A729" t="s">
        <v>175</v>
      </c>
      <c r="B729">
        <v>2016</v>
      </c>
      <c r="C729">
        <v>6</v>
      </c>
    </row>
    <row r="730" spans="1:3">
      <c r="A730" t="s">
        <v>175</v>
      </c>
      <c r="B730">
        <v>2017</v>
      </c>
      <c r="C730">
        <v>13</v>
      </c>
    </row>
    <row r="731" spans="1:3">
      <c r="A731" t="s">
        <v>175</v>
      </c>
      <c r="B731">
        <v>2018</v>
      </c>
      <c r="C731">
        <v>21</v>
      </c>
    </row>
    <row r="732" spans="1:3">
      <c r="A732" t="s">
        <v>175</v>
      </c>
      <c r="B732">
        <v>2019</v>
      </c>
      <c r="C732">
        <v>19</v>
      </c>
    </row>
    <row r="733" spans="1:3">
      <c r="A733" t="s">
        <v>175</v>
      </c>
      <c r="B733">
        <v>2020</v>
      </c>
      <c r="C733">
        <v>4</v>
      </c>
    </row>
    <row r="734" spans="1:3">
      <c r="A734" t="s">
        <v>175</v>
      </c>
      <c r="B734">
        <v>2021</v>
      </c>
      <c r="C734">
        <v>2</v>
      </c>
    </row>
    <row r="735" spans="1:3">
      <c r="A735" t="s">
        <v>175</v>
      </c>
      <c r="B735">
        <v>2022</v>
      </c>
      <c r="C735">
        <v>2</v>
      </c>
    </row>
    <row r="736" spans="1:3">
      <c r="A736" t="s">
        <v>175</v>
      </c>
      <c r="B736">
        <v>2023</v>
      </c>
      <c r="C736">
        <v>2</v>
      </c>
    </row>
    <row r="737" spans="1:3">
      <c r="A737" t="s">
        <v>175</v>
      </c>
      <c r="B737">
        <v>2024</v>
      </c>
      <c r="C737">
        <v>2</v>
      </c>
    </row>
    <row r="738" spans="1:3">
      <c r="A738" t="s">
        <v>175</v>
      </c>
      <c r="B738">
        <v>2025</v>
      </c>
      <c r="C738">
        <v>2</v>
      </c>
    </row>
    <row r="739" spans="1:3">
      <c r="A739" t="s">
        <v>177</v>
      </c>
      <c r="B739">
        <v>2015</v>
      </c>
      <c r="C739">
        <v>76</v>
      </c>
    </row>
    <row r="740" spans="1:3">
      <c r="A740" t="s">
        <v>177</v>
      </c>
      <c r="B740">
        <v>2016</v>
      </c>
      <c r="C740">
        <v>69</v>
      </c>
    </row>
    <row r="741" spans="1:3">
      <c r="A741" t="s">
        <v>177</v>
      </c>
      <c r="B741">
        <v>2017</v>
      </c>
      <c r="C741">
        <v>76</v>
      </c>
    </row>
    <row r="742" spans="1:3">
      <c r="A742" t="s">
        <v>177</v>
      </c>
      <c r="B742">
        <v>2018</v>
      </c>
      <c r="C742">
        <v>70</v>
      </c>
    </row>
    <row r="743" spans="1:3">
      <c r="A743" t="s">
        <v>177</v>
      </c>
      <c r="B743">
        <v>2019</v>
      </c>
      <c r="C743">
        <v>75</v>
      </c>
    </row>
    <row r="744" spans="1:3">
      <c r="A744" t="s">
        <v>177</v>
      </c>
      <c r="B744">
        <v>2020</v>
      </c>
      <c r="C744" t="s">
        <v>225</v>
      </c>
    </row>
    <row r="745" spans="1:3">
      <c r="A745" t="s">
        <v>177</v>
      </c>
      <c r="B745">
        <v>2021</v>
      </c>
      <c r="C745" t="s">
        <v>225</v>
      </c>
    </row>
    <row r="746" spans="1:3">
      <c r="A746" t="s">
        <v>177</v>
      </c>
      <c r="B746">
        <v>2022</v>
      </c>
      <c r="C746" t="s">
        <v>225</v>
      </c>
    </row>
    <row r="747" spans="1:3">
      <c r="A747" t="s">
        <v>177</v>
      </c>
      <c r="B747">
        <v>2023</v>
      </c>
      <c r="C747" t="s">
        <v>225</v>
      </c>
    </row>
    <row r="748" spans="1:3">
      <c r="A748" t="s">
        <v>177</v>
      </c>
      <c r="B748">
        <v>2024</v>
      </c>
      <c r="C748" t="s">
        <v>225</v>
      </c>
    </row>
    <row r="749" spans="1:3">
      <c r="A749" t="s">
        <v>177</v>
      </c>
      <c r="B749">
        <v>2025</v>
      </c>
      <c r="C749" t="s">
        <v>225</v>
      </c>
    </row>
    <row r="750" spans="1:3">
      <c r="A750" t="s">
        <v>181</v>
      </c>
      <c r="B750">
        <v>2015</v>
      </c>
      <c r="C750">
        <v>39</v>
      </c>
    </row>
    <row r="751" spans="1:3">
      <c r="A751" t="s">
        <v>181</v>
      </c>
      <c r="B751">
        <v>2016</v>
      </c>
      <c r="C751">
        <v>35</v>
      </c>
    </row>
    <row r="752" spans="1:3">
      <c r="A752" t="s">
        <v>181</v>
      </c>
      <c r="B752">
        <v>2017</v>
      </c>
      <c r="C752">
        <v>52</v>
      </c>
    </row>
    <row r="753" spans="1:3">
      <c r="A753" t="s">
        <v>181</v>
      </c>
      <c r="B753">
        <v>2018</v>
      </c>
      <c r="C753">
        <v>58</v>
      </c>
    </row>
    <row r="754" spans="1:3">
      <c r="A754" t="s">
        <v>181</v>
      </c>
      <c r="B754">
        <v>2019</v>
      </c>
      <c r="C754">
        <v>58</v>
      </c>
    </row>
    <row r="755" spans="1:3">
      <c r="A755" t="s">
        <v>181</v>
      </c>
      <c r="B755">
        <v>2020</v>
      </c>
      <c r="C755" t="s">
        <v>225</v>
      </c>
    </row>
    <row r="756" spans="1:3">
      <c r="A756" t="s">
        <v>181</v>
      </c>
      <c r="B756">
        <v>2021</v>
      </c>
      <c r="C756" t="s">
        <v>225</v>
      </c>
    </row>
    <row r="757" spans="1:3">
      <c r="A757" t="s">
        <v>181</v>
      </c>
      <c r="B757">
        <v>2022</v>
      </c>
      <c r="C757" t="s">
        <v>225</v>
      </c>
    </row>
    <row r="758" spans="1:3">
      <c r="A758" t="s">
        <v>181</v>
      </c>
      <c r="B758">
        <v>2023</v>
      </c>
      <c r="C758" t="s">
        <v>225</v>
      </c>
    </row>
    <row r="759" spans="1:3">
      <c r="A759" t="s">
        <v>181</v>
      </c>
      <c r="B759">
        <v>2024</v>
      </c>
      <c r="C759" t="s">
        <v>225</v>
      </c>
    </row>
    <row r="760" spans="1:3">
      <c r="A760" t="s">
        <v>181</v>
      </c>
      <c r="B760">
        <v>2025</v>
      </c>
      <c r="C760" t="s">
        <v>225</v>
      </c>
    </row>
    <row r="761" spans="1:3">
      <c r="A761" t="s">
        <v>183</v>
      </c>
      <c r="B761">
        <v>2015</v>
      </c>
      <c r="C761">
        <v>24</v>
      </c>
    </row>
    <row r="762" spans="1:3">
      <c r="A762" t="s">
        <v>183</v>
      </c>
      <c r="B762">
        <v>2016</v>
      </c>
      <c r="C762">
        <v>25</v>
      </c>
    </row>
    <row r="763" spans="1:3">
      <c r="A763" t="s">
        <v>183</v>
      </c>
      <c r="B763">
        <v>2017</v>
      </c>
      <c r="C763">
        <v>22</v>
      </c>
    </row>
    <row r="764" spans="1:3">
      <c r="A764" t="s">
        <v>183</v>
      </c>
      <c r="B764">
        <v>2018</v>
      </c>
      <c r="C764">
        <v>36</v>
      </c>
    </row>
    <row r="765" spans="1:3">
      <c r="A765" t="s">
        <v>183</v>
      </c>
      <c r="B765">
        <v>2019</v>
      </c>
      <c r="C765">
        <v>27</v>
      </c>
    </row>
    <row r="766" spans="1:3">
      <c r="A766" t="s">
        <v>183</v>
      </c>
      <c r="B766">
        <v>2020</v>
      </c>
      <c r="C766" t="s">
        <v>225</v>
      </c>
    </row>
    <row r="767" spans="1:3">
      <c r="A767" t="s">
        <v>183</v>
      </c>
      <c r="B767">
        <v>2021</v>
      </c>
      <c r="C767" t="s">
        <v>225</v>
      </c>
    </row>
    <row r="768" spans="1:3">
      <c r="A768" t="s">
        <v>183</v>
      </c>
      <c r="B768">
        <v>2022</v>
      </c>
      <c r="C768" t="s">
        <v>225</v>
      </c>
    </row>
    <row r="769" spans="1:3">
      <c r="A769" t="s">
        <v>183</v>
      </c>
      <c r="B769">
        <v>2023</v>
      </c>
      <c r="C769" t="s">
        <v>225</v>
      </c>
    </row>
    <row r="770" spans="1:3">
      <c r="A770" t="s">
        <v>183</v>
      </c>
      <c r="B770">
        <v>2024</v>
      </c>
      <c r="C770" t="s">
        <v>225</v>
      </c>
    </row>
    <row r="771" spans="1:3">
      <c r="A771" t="s">
        <v>183</v>
      </c>
      <c r="B771">
        <v>2025</v>
      </c>
      <c r="C771" t="s">
        <v>225</v>
      </c>
    </row>
    <row r="772" spans="1:3">
      <c r="A772" t="s">
        <v>185</v>
      </c>
      <c r="B772">
        <v>2015</v>
      </c>
      <c r="C772">
        <v>5</v>
      </c>
    </row>
    <row r="773" spans="1:3">
      <c r="A773" t="s">
        <v>185</v>
      </c>
      <c r="B773">
        <v>2016</v>
      </c>
      <c r="C773">
        <v>5</v>
      </c>
    </row>
    <row r="774" spans="1:3">
      <c r="A774" t="s">
        <v>185</v>
      </c>
      <c r="B774">
        <v>2017</v>
      </c>
      <c r="C774">
        <v>7</v>
      </c>
    </row>
    <row r="775" spans="1:3">
      <c r="A775" t="s">
        <v>185</v>
      </c>
      <c r="B775">
        <v>2018</v>
      </c>
      <c r="C775">
        <v>7</v>
      </c>
    </row>
    <row r="776" spans="1:3">
      <c r="A776" t="s">
        <v>185</v>
      </c>
      <c r="B776">
        <v>2019</v>
      </c>
      <c r="C776">
        <v>8</v>
      </c>
    </row>
    <row r="777" spans="1:3">
      <c r="A777" t="s">
        <v>185</v>
      </c>
      <c r="B777">
        <v>2020</v>
      </c>
      <c r="C777" t="s">
        <v>225</v>
      </c>
    </row>
    <row r="778" spans="1:3">
      <c r="A778" t="s">
        <v>185</v>
      </c>
      <c r="B778">
        <v>2021</v>
      </c>
      <c r="C778" t="s">
        <v>225</v>
      </c>
    </row>
    <row r="779" spans="1:3">
      <c r="A779" t="s">
        <v>185</v>
      </c>
      <c r="B779">
        <v>2022</v>
      </c>
      <c r="C779" t="s">
        <v>225</v>
      </c>
    </row>
    <row r="780" spans="1:3">
      <c r="A780" t="s">
        <v>185</v>
      </c>
      <c r="B780">
        <v>2023</v>
      </c>
      <c r="C780" t="s">
        <v>225</v>
      </c>
    </row>
    <row r="781" spans="1:3">
      <c r="A781" t="s">
        <v>185</v>
      </c>
      <c r="B781">
        <v>2024</v>
      </c>
      <c r="C781" t="s">
        <v>225</v>
      </c>
    </row>
    <row r="782" spans="1:3">
      <c r="A782" t="s">
        <v>185</v>
      </c>
      <c r="B782">
        <v>2025</v>
      </c>
      <c r="C782" t="s">
        <v>225</v>
      </c>
    </row>
    <row r="783" spans="1:3">
      <c r="A783" t="s">
        <v>186</v>
      </c>
      <c r="B783">
        <v>2015</v>
      </c>
      <c r="C783">
        <v>55</v>
      </c>
    </row>
    <row r="784" spans="1:3">
      <c r="A784" t="s">
        <v>186</v>
      </c>
      <c r="B784">
        <v>2016</v>
      </c>
      <c r="C784">
        <v>51</v>
      </c>
    </row>
    <row r="785" spans="1:3">
      <c r="A785" t="s">
        <v>186</v>
      </c>
      <c r="B785">
        <v>2017</v>
      </c>
      <c r="C785">
        <v>59</v>
      </c>
    </row>
    <row r="786" spans="1:3">
      <c r="A786" t="s">
        <v>186</v>
      </c>
      <c r="B786">
        <v>2018</v>
      </c>
      <c r="C786">
        <v>56</v>
      </c>
    </row>
    <row r="787" spans="1:3">
      <c r="A787" t="s">
        <v>186</v>
      </c>
      <c r="B787">
        <v>2019</v>
      </c>
      <c r="C787">
        <v>40</v>
      </c>
    </row>
    <row r="788" spans="1:3">
      <c r="A788" t="s">
        <v>186</v>
      </c>
      <c r="B788">
        <v>2020</v>
      </c>
      <c r="C788" t="s">
        <v>225</v>
      </c>
    </row>
    <row r="789" spans="1:3">
      <c r="A789" t="s">
        <v>186</v>
      </c>
      <c r="B789">
        <v>2021</v>
      </c>
      <c r="C789" t="s">
        <v>225</v>
      </c>
    </row>
    <row r="790" spans="1:3">
      <c r="A790" t="s">
        <v>186</v>
      </c>
      <c r="B790">
        <v>2022</v>
      </c>
      <c r="C790" t="s">
        <v>225</v>
      </c>
    </row>
    <row r="791" spans="1:3">
      <c r="A791" t="s">
        <v>186</v>
      </c>
      <c r="B791">
        <v>2023</v>
      </c>
      <c r="C791" t="s">
        <v>225</v>
      </c>
    </row>
    <row r="792" spans="1:3">
      <c r="A792" t="s">
        <v>186</v>
      </c>
      <c r="B792">
        <v>2024</v>
      </c>
      <c r="C792" t="s">
        <v>225</v>
      </c>
    </row>
    <row r="793" spans="1:3">
      <c r="A793" t="s">
        <v>186</v>
      </c>
      <c r="B793">
        <v>2025</v>
      </c>
      <c r="C793" t="s">
        <v>225</v>
      </c>
    </row>
    <row r="794" spans="1:3">
      <c r="A794" t="s">
        <v>187</v>
      </c>
      <c r="B794">
        <v>2015</v>
      </c>
      <c r="C794">
        <v>5</v>
      </c>
    </row>
    <row r="795" spans="1:3">
      <c r="A795" t="s">
        <v>187</v>
      </c>
      <c r="B795">
        <v>2016</v>
      </c>
      <c r="C795">
        <v>4</v>
      </c>
    </row>
    <row r="796" spans="1:3">
      <c r="A796" t="s">
        <v>187</v>
      </c>
      <c r="B796">
        <v>2017</v>
      </c>
      <c r="C796">
        <v>4</v>
      </c>
    </row>
    <row r="797" spans="1:3">
      <c r="A797" t="s">
        <v>187</v>
      </c>
      <c r="B797">
        <v>2018</v>
      </c>
      <c r="C797">
        <v>4</v>
      </c>
    </row>
    <row r="798" spans="1:3">
      <c r="A798" t="s">
        <v>187</v>
      </c>
      <c r="B798">
        <v>2019</v>
      </c>
      <c r="C798">
        <v>4</v>
      </c>
    </row>
    <row r="799" spans="1:3">
      <c r="A799" t="s">
        <v>187</v>
      </c>
      <c r="B799">
        <v>2020</v>
      </c>
      <c r="C799" t="s">
        <v>225</v>
      </c>
    </row>
    <row r="800" spans="1:3">
      <c r="A800" t="s">
        <v>187</v>
      </c>
      <c r="B800">
        <v>2021</v>
      </c>
      <c r="C800" t="s">
        <v>225</v>
      </c>
    </row>
    <row r="801" spans="1:3">
      <c r="A801" t="s">
        <v>187</v>
      </c>
      <c r="B801">
        <v>2022</v>
      </c>
      <c r="C801" t="s">
        <v>225</v>
      </c>
    </row>
    <row r="802" spans="1:3">
      <c r="A802" t="s">
        <v>187</v>
      </c>
      <c r="B802">
        <v>2023</v>
      </c>
      <c r="C802" t="s">
        <v>225</v>
      </c>
    </row>
    <row r="803" spans="1:3">
      <c r="A803" t="s">
        <v>187</v>
      </c>
      <c r="B803">
        <v>2024</v>
      </c>
      <c r="C803" t="s">
        <v>225</v>
      </c>
    </row>
    <row r="804" spans="1:3">
      <c r="A804" t="s">
        <v>187</v>
      </c>
      <c r="B804">
        <v>2025</v>
      </c>
      <c r="C804" t="s">
        <v>225</v>
      </c>
    </row>
    <row r="805" spans="1:3">
      <c r="A805" t="s">
        <v>189</v>
      </c>
      <c r="B805">
        <v>2015</v>
      </c>
      <c r="C805">
        <v>32</v>
      </c>
    </row>
    <row r="806" spans="1:3">
      <c r="A806" t="s">
        <v>189</v>
      </c>
      <c r="B806">
        <v>2016</v>
      </c>
      <c r="C806">
        <v>32</v>
      </c>
    </row>
    <row r="807" spans="1:3">
      <c r="A807" t="s">
        <v>189</v>
      </c>
      <c r="B807">
        <v>2017</v>
      </c>
      <c r="C807">
        <v>34</v>
      </c>
    </row>
    <row r="808" spans="1:3">
      <c r="A808" t="s">
        <v>189</v>
      </c>
      <c r="B808">
        <v>2018</v>
      </c>
      <c r="C808">
        <v>34</v>
      </c>
    </row>
    <row r="809" spans="1:3">
      <c r="A809" t="s">
        <v>189</v>
      </c>
      <c r="B809">
        <v>2019</v>
      </c>
      <c r="C809">
        <v>32</v>
      </c>
    </row>
    <row r="810" spans="1:3">
      <c r="A810" t="s">
        <v>189</v>
      </c>
      <c r="B810">
        <v>2020</v>
      </c>
      <c r="C810" t="s">
        <v>225</v>
      </c>
    </row>
    <row r="811" spans="1:3">
      <c r="A811" t="s">
        <v>189</v>
      </c>
      <c r="B811">
        <v>2021</v>
      </c>
      <c r="C811" t="s">
        <v>225</v>
      </c>
    </row>
    <row r="812" spans="1:3">
      <c r="A812" t="s">
        <v>189</v>
      </c>
      <c r="B812">
        <v>2022</v>
      </c>
      <c r="C812" t="s">
        <v>225</v>
      </c>
    </row>
    <row r="813" spans="1:3">
      <c r="A813" t="s">
        <v>189</v>
      </c>
      <c r="B813">
        <v>2023</v>
      </c>
      <c r="C813" t="s">
        <v>225</v>
      </c>
    </row>
    <row r="814" spans="1:3">
      <c r="A814" t="s">
        <v>189</v>
      </c>
      <c r="B814">
        <v>2024</v>
      </c>
      <c r="C814" t="s">
        <v>225</v>
      </c>
    </row>
    <row r="815" spans="1:3">
      <c r="A815" t="s">
        <v>189</v>
      </c>
      <c r="B815">
        <v>2025</v>
      </c>
      <c r="C815" t="s">
        <v>225</v>
      </c>
    </row>
    <row r="816" spans="1:3">
      <c r="A816" t="s">
        <v>192</v>
      </c>
      <c r="B816">
        <v>2015</v>
      </c>
      <c r="C816">
        <v>14</v>
      </c>
    </row>
    <row r="817" spans="1:3">
      <c r="A817" t="s">
        <v>192</v>
      </c>
      <c r="B817">
        <v>2016</v>
      </c>
      <c r="C817">
        <v>18</v>
      </c>
    </row>
    <row r="818" spans="1:3">
      <c r="A818" t="s">
        <v>192</v>
      </c>
      <c r="B818">
        <v>2017</v>
      </c>
      <c r="C818">
        <v>16</v>
      </c>
    </row>
    <row r="819" spans="1:3">
      <c r="A819" t="s">
        <v>192</v>
      </c>
      <c r="B819">
        <v>2018</v>
      </c>
      <c r="C819">
        <v>16</v>
      </c>
    </row>
    <row r="820" spans="1:3">
      <c r="A820" t="s">
        <v>192</v>
      </c>
      <c r="B820">
        <v>2019</v>
      </c>
      <c r="C820">
        <v>17</v>
      </c>
    </row>
    <row r="821" spans="1:3">
      <c r="A821" t="s">
        <v>192</v>
      </c>
      <c r="B821">
        <v>2020</v>
      </c>
      <c r="C821" t="s">
        <v>225</v>
      </c>
    </row>
    <row r="822" spans="1:3">
      <c r="A822" t="s">
        <v>192</v>
      </c>
      <c r="B822">
        <v>2021</v>
      </c>
      <c r="C822" t="s">
        <v>225</v>
      </c>
    </row>
    <row r="823" spans="1:3">
      <c r="A823" t="s">
        <v>192</v>
      </c>
      <c r="B823">
        <v>2022</v>
      </c>
      <c r="C823" t="s">
        <v>225</v>
      </c>
    </row>
    <row r="824" spans="1:3">
      <c r="A824" t="s">
        <v>192</v>
      </c>
      <c r="B824">
        <v>2023</v>
      </c>
      <c r="C824" t="s">
        <v>225</v>
      </c>
    </row>
    <row r="825" spans="1:3">
      <c r="A825" t="s">
        <v>192</v>
      </c>
      <c r="B825">
        <v>2024</v>
      </c>
      <c r="C825" t="s">
        <v>225</v>
      </c>
    </row>
    <row r="826" spans="1:3">
      <c r="A826" t="s">
        <v>192</v>
      </c>
      <c r="B826">
        <v>2025</v>
      </c>
      <c r="C826" t="s">
        <v>225</v>
      </c>
    </row>
    <row r="827" spans="1:3">
      <c r="A827" t="s">
        <v>194</v>
      </c>
      <c r="B827">
        <v>2015</v>
      </c>
      <c r="C827">
        <v>23</v>
      </c>
    </row>
    <row r="828" spans="1:3">
      <c r="A828" t="s">
        <v>194</v>
      </c>
      <c r="B828">
        <v>2016</v>
      </c>
      <c r="C828">
        <v>23</v>
      </c>
    </row>
    <row r="829" spans="1:3">
      <c r="A829" t="s">
        <v>194</v>
      </c>
      <c r="B829">
        <v>2017</v>
      </c>
      <c r="C829">
        <v>31</v>
      </c>
    </row>
    <row r="830" spans="1:3">
      <c r="A830" t="s">
        <v>194</v>
      </c>
      <c r="B830">
        <v>2018</v>
      </c>
      <c r="C830">
        <v>37</v>
      </c>
    </row>
    <row r="831" spans="1:3">
      <c r="A831" t="s">
        <v>194</v>
      </c>
      <c r="B831">
        <v>2019</v>
      </c>
      <c r="C831">
        <v>40</v>
      </c>
    </row>
    <row r="832" spans="1:3">
      <c r="A832" t="s">
        <v>194</v>
      </c>
      <c r="B832">
        <v>2020</v>
      </c>
      <c r="C832">
        <v>3</v>
      </c>
    </row>
    <row r="833" spans="1:3">
      <c r="A833" t="s">
        <v>194</v>
      </c>
      <c r="B833">
        <v>2021</v>
      </c>
      <c r="C833">
        <v>3</v>
      </c>
    </row>
    <row r="834" spans="1:3">
      <c r="A834" t="s">
        <v>194</v>
      </c>
      <c r="B834">
        <v>2022</v>
      </c>
      <c r="C834">
        <v>3</v>
      </c>
    </row>
    <row r="835" spans="1:3">
      <c r="A835" t="s">
        <v>194</v>
      </c>
      <c r="B835">
        <v>2023</v>
      </c>
      <c r="C835">
        <v>3</v>
      </c>
    </row>
    <row r="836" spans="1:3">
      <c r="A836" t="s">
        <v>194</v>
      </c>
      <c r="B836">
        <v>2024</v>
      </c>
      <c r="C836">
        <v>3</v>
      </c>
    </row>
    <row r="837" spans="1:3">
      <c r="A837" t="s">
        <v>194</v>
      </c>
      <c r="B837">
        <v>2025</v>
      </c>
      <c r="C837">
        <v>3</v>
      </c>
    </row>
    <row r="838" spans="1:3">
      <c r="A838" t="s">
        <v>200</v>
      </c>
      <c r="B838">
        <v>2015</v>
      </c>
      <c r="C838">
        <v>44</v>
      </c>
    </row>
    <row r="839" spans="1:3">
      <c r="A839" t="s">
        <v>200</v>
      </c>
      <c r="B839">
        <v>2016</v>
      </c>
      <c r="C839">
        <v>43</v>
      </c>
    </row>
    <row r="840" spans="1:3">
      <c r="A840" t="s">
        <v>200</v>
      </c>
      <c r="B840">
        <v>2017</v>
      </c>
      <c r="C840">
        <v>43</v>
      </c>
    </row>
    <row r="841" spans="1:3">
      <c r="A841" t="s">
        <v>200</v>
      </c>
      <c r="B841">
        <v>2018</v>
      </c>
      <c r="C841">
        <v>45</v>
      </c>
    </row>
    <row r="842" spans="1:3">
      <c r="A842" t="s">
        <v>200</v>
      </c>
      <c r="B842">
        <v>2019</v>
      </c>
      <c r="C842">
        <v>47</v>
      </c>
    </row>
    <row r="843" spans="1:3">
      <c r="A843" t="s">
        <v>200</v>
      </c>
      <c r="B843">
        <v>2020</v>
      </c>
      <c r="C843" t="s">
        <v>225</v>
      </c>
    </row>
    <row r="844" spans="1:3">
      <c r="A844" t="s">
        <v>200</v>
      </c>
      <c r="B844">
        <v>2021</v>
      </c>
      <c r="C844" t="s">
        <v>225</v>
      </c>
    </row>
    <row r="845" spans="1:3">
      <c r="A845" t="s">
        <v>200</v>
      </c>
      <c r="B845">
        <v>2022</v>
      </c>
      <c r="C845" t="s">
        <v>225</v>
      </c>
    </row>
    <row r="846" spans="1:3">
      <c r="A846" t="s">
        <v>200</v>
      </c>
      <c r="B846">
        <v>2023</v>
      </c>
      <c r="C846" t="s">
        <v>225</v>
      </c>
    </row>
    <row r="847" spans="1:3">
      <c r="A847" t="s">
        <v>200</v>
      </c>
      <c r="B847">
        <v>2024</v>
      </c>
      <c r="C847" t="s">
        <v>225</v>
      </c>
    </row>
    <row r="848" spans="1:3">
      <c r="A848" t="s">
        <v>200</v>
      </c>
      <c r="B848">
        <v>2025</v>
      </c>
      <c r="C848" t="s">
        <v>225</v>
      </c>
    </row>
    <row r="849" spans="1:3">
      <c r="A849" t="s">
        <v>203</v>
      </c>
      <c r="B849">
        <v>2015</v>
      </c>
      <c r="C849">
        <v>18</v>
      </c>
    </row>
    <row r="850" spans="1:3">
      <c r="A850" t="s">
        <v>203</v>
      </c>
      <c r="B850">
        <v>2016</v>
      </c>
      <c r="C850">
        <v>18</v>
      </c>
    </row>
    <row r="851" spans="1:3">
      <c r="A851" t="s">
        <v>203</v>
      </c>
      <c r="B851">
        <v>2017</v>
      </c>
      <c r="C851">
        <v>18</v>
      </c>
    </row>
    <row r="852" spans="1:3">
      <c r="A852" t="s">
        <v>203</v>
      </c>
      <c r="B852">
        <v>2018</v>
      </c>
      <c r="C852">
        <v>22</v>
      </c>
    </row>
    <row r="853" spans="1:3">
      <c r="A853" t="s">
        <v>203</v>
      </c>
      <c r="B853">
        <v>2019</v>
      </c>
      <c r="C853">
        <v>17</v>
      </c>
    </row>
    <row r="854" spans="1:3">
      <c r="A854" t="s">
        <v>203</v>
      </c>
      <c r="B854">
        <v>2020</v>
      </c>
      <c r="C854" t="s">
        <v>225</v>
      </c>
    </row>
    <row r="855" spans="1:3">
      <c r="A855" t="s">
        <v>203</v>
      </c>
      <c r="B855">
        <v>2021</v>
      </c>
      <c r="C855" t="s">
        <v>225</v>
      </c>
    </row>
    <row r="856" spans="1:3">
      <c r="A856" t="s">
        <v>203</v>
      </c>
      <c r="B856">
        <v>2022</v>
      </c>
      <c r="C856" t="s">
        <v>225</v>
      </c>
    </row>
    <row r="857" spans="1:3">
      <c r="A857" t="s">
        <v>203</v>
      </c>
      <c r="B857">
        <v>2023</v>
      </c>
      <c r="C857" t="s">
        <v>225</v>
      </c>
    </row>
    <row r="858" spans="1:3">
      <c r="A858" t="s">
        <v>203</v>
      </c>
      <c r="B858">
        <v>2024</v>
      </c>
      <c r="C858" t="s">
        <v>225</v>
      </c>
    </row>
    <row r="859" spans="1:3">
      <c r="A859" t="s">
        <v>203</v>
      </c>
      <c r="B859">
        <v>2025</v>
      </c>
      <c r="C859" t="s">
        <v>225</v>
      </c>
    </row>
    <row r="860" spans="1:3">
      <c r="A860" t="s">
        <v>207</v>
      </c>
      <c r="B860">
        <v>2015</v>
      </c>
      <c r="C860">
        <v>2</v>
      </c>
    </row>
    <row r="861" spans="1:3">
      <c r="A861" t="s">
        <v>207</v>
      </c>
      <c r="B861">
        <v>2016</v>
      </c>
      <c r="C861">
        <v>1</v>
      </c>
    </row>
    <row r="862" spans="1:3">
      <c r="A862" t="s">
        <v>207</v>
      </c>
      <c r="B862">
        <v>2017</v>
      </c>
      <c r="C862">
        <v>1</v>
      </c>
    </row>
    <row r="863" spans="1:3">
      <c r="A863" t="s">
        <v>207</v>
      </c>
      <c r="B863">
        <v>2018</v>
      </c>
      <c r="C863">
        <v>1</v>
      </c>
    </row>
    <row r="864" spans="1:3">
      <c r="A864" t="s">
        <v>207</v>
      </c>
      <c r="B864">
        <v>2019</v>
      </c>
      <c r="C864" t="s">
        <v>225</v>
      </c>
    </row>
    <row r="865" spans="1:3">
      <c r="A865" t="s">
        <v>207</v>
      </c>
      <c r="B865">
        <v>2020</v>
      </c>
      <c r="C865" t="s">
        <v>225</v>
      </c>
    </row>
    <row r="866" spans="1:3">
      <c r="A866" t="s">
        <v>207</v>
      </c>
      <c r="B866">
        <v>2021</v>
      </c>
      <c r="C866" t="s">
        <v>225</v>
      </c>
    </row>
    <row r="867" spans="1:3">
      <c r="A867" t="s">
        <v>207</v>
      </c>
      <c r="B867">
        <v>2022</v>
      </c>
      <c r="C867" t="s">
        <v>225</v>
      </c>
    </row>
    <row r="868" spans="1:3">
      <c r="A868" t="s">
        <v>207</v>
      </c>
      <c r="B868">
        <v>2023</v>
      </c>
      <c r="C868" t="s">
        <v>225</v>
      </c>
    </row>
    <row r="869" spans="1:3">
      <c r="A869" t="s">
        <v>207</v>
      </c>
      <c r="B869">
        <v>2024</v>
      </c>
      <c r="C869" t="s">
        <v>225</v>
      </c>
    </row>
    <row r="870" spans="1:3">
      <c r="A870" t="s">
        <v>207</v>
      </c>
      <c r="B870">
        <v>2025</v>
      </c>
      <c r="C870" t="s">
        <v>225</v>
      </c>
    </row>
    <row r="871" spans="1:3">
      <c r="A871" t="s">
        <v>208</v>
      </c>
      <c r="B871">
        <v>2015</v>
      </c>
      <c r="C871">
        <v>58</v>
      </c>
    </row>
    <row r="872" spans="1:3">
      <c r="A872" t="s">
        <v>208</v>
      </c>
      <c r="B872">
        <v>2016</v>
      </c>
      <c r="C872">
        <v>57</v>
      </c>
    </row>
    <row r="873" spans="1:3">
      <c r="A873" t="s">
        <v>208</v>
      </c>
      <c r="B873">
        <v>2017</v>
      </c>
      <c r="C873">
        <v>63</v>
      </c>
    </row>
    <row r="874" spans="1:3">
      <c r="A874" t="s">
        <v>208</v>
      </c>
      <c r="B874">
        <v>2018</v>
      </c>
      <c r="C874">
        <v>56</v>
      </c>
    </row>
    <row r="875" spans="1:3">
      <c r="A875" t="s">
        <v>208</v>
      </c>
      <c r="B875">
        <v>2019</v>
      </c>
      <c r="C875">
        <v>66</v>
      </c>
    </row>
    <row r="876" spans="1:3">
      <c r="A876" t="s">
        <v>208</v>
      </c>
      <c r="B876">
        <v>2020</v>
      </c>
      <c r="C876" t="s">
        <v>225</v>
      </c>
    </row>
    <row r="877" spans="1:3">
      <c r="A877" t="s">
        <v>208</v>
      </c>
      <c r="B877">
        <v>2021</v>
      </c>
      <c r="C877" t="s">
        <v>225</v>
      </c>
    </row>
    <row r="878" spans="1:3">
      <c r="A878" t="s">
        <v>208</v>
      </c>
      <c r="B878">
        <v>2022</v>
      </c>
      <c r="C878" t="s">
        <v>225</v>
      </c>
    </row>
    <row r="879" spans="1:3">
      <c r="A879" t="s">
        <v>208</v>
      </c>
      <c r="B879">
        <v>2023</v>
      </c>
      <c r="C879" t="s">
        <v>225</v>
      </c>
    </row>
    <row r="880" spans="1:3">
      <c r="A880" t="s">
        <v>208</v>
      </c>
      <c r="B880">
        <v>2024</v>
      </c>
      <c r="C880" t="s">
        <v>225</v>
      </c>
    </row>
    <row r="881" spans="1:12">
      <c r="A881" t="s">
        <v>208</v>
      </c>
      <c r="B881">
        <v>2025</v>
      </c>
      <c r="C881" t="s">
        <v>225</v>
      </c>
    </row>
    <row r="884" spans="1:12">
      <c r="A884" t="s">
        <v>234</v>
      </c>
    </row>
    <row r="885" spans="1:12">
      <c r="A885" t="s">
        <v>227</v>
      </c>
    </row>
    <row r="886" spans="1:12">
      <c r="A886" t="s">
        <v>235</v>
      </c>
    </row>
    <row r="887" spans="1:12">
      <c r="A887" t="s">
        <v>236</v>
      </c>
    </row>
    <row r="888" spans="1:12">
      <c r="A888" t="s">
        <v>133</v>
      </c>
    </row>
    <row r="889" spans="1:12">
      <c r="A889" t="s">
        <v>134</v>
      </c>
      <c r="B889" t="s">
        <v>135</v>
      </c>
      <c r="C889" t="s">
        <v>136</v>
      </c>
      <c r="D889" t="s">
        <v>137</v>
      </c>
      <c r="E889" t="s">
        <v>138</v>
      </c>
      <c r="F889" t="s">
        <v>139</v>
      </c>
      <c r="G889" t="s">
        <v>140</v>
      </c>
      <c r="H889" t="s">
        <v>141</v>
      </c>
      <c r="I889" t="s">
        <v>142</v>
      </c>
      <c r="J889" t="s">
        <v>143</v>
      </c>
      <c r="K889" t="s">
        <v>144</v>
      </c>
      <c r="L889" t="s">
        <v>145</v>
      </c>
    </row>
    <row r="890" spans="1:12">
      <c r="A890" t="s">
        <v>146</v>
      </c>
      <c r="B890">
        <v>19</v>
      </c>
      <c r="C890">
        <v>18</v>
      </c>
      <c r="D890">
        <v>24</v>
      </c>
      <c r="E890">
        <v>32</v>
      </c>
      <c r="F890">
        <v>28</v>
      </c>
      <c r="G890">
        <v>3</v>
      </c>
      <c r="H890">
        <v>2</v>
      </c>
      <c r="I890">
        <v>2</v>
      </c>
      <c r="J890">
        <v>2</v>
      </c>
      <c r="K890">
        <v>2</v>
      </c>
      <c r="L890">
        <v>2</v>
      </c>
    </row>
    <row r="891" spans="1:12">
      <c r="A891" t="s">
        <v>147</v>
      </c>
      <c r="B891">
        <v>111</v>
      </c>
      <c r="C891">
        <v>120</v>
      </c>
      <c r="D891">
        <v>115</v>
      </c>
      <c r="E891">
        <v>124</v>
      </c>
      <c r="F891">
        <v>127</v>
      </c>
      <c r="G891" t="s">
        <v>225</v>
      </c>
      <c r="H891" t="s">
        <v>225</v>
      </c>
      <c r="I891" t="s">
        <v>225</v>
      </c>
      <c r="J891" t="s">
        <v>225</v>
      </c>
      <c r="K891" t="s">
        <v>225</v>
      </c>
      <c r="L891" t="s">
        <v>225</v>
      </c>
    </row>
    <row r="892" spans="1:12">
      <c r="A892" t="s">
        <v>148</v>
      </c>
      <c r="B892">
        <v>54</v>
      </c>
      <c r="C892">
        <v>56</v>
      </c>
      <c r="D892">
        <v>50</v>
      </c>
      <c r="E892">
        <v>56</v>
      </c>
      <c r="F892">
        <v>41</v>
      </c>
      <c r="G892" t="s">
        <v>225</v>
      </c>
      <c r="H892" t="s">
        <v>225</v>
      </c>
      <c r="I892" t="s">
        <v>225</v>
      </c>
      <c r="J892" t="s">
        <v>225</v>
      </c>
      <c r="K892" t="s">
        <v>225</v>
      </c>
      <c r="L892" t="s">
        <v>225</v>
      </c>
    </row>
    <row r="893" spans="1:12">
      <c r="A893" t="s">
        <v>150</v>
      </c>
      <c r="B893">
        <v>86</v>
      </c>
      <c r="C893">
        <v>93</v>
      </c>
      <c r="D893">
        <v>95</v>
      </c>
      <c r="E893">
        <v>85</v>
      </c>
      <c r="F893">
        <v>82</v>
      </c>
      <c r="G893" t="s">
        <v>225</v>
      </c>
      <c r="H893" t="s">
        <v>225</v>
      </c>
      <c r="I893" t="s">
        <v>225</v>
      </c>
      <c r="J893" t="s">
        <v>225</v>
      </c>
      <c r="K893" t="s">
        <v>225</v>
      </c>
      <c r="L893" t="s">
        <v>225</v>
      </c>
    </row>
    <row r="894" spans="1:12">
      <c r="A894" t="s">
        <v>151</v>
      </c>
      <c r="B894">
        <v>55</v>
      </c>
      <c r="C894">
        <v>49</v>
      </c>
      <c r="D894">
        <v>22</v>
      </c>
      <c r="E894">
        <v>38</v>
      </c>
      <c r="F894">
        <v>26</v>
      </c>
      <c r="G894" t="s">
        <v>225</v>
      </c>
      <c r="H894" t="s">
        <v>225</v>
      </c>
      <c r="I894" t="s">
        <v>225</v>
      </c>
      <c r="J894" t="s">
        <v>225</v>
      </c>
      <c r="K894" t="s">
        <v>225</v>
      </c>
      <c r="L894" t="s">
        <v>225</v>
      </c>
    </row>
    <row r="895" spans="1:12">
      <c r="A895" t="s">
        <v>152</v>
      </c>
      <c r="B895">
        <v>64</v>
      </c>
      <c r="C895">
        <v>63</v>
      </c>
      <c r="D895">
        <v>63</v>
      </c>
      <c r="E895">
        <v>63</v>
      </c>
      <c r="F895">
        <v>63</v>
      </c>
      <c r="G895" t="s">
        <v>225</v>
      </c>
      <c r="H895" t="s">
        <v>225</v>
      </c>
      <c r="I895" t="s">
        <v>225</v>
      </c>
      <c r="J895" t="s">
        <v>225</v>
      </c>
      <c r="K895" t="s">
        <v>225</v>
      </c>
      <c r="L895" t="s">
        <v>225</v>
      </c>
    </row>
    <row r="896" spans="1:12">
      <c r="A896" t="s">
        <v>153</v>
      </c>
      <c r="B896">
        <v>27</v>
      </c>
      <c r="C896">
        <v>24</v>
      </c>
      <c r="D896">
        <v>22</v>
      </c>
      <c r="E896">
        <v>21</v>
      </c>
      <c r="F896">
        <v>18</v>
      </c>
      <c r="G896" t="s">
        <v>225</v>
      </c>
      <c r="H896" t="s">
        <v>225</v>
      </c>
      <c r="I896" t="s">
        <v>225</v>
      </c>
      <c r="J896" t="s">
        <v>225</v>
      </c>
      <c r="K896" t="s">
        <v>225</v>
      </c>
      <c r="L896" t="s">
        <v>225</v>
      </c>
    </row>
    <row r="897" spans="1:12">
      <c r="A897" t="s">
        <v>154</v>
      </c>
      <c r="B897">
        <v>131</v>
      </c>
      <c r="C897">
        <v>127</v>
      </c>
      <c r="D897">
        <v>144</v>
      </c>
      <c r="E897">
        <v>129</v>
      </c>
      <c r="F897">
        <v>151</v>
      </c>
      <c r="G897">
        <v>1</v>
      </c>
      <c r="H897">
        <v>1</v>
      </c>
      <c r="I897" t="s">
        <v>225</v>
      </c>
      <c r="J897" t="s">
        <v>225</v>
      </c>
      <c r="K897" t="s">
        <v>225</v>
      </c>
      <c r="L897" t="s">
        <v>225</v>
      </c>
    </row>
    <row r="898" spans="1:12">
      <c r="A898" t="s">
        <v>155</v>
      </c>
      <c r="B898">
        <v>38</v>
      </c>
      <c r="C898">
        <v>33</v>
      </c>
      <c r="D898">
        <v>47</v>
      </c>
      <c r="E898">
        <v>50</v>
      </c>
      <c r="F898">
        <v>53</v>
      </c>
      <c r="G898" t="s">
        <v>225</v>
      </c>
      <c r="H898" t="s">
        <v>225</v>
      </c>
      <c r="I898" t="s">
        <v>225</v>
      </c>
      <c r="J898" t="s">
        <v>225</v>
      </c>
      <c r="K898" t="s">
        <v>225</v>
      </c>
      <c r="L898" t="s">
        <v>225</v>
      </c>
    </row>
    <row r="899" spans="1:12">
      <c r="A899" t="s">
        <v>157</v>
      </c>
      <c r="B899">
        <v>11</v>
      </c>
      <c r="C899">
        <v>16</v>
      </c>
      <c r="D899">
        <v>19</v>
      </c>
      <c r="E899">
        <v>19</v>
      </c>
      <c r="F899">
        <v>25</v>
      </c>
      <c r="G899" t="s">
        <v>225</v>
      </c>
      <c r="H899" t="s">
        <v>225</v>
      </c>
      <c r="I899" t="s">
        <v>225</v>
      </c>
      <c r="J899" t="s">
        <v>225</v>
      </c>
      <c r="K899" t="s">
        <v>225</v>
      </c>
      <c r="L899" t="s">
        <v>225</v>
      </c>
    </row>
    <row r="900" spans="1:12">
      <c r="A900" t="s">
        <v>159</v>
      </c>
      <c r="B900">
        <v>32</v>
      </c>
      <c r="C900">
        <v>31</v>
      </c>
      <c r="D900">
        <v>27</v>
      </c>
      <c r="E900">
        <v>25</v>
      </c>
      <c r="F900">
        <v>26</v>
      </c>
      <c r="G900" t="s">
        <v>225</v>
      </c>
      <c r="H900" t="s">
        <v>225</v>
      </c>
      <c r="I900" t="s">
        <v>225</v>
      </c>
      <c r="J900" t="s">
        <v>225</v>
      </c>
      <c r="K900" t="s">
        <v>225</v>
      </c>
      <c r="L900" t="s">
        <v>225</v>
      </c>
    </row>
    <row r="901" spans="1:12">
      <c r="A901" t="s">
        <v>161</v>
      </c>
      <c r="B901">
        <v>101</v>
      </c>
      <c r="C901">
        <v>114</v>
      </c>
      <c r="D901">
        <v>111</v>
      </c>
      <c r="E901">
        <v>109</v>
      </c>
      <c r="F901">
        <v>107</v>
      </c>
      <c r="G901" t="s">
        <v>225</v>
      </c>
      <c r="H901" t="s">
        <v>225</v>
      </c>
      <c r="I901" t="s">
        <v>225</v>
      </c>
      <c r="J901" t="s">
        <v>225</v>
      </c>
      <c r="K901" t="s">
        <v>225</v>
      </c>
      <c r="L901" t="s">
        <v>225</v>
      </c>
    </row>
    <row r="902" spans="1:12">
      <c r="A902" t="s">
        <v>162</v>
      </c>
      <c r="B902">
        <v>22</v>
      </c>
      <c r="C902">
        <v>24</v>
      </c>
      <c r="D902">
        <v>45</v>
      </c>
      <c r="E902">
        <v>43</v>
      </c>
      <c r="F902">
        <v>45</v>
      </c>
      <c r="G902">
        <v>2</v>
      </c>
      <c r="H902">
        <v>2</v>
      </c>
      <c r="I902">
        <v>2</v>
      </c>
      <c r="J902">
        <v>2</v>
      </c>
      <c r="K902">
        <v>2</v>
      </c>
      <c r="L902">
        <v>2</v>
      </c>
    </row>
    <row r="903" spans="1:12">
      <c r="A903" t="s">
        <v>163</v>
      </c>
      <c r="B903">
        <v>20</v>
      </c>
      <c r="C903">
        <v>22</v>
      </c>
      <c r="D903">
        <v>24</v>
      </c>
      <c r="E903">
        <v>15</v>
      </c>
      <c r="F903">
        <v>27</v>
      </c>
      <c r="G903" t="s">
        <v>225</v>
      </c>
      <c r="H903" t="s">
        <v>225</v>
      </c>
      <c r="I903" t="s">
        <v>225</v>
      </c>
      <c r="J903" t="s">
        <v>225</v>
      </c>
      <c r="K903" t="s">
        <v>225</v>
      </c>
      <c r="L903" t="s">
        <v>225</v>
      </c>
    </row>
    <row r="904" spans="1:12">
      <c r="A904" t="s">
        <v>164</v>
      </c>
      <c r="B904">
        <v>56</v>
      </c>
      <c r="C904">
        <v>68</v>
      </c>
      <c r="D904">
        <v>63</v>
      </c>
      <c r="E904">
        <v>61</v>
      </c>
      <c r="F904">
        <v>74</v>
      </c>
      <c r="G904" t="s">
        <v>225</v>
      </c>
      <c r="H904" t="s">
        <v>225</v>
      </c>
      <c r="I904" t="s">
        <v>225</v>
      </c>
      <c r="J904" t="s">
        <v>225</v>
      </c>
      <c r="K904" t="s">
        <v>225</v>
      </c>
      <c r="L904" t="s">
        <v>225</v>
      </c>
    </row>
    <row r="905" spans="1:12">
      <c r="A905" t="s">
        <v>165</v>
      </c>
      <c r="B905">
        <v>43</v>
      </c>
      <c r="C905">
        <v>76</v>
      </c>
      <c r="D905">
        <v>72</v>
      </c>
      <c r="E905">
        <v>57</v>
      </c>
      <c r="F905">
        <v>52</v>
      </c>
      <c r="G905">
        <v>8</v>
      </c>
      <c r="H905">
        <v>8</v>
      </c>
      <c r="I905">
        <v>8</v>
      </c>
      <c r="J905">
        <v>8</v>
      </c>
      <c r="K905">
        <v>8</v>
      </c>
      <c r="L905">
        <v>8</v>
      </c>
    </row>
    <row r="906" spans="1:12">
      <c r="A906" t="s">
        <v>166</v>
      </c>
      <c r="B906">
        <v>304</v>
      </c>
      <c r="C906">
        <v>307</v>
      </c>
      <c r="D906">
        <v>309</v>
      </c>
      <c r="E906">
        <v>317</v>
      </c>
      <c r="F906">
        <v>309</v>
      </c>
      <c r="G906">
        <v>26</v>
      </c>
      <c r="H906">
        <v>25</v>
      </c>
      <c r="I906">
        <v>25</v>
      </c>
      <c r="J906">
        <v>25</v>
      </c>
      <c r="K906">
        <v>25</v>
      </c>
      <c r="L906">
        <v>25</v>
      </c>
    </row>
    <row r="907" spans="1:12">
      <c r="A907" t="s">
        <v>168</v>
      </c>
      <c r="B907">
        <v>74</v>
      </c>
      <c r="C907">
        <v>74</v>
      </c>
      <c r="D907">
        <v>73</v>
      </c>
      <c r="E907">
        <v>90</v>
      </c>
      <c r="F907">
        <v>91</v>
      </c>
      <c r="G907" t="s">
        <v>225</v>
      </c>
      <c r="H907" t="s">
        <v>225</v>
      </c>
      <c r="I907" t="s">
        <v>225</v>
      </c>
      <c r="J907" t="s">
        <v>225</v>
      </c>
      <c r="K907" t="s">
        <v>225</v>
      </c>
      <c r="L907" t="s">
        <v>225</v>
      </c>
    </row>
    <row r="908" spans="1:12">
      <c r="A908" t="s">
        <v>169</v>
      </c>
      <c r="B908">
        <v>93</v>
      </c>
      <c r="C908">
        <v>94</v>
      </c>
      <c r="D908">
        <v>94</v>
      </c>
      <c r="E908">
        <v>94</v>
      </c>
      <c r="F908">
        <v>94</v>
      </c>
      <c r="G908" t="s">
        <v>225</v>
      </c>
      <c r="H908" t="s">
        <v>225</v>
      </c>
      <c r="I908" t="s">
        <v>225</v>
      </c>
      <c r="J908" t="s">
        <v>225</v>
      </c>
      <c r="K908" t="s">
        <v>225</v>
      </c>
      <c r="L908" t="s">
        <v>225</v>
      </c>
    </row>
    <row r="909" spans="1:12">
      <c r="A909" t="s">
        <v>171</v>
      </c>
      <c r="B909">
        <v>46</v>
      </c>
      <c r="C909">
        <v>44</v>
      </c>
      <c r="D909">
        <v>44</v>
      </c>
      <c r="E909">
        <v>46</v>
      </c>
      <c r="F909">
        <v>42</v>
      </c>
      <c r="G909" t="s">
        <v>225</v>
      </c>
      <c r="H909" t="s">
        <v>225</v>
      </c>
      <c r="I909" t="s">
        <v>225</v>
      </c>
      <c r="J909" t="s">
        <v>225</v>
      </c>
      <c r="K909" t="s">
        <v>225</v>
      </c>
      <c r="L909" t="s">
        <v>225</v>
      </c>
    </row>
    <row r="910" spans="1:12">
      <c r="A910" t="s">
        <v>172</v>
      </c>
      <c r="B910">
        <v>24</v>
      </c>
      <c r="C910">
        <v>25</v>
      </c>
      <c r="D910">
        <v>25</v>
      </c>
      <c r="E910">
        <v>25</v>
      </c>
      <c r="F910">
        <v>28</v>
      </c>
      <c r="G910" t="s">
        <v>225</v>
      </c>
      <c r="H910" t="s">
        <v>225</v>
      </c>
      <c r="I910" t="s">
        <v>225</v>
      </c>
      <c r="J910" t="s">
        <v>225</v>
      </c>
      <c r="K910" t="s">
        <v>225</v>
      </c>
      <c r="L910" t="s">
        <v>225</v>
      </c>
    </row>
    <row r="911" spans="1:12">
      <c r="A911" t="s">
        <v>173</v>
      </c>
      <c r="B911">
        <v>15</v>
      </c>
      <c r="C911">
        <v>8</v>
      </c>
      <c r="D911">
        <v>6</v>
      </c>
      <c r="E911">
        <v>6</v>
      </c>
      <c r="F911">
        <v>8</v>
      </c>
      <c r="G911" t="s">
        <v>225</v>
      </c>
      <c r="H911" t="s">
        <v>225</v>
      </c>
      <c r="I911" t="s">
        <v>225</v>
      </c>
      <c r="J911" t="s">
        <v>225</v>
      </c>
      <c r="K911" t="s">
        <v>225</v>
      </c>
      <c r="L911" t="s">
        <v>225</v>
      </c>
    </row>
    <row r="912" spans="1:12">
      <c r="A912" t="s">
        <v>174</v>
      </c>
      <c r="B912">
        <v>34</v>
      </c>
      <c r="C912">
        <v>37</v>
      </c>
      <c r="D912">
        <v>37</v>
      </c>
      <c r="E912">
        <v>39</v>
      </c>
      <c r="F912">
        <v>39</v>
      </c>
      <c r="G912" t="s">
        <v>225</v>
      </c>
      <c r="H912" t="s">
        <v>225</v>
      </c>
      <c r="I912" t="s">
        <v>225</v>
      </c>
      <c r="J912" t="s">
        <v>225</v>
      </c>
      <c r="K912" t="s">
        <v>225</v>
      </c>
      <c r="L912" t="s">
        <v>225</v>
      </c>
    </row>
    <row r="913" spans="1:12">
      <c r="A913" t="s">
        <v>175</v>
      </c>
      <c r="B913">
        <v>3</v>
      </c>
      <c r="C913">
        <v>6</v>
      </c>
      <c r="D913">
        <v>13</v>
      </c>
      <c r="E913">
        <v>21</v>
      </c>
      <c r="F913">
        <v>19</v>
      </c>
      <c r="G913">
        <v>4</v>
      </c>
      <c r="H913">
        <v>2</v>
      </c>
      <c r="I913">
        <v>2</v>
      </c>
      <c r="J913">
        <v>2</v>
      </c>
      <c r="K913">
        <v>2</v>
      </c>
      <c r="L913">
        <v>2</v>
      </c>
    </row>
    <row r="914" spans="1:12">
      <c r="A914" t="s">
        <v>176</v>
      </c>
      <c r="B914">
        <v>41</v>
      </c>
      <c r="C914">
        <v>39</v>
      </c>
      <c r="D914">
        <v>36</v>
      </c>
      <c r="E914">
        <v>38</v>
      </c>
      <c r="F914">
        <v>37</v>
      </c>
      <c r="G914" t="s">
        <v>225</v>
      </c>
      <c r="H914" t="s">
        <v>225</v>
      </c>
      <c r="I914" t="s">
        <v>225</v>
      </c>
      <c r="J914" t="s">
        <v>225</v>
      </c>
      <c r="K914" t="s">
        <v>225</v>
      </c>
      <c r="L914" t="s">
        <v>225</v>
      </c>
    </row>
    <row r="915" spans="1:12">
      <c r="A915" t="s">
        <v>177</v>
      </c>
      <c r="B915">
        <v>76</v>
      </c>
      <c r="C915">
        <v>69</v>
      </c>
      <c r="D915">
        <v>76</v>
      </c>
      <c r="E915">
        <v>70</v>
      </c>
      <c r="F915">
        <v>75</v>
      </c>
      <c r="G915" t="s">
        <v>225</v>
      </c>
      <c r="H915" t="s">
        <v>225</v>
      </c>
      <c r="I915" t="s">
        <v>225</v>
      </c>
      <c r="J915" t="s">
        <v>225</v>
      </c>
      <c r="K915" t="s">
        <v>225</v>
      </c>
      <c r="L915" t="s">
        <v>225</v>
      </c>
    </row>
    <row r="916" spans="1:12">
      <c r="A916" t="s">
        <v>178</v>
      </c>
      <c r="B916">
        <v>64</v>
      </c>
      <c r="C916">
        <v>60</v>
      </c>
      <c r="D916">
        <v>62</v>
      </c>
      <c r="E916">
        <v>91</v>
      </c>
      <c r="F916">
        <v>92</v>
      </c>
      <c r="G916">
        <v>1</v>
      </c>
      <c r="H916">
        <v>1</v>
      </c>
      <c r="I916">
        <v>1</v>
      </c>
      <c r="J916">
        <v>1</v>
      </c>
      <c r="K916">
        <v>1</v>
      </c>
      <c r="L916">
        <v>1</v>
      </c>
    </row>
    <row r="917" spans="1:12">
      <c r="A917" t="s">
        <v>179</v>
      </c>
      <c r="B917">
        <v>363</v>
      </c>
      <c r="C917">
        <v>493</v>
      </c>
      <c r="D917">
        <v>591</v>
      </c>
      <c r="E917">
        <v>542</v>
      </c>
      <c r="F917">
        <v>517</v>
      </c>
      <c r="G917">
        <v>62</v>
      </c>
      <c r="H917">
        <v>51</v>
      </c>
      <c r="I917">
        <v>46</v>
      </c>
      <c r="J917">
        <v>45</v>
      </c>
      <c r="K917">
        <v>45</v>
      </c>
      <c r="L917">
        <v>42</v>
      </c>
    </row>
    <row r="918" spans="1:12">
      <c r="A918" t="s">
        <v>180</v>
      </c>
      <c r="B918">
        <v>62</v>
      </c>
      <c r="C918">
        <v>111</v>
      </c>
      <c r="D918">
        <v>114</v>
      </c>
      <c r="E918">
        <v>115</v>
      </c>
      <c r="F918">
        <v>115</v>
      </c>
      <c r="G918" t="s">
        <v>225</v>
      </c>
      <c r="H918" t="s">
        <v>225</v>
      </c>
      <c r="I918" t="s">
        <v>225</v>
      </c>
      <c r="J918" t="s">
        <v>225</v>
      </c>
      <c r="K918" t="s">
        <v>225</v>
      </c>
      <c r="L918" t="s">
        <v>225</v>
      </c>
    </row>
    <row r="919" spans="1:12">
      <c r="A919" t="s">
        <v>181</v>
      </c>
      <c r="B919">
        <v>39</v>
      </c>
      <c r="C919">
        <v>35</v>
      </c>
      <c r="D919">
        <v>52</v>
      </c>
      <c r="E919">
        <v>58</v>
      </c>
      <c r="F919">
        <v>58</v>
      </c>
      <c r="G919" t="s">
        <v>225</v>
      </c>
      <c r="H919" t="s">
        <v>225</v>
      </c>
      <c r="I919" t="s">
        <v>225</v>
      </c>
      <c r="J919" t="s">
        <v>225</v>
      </c>
      <c r="K919" t="s">
        <v>225</v>
      </c>
      <c r="L919" t="s">
        <v>225</v>
      </c>
    </row>
    <row r="920" spans="1:12">
      <c r="A920" t="s">
        <v>182</v>
      </c>
      <c r="B920">
        <v>86</v>
      </c>
      <c r="C920">
        <v>86</v>
      </c>
      <c r="D920">
        <v>93</v>
      </c>
      <c r="E920">
        <v>79</v>
      </c>
      <c r="F920">
        <v>72</v>
      </c>
      <c r="G920">
        <v>4</v>
      </c>
      <c r="H920">
        <v>3</v>
      </c>
      <c r="I920">
        <v>3</v>
      </c>
      <c r="J920">
        <v>3</v>
      </c>
      <c r="K920">
        <v>3</v>
      </c>
      <c r="L920">
        <v>3</v>
      </c>
    </row>
    <row r="921" spans="1:12">
      <c r="A921" t="s">
        <v>184</v>
      </c>
      <c r="B921">
        <v>61</v>
      </c>
      <c r="C921">
        <v>57</v>
      </c>
      <c r="D921">
        <v>55</v>
      </c>
      <c r="E921">
        <v>69</v>
      </c>
      <c r="F921">
        <v>62</v>
      </c>
      <c r="G921" t="s">
        <v>225</v>
      </c>
      <c r="H921" t="s">
        <v>225</v>
      </c>
      <c r="I921" t="s">
        <v>225</v>
      </c>
      <c r="J921" t="s">
        <v>225</v>
      </c>
      <c r="K921" t="s">
        <v>225</v>
      </c>
      <c r="L921" t="s">
        <v>225</v>
      </c>
    </row>
    <row r="922" spans="1:12">
      <c r="A922" t="s">
        <v>185</v>
      </c>
      <c r="B922">
        <v>5</v>
      </c>
      <c r="C922">
        <v>5</v>
      </c>
      <c r="D922">
        <v>7</v>
      </c>
      <c r="E922">
        <v>7</v>
      </c>
      <c r="F922">
        <v>8</v>
      </c>
      <c r="G922" t="s">
        <v>225</v>
      </c>
      <c r="H922" t="s">
        <v>225</v>
      </c>
      <c r="I922" t="s">
        <v>225</v>
      </c>
      <c r="J922" t="s">
        <v>225</v>
      </c>
      <c r="K922" t="s">
        <v>225</v>
      </c>
      <c r="L922" t="s">
        <v>225</v>
      </c>
    </row>
    <row r="923" spans="1:12">
      <c r="A923" t="s">
        <v>187</v>
      </c>
      <c r="B923">
        <v>5</v>
      </c>
      <c r="C923">
        <v>4</v>
      </c>
      <c r="D923">
        <v>4</v>
      </c>
      <c r="E923">
        <v>4</v>
      </c>
      <c r="F923">
        <v>4</v>
      </c>
      <c r="G923" t="s">
        <v>225</v>
      </c>
      <c r="H923" t="s">
        <v>225</v>
      </c>
      <c r="I923" t="s">
        <v>225</v>
      </c>
      <c r="J923" t="s">
        <v>225</v>
      </c>
      <c r="K923" t="s">
        <v>225</v>
      </c>
      <c r="L923" t="s">
        <v>225</v>
      </c>
    </row>
    <row r="924" spans="1:12">
      <c r="A924" t="s">
        <v>188</v>
      </c>
      <c r="B924">
        <v>55</v>
      </c>
      <c r="C924">
        <v>68</v>
      </c>
      <c r="D924">
        <v>57</v>
      </c>
      <c r="E924">
        <v>36</v>
      </c>
      <c r="F924">
        <v>48</v>
      </c>
      <c r="G924">
        <v>4</v>
      </c>
      <c r="H924">
        <v>4</v>
      </c>
      <c r="I924" t="s">
        <v>225</v>
      </c>
      <c r="J924" t="s">
        <v>225</v>
      </c>
      <c r="K924" t="s">
        <v>225</v>
      </c>
      <c r="L924" t="s">
        <v>225</v>
      </c>
    </row>
    <row r="925" spans="1:12">
      <c r="A925" t="s">
        <v>190</v>
      </c>
      <c r="B925">
        <v>18</v>
      </c>
      <c r="C925">
        <v>20</v>
      </c>
      <c r="D925">
        <v>20</v>
      </c>
      <c r="E925">
        <v>21</v>
      </c>
      <c r="F925">
        <v>24</v>
      </c>
      <c r="G925" t="s">
        <v>225</v>
      </c>
      <c r="H925" t="s">
        <v>225</v>
      </c>
      <c r="I925" t="s">
        <v>225</v>
      </c>
      <c r="J925" t="s">
        <v>225</v>
      </c>
      <c r="K925" t="s">
        <v>225</v>
      </c>
      <c r="L925" t="s">
        <v>225</v>
      </c>
    </row>
    <row r="926" spans="1:12">
      <c r="A926" t="s">
        <v>191</v>
      </c>
      <c r="B926">
        <v>38</v>
      </c>
      <c r="C926">
        <v>36</v>
      </c>
      <c r="D926">
        <v>36</v>
      </c>
      <c r="E926">
        <v>36</v>
      </c>
      <c r="F926">
        <v>36</v>
      </c>
      <c r="G926" t="s">
        <v>225</v>
      </c>
      <c r="H926" t="s">
        <v>225</v>
      </c>
      <c r="I926" t="s">
        <v>225</v>
      </c>
      <c r="J926" t="s">
        <v>225</v>
      </c>
      <c r="K926" t="s">
        <v>225</v>
      </c>
      <c r="L926" t="s">
        <v>225</v>
      </c>
    </row>
    <row r="927" spans="1:12">
      <c r="A927" t="s">
        <v>193</v>
      </c>
      <c r="B927">
        <v>34</v>
      </c>
      <c r="C927">
        <v>30</v>
      </c>
      <c r="D927">
        <v>37</v>
      </c>
      <c r="E927">
        <v>42</v>
      </c>
      <c r="F927">
        <v>42</v>
      </c>
      <c r="G927">
        <v>7</v>
      </c>
      <c r="H927">
        <v>6</v>
      </c>
      <c r="I927">
        <v>6</v>
      </c>
      <c r="J927">
        <v>6</v>
      </c>
      <c r="K927">
        <v>6</v>
      </c>
      <c r="L927">
        <v>6</v>
      </c>
    </row>
    <row r="928" spans="1:12">
      <c r="A928" t="s">
        <v>194</v>
      </c>
      <c r="B928">
        <v>23</v>
      </c>
      <c r="C928">
        <v>23</v>
      </c>
      <c r="D928">
        <v>31</v>
      </c>
      <c r="E928">
        <v>37</v>
      </c>
      <c r="F928">
        <v>40</v>
      </c>
      <c r="G928">
        <v>3</v>
      </c>
      <c r="H928">
        <v>3</v>
      </c>
      <c r="I928">
        <v>3</v>
      </c>
      <c r="J928">
        <v>3</v>
      </c>
      <c r="K928">
        <v>3</v>
      </c>
      <c r="L928">
        <v>3</v>
      </c>
    </row>
    <row r="929" spans="1:12">
      <c r="A929" t="s">
        <v>195</v>
      </c>
      <c r="B929">
        <v>42</v>
      </c>
      <c r="C929">
        <v>44</v>
      </c>
      <c r="D929">
        <v>44</v>
      </c>
      <c r="E929">
        <v>41</v>
      </c>
      <c r="F929">
        <v>37</v>
      </c>
      <c r="G929" t="s">
        <v>225</v>
      </c>
      <c r="H929" t="s">
        <v>225</v>
      </c>
      <c r="I929" t="s">
        <v>225</v>
      </c>
      <c r="J929" t="s">
        <v>225</v>
      </c>
      <c r="K929" t="s">
        <v>225</v>
      </c>
      <c r="L929" t="s">
        <v>225</v>
      </c>
    </row>
    <row r="930" spans="1:12">
      <c r="A930" t="s">
        <v>196</v>
      </c>
      <c r="B930">
        <v>735</v>
      </c>
      <c r="C930">
        <v>802</v>
      </c>
      <c r="D930">
        <v>799</v>
      </c>
      <c r="E930">
        <v>884</v>
      </c>
      <c r="F930">
        <v>900</v>
      </c>
      <c r="G930">
        <v>6</v>
      </c>
      <c r="H930">
        <v>6</v>
      </c>
      <c r="I930">
        <v>6</v>
      </c>
      <c r="J930">
        <v>6</v>
      </c>
      <c r="K930">
        <v>6</v>
      </c>
      <c r="L930">
        <v>6</v>
      </c>
    </row>
    <row r="931" spans="1:12">
      <c r="A931" t="s">
        <v>197</v>
      </c>
      <c r="B931">
        <v>38</v>
      </c>
      <c r="C931">
        <v>40</v>
      </c>
      <c r="D931">
        <v>41</v>
      </c>
      <c r="E931">
        <v>43</v>
      </c>
      <c r="F931">
        <v>41</v>
      </c>
      <c r="G931">
        <v>1</v>
      </c>
      <c r="H931" t="s">
        <v>225</v>
      </c>
      <c r="I931" t="s">
        <v>225</v>
      </c>
      <c r="J931" t="s">
        <v>225</v>
      </c>
      <c r="K931" t="s">
        <v>225</v>
      </c>
      <c r="L931" t="s">
        <v>225</v>
      </c>
    </row>
    <row r="932" spans="1:12">
      <c r="A932" t="s">
        <v>198</v>
      </c>
      <c r="B932">
        <v>65</v>
      </c>
      <c r="C932">
        <v>65</v>
      </c>
      <c r="D932">
        <v>77</v>
      </c>
      <c r="E932">
        <v>77</v>
      </c>
      <c r="F932">
        <v>66</v>
      </c>
      <c r="G932" t="s">
        <v>225</v>
      </c>
      <c r="H932" t="s">
        <v>225</v>
      </c>
      <c r="I932" t="s">
        <v>225</v>
      </c>
      <c r="J932" t="s">
        <v>225</v>
      </c>
      <c r="K932" t="s">
        <v>225</v>
      </c>
      <c r="L932" t="s">
        <v>225</v>
      </c>
    </row>
    <row r="933" spans="1:12">
      <c r="A933" t="s">
        <v>199</v>
      </c>
      <c r="B933">
        <v>77</v>
      </c>
      <c r="C933">
        <v>78</v>
      </c>
      <c r="D933">
        <v>72</v>
      </c>
      <c r="E933">
        <v>73</v>
      </c>
      <c r="F933">
        <v>73</v>
      </c>
      <c r="G933">
        <v>16</v>
      </c>
      <c r="H933">
        <v>16</v>
      </c>
      <c r="I933">
        <v>15</v>
      </c>
      <c r="J933">
        <v>13</v>
      </c>
      <c r="K933">
        <v>13</v>
      </c>
      <c r="L933">
        <v>12</v>
      </c>
    </row>
    <row r="934" spans="1:12">
      <c r="A934" t="s">
        <v>201</v>
      </c>
      <c r="B934">
        <v>70</v>
      </c>
      <c r="C934">
        <v>85</v>
      </c>
      <c r="D934">
        <v>86</v>
      </c>
      <c r="E934">
        <v>104</v>
      </c>
      <c r="F934">
        <v>123</v>
      </c>
      <c r="G934">
        <v>4</v>
      </c>
      <c r="H934">
        <v>3</v>
      </c>
      <c r="I934">
        <v>3</v>
      </c>
      <c r="J934">
        <v>3</v>
      </c>
      <c r="K934">
        <v>2</v>
      </c>
      <c r="L934">
        <v>1</v>
      </c>
    </row>
    <row r="935" spans="1:12">
      <c r="A935" t="s">
        <v>202</v>
      </c>
      <c r="B935">
        <v>59</v>
      </c>
      <c r="C935">
        <v>62</v>
      </c>
      <c r="D935">
        <v>83</v>
      </c>
      <c r="E935">
        <v>108</v>
      </c>
      <c r="F935">
        <v>127</v>
      </c>
      <c r="G935">
        <v>1</v>
      </c>
      <c r="H935">
        <v>1</v>
      </c>
      <c r="I935">
        <v>1</v>
      </c>
      <c r="J935">
        <v>1</v>
      </c>
      <c r="K935">
        <v>1</v>
      </c>
      <c r="L935">
        <v>1</v>
      </c>
    </row>
    <row r="936" spans="1:12">
      <c r="A936" t="s">
        <v>203</v>
      </c>
      <c r="B936">
        <v>18</v>
      </c>
      <c r="C936">
        <v>18</v>
      </c>
      <c r="D936">
        <v>18</v>
      </c>
      <c r="E936">
        <v>22</v>
      </c>
      <c r="F936">
        <v>17</v>
      </c>
      <c r="G936" t="s">
        <v>225</v>
      </c>
      <c r="H936" t="s">
        <v>225</v>
      </c>
      <c r="I936" t="s">
        <v>225</v>
      </c>
      <c r="J936" t="s">
        <v>225</v>
      </c>
      <c r="K936" t="s">
        <v>225</v>
      </c>
      <c r="L936" t="s">
        <v>225</v>
      </c>
    </row>
    <row r="937" spans="1:12">
      <c r="A937" t="s">
        <v>204</v>
      </c>
      <c r="B937">
        <v>107</v>
      </c>
      <c r="C937">
        <v>108</v>
      </c>
      <c r="D937">
        <v>96</v>
      </c>
      <c r="E937">
        <v>116</v>
      </c>
      <c r="F937">
        <v>105</v>
      </c>
      <c r="G937">
        <v>5</v>
      </c>
      <c r="H937">
        <v>3</v>
      </c>
      <c r="I937" t="s">
        <v>225</v>
      </c>
      <c r="J937" t="s">
        <v>225</v>
      </c>
      <c r="K937" t="s">
        <v>225</v>
      </c>
      <c r="L937" t="s">
        <v>225</v>
      </c>
    </row>
    <row r="938" spans="1:12">
      <c r="A938" t="s">
        <v>205</v>
      </c>
      <c r="B938">
        <v>1</v>
      </c>
      <c r="C938">
        <v>1</v>
      </c>
      <c r="D938">
        <v>5</v>
      </c>
      <c r="E938">
        <v>13</v>
      </c>
      <c r="F938">
        <v>15</v>
      </c>
      <c r="G938" t="s">
        <v>225</v>
      </c>
      <c r="H938" t="s">
        <v>225</v>
      </c>
      <c r="I938" t="s">
        <v>225</v>
      </c>
      <c r="J938" t="s">
        <v>225</v>
      </c>
      <c r="K938" t="s">
        <v>225</v>
      </c>
      <c r="L938" t="s">
        <v>225</v>
      </c>
    </row>
    <row r="939" spans="1:12">
      <c r="A939" t="s">
        <v>206</v>
      </c>
      <c r="B939">
        <v>55</v>
      </c>
      <c r="C939">
        <v>57</v>
      </c>
      <c r="D939">
        <v>57</v>
      </c>
      <c r="E939">
        <v>59</v>
      </c>
      <c r="F939">
        <v>50</v>
      </c>
      <c r="G939" t="s">
        <v>225</v>
      </c>
      <c r="H939" t="s">
        <v>225</v>
      </c>
      <c r="I939" t="s">
        <v>225</v>
      </c>
      <c r="J939" t="s">
        <v>225</v>
      </c>
      <c r="K939" t="s">
        <v>225</v>
      </c>
      <c r="L939" t="s">
        <v>225</v>
      </c>
    </row>
    <row r="940" spans="1:12">
      <c r="A940" t="s">
        <v>208</v>
      </c>
      <c r="B940">
        <v>58</v>
      </c>
      <c r="C940">
        <v>57</v>
      </c>
      <c r="D940">
        <v>63</v>
      </c>
      <c r="E940">
        <v>56</v>
      </c>
      <c r="F940">
        <v>66</v>
      </c>
      <c r="G940" t="s">
        <v>225</v>
      </c>
      <c r="H940" t="s">
        <v>225</v>
      </c>
      <c r="I940" t="s">
        <v>225</v>
      </c>
      <c r="J940" t="s">
        <v>225</v>
      </c>
      <c r="K940" t="s">
        <v>225</v>
      </c>
      <c r="L940" t="s">
        <v>225</v>
      </c>
    </row>
    <row r="941" spans="1:12">
      <c r="A941" t="s">
        <v>209</v>
      </c>
      <c r="B941">
        <v>91</v>
      </c>
      <c r="C941">
        <v>89</v>
      </c>
      <c r="D941">
        <v>77</v>
      </c>
      <c r="E941">
        <v>86</v>
      </c>
      <c r="F941">
        <v>93</v>
      </c>
      <c r="G941">
        <v>2</v>
      </c>
      <c r="H941" t="s">
        <v>225</v>
      </c>
      <c r="I941" t="s">
        <v>225</v>
      </c>
      <c r="J941" t="s">
        <v>225</v>
      </c>
      <c r="K941" t="s">
        <v>225</v>
      </c>
      <c r="L941" t="s">
        <v>225</v>
      </c>
    </row>
    <row r="942" spans="1:12">
      <c r="A942" t="s">
        <v>210</v>
      </c>
      <c r="B942">
        <v>185</v>
      </c>
      <c r="C942">
        <v>186</v>
      </c>
      <c r="D942">
        <v>216</v>
      </c>
      <c r="E942">
        <v>327</v>
      </c>
      <c r="F942">
        <v>324</v>
      </c>
      <c r="G942">
        <v>2</v>
      </c>
      <c r="H942">
        <v>2</v>
      </c>
      <c r="I942">
        <v>2</v>
      </c>
      <c r="J942">
        <v>2</v>
      </c>
      <c r="K942">
        <v>2</v>
      </c>
      <c r="L942">
        <v>2</v>
      </c>
    </row>
    <row r="943" spans="1:12">
      <c r="A943" t="s">
        <v>146</v>
      </c>
      <c r="B943">
        <v>19</v>
      </c>
      <c r="C943">
        <v>18</v>
      </c>
      <c r="D943">
        <v>24</v>
      </c>
      <c r="E943">
        <v>32</v>
      </c>
      <c r="F943">
        <v>28</v>
      </c>
      <c r="G943">
        <v>3</v>
      </c>
      <c r="H943">
        <v>2</v>
      </c>
      <c r="I943">
        <v>2</v>
      </c>
      <c r="J943">
        <v>2</v>
      </c>
      <c r="K943">
        <v>2</v>
      </c>
      <c r="L943">
        <v>2</v>
      </c>
    </row>
    <row r="944" spans="1:12">
      <c r="A944" t="s">
        <v>148</v>
      </c>
      <c r="B944">
        <v>54</v>
      </c>
      <c r="C944">
        <v>56</v>
      </c>
      <c r="D944">
        <v>50</v>
      </c>
      <c r="E944">
        <v>56</v>
      </c>
      <c r="F944">
        <v>41</v>
      </c>
      <c r="G944" t="s">
        <v>225</v>
      </c>
      <c r="H944" t="s">
        <v>225</v>
      </c>
      <c r="I944" t="s">
        <v>225</v>
      </c>
      <c r="J944" t="s">
        <v>225</v>
      </c>
      <c r="K944" t="s">
        <v>225</v>
      </c>
      <c r="L944" t="s">
        <v>225</v>
      </c>
    </row>
    <row r="945" spans="1:12">
      <c r="A945" t="s">
        <v>149</v>
      </c>
      <c r="B945">
        <v>83</v>
      </c>
      <c r="C945">
        <v>78</v>
      </c>
      <c r="D945">
        <v>78</v>
      </c>
      <c r="E945">
        <v>80</v>
      </c>
      <c r="F945">
        <v>87</v>
      </c>
      <c r="G945" t="s">
        <v>225</v>
      </c>
      <c r="H945" t="s">
        <v>225</v>
      </c>
      <c r="I945" t="s">
        <v>225</v>
      </c>
      <c r="J945" t="s">
        <v>225</v>
      </c>
      <c r="K945" t="s">
        <v>225</v>
      </c>
      <c r="L945" t="s">
        <v>225</v>
      </c>
    </row>
    <row r="946" spans="1:12">
      <c r="A946" t="s">
        <v>151</v>
      </c>
      <c r="B946">
        <v>55</v>
      </c>
      <c r="C946">
        <v>49</v>
      </c>
      <c r="D946">
        <v>22</v>
      </c>
      <c r="E946">
        <v>38</v>
      </c>
      <c r="F946">
        <v>26</v>
      </c>
      <c r="G946" t="s">
        <v>225</v>
      </c>
      <c r="H946" t="s">
        <v>225</v>
      </c>
      <c r="I946" t="s">
        <v>225</v>
      </c>
      <c r="J946" t="s">
        <v>225</v>
      </c>
      <c r="K946" t="s">
        <v>225</v>
      </c>
      <c r="L946" t="s">
        <v>225</v>
      </c>
    </row>
    <row r="947" spans="1:12">
      <c r="A947" t="s">
        <v>156</v>
      </c>
      <c r="B947">
        <v>50</v>
      </c>
      <c r="C947">
        <v>48</v>
      </c>
      <c r="D947">
        <v>59</v>
      </c>
      <c r="E947">
        <v>53</v>
      </c>
      <c r="F947">
        <v>55</v>
      </c>
      <c r="G947" t="s">
        <v>225</v>
      </c>
      <c r="H947" t="s">
        <v>225</v>
      </c>
      <c r="I947" t="s">
        <v>225</v>
      </c>
      <c r="J947" t="s">
        <v>225</v>
      </c>
      <c r="K947" t="s">
        <v>225</v>
      </c>
      <c r="L947" t="s">
        <v>225</v>
      </c>
    </row>
    <row r="948" spans="1:12">
      <c r="A948" t="s">
        <v>158</v>
      </c>
      <c r="B948">
        <v>15</v>
      </c>
      <c r="C948">
        <v>18</v>
      </c>
      <c r="D948">
        <v>16</v>
      </c>
      <c r="E948">
        <v>14</v>
      </c>
      <c r="F948">
        <v>11</v>
      </c>
      <c r="G948" t="s">
        <v>225</v>
      </c>
      <c r="H948" t="s">
        <v>225</v>
      </c>
      <c r="I948" t="s">
        <v>225</v>
      </c>
      <c r="J948" t="s">
        <v>225</v>
      </c>
      <c r="K948" t="s">
        <v>225</v>
      </c>
      <c r="L948" t="s">
        <v>225</v>
      </c>
    </row>
    <row r="949" spans="1:12">
      <c r="A949" t="s">
        <v>160</v>
      </c>
      <c r="B949">
        <v>48</v>
      </c>
      <c r="C949">
        <v>47</v>
      </c>
      <c r="D949">
        <v>45</v>
      </c>
      <c r="E949">
        <v>43</v>
      </c>
      <c r="F949">
        <v>42</v>
      </c>
      <c r="G949" t="s">
        <v>225</v>
      </c>
      <c r="H949" t="s">
        <v>225</v>
      </c>
      <c r="I949" t="s">
        <v>225</v>
      </c>
      <c r="J949" t="s">
        <v>225</v>
      </c>
      <c r="K949" t="s">
        <v>225</v>
      </c>
      <c r="L949" t="s">
        <v>225</v>
      </c>
    </row>
    <row r="950" spans="1:12">
      <c r="A950" t="s">
        <v>167</v>
      </c>
      <c r="B950">
        <v>67</v>
      </c>
      <c r="C950">
        <v>67</v>
      </c>
      <c r="D950">
        <v>77</v>
      </c>
      <c r="E950">
        <v>79</v>
      </c>
      <c r="F950">
        <v>78</v>
      </c>
      <c r="G950" t="s">
        <v>225</v>
      </c>
      <c r="H950" t="s">
        <v>225</v>
      </c>
      <c r="I950" t="s">
        <v>225</v>
      </c>
      <c r="J950" t="s">
        <v>225</v>
      </c>
      <c r="K950" t="s">
        <v>225</v>
      </c>
      <c r="L950" t="s">
        <v>225</v>
      </c>
    </row>
    <row r="951" spans="1:12">
      <c r="A951" t="s">
        <v>169</v>
      </c>
      <c r="B951">
        <v>93</v>
      </c>
      <c r="C951">
        <v>94</v>
      </c>
      <c r="D951">
        <v>94</v>
      </c>
      <c r="E951">
        <v>94</v>
      </c>
      <c r="F951">
        <v>94</v>
      </c>
      <c r="G951" t="s">
        <v>225</v>
      </c>
      <c r="H951" t="s">
        <v>225</v>
      </c>
      <c r="I951" t="s">
        <v>225</v>
      </c>
      <c r="J951" t="s">
        <v>225</v>
      </c>
      <c r="K951" t="s">
        <v>225</v>
      </c>
      <c r="L951" t="s">
        <v>225</v>
      </c>
    </row>
    <row r="952" spans="1:12">
      <c r="A952" t="s">
        <v>170</v>
      </c>
      <c r="B952">
        <v>48</v>
      </c>
      <c r="C952">
        <v>35</v>
      </c>
      <c r="D952">
        <v>37</v>
      </c>
      <c r="E952">
        <v>37</v>
      </c>
      <c r="F952">
        <v>30</v>
      </c>
      <c r="G952" t="s">
        <v>225</v>
      </c>
      <c r="H952" t="s">
        <v>225</v>
      </c>
      <c r="I952" t="s">
        <v>225</v>
      </c>
      <c r="J952" t="s">
        <v>225</v>
      </c>
      <c r="K952" t="s">
        <v>225</v>
      </c>
      <c r="L952" t="s">
        <v>225</v>
      </c>
    </row>
    <row r="953" spans="1:12">
      <c r="A953" t="s">
        <v>172</v>
      </c>
      <c r="B953">
        <v>24</v>
      </c>
      <c r="C953">
        <v>25</v>
      </c>
      <c r="D953">
        <v>25</v>
      </c>
      <c r="E953">
        <v>25</v>
      </c>
      <c r="F953">
        <v>28</v>
      </c>
      <c r="G953" t="s">
        <v>225</v>
      </c>
      <c r="H953" t="s">
        <v>225</v>
      </c>
      <c r="I953" t="s">
        <v>225</v>
      </c>
      <c r="J953" t="s">
        <v>225</v>
      </c>
      <c r="K953" t="s">
        <v>225</v>
      </c>
      <c r="L953" t="s">
        <v>225</v>
      </c>
    </row>
    <row r="954" spans="1:12">
      <c r="A954" t="s">
        <v>173</v>
      </c>
      <c r="B954">
        <v>15</v>
      </c>
      <c r="C954">
        <v>8</v>
      </c>
      <c r="D954">
        <v>6</v>
      </c>
      <c r="E954">
        <v>6</v>
      </c>
      <c r="F954">
        <v>8</v>
      </c>
      <c r="G954" t="s">
        <v>225</v>
      </c>
      <c r="H954" t="s">
        <v>225</v>
      </c>
      <c r="I954" t="s">
        <v>225</v>
      </c>
      <c r="J954" t="s">
        <v>225</v>
      </c>
      <c r="K954" t="s">
        <v>225</v>
      </c>
      <c r="L954" t="s">
        <v>225</v>
      </c>
    </row>
    <row r="955" spans="1:12">
      <c r="A955" t="s">
        <v>174</v>
      </c>
      <c r="B955">
        <v>34</v>
      </c>
      <c r="C955">
        <v>37</v>
      </c>
      <c r="D955">
        <v>37</v>
      </c>
      <c r="E955">
        <v>39</v>
      </c>
      <c r="F955">
        <v>39</v>
      </c>
      <c r="G955" t="s">
        <v>225</v>
      </c>
      <c r="H955" t="s">
        <v>225</v>
      </c>
      <c r="I955" t="s">
        <v>225</v>
      </c>
      <c r="J955" t="s">
        <v>225</v>
      </c>
      <c r="K955" t="s">
        <v>225</v>
      </c>
      <c r="L955" t="s">
        <v>225</v>
      </c>
    </row>
    <row r="956" spans="1:12">
      <c r="A956" t="s">
        <v>175</v>
      </c>
      <c r="B956">
        <v>3</v>
      </c>
      <c r="C956">
        <v>6</v>
      </c>
      <c r="D956">
        <v>13</v>
      </c>
      <c r="E956">
        <v>21</v>
      </c>
      <c r="F956">
        <v>19</v>
      </c>
      <c r="G956">
        <v>4</v>
      </c>
      <c r="H956">
        <v>2</v>
      </c>
      <c r="I956">
        <v>2</v>
      </c>
      <c r="J956">
        <v>2</v>
      </c>
      <c r="K956">
        <v>2</v>
      </c>
      <c r="L956">
        <v>2</v>
      </c>
    </row>
    <row r="957" spans="1:12">
      <c r="A957" t="s">
        <v>177</v>
      </c>
      <c r="B957">
        <v>76</v>
      </c>
      <c r="C957">
        <v>69</v>
      </c>
      <c r="D957">
        <v>76</v>
      </c>
      <c r="E957">
        <v>70</v>
      </c>
      <c r="F957">
        <v>75</v>
      </c>
      <c r="G957" t="s">
        <v>225</v>
      </c>
      <c r="H957" t="s">
        <v>225</v>
      </c>
      <c r="I957" t="s">
        <v>225</v>
      </c>
      <c r="J957" t="s">
        <v>225</v>
      </c>
      <c r="K957" t="s">
        <v>225</v>
      </c>
      <c r="L957" t="s">
        <v>225</v>
      </c>
    </row>
    <row r="958" spans="1:12">
      <c r="A958" t="s">
        <v>181</v>
      </c>
      <c r="B958">
        <v>39</v>
      </c>
      <c r="C958">
        <v>35</v>
      </c>
      <c r="D958">
        <v>52</v>
      </c>
      <c r="E958">
        <v>58</v>
      </c>
      <c r="F958">
        <v>58</v>
      </c>
      <c r="G958" t="s">
        <v>225</v>
      </c>
      <c r="H958" t="s">
        <v>225</v>
      </c>
      <c r="I958" t="s">
        <v>225</v>
      </c>
      <c r="J958" t="s">
        <v>225</v>
      </c>
      <c r="K958" t="s">
        <v>225</v>
      </c>
      <c r="L958" t="s">
        <v>225</v>
      </c>
    </row>
    <row r="959" spans="1:12">
      <c r="A959" t="s">
        <v>183</v>
      </c>
      <c r="B959">
        <v>24</v>
      </c>
      <c r="C959">
        <v>25</v>
      </c>
      <c r="D959">
        <v>22</v>
      </c>
      <c r="E959">
        <v>36</v>
      </c>
      <c r="F959">
        <v>27</v>
      </c>
      <c r="G959" t="s">
        <v>225</v>
      </c>
      <c r="H959" t="s">
        <v>225</v>
      </c>
      <c r="I959" t="s">
        <v>225</v>
      </c>
      <c r="J959" t="s">
        <v>225</v>
      </c>
      <c r="K959" t="s">
        <v>225</v>
      </c>
      <c r="L959" t="s">
        <v>225</v>
      </c>
    </row>
    <row r="960" spans="1:12">
      <c r="A960" t="s">
        <v>185</v>
      </c>
      <c r="B960">
        <v>5</v>
      </c>
      <c r="C960">
        <v>5</v>
      </c>
      <c r="D960">
        <v>7</v>
      </c>
      <c r="E960">
        <v>7</v>
      </c>
      <c r="F960">
        <v>8</v>
      </c>
      <c r="G960" t="s">
        <v>225</v>
      </c>
      <c r="H960" t="s">
        <v>225</v>
      </c>
      <c r="I960" t="s">
        <v>225</v>
      </c>
      <c r="J960" t="s">
        <v>225</v>
      </c>
      <c r="K960" t="s">
        <v>225</v>
      </c>
      <c r="L960" t="s">
        <v>225</v>
      </c>
    </row>
    <row r="961" spans="1:12">
      <c r="A961" t="s">
        <v>186</v>
      </c>
      <c r="B961">
        <v>55</v>
      </c>
      <c r="C961">
        <v>51</v>
      </c>
      <c r="D961">
        <v>59</v>
      </c>
      <c r="E961">
        <v>56</v>
      </c>
      <c r="F961">
        <v>40</v>
      </c>
      <c r="G961" t="s">
        <v>225</v>
      </c>
      <c r="H961" t="s">
        <v>225</v>
      </c>
      <c r="I961" t="s">
        <v>225</v>
      </c>
      <c r="J961" t="s">
        <v>225</v>
      </c>
      <c r="K961" t="s">
        <v>225</v>
      </c>
      <c r="L961" t="s">
        <v>225</v>
      </c>
    </row>
    <row r="962" spans="1:12">
      <c r="A962" t="s">
        <v>187</v>
      </c>
      <c r="B962">
        <v>5</v>
      </c>
      <c r="C962">
        <v>4</v>
      </c>
      <c r="D962">
        <v>4</v>
      </c>
      <c r="E962">
        <v>4</v>
      </c>
      <c r="F962">
        <v>4</v>
      </c>
      <c r="G962" t="s">
        <v>225</v>
      </c>
      <c r="H962" t="s">
        <v>225</v>
      </c>
      <c r="I962" t="s">
        <v>225</v>
      </c>
      <c r="J962" t="s">
        <v>225</v>
      </c>
      <c r="K962" t="s">
        <v>225</v>
      </c>
      <c r="L962" t="s">
        <v>225</v>
      </c>
    </row>
    <row r="963" spans="1:12">
      <c r="A963" t="s">
        <v>189</v>
      </c>
      <c r="B963">
        <v>32</v>
      </c>
      <c r="C963">
        <v>32</v>
      </c>
      <c r="D963">
        <v>34</v>
      </c>
      <c r="E963">
        <v>34</v>
      </c>
      <c r="F963">
        <v>32</v>
      </c>
      <c r="G963" t="s">
        <v>225</v>
      </c>
      <c r="H963" t="s">
        <v>225</v>
      </c>
      <c r="I963" t="s">
        <v>225</v>
      </c>
      <c r="J963" t="s">
        <v>225</v>
      </c>
      <c r="K963" t="s">
        <v>225</v>
      </c>
      <c r="L963" t="s">
        <v>225</v>
      </c>
    </row>
    <row r="964" spans="1:12">
      <c r="A964" t="s">
        <v>192</v>
      </c>
      <c r="B964">
        <v>14</v>
      </c>
      <c r="C964">
        <v>18</v>
      </c>
      <c r="D964">
        <v>16</v>
      </c>
      <c r="E964">
        <v>16</v>
      </c>
      <c r="F964">
        <v>17</v>
      </c>
      <c r="G964" t="s">
        <v>225</v>
      </c>
      <c r="H964" t="s">
        <v>225</v>
      </c>
      <c r="I964" t="s">
        <v>225</v>
      </c>
      <c r="J964" t="s">
        <v>225</v>
      </c>
      <c r="K964" t="s">
        <v>225</v>
      </c>
      <c r="L964" t="s">
        <v>225</v>
      </c>
    </row>
    <row r="965" spans="1:12">
      <c r="A965" t="s">
        <v>194</v>
      </c>
      <c r="B965">
        <v>23</v>
      </c>
      <c r="C965">
        <v>23</v>
      </c>
      <c r="D965">
        <v>31</v>
      </c>
      <c r="E965">
        <v>37</v>
      </c>
      <c r="F965">
        <v>40</v>
      </c>
      <c r="G965">
        <v>3</v>
      </c>
      <c r="H965">
        <v>3</v>
      </c>
      <c r="I965">
        <v>3</v>
      </c>
      <c r="J965">
        <v>3</v>
      </c>
      <c r="K965">
        <v>3</v>
      </c>
      <c r="L965">
        <v>3</v>
      </c>
    </row>
    <row r="966" spans="1:12">
      <c r="A966" t="s">
        <v>200</v>
      </c>
      <c r="B966">
        <v>44</v>
      </c>
      <c r="C966">
        <v>43</v>
      </c>
      <c r="D966">
        <v>43</v>
      </c>
      <c r="E966">
        <v>45</v>
      </c>
      <c r="F966">
        <v>47</v>
      </c>
      <c r="G966" t="s">
        <v>225</v>
      </c>
      <c r="H966" t="s">
        <v>225</v>
      </c>
      <c r="I966" t="s">
        <v>225</v>
      </c>
      <c r="J966" t="s">
        <v>225</v>
      </c>
      <c r="K966" t="s">
        <v>225</v>
      </c>
      <c r="L966" t="s">
        <v>225</v>
      </c>
    </row>
    <row r="967" spans="1:12">
      <c r="A967" t="s">
        <v>203</v>
      </c>
      <c r="B967">
        <v>18</v>
      </c>
      <c r="C967">
        <v>18</v>
      </c>
      <c r="D967">
        <v>18</v>
      </c>
      <c r="E967">
        <v>22</v>
      </c>
      <c r="F967">
        <v>17</v>
      </c>
      <c r="G967" t="s">
        <v>225</v>
      </c>
      <c r="H967" t="s">
        <v>225</v>
      </c>
      <c r="I967" t="s">
        <v>225</v>
      </c>
      <c r="J967" t="s">
        <v>225</v>
      </c>
      <c r="K967" t="s">
        <v>225</v>
      </c>
      <c r="L967" t="s">
        <v>225</v>
      </c>
    </row>
    <row r="968" spans="1:12">
      <c r="A968" t="s">
        <v>207</v>
      </c>
      <c r="B968">
        <v>2</v>
      </c>
      <c r="C968">
        <v>1</v>
      </c>
      <c r="D968">
        <v>1</v>
      </c>
      <c r="E968">
        <v>1</v>
      </c>
      <c r="F968" t="s">
        <v>225</v>
      </c>
      <c r="G968" t="s">
        <v>225</v>
      </c>
      <c r="H968" t="s">
        <v>225</v>
      </c>
      <c r="I968" t="s">
        <v>225</v>
      </c>
      <c r="J968" t="s">
        <v>225</v>
      </c>
      <c r="K968" t="s">
        <v>225</v>
      </c>
      <c r="L968" t="s">
        <v>225</v>
      </c>
    </row>
    <row r="969" spans="1:12">
      <c r="A969" t="s">
        <v>208</v>
      </c>
      <c r="B969">
        <v>58</v>
      </c>
      <c r="C969">
        <v>57</v>
      </c>
      <c r="D969">
        <v>63</v>
      </c>
      <c r="E969">
        <v>56</v>
      </c>
      <c r="F969">
        <v>66</v>
      </c>
      <c r="G969" t="s">
        <v>225</v>
      </c>
      <c r="H969" t="s">
        <v>225</v>
      </c>
      <c r="I969" t="s">
        <v>225</v>
      </c>
      <c r="J969" t="s">
        <v>225</v>
      </c>
      <c r="K969" t="s">
        <v>225</v>
      </c>
      <c r="L969" t="s">
        <v>225</v>
      </c>
    </row>
    <row r="970" spans="1:12">
      <c r="A970" t="s">
        <v>211</v>
      </c>
      <c r="B970">
        <v>1003</v>
      </c>
      <c r="C970">
        <v>967</v>
      </c>
      <c r="D970">
        <v>1009</v>
      </c>
      <c r="E970">
        <v>1059</v>
      </c>
      <c r="F970">
        <v>1017</v>
      </c>
      <c r="G970">
        <v>10</v>
      </c>
      <c r="H970">
        <v>7</v>
      </c>
      <c r="I970">
        <v>7</v>
      </c>
      <c r="J970">
        <v>7</v>
      </c>
      <c r="K970">
        <v>7</v>
      </c>
      <c r="L970">
        <v>7</v>
      </c>
    </row>
    <row r="971" spans="1:12">
      <c r="A971" t="s">
        <v>215</v>
      </c>
    </row>
    <row r="972" spans="1:12">
      <c r="A972" t="s">
        <v>216</v>
      </c>
    </row>
    <row r="973" spans="1:12">
      <c r="A973" t="s">
        <v>217</v>
      </c>
    </row>
    <row r="974" spans="1:12">
      <c r="A974" t="s">
        <v>218</v>
      </c>
    </row>
    <row r="975" spans="1:12">
      <c r="A975" t="s">
        <v>219</v>
      </c>
    </row>
    <row r="976" spans="1:12">
      <c r="A976" t="s">
        <v>220</v>
      </c>
    </row>
    <row r="977" spans="1:1">
      <c r="A977" t="s">
        <v>221</v>
      </c>
    </row>
    <row r="978" spans="1:1">
      <c r="A978" t="s">
        <v>222</v>
      </c>
    </row>
    <row r="979" spans="1:1">
      <c r="A979" t="s">
        <v>219</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E03B5-6677-0542-96E6-F3449FBC776A}">
  <dimension ref="A1:L258"/>
  <sheetViews>
    <sheetView topLeftCell="A178" workbookViewId="0">
      <selection activeCell="A222" sqref="A222:XFD232"/>
    </sheetView>
  </sheetViews>
  <sheetFormatPr baseColWidth="10" defaultColWidth="11.5" defaultRowHeight="15"/>
  <cols>
    <col min="1" max="1" width="28.6640625" bestFit="1" customWidth="1"/>
    <col min="2" max="2" width="5.1640625" bestFit="1" customWidth="1"/>
    <col min="3" max="3" width="9.6640625" bestFit="1" customWidth="1"/>
  </cols>
  <sheetData>
    <row r="1" spans="1:3">
      <c r="A1" t="s">
        <v>223</v>
      </c>
      <c r="B1" t="s">
        <v>0</v>
      </c>
      <c r="C1" t="s">
        <v>238</v>
      </c>
    </row>
    <row r="2" spans="1:3">
      <c r="A2" t="s">
        <v>147</v>
      </c>
      <c r="B2">
        <v>2015</v>
      </c>
      <c r="C2">
        <v>6</v>
      </c>
    </row>
    <row r="3" spans="1:3">
      <c r="A3" t="s">
        <v>147</v>
      </c>
      <c r="B3">
        <v>2016</v>
      </c>
      <c r="C3">
        <v>8</v>
      </c>
    </row>
    <row r="4" spans="1:3">
      <c r="A4" t="s">
        <v>147</v>
      </c>
      <c r="B4">
        <v>2017</v>
      </c>
      <c r="C4">
        <v>8</v>
      </c>
    </row>
    <row r="5" spans="1:3">
      <c r="A5" t="s">
        <v>147</v>
      </c>
      <c r="B5">
        <v>2018</v>
      </c>
      <c r="C5" t="s">
        <v>225</v>
      </c>
    </row>
    <row r="6" spans="1:3">
      <c r="A6" t="s">
        <v>147</v>
      </c>
      <c r="B6">
        <v>2019</v>
      </c>
      <c r="C6" t="s">
        <v>225</v>
      </c>
    </row>
    <row r="7" spans="1:3">
      <c r="A7" t="s">
        <v>147</v>
      </c>
      <c r="B7">
        <v>2020</v>
      </c>
      <c r="C7" t="s">
        <v>225</v>
      </c>
    </row>
    <row r="8" spans="1:3">
      <c r="A8" t="s">
        <v>147</v>
      </c>
      <c r="B8">
        <v>2021</v>
      </c>
      <c r="C8" t="s">
        <v>225</v>
      </c>
    </row>
    <row r="9" spans="1:3">
      <c r="A9" t="s">
        <v>147</v>
      </c>
      <c r="B9">
        <v>2022</v>
      </c>
      <c r="C9" t="s">
        <v>225</v>
      </c>
    </row>
    <row r="10" spans="1:3">
      <c r="A10" t="s">
        <v>147</v>
      </c>
      <c r="B10">
        <v>2023</v>
      </c>
      <c r="C10" t="s">
        <v>225</v>
      </c>
    </row>
    <row r="11" spans="1:3">
      <c r="A11" t="s">
        <v>147</v>
      </c>
      <c r="B11">
        <v>2024</v>
      </c>
      <c r="C11" t="s">
        <v>225</v>
      </c>
    </row>
    <row r="12" spans="1:3">
      <c r="A12" t="s">
        <v>147</v>
      </c>
      <c r="B12">
        <v>2025</v>
      </c>
      <c r="C12" t="s">
        <v>225</v>
      </c>
    </row>
    <row r="13" spans="1:3">
      <c r="A13" t="s">
        <v>153</v>
      </c>
      <c r="B13">
        <v>2015</v>
      </c>
      <c r="C13" t="s">
        <v>225</v>
      </c>
    </row>
    <row r="14" spans="1:3">
      <c r="A14" t="s">
        <v>153</v>
      </c>
      <c r="B14">
        <v>2016</v>
      </c>
      <c r="C14" t="s">
        <v>225</v>
      </c>
    </row>
    <row r="15" spans="1:3">
      <c r="A15" t="s">
        <v>153</v>
      </c>
      <c r="B15">
        <v>2017</v>
      </c>
      <c r="C15">
        <v>1</v>
      </c>
    </row>
    <row r="16" spans="1:3">
      <c r="A16" t="s">
        <v>153</v>
      </c>
      <c r="B16">
        <v>2018</v>
      </c>
      <c r="C16" t="s">
        <v>225</v>
      </c>
    </row>
    <row r="17" spans="1:3">
      <c r="A17" t="s">
        <v>153</v>
      </c>
      <c r="B17">
        <v>2019</v>
      </c>
      <c r="C17" t="s">
        <v>225</v>
      </c>
    </row>
    <row r="18" spans="1:3">
      <c r="A18" t="s">
        <v>153</v>
      </c>
      <c r="B18">
        <v>2020</v>
      </c>
      <c r="C18" t="s">
        <v>225</v>
      </c>
    </row>
    <row r="19" spans="1:3">
      <c r="A19" t="s">
        <v>153</v>
      </c>
      <c r="B19">
        <v>2021</v>
      </c>
      <c r="C19" t="s">
        <v>225</v>
      </c>
    </row>
    <row r="20" spans="1:3">
      <c r="A20" t="s">
        <v>153</v>
      </c>
      <c r="B20">
        <v>2022</v>
      </c>
      <c r="C20" t="s">
        <v>225</v>
      </c>
    </row>
    <row r="21" spans="1:3">
      <c r="A21" t="s">
        <v>153</v>
      </c>
      <c r="B21">
        <v>2023</v>
      </c>
      <c r="C21" t="s">
        <v>225</v>
      </c>
    </row>
    <row r="22" spans="1:3">
      <c r="A22" t="s">
        <v>153</v>
      </c>
      <c r="B22">
        <v>2024</v>
      </c>
      <c r="C22" t="s">
        <v>225</v>
      </c>
    </row>
    <row r="23" spans="1:3">
      <c r="A23" t="s">
        <v>153</v>
      </c>
      <c r="B23">
        <v>2025</v>
      </c>
      <c r="C23" t="s">
        <v>225</v>
      </c>
    </row>
    <row r="24" spans="1:3">
      <c r="A24" t="s">
        <v>165</v>
      </c>
      <c r="B24">
        <v>2015</v>
      </c>
      <c r="C24">
        <v>4</v>
      </c>
    </row>
    <row r="25" spans="1:3">
      <c r="A25" t="s">
        <v>165</v>
      </c>
      <c r="B25">
        <v>2016</v>
      </c>
      <c r="C25">
        <v>4</v>
      </c>
    </row>
    <row r="26" spans="1:3">
      <c r="A26" t="s">
        <v>165</v>
      </c>
      <c r="B26">
        <v>2017</v>
      </c>
      <c r="C26">
        <v>4</v>
      </c>
    </row>
    <row r="27" spans="1:3">
      <c r="A27" t="s">
        <v>165</v>
      </c>
      <c r="B27">
        <v>2018</v>
      </c>
      <c r="C27">
        <v>4</v>
      </c>
    </row>
    <row r="28" spans="1:3">
      <c r="A28" t="s">
        <v>165</v>
      </c>
      <c r="B28">
        <v>2019</v>
      </c>
      <c r="C28">
        <v>4</v>
      </c>
    </row>
    <row r="29" spans="1:3">
      <c r="A29" t="s">
        <v>165</v>
      </c>
      <c r="B29">
        <v>2020</v>
      </c>
      <c r="C29" t="s">
        <v>225</v>
      </c>
    </row>
    <row r="30" spans="1:3">
      <c r="A30" t="s">
        <v>165</v>
      </c>
      <c r="B30">
        <v>2021</v>
      </c>
      <c r="C30" t="s">
        <v>225</v>
      </c>
    </row>
    <row r="31" spans="1:3">
      <c r="A31" t="s">
        <v>165</v>
      </c>
      <c r="B31">
        <v>2022</v>
      </c>
      <c r="C31" t="s">
        <v>225</v>
      </c>
    </row>
    <row r="32" spans="1:3">
      <c r="A32" t="s">
        <v>165</v>
      </c>
      <c r="B32">
        <v>2023</v>
      </c>
      <c r="C32" t="s">
        <v>225</v>
      </c>
    </row>
    <row r="33" spans="1:3">
      <c r="A33" t="s">
        <v>165</v>
      </c>
      <c r="B33">
        <v>2024</v>
      </c>
      <c r="C33" t="s">
        <v>225</v>
      </c>
    </row>
    <row r="34" spans="1:3">
      <c r="A34" t="s">
        <v>165</v>
      </c>
      <c r="B34">
        <v>2025</v>
      </c>
      <c r="C34" t="s">
        <v>225</v>
      </c>
    </row>
    <row r="35" spans="1:3">
      <c r="A35" t="s">
        <v>171</v>
      </c>
      <c r="B35">
        <v>2015</v>
      </c>
      <c r="C35" t="s">
        <v>225</v>
      </c>
    </row>
    <row r="36" spans="1:3">
      <c r="A36" t="s">
        <v>171</v>
      </c>
      <c r="B36">
        <v>2016</v>
      </c>
      <c r="C36" t="s">
        <v>225</v>
      </c>
    </row>
    <row r="37" spans="1:3">
      <c r="A37" t="s">
        <v>171</v>
      </c>
      <c r="B37">
        <v>2017</v>
      </c>
      <c r="C37" t="s">
        <v>225</v>
      </c>
    </row>
    <row r="38" spans="1:3">
      <c r="A38" t="s">
        <v>171</v>
      </c>
      <c r="B38">
        <v>2018</v>
      </c>
      <c r="C38">
        <v>3</v>
      </c>
    </row>
    <row r="39" spans="1:3">
      <c r="A39" t="s">
        <v>171</v>
      </c>
      <c r="B39">
        <v>2019</v>
      </c>
      <c r="C39" t="s">
        <v>225</v>
      </c>
    </row>
    <row r="40" spans="1:3">
      <c r="A40" t="s">
        <v>171</v>
      </c>
      <c r="B40">
        <v>2020</v>
      </c>
      <c r="C40" t="s">
        <v>225</v>
      </c>
    </row>
    <row r="41" spans="1:3">
      <c r="A41" t="s">
        <v>171</v>
      </c>
      <c r="B41">
        <v>2021</v>
      </c>
      <c r="C41" t="s">
        <v>225</v>
      </c>
    </row>
    <row r="42" spans="1:3">
      <c r="A42" t="s">
        <v>171</v>
      </c>
      <c r="B42">
        <v>2022</v>
      </c>
      <c r="C42" t="s">
        <v>225</v>
      </c>
    </row>
    <row r="43" spans="1:3">
      <c r="A43" t="s">
        <v>171</v>
      </c>
      <c r="B43">
        <v>2023</v>
      </c>
      <c r="C43" t="s">
        <v>225</v>
      </c>
    </row>
    <row r="44" spans="1:3">
      <c r="A44" t="s">
        <v>171</v>
      </c>
      <c r="B44">
        <v>2024</v>
      </c>
      <c r="C44" t="s">
        <v>225</v>
      </c>
    </row>
    <row r="45" spans="1:3">
      <c r="A45" t="s">
        <v>171</v>
      </c>
      <c r="B45">
        <v>2025</v>
      </c>
      <c r="C45" t="s">
        <v>225</v>
      </c>
    </row>
    <row r="46" spans="1:3">
      <c r="A46" t="s">
        <v>172</v>
      </c>
      <c r="B46">
        <v>2015</v>
      </c>
      <c r="C46" t="s">
        <v>225</v>
      </c>
    </row>
    <row r="47" spans="1:3">
      <c r="A47" t="s">
        <v>172</v>
      </c>
      <c r="B47">
        <v>2016</v>
      </c>
      <c r="C47" t="s">
        <v>225</v>
      </c>
    </row>
    <row r="48" spans="1:3">
      <c r="A48" t="s">
        <v>172</v>
      </c>
      <c r="B48">
        <v>2017</v>
      </c>
      <c r="C48" t="s">
        <v>225</v>
      </c>
    </row>
    <row r="49" spans="1:3">
      <c r="A49" t="s">
        <v>172</v>
      </c>
      <c r="B49">
        <v>2018</v>
      </c>
      <c r="C49">
        <v>14</v>
      </c>
    </row>
    <row r="50" spans="1:3">
      <c r="A50" t="s">
        <v>172</v>
      </c>
      <c r="B50">
        <v>2019</v>
      </c>
      <c r="C50">
        <v>15</v>
      </c>
    </row>
    <row r="51" spans="1:3">
      <c r="A51" t="s">
        <v>172</v>
      </c>
      <c r="B51">
        <v>2020</v>
      </c>
      <c r="C51" t="s">
        <v>225</v>
      </c>
    </row>
    <row r="52" spans="1:3">
      <c r="A52" t="s">
        <v>172</v>
      </c>
      <c r="B52">
        <v>2021</v>
      </c>
      <c r="C52" t="s">
        <v>225</v>
      </c>
    </row>
    <row r="53" spans="1:3">
      <c r="A53" t="s">
        <v>172</v>
      </c>
      <c r="B53">
        <v>2022</v>
      </c>
      <c r="C53" t="s">
        <v>225</v>
      </c>
    </row>
    <row r="54" spans="1:3">
      <c r="A54" t="s">
        <v>172</v>
      </c>
      <c r="B54">
        <v>2023</v>
      </c>
      <c r="C54" t="s">
        <v>225</v>
      </c>
    </row>
    <row r="55" spans="1:3">
      <c r="A55" t="s">
        <v>172</v>
      </c>
      <c r="B55">
        <v>2024</v>
      </c>
      <c r="C55" t="s">
        <v>225</v>
      </c>
    </row>
    <row r="56" spans="1:3">
      <c r="A56" t="s">
        <v>172</v>
      </c>
      <c r="B56">
        <v>2025</v>
      </c>
      <c r="C56" t="s">
        <v>225</v>
      </c>
    </row>
    <row r="57" spans="1:3">
      <c r="A57" t="s">
        <v>179</v>
      </c>
      <c r="B57">
        <v>2015</v>
      </c>
      <c r="C57">
        <v>35</v>
      </c>
    </row>
    <row r="58" spans="1:3">
      <c r="A58" t="s">
        <v>179</v>
      </c>
      <c r="B58">
        <v>2016</v>
      </c>
      <c r="C58">
        <v>28</v>
      </c>
    </row>
    <row r="59" spans="1:3">
      <c r="A59" t="s">
        <v>179</v>
      </c>
      <c r="B59">
        <v>2017</v>
      </c>
      <c r="C59">
        <v>20</v>
      </c>
    </row>
    <row r="60" spans="1:3">
      <c r="A60" t="s">
        <v>179</v>
      </c>
      <c r="B60">
        <v>2018</v>
      </c>
      <c r="C60">
        <v>19</v>
      </c>
    </row>
    <row r="61" spans="1:3">
      <c r="A61" t="s">
        <v>179</v>
      </c>
      <c r="B61">
        <v>2019</v>
      </c>
      <c r="C61">
        <v>18</v>
      </c>
    </row>
    <row r="62" spans="1:3">
      <c r="A62" t="s">
        <v>179</v>
      </c>
      <c r="B62">
        <v>2020</v>
      </c>
      <c r="C62">
        <v>7</v>
      </c>
    </row>
    <row r="63" spans="1:3">
      <c r="A63" t="s">
        <v>179</v>
      </c>
      <c r="B63">
        <v>2021</v>
      </c>
      <c r="C63">
        <v>7</v>
      </c>
    </row>
    <row r="64" spans="1:3">
      <c r="A64" t="s">
        <v>179</v>
      </c>
      <c r="B64">
        <v>2022</v>
      </c>
      <c r="C64">
        <v>6</v>
      </c>
    </row>
    <row r="65" spans="1:3">
      <c r="A65" t="s">
        <v>179</v>
      </c>
      <c r="B65">
        <v>2023</v>
      </c>
      <c r="C65">
        <v>6</v>
      </c>
    </row>
    <row r="66" spans="1:3">
      <c r="A66" t="s">
        <v>179</v>
      </c>
      <c r="B66">
        <v>2024</v>
      </c>
      <c r="C66">
        <v>6</v>
      </c>
    </row>
    <row r="67" spans="1:3">
      <c r="A67" t="s">
        <v>179</v>
      </c>
      <c r="B67">
        <v>2025</v>
      </c>
      <c r="C67">
        <v>6</v>
      </c>
    </row>
    <row r="68" spans="1:3">
      <c r="A68" t="s">
        <v>182</v>
      </c>
      <c r="B68">
        <v>2015</v>
      </c>
      <c r="C68">
        <v>3</v>
      </c>
    </row>
    <row r="69" spans="1:3">
      <c r="A69" t="s">
        <v>182</v>
      </c>
      <c r="B69">
        <v>2016</v>
      </c>
      <c r="C69">
        <v>2</v>
      </c>
    </row>
    <row r="70" spans="1:3">
      <c r="A70" t="s">
        <v>182</v>
      </c>
      <c r="B70">
        <v>2017</v>
      </c>
      <c r="C70">
        <v>3</v>
      </c>
    </row>
    <row r="71" spans="1:3">
      <c r="A71" t="s">
        <v>182</v>
      </c>
      <c r="B71">
        <v>2018</v>
      </c>
      <c r="C71">
        <v>3</v>
      </c>
    </row>
    <row r="72" spans="1:3">
      <c r="A72" t="s">
        <v>182</v>
      </c>
      <c r="B72">
        <v>2019</v>
      </c>
      <c r="C72">
        <v>3</v>
      </c>
    </row>
    <row r="73" spans="1:3">
      <c r="A73" t="s">
        <v>182</v>
      </c>
      <c r="B73">
        <v>2020</v>
      </c>
      <c r="C73">
        <v>3</v>
      </c>
    </row>
    <row r="74" spans="1:3">
      <c r="A74" t="s">
        <v>182</v>
      </c>
      <c r="B74">
        <v>2021</v>
      </c>
      <c r="C74">
        <v>3</v>
      </c>
    </row>
    <row r="75" spans="1:3">
      <c r="A75" t="s">
        <v>182</v>
      </c>
      <c r="B75">
        <v>2022</v>
      </c>
      <c r="C75">
        <v>3</v>
      </c>
    </row>
    <row r="76" spans="1:3">
      <c r="A76" t="s">
        <v>182</v>
      </c>
      <c r="B76">
        <v>2023</v>
      </c>
      <c r="C76">
        <v>3</v>
      </c>
    </row>
    <row r="77" spans="1:3">
      <c r="A77" t="s">
        <v>182</v>
      </c>
      <c r="B77">
        <v>2024</v>
      </c>
      <c r="C77">
        <v>3</v>
      </c>
    </row>
    <row r="78" spans="1:3">
      <c r="A78" t="s">
        <v>182</v>
      </c>
      <c r="B78">
        <v>2025</v>
      </c>
      <c r="C78">
        <v>3</v>
      </c>
    </row>
    <row r="79" spans="1:3">
      <c r="A79" t="s">
        <v>186</v>
      </c>
      <c r="B79">
        <v>2015</v>
      </c>
      <c r="C79">
        <v>2</v>
      </c>
    </row>
    <row r="80" spans="1:3">
      <c r="A80" t="s">
        <v>186</v>
      </c>
      <c r="B80">
        <v>2016</v>
      </c>
      <c r="C80">
        <v>3</v>
      </c>
    </row>
    <row r="81" spans="1:3">
      <c r="A81" t="s">
        <v>186</v>
      </c>
      <c r="B81">
        <v>2017</v>
      </c>
      <c r="C81">
        <v>3</v>
      </c>
    </row>
    <row r="82" spans="1:3">
      <c r="A82" t="s">
        <v>186</v>
      </c>
      <c r="B82">
        <v>2018</v>
      </c>
      <c r="C82">
        <v>3</v>
      </c>
    </row>
    <row r="83" spans="1:3">
      <c r="A83" t="s">
        <v>186</v>
      </c>
      <c r="B83">
        <v>2019</v>
      </c>
      <c r="C83">
        <v>5</v>
      </c>
    </row>
    <row r="84" spans="1:3">
      <c r="A84" t="s">
        <v>186</v>
      </c>
      <c r="B84">
        <v>2020</v>
      </c>
      <c r="C84" t="s">
        <v>225</v>
      </c>
    </row>
    <row r="85" spans="1:3">
      <c r="A85" t="s">
        <v>186</v>
      </c>
      <c r="B85">
        <v>2021</v>
      </c>
      <c r="C85" t="s">
        <v>225</v>
      </c>
    </row>
    <row r="86" spans="1:3">
      <c r="A86" t="s">
        <v>186</v>
      </c>
      <c r="B86">
        <v>2022</v>
      </c>
      <c r="C86" t="s">
        <v>225</v>
      </c>
    </row>
    <row r="87" spans="1:3">
      <c r="A87" t="s">
        <v>186</v>
      </c>
      <c r="B87">
        <v>2023</v>
      </c>
      <c r="C87" t="s">
        <v>225</v>
      </c>
    </row>
    <row r="88" spans="1:3">
      <c r="A88" t="s">
        <v>186</v>
      </c>
      <c r="B88">
        <v>2024</v>
      </c>
      <c r="C88" t="s">
        <v>225</v>
      </c>
    </row>
    <row r="89" spans="1:3">
      <c r="A89" t="s">
        <v>186</v>
      </c>
      <c r="B89">
        <v>2025</v>
      </c>
      <c r="C89" t="s">
        <v>225</v>
      </c>
    </row>
    <row r="90" spans="1:3">
      <c r="A90" t="s">
        <v>188</v>
      </c>
      <c r="B90">
        <v>2015</v>
      </c>
      <c r="C90">
        <v>7</v>
      </c>
    </row>
    <row r="91" spans="1:3">
      <c r="A91" t="s">
        <v>188</v>
      </c>
      <c r="B91">
        <v>2016</v>
      </c>
      <c r="C91">
        <v>7</v>
      </c>
    </row>
    <row r="92" spans="1:3">
      <c r="A92" t="s">
        <v>188</v>
      </c>
      <c r="B92">
        <v>2017</v>
      </c>
      <c r="C92">
        <v>7</v>
      </c>
    </row>
    <row r="93" spans="1:3">
      <c r="A93" t="s">
        <v>188</v>
      </c>
      <c r="B93">
        <v>2018</v>
      </c>
      <c r="C93">
        <v>7</v>
      </c>
    </row>
    <row r="94" spans="1:3">
      <c r="A94" t="s">
        <v>188</v>
      </c>
      <c r="B94">
        <v>2019</v>
      </c>
      <c r="C94">
        <v>7</v>
      </c>
    </row>
    <row r="95" spans="1:3">
      <c r="A95" t="s">
        <v>188</v>
      </c>
      <c r="B95">
        <v>2020</v>
      </c>
      <c r="C95">
        <v>7</v>
      </c>
    </row>
    <row r="96" spans="1:3">
      <c r="A96" t="s">
        <v>188</v>
      </c>
      <c r="B96">
        <v>2021</v>
      </c>
      <c r="C96">
        <v>7</v>
      </c>
    </row>
    <row r="97" spans="1:3">
      <c r="A97" t="s">
        <v>188</v>
      </c>
      <c r="B97">
        <v>2022</v>
      </c>
      <c r="C97" t="s">
        <v>225</v>
      </c>
    </row>
    <row r="98" spans="1:3">
      <c r="A98" t="s">
        <v>188</v>
      </c>
      <c r="B98">
        <v>2023</v>
      </c>
      <c r="C98" t="s">
        <v>225</v>
      </c>
    </row>
    <row r="99" spans="1:3">
      <c r="A99" t="s">
        <v>188</v>
      </c>
      <c r="B99">
        <v>2024</v>
      </c>
      <c r="C99" t="s">
        <v>225</v>
      </c>
    </row>
    <row r="100" spans="1:3">
      <c r="A100" t="s">
        <v>188</v>
      </c>
      <c r="B100">
        <v>2025</v>
      </c>
      <c r="C100" t="s">
        <v>225</v>
      </c>
    </row>
    <row r="101" spans="1:3">
      <c r="A101" t="s">
        <v>190</v>
      </c>
      <c r="B101">
        <v>2015</v>
      </c>
      <c r="C101">
        <v>1</v>
      </c>
    </row>
    <row r="102" spans="1:3">
      <c r="A102" t="s">
        <v>190</v>
      </c>
      <c r="B102">
        <v>2016</v>
      </c>
      <c r="C102">
        <v>1</v>
      </c>
    </row>
    <row r="103" spans="1:3">
      <c r="A103" t="s">
        <v>190</v>
      </c>
      <c r="B103">
        <v>2017</v>
      </c>
      <c r="C103">
        <v>1</v>
      </c>
    </row>
    <row r="104" spans="1:3">
      <c r="A104" t="s">
        <v>190</v>
      </c>
      <c r="B104">
        <v>2018</v>
      </c>
      <c r="C104">
        <v>1</v>
      </c>
    </row>
    <row r="105" spans="1:3">
      <c r="A105" t="s">
        <v>190</v>
      </c>
      <c r="B105">
        <v>2019</v>
      </c>
      <c r="C105">
        <v>3</v>
      </c>
    </row>
    <row r="106" spans="1:3">
      <c r="A106" t="s">
        <v>190</v>
      </c>
      <c r="B106">
        <v>2020</v>
      </c>
      <c r="C106">
        <v>3</v>
      </c>
    </row>
    <row r="107" spans="1:3">
      <c r="A107" t="s">
        <v>190</v>
      </c>
      <c r="B107">
        <v>2021</v>
      </c>
      <c r="C107">
        <v>3</v>
      </c>
    </row>
    <row r="108" spans="1:3">
      <c r="A108" t="s">
        <v>190</v>
      </c>
      <c r="B108">
        <v>2022</v>
      </c>
      <c r="C108">
        <v>3</v>
      </c>
    </row>
    <row r="109" spans="1:3">
      <c r="A109" t="s">
        <v>190</v>
      </c>
      <c r="B109">
        <v>2023</v>
      </c>
      <c r="C109">
        <v>3</v>
      </c>
    </row>
    <row r="110" spans="1:3">
      <c r="A110" t="s">
        <v>190</v>
      </c>
      <c r="B110">
        <v>2024</v>
      </c>
      <c r="C110">
        <v>3</v>
      </c>
    </row>
    <row r="111" spans="1:3">
      <c r="A111" t="s">
        <v>190</v>
      </c>
      <c r="B111">
        <v>2025</v>
      </c>
      <c r="C111">
        <v>3</v>
      </c>
    </row>
    <row r="112" spans="1:3">
      <c r="A112" t="s">
        <v>192</v>
      </c>
      <c r="B112">
        <v>2015</v>
      </c>
      <c r="C112" t="s">
        <v>225</v>
      </c>
    </row>
    <row r="113" spans="1:3">
      <c r="A113" t="s">
        <v>192</v>
      </c>
      <c r="B113">
        <v>2016</v>
      </c>
      <c r="C113" t="s">
        <v>225</v>
      </c>
    </row>
    <row r="114" spans="1:3">
      <c r="A114" t="s">
        <v>192</v>
      </c>
      <c r="B114">
        <v>2017</v>
      </c>
      <c r="C114" t="s">
        <v>225</v>
      </c>
    </row>
    <row r="115" spans="1:3">
      <c r="A115" t="s">
        <v>192</v>
      </c>
      <c r="B115">
        <v>2018</v>
      </c>
      <c r="C115">
        <v>4</v>
      </c>
    </row>
    <row r="116" spans="1:3">
      <c r="A116" t="s">
        <v>192</v>
      </c>
      <c r="B116">
        <v>2019</v>
      </c>
      <c r="C116">
        <v>6</v>
      </c>
    </row>
    <row r="117" spans="1:3">
      <c r="A117" t="s">
        <v>192</v>
      </c>
      <c r="B117">
        <v>2020</v>
      </c>
      <c r="C117">
        <v>2</v>
      </c>
    </row>
    <row r="118" spans="1:3">
      <c r="A118" t="s">
        <v>192</v>
      </c>
      <c r="B118">
        <v>2021</v>
      </c>
      <c r="C118">
        <v>2</v>
      </c>
    </row>
    <row r="119" spans="1:3">
      <c r="A119" t="s">
        <v>192</v>
      </c>
      <c r="B119">
        <v>2022</v>
      </c>
      <c r="C119">
        <v>2</v>
      </c>
    </row>
    <row r="120" spans="1:3">
      <c r="A120" t="s">
        <v>192</v>
      </c>
      <c r="B120">
        <v>2023</v>
      </c>
      <c r="C120">
        <v>2</v>
      </c>
    </row>
    <row r="121" spans="1:3">
      <c r="A121" t="s">
        <v>192</v>
      </c>
      <c r="B121">
        <v>2024</v>
      </c>
      <c r="C121">
        <v>2</v>
      </c>
    </row>
    <row r="122" spans="1:3">
      <c r="A122" t="s">
        <v>192</v>
      </c>
      <c r="B122">
        <v>2025</v>
      </c>
      <c r="C122">
        <v>2</v>
      </c>
    </row>
    <row r="123" spans="1:3">
      <c r="A123" t="s">
        <v>193</v>
      </c>
      <c r="B123">
        <v>2015</v>
      </c>
      <c r="C123">
        <v>3</v>
      </c>
    </row>
    <row r="124" spans="1:3">
      <c r="A124" t="s">
        <v>193</v>
      </c>
      <c r="B124">
        <v>2016</v>
      </c>
      <c r="C124">
        <v>3</v>
      </c>
    </row>
    <row r="125" spans="1:3">
      <c r="A125" t="s">
        <v>193</v>
      </c>
      <c r="B125">
        <v>2017</v>
      </c>
      <c r="C125">
        <v>3</v>
      </c>
    </row>
    <row r="126" spans="1:3">
      <c r="A126" t="s">
        <v>193</v>
      </c>
      <c r="B126">
        <v>2018</v>
      </c>
      <c r="C126">
        <v>2</v>
      </c>
    </row>
    <row r="127" spans="1:3">
      <c r="A127" t="s">
        <v>193</v>
      </c>
      <c r="B127">
        <v>2019</v>
      </c>
      <c r="C127">
        <v>2</v>
      </c>
    </row>
    <row r="128" spans="1:3">
      <c r="A128" t="s">
        <v>193</v>
      </c>
      <c r="B128">
        <v>2020</v>
      </c>
      <c r="C128" t="s">
        <v>225</v>
      </c>
    </row>
    <row r="129" spans="1:3">
      <c r="A129" t="s">
        <v>193</v>
      </c>
      <c r="B129">
        <v>2021</v>
      </c>
      <c r="C129" t="s">
        <v>225</v>
      </c>
    </row>
    <row r="130" spans="1:3">
      <c r="A130" t="s">
        <v>193</v>
      </c>
      <c r="B130">
        <v>2022</v>
      </c>
      <c r="C130" t="s">
        <v>225</v>
      </c>
    </row>
    <row r="131" spans="1:3">
      <c r="A131" t="s">
        <v>193</v>
      </c>
      <c r="B131">
        <v>2023</v>
      </c>
      <c r="C131" t="s">
        <v>225</v>
      </c>
    </row>
    <row r="132" spans="1:3">
      <c r="A132" t="s">
        <v>193</v>
      </c>
      <c r="B132">
        <v>2024</v>
      </c>
      <c r="C132" t="s">
        <v>225</v>
      </c>
    </row>
    <row r="133" spans="1:3">
      <c r="A133" t="s">
        <v>193</v>
      </c>
      <c r="B133">
        <v>2025</v>
      </c>
      <c r="C133" t="s">
        <v>225</v>
      </c>
    </row>
    <row r="134" spans="1:3">
      <c r="A134" t="s">
        <v>195</v>
      </c>
      <c r="B134">
        <v>2015</v>
      </c>
      <c r="C134">
        <v>2</v>
      </c>
    </row>
    <row r="135" spans="1:3">
      <c r="A135" t="s">
        <v>195</v>
      </c>
      <c r="B135">
        <v>2016</v>
      </c>
      <c r="C135">
        <v>2</v>
      </c>
    </row>
    <row r="136" spans="1:3">
      <c r="A136" t="s">
        <v>195</v>
      </c>
      <c r="B136">
        <v>2017</v>
      </c>
      <c r="C136">
        <v>2</v>
      </c>
    </row>
    <row r="137" spans="1:3">
      <c r="A137" t="s">
        <v>195</v>
      </c>
      <c r="B137">
        <v>2018</v>
      </c>
      <c r="C137">
        <v>2</v>
      </c>
    </row>
    <row r="138" spans="1:3">
      <c r="A138" t="s">
        <v>195</v>
      </c>
      <c r="B138">
        <v>2019</v>
      </c>
      <c r="C138">
        <v>2</v>
      </c>
    </row>
    <row r="139" spans="1:3">
      <c r="A139" t="s">
        <v>195</v>
      </c>
      <c r="B139">
        <v>2020</v>
      </c>
      <c r="C139">
        <v>2</v>
      </c>
    </row>
    <row r="140" spans="1:3">
      <c r="A140" t="s">
        <v>195</v>
      </c>
      <c r="B140">
        <v>2021</v>
      </c>
      <c r="C140">
        <v>2</v>
      </c>
    </row>
    <row r="141" spans="1:3">
      <c r="A141" t="s">
        <v>195</v>
      </c>
      <c r="B141">
        <v>2022</v>
      </c>
      <c r="C141">
        <v>2</v>
      </c>
    </row>
    <row r="142" spans="1:3">
      <c r="A142" t="s">
        <v>195</v>
      </c>
      <c r="B142">
        <v>2023</v>
      </c>
      <c r="C142">
        <v>2</v>
      </c>
    </row>
    <row r="143" spans="1:3">
      <c r="A143" t="s">
        <v>195</v>
      </c>
      <c r="B143">
        <v>2024</v>
      </c>
      <c r="C143">
        <v>2</v>
      </c>
    </row>
    <row r="144" spans="1:3">
      <c r="A144" t="s">
        <v>195</v>
      </c>
      <c r="B144">
        <v>2025</v>
      </c>
      <c r="C144">
        <v>2</v>
      </c>
    </row>
    <row r="145" spans="1:3">
      <c r="A145" t="s">
        <v>196</v>
      </c>
      <c r="B145">
        <v>2015</v>
      </c>
      <c r="C145">
        <v>42</v>
      </c>
    </row>
    <row r="146" spans="1:3">
      <c r="A146" t="s">
        <v>196</v>
      </c>
      <c r="B146">
        <v>2016</v>
      </c>
      <c r="C146">
        <v>42</v>
      </c>
    </row>
    <row r="147" spans="1:3">
      <c r="A147" t="s">
        <v>196</v>
      </c>
      <c r="B147">
        <v>2017</v>
      </c>
      <c r="C147">
        <v>41</v>
      </c>
    </row>
    <row r="148" spans="1:3">
      <c r="A148" t="s">
        <v>196</v>
      </c>
      <c r="B148">
        <v>2018</v>
      </c>
      <c r="C148">
        <v>39</v>
      </c>
    </row>
    <row r="149" spans="1:3">
      <c r="A149" t="s">
        <v>196</v>
      </c>
      <c r="B149">
        <v>2019</v>
      </c>
      <c r="C149">
        <v>38</v>
      </c>
    </row>
    <row r="150" spans="1:3">
      <c r="A150" t="s">
        <v>196</v>
      </c>
      <c r="B150">
        <v>2020</v>
      </c>
      <c r="C150">
        <v>8</v>
      </c>
    </row>
    <row r="151" spans="1:3">
      <c r="A151" t="s">
        <v>196</v>
      </c>
      <c r="B151">
        <v>2021</v>
      </c>
      <c r="C151">
        <v>8</v>
      </c>
    </row>
    <row r="152" spans="1:3">
      <c r="A152" t="s">
        <v>196</v>
      </c>
      <c r="B152">
        <v>2022</v>
      </c>
      <c r="C152">
        <v>5</v>
      </c>
    </row>
    <row r="153" spans="1:3">
      <c r="A153" t="s">
        <v>196</v>
      </c>
      <c r="B153">
        <v>2023</v>
      </c>
      <c r="C153">
        <v>5</v>
      </c>
    </row>
    <row r="154" spans="1:3">
      <c r="A154" t="s">
        <v>196</v>
      </c>
      <c r="B154">
        <v>2024</v>
      </c>
      <c r="C154">
        <v>5</v>
      </c>
    </row>
    <row r="155" spans="1:3">
      <c r="A155" t="s">
        <v>196</v>
      </c>
      <c r="B155">
        <v>2025</v>
      </c>
      <c r="C155">
        <v>5</v>
      </c>
    </row>
    <row r="156" spans="1:3">
      <c r="A156" t="s">
        <v>198</v>
      </c>
      <c r="B156">
        <v>2015</v>
      </c>
      <c r="C156">
        <v>5</v>
      </c>
    </row>
    <row r="157" spans="1:3">
      <c r="A157" t="s">
        <v>198</v>
      </c>
      <c r="B157">
        <v>2016</v>
      </c>
      <c r="C157">
        <v>7</v>
      </c>
    </row>
    <row r="158" spans="1:3">
      <c r="A158" t="s">
        <v>198</v>
      </c>
      <c r="B158">
        <v>2017</v>
      </c>
      <c r="C158">
        <v>7</v>
      </c>
    </row>
    <row r="159" spans="1:3">
      <c r="A159" t="s">
        <v>198</v>
      </c>
      <c r="B159">
        <v>2018</v>
      </c>
      <c r="C159">
        <v>7</v>
      </c>
    </row>
    <row r="160" spans="1:3">
      <c r="A160" t="s">
        <v>198</v>
      </c>
      <c r="B160">
        <v>2019</v>
      </c>
      <c r="C160">
        <v>7</v>
      </c>
    </row>
    <row r="161" spans="1:3">
      <c r="A161" t="s">
        <v>198</v>
      </c>
      <c r="B161">
        <v>2020</v>
      </c>
      <c r="C161" t="s">
        <v>225</v>
      </c>
    </row>
    <row r="162" spans="1:3">
      <c r="A162" t="s">
        <v>198</v>
      </c>
      <c r="B162">
        <v>2021</v>
      </c>
      <c r="C162" t="s">
        <v>225</v>
      </c>
    </row>
    <row r="163" spans="1:3">
      <c r="A163" t="s">
        <v>198</v>
      </c>
      <c r="B163">
        <v>2022</v>
      </c>
      <c r="C163" t="s">
        <v>225</v>
      </c>
    </row>
    <row r="164" spans="1:3">
      <c r="A164" t="s">
        <v>198</v>
      </c>
      <c r="B164">
        <v>2023</v>
      </c>
      <c r="C164" t="s">
        <v>225</v>
      </c>
    </row>
    <row r="165" spans="1:3">
      <c r="A165" t="s">
        <v>198</v>
      </c>
      <c r="B165">
        <v>2024</v>
      </c>
      <c r="C165" t="s">
        <v>225</v>
      </c>
    </row>
    <row r="166" spans="1:3">
      <c r="A166" t="s">
        <v>198</v>
      </c>
      <c r="B166">
        <v>2025</v>
      </c>
      <c r="C166" t="s">
        <v>225</v>
      </c>
    </row>
    <row r="167" spans="1:3">
      <c r="A167" t="s">
        <v>202</v>
      </c>
      <c r="B167">
        <v>2015</v>
      </c>
      <c r="C167">
        <v>1</v>
      </c>
    </row>
    <row r="168" spans="1:3">
      <c r="A168" t="s">
        <v>202</v>
      </c>
      <c r="B168">
        <v>2016</v>
      </c>
      <c r="C168">
        <v>2</v>
      </c>
    </row>
    <row r="169" spans="1:3">
      <c r="A169" t="s">
        <v>202</v>
      </c>
      <c r="B169">
        <v>2017</v>
      </c>
      <c r="C169">
        <v>2</v>
      </c>
    </row>
    <row r="170" spans="1:3">
      <c r="A170" t="s">
        <v>202</v>
      </c>
      <c r="B170">
        <v>2018</v>
      </c>
      <c r="C170">
        <v>1</v>
      </c>
    </row>
    <row r="171" spans="1:3">
      <c r="A171" t="s">
        <v>202</v>
      </c>
      <c r="B171">
        <v>2019</v>
      </c>
      <c r="C171">
        <v>1</v>
      </c>
    </row>
    <row r="172" spans="1:3">
      <c r="A172" t="s">
        <v>202</v>
      </c>
      <c r="B172">
        <v>2020</v>
      </c>
      <c r="C172">
        <v>1</v>
      </c>
    </row>
    <row r="173" spans="1:3">
      <c r="A173" t="s">
        <v>202</v>
      </c>
      <c r="B173">
        <v>2021</v>
      </c>
      <c r="C173">
        <v>1</v>
      </c>
    </row>
    <row r="174" spans="1:3">
      <c r="A174" t="s">
        <v>202</v>
      </c>
      <c r="B174">
        <v>2022</v>
      </c>
      <c r="C174">
        <v>1</v>
      </c>
    </row>
    <row r="175" spans="1:3">
      <c r="A175" t="s">
        <v>202</v>
      </c>
      <c r="B175">
        <v>2023</v>
      </c>
      <c r="C175">
        <v>1</v>
      </c>
    </row>
    <row r="176" spans="1:3">
      <c r="A176" t="s">
        <v>202</v>
      </c>
      <c r="B176">
        <v>2024</v>
      </c>
      <c r="C176">
        <v>1</v>
      </c>
    </row>
    <row r="177" spans="1:3">
      <c r="A177" t="s">
        <v>202</v>
      </c>
      <c r="B177">
        <v>2025</v>
      </c>
      <c r="C177">
        <v>1</v>
      </c>
    </row>
    <row r="178" spans="1:3">
      <c r="A178" t="s">
        <v>203</v>
      </c>
      <c r="B178">
        <v>2015</v>
      </c>
      <c r="C178" t="s">
        <v>225</v>
      </c>
    </row>
    <row r="179" spans="1:3">
      <c r="A179" t="s">
        <v>203</v>
      </c>
      <c r="B179">
        <v>2016</v>
      </c>
      <c r="C179">
        <v>1</v>
      </c>
    </row>
    <row r="180" spans="1:3">
      <c r="A180" t="s">
        <v>203</v>
      </c>
      <c r="B180">
        <v>2017</v>
      </c>
      <c r="C180" t="s">
        <v>225</v>
      </c>
    </row>
    <row r="181" spans="1:3">
      <c r="A181" t="s">
        <v>203</v>
      </c>
      <c r="B181">
        <v>2018</v>
      </c>
      <c r="C181" t="s">
        <v>225</v>
      </c>
    </row>
    <row r="182" spans="1:3">
      <c r="A182" t="s">
        <v>203</v>
      </c>
      <c r="B182">
        <v>2019</v>
      </c>
      <c r="C182" t="s">
        <v>225</v>
      </c>
    </row>
    <row r="183" spans="1:3">
      <c r="A183" t="s">
        <v>203</v>
      </c>
      <c r="B183">
        <v>2020</v>
      </c>
      <c r="C183" t="s">
        <v>225</v>
      </c>
    </row>
    <row r="184" spans="1:3">
      <c r="A184" t="s">
        <v>203</v>
      </c>
      <c r="B184">
        <v>2021</v>
      </c>
      <c r="C184" t="s">
        <v>225</v>
      </c>
    </row>
    <row r="185" spans="1:3">
      <c r="A185" t="s">
        <v>203</v>
      </c>
      <c r="B185">
        <v>2022</v>
      </c>
      <c r="C185" t="s">
        <v>225</v>
      </c>
    </row>
    <row r="186" spans="1:3">
      <c r="A186" t="s">
        <v>203</v>
      </c>
      <c r="B186">
        <v>2023</v>
      </c>
      <c r="C186" t="s">
        <v>225</v>
      </c>
    </row>
    <row r="187" spans="1:3">
      <c r="A187" t="s">
        <v>203</v>
      </c>
      <c r="B187">
        <v>2024</v>
      </c>
      <c r="C187" t="s">
        <v>225</v>
      </c>
    </row>
    <row r="188" spans="1:3">
      <c r="A188" t="s">
        <v>203</v>
      </c>
      <c r="B188">
        <v>2025</v>
      </c>
      <c r="C188" t="s">
        <v>225</v>
      </c>
    </row>
    <row r="189" spans="1:3">
      <c r="A189" t="s">
        <v>204</v>
      </c>
      <c r="B189">
        <v>2015</v>
      </c>
      <c r="C189">
        <v>4</v>
      </c>
    </row>
    <row r="190" spans="1:3">
      <c r="A190" t="s">
        <v>204</v>
      </c>
      <c r="B190">
        <v>2016</v>
      </c>
      <c r="C190">
        <v>3</v>
      </c>
    </row>
    <row r="191" spans="1:3">
      <c r="A191" t="s">
        <v>204</v>
      </c>
      <c r="B191">
        <v>2017</v>
      </c>
      <c r="C191">
        <v>6</v>
      </c>
    </row>
    <row r="192" spans="1:3">
      <c r="A192" t="s">
        <v>204</v>
      </c>
      <c r="B192">
        <v>2018</v>
      </c>
      <c r="C192">
        <v>10</v>
      </c>
    </row>
    <row r="193" spans="1:3">
      <c r="A193" t="s">
        <v>204</v>
      </c>
      <c r="B193">
        <v>2019</v>
      </c>
      <c r="C193">
        <v>10</v>
      </c>
    </row>
    <row r="194" spans="1:3">
      <c r="A194" t="s">
        <v>204</v>
      </c>
      <c r="B194">
        <v>2020</v>
      </c>
      <c r="C194">
        <v>10</v>
      </c>
    </row>
    <row r="195" spans="1:3">
      <c r="A195" t="s">
        <v>204</v>
      </c>
      <c r="B195">
        <v>2021</v>
      </c>
      <c r="C195">
        <v>10</v>
      </c>
    </row>
    <row r="196" spans="1:3">
      <c r="A196" t="s">
        <v>204</v>
      </c>
      <c r="B196">
        <v>2022</v>
      </c>
      <c r="C196" t="s">
        <v>225</v>
      </c>
    </row>
    <row r="197" spans="1:3">
      <c r="A197" t="s">
        <v>204</v>
      </c>
      <c r="B197">
        <v>2023</v>
      </c>
      <c r="C197" t="s">
        <v>225</v>
      </c>
    </row>
    <row r="198" spans="1:3">
      <c r="A198" t="s">
        <v>204</v>
      </c>
      <c r="B198">
        <v>2024</v>
      </c>
      <c r="C198" t="s">
        <v>225</v>
      </c>
    </row>
    <row r="199" spans="1:3">
      <c r="A199" t="s">
        <v>204</v>
      </c>
      <c r="B199">
        <v>2025</v>
      </c>
      <c r="C199" t="s">
        <v>225</v>
      </c>
    </row>
    <row r="200" spans="1:3">
      <c r="A200" t="s">
        <v>209</v>
      </c>
      <c r="B200">
        <v>2015</v>
      </c>
      <c r="C200" t="s">
        <v>225</v>
      </c>
    </row>
    <row r="201" spans="1:3">
      <c r="A201" t="s">
        <v>209</v>
      </c>
      <c r="B201">
        <v>2016</v>
      </c>
      <c r="C201" t="s">
        <v>225</v>
      </c>
    </row>
    <row r="202" spans="1:3">
      <c r="A202" t="s">
        <v>209</v>
      </c>
      <c r="B202">
        <v>2017</v>
      </c>
      <c r="C202" t="s">
        <v>225</v>
      </c>
    </row>
    <row r="203" spans="1:3">
      <c r="A203" t="s">
        <v>209</v>
      </c>
      <c r="B203">
        <v>2018</v>
      </c>
      <c r="C203" t="s">
        <v>225</v>
      </c>
    </row>
    <row r="204" spans="1:3">
      <c r="A204" t="s">
        <v>209</v>
      </c>
      <c r="B204">
        <v>2019</v>
      </c>
      <c r="C204">
        <v>1</v>
      </c>
    </row>
    <row r="205" spans="1:3">
      <c r="A205" t="s">
        <v>209</v>
      </c>
      <c r="B205">
        <v>2020</v>
      </c>
      <c r="C205">
        <v>1</v>
      </c>
    </row>
    <row r="206" spans="1:3">
      <c r="A206" t="s">
        <v>209</v>
      </c>
      <c r="B206">
        <v>2021</v>
      </c>
      <c r="C206">
        <v>1</v>
      </c>
    </row>
    <row r="207" spans="1:3">
      <c r="A207" t="s">
        <v>209</v>
      </c>
      <c r="B207">
        <v>2022</v>
      </c>
      <c r="C207">
        <v>1</v>
      </c>
    </row>
    <row r="208" spans="1:3">
      <c r="A208" t="s">
        <v>209</v>
      </c>
      <c r="B208">
        <v>2023</v>
      </c>
      <c r="C208">
        <v>1</v>
      </c>
    </row>
    <row r="209" spans="1:3">
      <c r="A209" t="s">
        <v>209</v>
      </c>
      <c r="B209">
        <v>2024</v>
      </c>
      <c r="C209">
        <v>1</v>
      </c>
    </row>
    <row r="210" spans="1:3">
      <c r="A210" t="s">
        <v>209</v>
      </c>
      <c r="B210">
        <v>2025</v>
      </c>
      <c r="C210">
        <v>1</v>
      </c>
    </row>
    <row r="211" spans="1:3">
      <c r="A211" t="s">
        <v>210</v>
      </c>
      <c r="B211">
        <v>2015</v>
      </c>
      <c r="C211">
        <v>4</v>
      </c>
    </row>
    <row r="212" spans="1:3">
      <c r="A212" t="s">
        <v>210</v>
      </c>
      <c r="B212">
        <v>2016</v>
      </c>
      <c r="C212">
        <v>3</v>
      </c>
    </row>
    <row r="213" spans="1:3">
      <c r="A213" t="s">
        <v>210</v>
      </c>
      <c r="B213">
        <v>2017</v>
      </c>
      <c r="C213">
        <v>1</v>
      </c>
    </row>
    <row r="214" spans="1:3">
      <c r="A214" t="s">
        <v>210</v>
      </c>
      <c r="B214">
        <v>2018</v>
      </c>
      <c r="C214">
        <v>1</v>
      </c>
    </row>
    <row r="215" spans="1:3">
      <c r="A215" t="s">
        <v>210</v>
      </c>
      <c r="B215">
        <v>2019</v>
      </c>
      <c r="C215">
        <v>1</v>
      </c>
    </row>
    <row r="216" spans="1:3">
      <c r="A216" t="s">
        <v>210</v>
      </c>
      <c r="B216">
        <v>2020</v>
      </c>
      <c r="C216" t="s">
        <v>225</v>
      </c>
    </row>
    <row r="217" spans="1:3">
      <c r="A217" t="s">
        <v>210</v>
      </c>
      <c r="B217">
        <v>2021</v>
      </c>
      <c r="C217" t="s">
        <v>225</v>
      </c>
    </row>
    <row r="218" spans="1:3">
      <c r="A218" t="s">
        <v>210</v>
      </c>
      <c r="B218">
        <v>2022</v>
      </c>
      <c r="C218" t="s">
        <v>225</v>
      </c>
    </row>
    <row r="219" spans="1:3">
      <c r="A219" t="s">
        <v>210</v>
      </c>
      <c r="B219">
        <v>2023</v>
      </c>
      <c r="C219" t="s">
        <v>225</v>
      </c>
    </row>
    <row r="220" spans="1:3">
      <c r="A220" t="s">
        <v>210</v>
      </c>
      <c r="B220">
        <v>2024</v>
      </c>
      <c r="C220" t="s">
        <v>225</v>
      </c>
    </row>
    <row r="221" spans="1:3">
      <c r="A221" t="s">
        <v>210</v>
      </c>
      <c r="B221">
        <v>2025</v>
      </c>
      <c r="C221" t="s">
        <v>225</v>
      </c>
    </row>
    <row r="223" spans="1:3">
      <c r="A223" t="s">
        <v>234</v>
      </c>
    </row>
    <row r="224" spans="1:3">
      <c r="A224" t="s">
        <v>227</v>
      </c>
    </row>
    <row r="225" spans="1:12">
      <c r="A225" t="s">
        <v>239</v>
      </c>
    </row>
    <row r="226" spans="1:12">
      <c r="A226" t="s">
        <v>240</v>
      </c>
    </row>
    <row r="227" spans="1:12">
      <c r="A227" t="s">
        <v>133</v>
      </c>
    </row>
    <row r="228" spans="1:12">
      <c r="A228" t="s">
        <v>134</v>
      </c>
      <c r="B228" t="s">
        <v>135</v>
      </c>
      <c r="C228" t="s">
        <v>136</v>
      </c>
      <c r="D228" t="s">
        <v>137</v>
      </c>
      <c r="E228" t="s">
        <v>138</v>
      </c>
      <c r="F228" t="s">
        <v>139</v>
      </c>
      <c r="G228" t="s">
        <v>140</v>
      </c>
      <c r="H228" t="s">
        <v>141</v>
      </c>
      <c r="I228" t="s">
        <v>142</v>
      </c>
      <c r="J228" t="s">
        <v>143</v>
      </c>
      <c r="K228" t="s">
        <v>144</v>
      </c>
      <c r="L228" t="s">
        <v>145</v>
      </c>
    </row>
    <row r="229" spans="1:12">
      <c r="A229" t="s">
        <v>147</v>
      </c>
      <c r="B229">
        <v>6</v>
      </c>
      <c r="C229">
        <v>8</v>
      </c>
      <c r="D229">
        <v>8</v>
      </c>
      <c r="E229" t="s">
        <v>225</v>
      </c>
      <c r="F229" t="s">
        <v>225</v>
      </c>
      <c r="G229" t="s">
        <v>225</v>
      </c>
      <c r="H229" t="s">
        <v>225</v>
      </c>
      <c r="I229" t="s">
        <v>225</v>
      </c>
      <c r="J229" t="s">
        <v>225</v>
      </c>
      <c r="K229" t="s">
        <v>225</v>
      </c>
      <c r="L229" t="s">
        <v>225</v>
      </c>
    </row>
    <row r="230" spans="1:12">
      <c r="A230" t="s">
        <v>153</v>
      </c>
      <c r="B230" t="s">
        <v>225</v>
      </c>
      <c r="C230" t="s">
        <v>225</v>
      </c>
      <c r="D230">
        <v>1</v>
      </c>
      <c r="E230" t="s">
        <v>225</v>
      </c>
      <c r="F230" t="s">
        <v>225</v>
      </c>
      <c r="G230" t="s">
        <v>225</v>
      </c>
      <c r="H230" t="s">
        <v>225</v>
      </c>
      <c r="I230" t="s">
        <v>225</v>
      </c>
      <c r="J230" t="s">
        <v>225</v>
      </c>
      <c r="K230" t="s">
        <v>225</v>
      </c>
      <c r="L230" t="s">
        <v>225</v>
      </c>
    </row>
    <row r="231" spans="1:12">
      <c r="A231" t="s">
        <v>165</v>
      </c>
      <c r="B231">
        <v>4</v>
      </c>
      <c r="C231">
        <v>4</v>
      </c>
      <c r="D231">
        <v>4</v>
      </c>
      <c r="E231">
        <v>4</v>
      </c>
      <c r="F231">
        <v>4</v>
      </c>
      <c r="G231" t="s">
        <v>225</v>
      </c>
      <c r="H231" t="s">
        <v>225</v>
      </c>
      <c r="I231" t="s">
        <v>225</v>
      </c>
      <c r="J231" t="s">
        <v>225</v>
      </c>
      <c r="K231" t="s">
        <v>225</v>
      </c>
      <c r="L231" t="s">
        <v>225</v>
      </c>
    </row>
    <row r="232" spans="1:12">
      <c r="A232" t="s">
        <v>171</v>
      </c>
      <c r="B232" t="s">
        <v>225</v>
      </c>
      <c r="C232" t="s">
        <v>225</v>
      </c>
      <c r="D232" t="s">
        <v>225</v>
      </c>
      <c r="E232">
        <v>3</v>
      </c>
      <c r="F232" t="s">
        <v>225</v>
      </c>
      <c r="G232" t="s">
        <v>225</v>
      </c>
      <c r="H232" t="s">
        <v>225</v>
      </c>
      <c r="I232" t="s">
        <v>225</v>
      </c>
      <c r="J232" t="s">
        <v>225</v>
      </c>
      <c r="K232" t="s">
        <v>225</v>
      </c>
      <c r="L232" t="s">
        <v>225</v>
      </c>
    </row>
    <row r="233" spans="1:12">
      <c r="A233" t="s">
        <v>172</v>
      </c>
      <c r="B233" t="s">
        <v>225</v>
      </c>
      <c r="C233" t="s">
        <v>225</v>
      </c>
      <c r="D233" t="s">
        <v>225</v>
      </c>
      <c r="E233">
        <v>14</v>
      </c>
      <c r="F233">
        <v>15</v>
      </c>
      <c r="G233" t="s">
        <v>225</v>
      </c>
      <c r="H233" t="s">
        <v>225</v>
      </c>
      <c r="I233" t="s">
        <v>225</v>
      </c>
      <c r="J233" t="s">
        <v>225</v>
      </c>
      <c r="K233" t="s">
        <v>225</v>
      </c>
      <c r="L233" t="s">
        <v>225</v>
      </c>
    </row>
    <row r="234" spans="1:12">
      <c r="A234" t="s">
        <v>179</v>
      </c>
      <c r="B234">
        <v>35</v>
      </c>
      <c r="C234">
        <v>28</v>
      </c>
      <c r="D234">
        <v>20</v>
      </c>
      <c r="E234">
        <v>19</v>
      </c>
      <c r="F234">
        <v>18</v>
      </c>
      <c r="G234">
        <v>7</v>
      </c>
      <c r="H234">
        <v>7</v>
      </c>
      <c r="I234">
        <v>6</v>
      </c>
      <c r="J234">
        <v>6</v>
      </c>
      <c r="K234">
        <v>6</v>
      </c>
      <c r="L234">
        <v>6</v>
      </c>
    </row>
    <row r="235" spans="1:12">
      <c r="A235" t="s">
        <v>182</v>
      </c>
      <c r="B235">
        <v>3</v>
      </c>
      <c r="C235">
        <v>2</v>
      </c>
      <c r="D235">
        <v>3</v>
      </c>
      <c r="E235">
        <v>3</v>
      </c>
      <c r="F235">
        <v>3</v>
      </c>
      <c r="G235">
        <v>3</v>
      </c>
      <c r="H235">
        <v>3</v>
      </c>
      <c r="I235">
        <v>3</v>
      </c>
      <c r="J235">
        <v>3</v>
      </c>
      <c r="K235">
        <v>3</v>
      </c>
      <c r="L235">
        <v>3</v>
      </c>
    </row>
    <row r="236" spans="1:12">
      <c r="A236" t="s">
        <v>186</v>
      </c>
      <c r="B236">
        <v>2</v>
      </c>
      <c r="C236">
        <v>3</v>
      </c>
      <c r="D236">
        <v>3</v>
      </c>
      <c r="E236">
        <v>3</v>
      </c>
      <c r="F236">
        <v>5</v>
      </c>
      <c r="G236" t="s">
        <v>225</v>
      </c>
      <c r="H236" t="s">
        <v>225</v>
      </c>
      <c r="I236" t="s">
        <v>225</v>
      </c>
      <c r="J236" t="s">
        <v>225</v>
      </c>
      <c r="K236" t="s">
        <v>225</v>
      </c>
      <c r="L236" t="s">
        <v>225</v>
      </c>
    </row>
    <row r="237" spans="1:12">
      <c r="A237" t="s">
        <v>188</v>
      </c>
      <c r="B237">
        <v>7</v>
      </c>
      <c r="C237">
        <v>7</v>
      </c>
      <c r="D237">
        <v>7</v>
      </c>
      <c r="E237">
        <v>7</v>
      </c>
      <c r="F237">
        <v>7</v>
      </c>
      <c r="G237">
        <v>7</v>
      </c>
      <c r="H237">
        <v>7</v>
      </c>
      <c r="I237" t="s">
        <v>225</v>
      </c>
      <c r="J237" t="s">
        <v>225</v>
      </c>
      <c r="K237" t="s">
        <v>225</v>
      </c>
      <c r="L237" t="s">
        <v>225</v>
      </c>
    </row>
    <row r="238" spans="1:12">
      <c r="A238" t="s">
        <v>190</v>
      </c>
      <c r="B238">
        <v>1</v>
      </c>
      <c r="C238">
        <v>1</v>
      </c>
      <c r="D238">
        <v>1</v>
      </c>
      <c r="E238">
        <v>1</v>
      </c>
      <c r="F238">
        <v>3</v>
      </c>
      <c r="G238">
        <v>3</v>
      </c>
      <c r="H238">
        <v>3</v>
      </c>
      <c r="I238">
        <v>3</v>
      </c>
      <c r="J238">
        <v>3</v>
      </c>
      <c r="K238">
        <v>3</v>
      </c>
      <c r="L238">
        <v>3</v>
      </c>
    </row>
    <row r="239" spans="1:12">
      <c r="A239" t="s">
        <v>192</v>
      </c>
      <c r="B239" t="s">
        <v>225</v>
      </c>
      <c r="C239" t="s">
        <v>225</v>
      </c>
      <c r="D239" t="s">
        <v>225</v>
      </c>
      <c r="E239">
        <v>4</v>
      </c>
      <c r="F239">
        <v>6</v>
      </c>
      <c r="G239">
        <v>2</v>
      </c>
      <c r="H239">
        <v>2</v>
      </c>
      <c r="I239">
        <v>2</v>
      </c>
      <c r="J239">
        <v>2</v>
      </c>
      <c r="K239">
        <v>2</v>
      </c>
      <c r="L239">
        <v>2</v>
      </c>
    </row>
    <row r="240" spans="1:12">
      <c r="A240" t="s">
        <v>193</v>
      </c>
      <c r="B240">
        <v>3</v>
      </c>
      <c r="C240">
        <v>3</v>
      </c>
      <c r="D240">
        <v>3</v>
      </c>
      <c r="E240">
        <v>2</v>
      </c>
      <c r="F240">
        <v>2</v>
      </c>
      <c r="G240" t="s">
        <v>225</v>
      </c>
      <c r="H240" t="s">
        <v>225</v>
      </c>
      <c r="I240" t="s">
        <v>225</v>
      </c>
      <c r="J240" t="s">
        <v>225</v>
      </c>
      <c r="K240" t="s">
        <v>225</v>
      </c>
      <c r="L240" t="s">
        <v>225</v>
      </c>
    </row>
    <row r="241" spans="1:12">
      <c r="A241" t="s">
        <v>195</v>
      </c>
      <c r="B241">
        <v>2</v>
      </c>
      <c r="C241">
        <v>2</v>
      </c>
      <c r="D241">
        <v>2</v>
      </c>
      <c r="E241">
        <v>2</v>
      </c>
      <c r="F241">
        <v>2</v>
      </c>
      <c r="G241">
        <v>2</v>
      </c>
      <c r="H241">
        <v>2</v>
      </c>
      <c r="I241">
        <v>2</v>
      </c>
      <c r="J241">
        <v>2</v>
      </c>
      <c r="K241">
        <v>2</v>
      </c>
      <c r="L241">
        <v>2</v>
      </c>
    </row>
    <row r="242" spans="1:12">
      <c r="A242" t="s">
        <v>196</v>
      </c>
      <c r="B242">
        <v>42</v>
      </c>
      <c r="C242">
        <v>42</v>
      </c>
      <c r="D242">
        <v>41</v>
      </c>
      <c r="E242">
        <v>39</v>
      </c>
      <c r="F242">
        <v>38</v>
      </c>
      <c r="G242">
        <v>8</v>
      </c>
      <c r="H242">
        <v>8</v>
      </c>
      <c r="I242">
        <v>5</v>
      </c>
      <c r="J242">
        <v>5</v>
      </c>
      <c r="K242">
        <v>5</v>
      </c>
      <c r="L242">
        <v>5</v>
      </c>
    </row>
    <row r="243" spans="1:12">
      <c r="A243" t="s">
        <v>198</v>
      </c>
      <c r="B243">
        <v>5</v>
      </c>
      <c r="C243">
        <v>7</v>
      </c>
      <c r="D243">
        <v>7</v>
      </c>
      <c r="E243">
        <v>7</v>
      </c>
      <c r="F243">
        <v>7</v>
      </c>
      <c r="G243" t="s">
        <v>225</v>
      </c>
      <c r="H243" t="s">
        <v>225</v>
      </c>
      <c r="I243" t="s">
        <v>225</v>
      </c>
      <c r="J243" t="s">
        <v>225</v>
      </c>
      <c r="K243" t="s">
        <v>225</v>
      </c>
      <c r="L243" t="s">
        <v>225</v>
      </c>
    </row>
    <row r="244" spans="1:12">
      <c r="A244" t="s">
        <v>202</v>
      </c>
      <c r="B244">
        <v>1</v>
      </c>
      <c r="C244">
        <v>2</v>
      </c>
      <c r="D244">
        <v>2</v>
      </c>
      <c r="E244">
        <v>1</v>
      </c>
      <c r="F244">
        <v>1</v>
      </c>
      <c r="G244">
        <v>1</v>
      </c>
      <c r="H244">
        <v>1</v>
      </c>
      <c r="I244">
        <v>1</v>
      </c>
      <c r="J244">
        <v>1</v>
      </c>
      <c r="K244">
        <v>1</v>
      </c>
      <c r="L244">
        <v>1</v>
      </c>
    </row>
    <row r="245" spans="1:12">
      <c r="A245" t="s">
        <v>203</v>
      </c>
      <c r="B245" t="s">
        <v>225</v>
      </c>
      <c r="C245">
        <v>1</v>
      </c>
      <c r="D245" t="s">
        <v>225</v>
      </c>
      <c r="E245" t="s">
        <v>225</v>
      </c>
      <c r="F245" t="s">
        <v>225</v>
      </c>
      <c r="G245" t="s">
        <v>225</v>
      </c>
      <c r="H245" t="s">
        <v>225</v>
      </c>
      <c r="I245" t="s">
        <v>225</v>
      </c>
      <c r="J245" t="s">
        <v>225</v>
      </c>
      <c r="K245" t="s">
        <v>225</v>
      </c>
      <c r="L245" t="s">
        <v>225</v>
      </c>
    </row>
    <row r="246" spans="1:12">
      <c r="A246" t="s">
        <v>204</v>
      </c>
      <c r="B246">
        <v>4</v>
      </c>
      <c r="C246">
        <v>3</v>
      </c>
      <c r="D246">
        <v>6</v>
      </c>
      <c r="E246">
        <v>10</v>
      </c>
      <c r="F246">
        <v>10</v>
      </c>
      <c r="G246">
        <v>10</v>
      </c>
      <c r="H246">
        <v>10</v>
      </c>
      <c r="I246" t="s">
        <v>225</v>
      </c>
      <c r="J246" t="s">
        <v>225</v>
      </c>
      <c r="K246" t="s">
        <v>225</v>
      </c>
      <c r="L246" t="s">
        <v>225</v>
      </c>
    </row>
    <row r="247" spans="1:12">
      <c r="A247" t="s">
        <v>209</v>
      </c>
      <c r="B247" t="s">
        <v>225</v>
      </c>
      <c r="C247" t="s">
        <v>225</v>
      </c>
      <c r="D247" t="s">
        <v>225</v>
      </c>
      <c r="E247" t="s">
        <v>225</v>
      </c>
      <c r="F247">
        <v>1</v>
      </c>
      <c r="G247">
        <v>1</v>
      </c>
      <c r="H247">
        <v>1</v>
      </c>
      <c r="I247">
        <v>1</v>
      </c>
      <c r="J247">
        <v>1</v>
      </c>
      <c r="K247">
        <v>1</v>
      </c>
      <c r="L247">
        <v>1</v>
      </c>
    </row>
    <row r="248" spans="1:12">
      <c r="A248" t="s">
        <v>210</v>
      </c>
      <c r="B248">
        <v>4</v>
      </c>
      <c r="C248">
        <v>3</v>
      </c>
      <c r="D248">
        <v>1</v>
      </c>
      <c r="E248">
        <v>1</v>
      </c>
      <c r="F248">
        <v>1</v>
      </c>
      <c r="G248" t="s">
        <v>225</v>
      </c>
      <c r="H248" t="s">
        <v>225</v>
      </c>
      <c r="I248" t="s">
        <v>225</v>
      </c>
      <c r="J248" t="s">
        <v>225</v>
      </c>
      <c r="K248" t="s">
        <v>225</v>
      </c>
      <c r="L248" t="s">
        <v>225</v>
      </c>
    </row>
    <row r="249" spans="1:12">
      <c r="A249" t="s">
        <v>211</v>
      </c>
      <c r="B249">
        <v>119</v>
      </c>
      <c r="C249">
        <v>116</v>
      </c>
      <c r="D249">
        <v>109</v>
      </c>
      <c r="E249">
        <v>120</v>
      </c>
      <c r="F249">
        <v>123</v>
      </c>
      <c r="G249">
        <v>44</v>
      </c>
      <c r="H249">
        <v>44</v>
      </c>
      <c r="I249">
        <v>23</v>
      </c>
      <c r="J249">
        <v>23</v>
      </c>
      <c r="K249">
        <v>23</v>
      </c>
      <c r="L249">
        <v>23</v>
      </c>
    </row>
    <row r="250" spans="1:12">
      <c r="A250" t="s">
        <v>215</v>
      </c>
    </row>
    <row r="251" spans="1:12">
      <c r="A251" t="s">
        <v>216</v>
      </c>
    </row>
    <row r="252" spans="1:12">
      <c r="A252" t="s">
        <v>217</v>
      </c>
    </row>
    <row r="253" spans="1:12">
      <c r="A253" t="s">
        <v>218</v>
      </c>
    </row>
    <row r="254" spans="1:12">
      <c r="A254" t="s">
        <v>219</v>
      </c>
    </row>
    <row r="255" spans="1:12">
      <c r="A255" t="s">
        <v>220</v>
      </c>
    </row>
    <row r="256" spans="1:12">
      <c r="A256" t="s">
        <v>221</v>
      </c>
    </row>
    <row r="257" spans="1:1">
      <c r="A257" t="s">
        <v>222</v>
      </c>
    </row>
    <row r="258" spans="1:1">
      <c r="A258" t="s">
        <v>219</v>
      </c>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96613-5B11-0449-9CF4-BD952A4D2F8D}">
  <dimension ref="A1:L125"/>
  <sheetViews>
    <sheetView topLeftCell="A59" workbookViewId="0">
      <selection activeCell="A101" sqref="A101:XFD111"/>
    </sheetView>
  </sheetViews>
  <sheetFormatPr baseColWidth="10" defaultColWidth="11.5" defaultRowHeight="15"/>
  <cols>
    <col min="1" max="1" width="20.1640625" bestFit="1" customWidth="1"/>
    <col min="2" max="2" width="5.1640625" bestFit="1" customWidth="1"/>
    <col min="3" max="3" width="9.6640625" bestFit="1" customWidth="1"/>
  </cols>
  <sheetData>
    <row r="1" spans="1:3">
      <c r="A1" t="s">
        <v>223</v>
      </c>
      <c r="B1" t="s">
        <v>0</v>
      </c>
      <c r="C1" t="s">
        <v>238</v>
      </c>
    </row>
    <row r="2" spans="1:3">
      <c r="A2" t="s">
        <v>147</v>
      </c>
      <c r="B2">
        <v>2015</v>
      </c>
      <c r="C2">
        <v>1</v>
      </c>
    </row>
    <row r="3" spans="1:3">
      <c r="A3" t="s">
        <v>147</v>
      </c>
      <c r="B3">
        <v>2016</v>
      </c>
      <c r="C3" t="s">
        <v>225</v>
      </c>
    </row>
    <row r="4" spans="1:3">
      <c r="A4" t="s">
        <v>147</v>
      </c>
      <c r="B4">
        <v>2017</v>
      </c>
      <c r="C4" t="s">
        <v>225</v>
      </c>
    </row>
    <row r="5" spans="1:3">
      <c r="A5" t="s">
        <v>147</v>
      </c>
      <c r="B5">
        <v>2018</v>
      </c>
      <c r="C5" t="s">
        <v>225</v>
      </c>
    </row>
    <row r="6" spans="1:3">
      <c r="A6" t="s">
        <v>147</v>
      </c>
      <c r="B6">
        <v>2019</v>
      </c>
      <c r="C6" t="s">
        <v>225</v>
      </c>
    </row>
    <row r="7" spans="1:3">
      <c r="A7" t="s">
        <v>147</v>
      </c>
      <c r="B7">
        <v>2020</v>
      </c>
      <c r="C7" t="s">
        <v>225</v>
      </c>
    </row>
    <row r="8" spans="1:3">
      <c r="A8" t="s">
        <v>147</v>
      </c>
      <c r="B8">
        <v>2021</v>
      </c>
      <c r="C8" t="s">
        <v>225</v>
      </c>
    </row>
    <row r="9" spans="1:3">
      <c r="A9" t="s">
        <v>147</v>
      </c>
      <c r="B9">
        <v>2022</v>
      </c>
      <c r="C9" t="s">
        <v>225</v>
      </c>
    </row>
    <row r="10" spans="1:3">
      <c r="A10" t="s">
        <v>147</v>
      </c>
      <c r="B10">
        <v>2023</v>
      </c>
      <c r="C10" t="s">
        <v>225</v>
      </c>
    </row>
    <row r="11" spans="1:3">
      <c r="A11" t="s">
        <v>147</v>
      </c>
      <c r="B11">
        <v>2024</v>
      </c>
      <c r="C11" t="s">
        <v>225</v>
      </c>
    </row>
    <row r="12" spans="1:3">
      <c r="A12" t="s">
        <v>147</v>
      </c>
      <c r="B12">
        <v>2025</v>
      </c>
      <c r="C12" t="s">
        <v>225</v>
      </c>
    </row>
    <row r="13" spans="1:3">
      <c r="A13" t="s">
        <v>179</v>
      </c>
      <c r="B13">
        <v>2015</v>
      </c>
      <c r="C13">
        <v>3</v>
      </c>
    </row>
    <row r="14" spans="1:3">
      <c r="A14" t="s">
        <v>179</v>
      </c>
      <c r="B14">
        <v>2016</v>
      </c>
      <c r="C14" t="s">
        <v>225</v>
      </c>
    </row>
    <row r="15" spans="1:3">
      <c r="A15" t="s">
        <v>179</v>
      </c>
      <c r="B15">
        <v>2017</v>
      </c>
      <c r="C15" t="s">
        <v>225</v>
      </c>
    </row>
    <row r="16" spans="1:3">
      <c r="A16" t="s">
        <v>179</v>
      </c>
      <c r="B16">
        <v>2018</v>
      </c>
      <c r="C16" t="s">
        <v>225</v>
      </c>
    </row>
    <row r="17" spans="1:3">
      <c r="A17" t="s">
        <v>179</v>
      </c>
      <c r="B17">
        <v>2019</v>
      </c>
      <c r="C17" t="s">
        <v>225</v>
      </c>
    </row>
    <row r="18" spans="1:3">
      <c r="A18" t="s">
        <v>179</v>
      </c>
      <c r="B18">
        <v>2020</v>
      </c>
      <c r="C18" t="s">
        <v>225</v>
      </c>
    </row>
    <row r="19" spans="1:3">
      <c r="A19" t="s">
        <v>179</v>
      </c>
      <c r="B19">
        <v>2021</v>
      </c>
      <c r="C19" t="s">
        <v>225</v>
      </c>
    </row>
    <row r="20" spans="1:3">
      <c r="A20" t="s">
        <v>179</v>
      </c>
      <c r="B20">
        <v>2022</v>
      </c>
      <c r="C20" t="s">
        <v>225</v>
      </c>
    </row>
    <row r="21" spans="1:3">
      <c r="A21" t="s">
        <v>179</v>
      </c>
      <c r="B21">
        <v>2023</v>
      </c>
      <c r="C21" t="s">
        <v>225</v>
      </c>
    </row>
    <row r="22" spans="1:3">
      <c r="A22" t="s">
        <v>179</v>
      </c>
      <c r="B22">
        <v>2024</v>
      </c>
      <c r="C22" t="s">
        <v>225</v>
      </c>
    </row>
    <row r="23" spans="1:3">
      <c r="A23" t="s">
        <v>179</v>
      </c>
      <c r="B23">
        <v>2025</v>
      </c>
      <c r="C23" t="s">
        <v>225</v>
      </c>
    </row>
    <row r="24" spans="1:3">
      <c r="A24" t="s">
        <v>186</v>
      </c>
      <c r="B24">
        <v>2015</v>
      </c>
      <c r="C24" t="s">
        <v>225</v>
      </c>
    </row>
    <row r="25" spans="1:3">
      <c r="A25" t="s">
        <v>186</v>
      </c>
      <c r="B25">
        <v>2016</v>
      </c>
      <c r="C25" t="s">
        <v>225</v>
      </c>
    </row>
    <row r="26" spans="1:3">
      <c r="A26" t="s">
        <v>186</v>
      </c>
      <c r="B26">
        <v>2017</v>
      </c>
      <c r="C26">
        <v>1</v>
      </c>
    </row>
    <row r="27" spans="1:3">
      <c r="A27" t="s">
        <v>186</v>
      </c>
      <c r="B27">
        <v>2018</v>
      </c>
      <c r="C27" t="s">
        <v>225</v>
      </c>
    </row>
    <row r="28" spans="1:3">
      <c r="A28" t="s">
        <v>186</v>
      </c>
      <c r="B28">
        <v>2019</v>
      </c>
      <c r="C28" t="s">
        <v>225</v>
      </c>
    </row>
    <row r="29" spans="1:3">
      <c r="A29" t="s">
        <v>186</v>
      </c>
      <c r="B29">
        <v>2020</v>
      </c>
      <c r="C29" t="s">
        <v>225</v>
      </c>
    </row>
    <row r="30" spans="1:3">
      <c r="A30" t="s">
        <v>186</v>
      </c>
      <c r="B30">
        <v>2021</v>
      </c>
      <c r="C30" t="s">
        <v>225</v>
      </c>
    </row>
    <row r="31" spans="1:3">
      <c r="A31" t="s">
        <v>186</v>
      </c>
      <c r="B31">
        <v>2022</v>
      </c>
      <c r="C31" t="s">
        <v>225</v>
      </c>
    </row>
    <row r="32" spans="1:3">
      <c r="A32" t="s">
        <v>186</v>
      </c>
      <c r="B32">
        <v>2023</v>
      </c>
      <c r="C32" t="s">
        <v>225</v>
      </c>
    </row>
    <row r="33" spans="1:3">
      <c r="A33" t="s">
        <v>186</v>
      </c>
      <c r="B33">
        <v>2024</v>
      </c>
      <c r="C33" t="s">
        <v>225</v>
      </c>
    </row>
    <row r="34" spans="1:3">
      <c r="A34" t="s">
        <v>186</v>
      </c>
      <c r="B34">
        <v>2025</v>
      </c>
      <c r="C34" t="s">
        <v>225</v>
      </c>
    </row>
    <row r="35" spans="1:3">
      <c r="A35" t="s">
        <v>188</v>
      </c>
      <c r="B35">
        <v>2015</v>
      </c>
      <c r="C35">
        <v>1</v>
      </c>
    </row>
    <row r="36" spans="1:3">
      <c r="A36" t="s">
        <v>188</v>
      </c>
      <c r="B36">
        <v>2016</v>
      </c>
      <c r="C36">
        <v>1</v>
      </c>
    </row>
    <row r="37" spans="1:3">
      <c r="A37" t="s">
        <v>188</v>
      </c>
      <c r="B37">
        <v>2017</v>
      </c>
      <c r="C37">
        <v>1</v>
      </c>
    </row>
    <row r="38" spans="1:3">
      <c r="A38" t="s">
        <v>188</v>
      </c>
      <c r="B38">
        <v>2018</v>
      </c>
      <c r="C38">
        <v>1</v>
      </c>
    </row>
    <row r="39" spans="1:3">
      <c r="A39" t="s">
        <v>188</v>
      </c>
      <c r="B39">
        <v>2019</v>
      </c>
      <c r="C39">
        <v>1</v>
      </c>
    </row>
    <row r="40" spans="1:3">
      <c r="A40" t="s">
        <v>188</v>
      </c>
      <c r="B40">
        <v>2020</v>
      </c>
      <c r="C40">
        <v>1</v>
      </c>
    </row>
    <row r="41" spans="1:3">
      <c r="A41" t="s">
        <v>188</v>
      </c>
      <c r="B41">
        <v>2021</v>
      </c>
      <c r="C41">
        <v>1</v>
      </c>
    </row>
    <row r="42" spans="1:3">
      <c r="A42" t="s">
        <v>188</v>
      </c>
      <c r="B42">
        <v>2022</v>
      </c>
      <c r="C42" t="s">
        <v>225</v>
      </c>
    </row>
    <row r="43" spans="1:3">
      <c r="A43" t="s">
        <v>188</v>
      </c>
      <c r="B43">
        <v>2023</v>
      </c>
      <c r="C43" t="s">
        <v>225</v>
      </c>
    </row>
    <row r="44" spans="1:3">
      <c r="A44" t="s">
        <v>188</v>
      </c>
      <c r="B44">
        <v>2024</v>
      </c>
      <c r="C44" t="s">
        <v>225</v>
      </c>
    </row>
    <row r="45" spans="1:3">
      <c r="A45" t="s">
        <v>188</v>
      </c>
      <c r="B45">
        <v>2025</v>
      </c>
      <c r="C45" t="s">
        <v>225</v>
      </c>
    </row>
    <row r="46" spans="1:3">
      <c r="A46" t="s">
        <v>190</v>
      </c>
      <c r="B46">
        <v>2015</v>
      </c>
      <c r="C46">
        <v>3</v>
      </c>
    </row>
    <row r="47" spans="1:3">
      <c r="A47" t="s">
        <v>190</v>
      </c>
      <c r="B47">
        <v>2016</v>
      </c>
      <c r="C47">
        <v>3</v>
      </c>
    </row>
    <row r="48" spans="1:3">
      <c r="A48" t="s">
        <v>190</v>
      </c>
      <c r="B48">
        <v>2017</v>
      </c>
      <c r="C48">
        <v>3</v>
      </c>
    </row>
    <row r="49" spans="1:3">
      <c r="A49" t="s">
        <v>190</v>
      </c>
      <c r="B49">
        <v>2018</v>
      </c>
      <c r="C49">
        <v>3</v>
      </c>
    </row>
    <row r="50" spans="1:3">
      <c r="A50" t="s">
        <v>190</v>
      </c>
      <c r="B50">
        <v>2019</v>
      </c>
      <c r="C50">
        <v>1</v>
      </c>
    </row>
    <row r="51" spans="1:3">
      <c r="A51" t="s">
        <v>190</v>
      </c>
      <c r="B51">
        <v>2020</v>
      </c>
      <c r="C51">
        <v>1</v>
      </c>
    </row>
    <row r="52" spans="1:3">
      <c r="A52" t="s">
        <v>190</v>
      </c>
      <c r="B52">
        <v>2021</v>
      </c>
      <c r="C52">
        <v>1</v>
      </c>
    </row>
    <row r="53" spans="1:3">
      <c r="A53" t="s">
        <v>190</v>
      </c>
      <c r="B53">
        <v>2022</v>
      </c>
      <c r="C53">
        <v>1</v>
      </c>
    </row>
    <row r="54" spans="1:3">
      <c r="A54" t="s">
        <v>190</v>
      </c>
      <c r="B54">
        <v>2023</v>
      </c>
      <c r="C54">
        <v>1</v>
      </c>
    </row>
    <row r="55" spans="1:3">
      <c r="A55" t="s">
        <v>190</v>
      </c>
      <c r="B55">
        <v>2024</v>
      </c>
      <c r="C55">
        <v>1</v>
      </c>
    </row>
    <row r="56" spans="1:3">
      <c r="A56" t="s">
        <v>190</v>
      </c>
      <c r="B56">
        <v>2025</v>
      </c>
      <c r="C56">
        <v>1</v>
      </c>
    </row>
    <row r="57" spans="1:3">
      <c r="A57" t="s">
        <v>196</v>
      </c>
      <c r="B57">
        <v>2015</v>
      </c>
      <c r="C57">
        <v>3</v>
      </c>
    </row>
    <row r="58" spans="1:3">
      <c r="A58" t="s">
        <v>196</v>
      </c>
      <c r="B58">
        <v>2016</v>
      </c>
      <c r="C58">
        <v>2</v>
      </c>
    </row>
    <row r="59" spans="1:3">
      <c r="A59" t="s">
        <v>196</v>
      </c>
      <c r="B59">
        <v>2017</v>
      </c>
      <c r="C59">
        <v>2</v>
      </c>
    </row>
    <row r="60" spans="1:3">
      <c r="A60" t="s">
        <v>196</v>
      </c>
      <c r="B60">
        <v>2018</v>
      </c>
      <c r="C60">
        <v>3</v>
      </c>
    </row>
    <row r="61" spans="1:3">
      <c r="A61" t="s">
        <v>196</v>
      </c>
      <c r="B61">
        <v>2019</v>
      </c>
      <c r="C61">
        <v>2</v>
      </c>
    </row>
    <row r="62" spans="1:3">
      <c r="A62" t="s">
        <v>196</v>
      </c>
      <c r="B62">
        <v>2020</v>
      </c>
      <c r="C62">
        <v>2</v>
      </c>
    </row>
    <row r="63" spans="1:3">
      <c r="A63" t="s">
        <v>196</v>
      </c>
      <c r="B63">
        <v>2021</v>
      </c>
      <c r="C63">
        <v>2</v>
      </c>
    </row>
    <row r="64" spans="1:3">
      <c r="A64" t="s">
        <v>196</v>
      </c>
      <c r="B64">
        <v>2022</v>
      </c>
      <c r="C64">
        <v>2</v>
      </c>
    </row>
    <row r="65" spans="1:3">
      <c r="A65" t="s">
        <v>196</v>
      </c>
      <c r="B65">
        <v>2023</v>
      </c>
      <c r="C65">
        <v>1</v>
      </c>
    </row>
    <row r="66" spans="1:3">
      <c r="A66" t="s">
        <v>196</v>
      </c>
      <c r="B66">
        <v>2024</v>
      </c>
      <c r="C66">
        <v>1</v>
      </c>
    </row>
    <row r="67" spans="1:3">
      <c r="A67" t="s">
        <v>196</v>
      </c>
      <c r="B67">
        <v>2025</v>
      </c>
      <c r="C67">
        <v>1</v>
      </c>
    </row>
    <row r="68" spans="1:3">
      <c r="A68" t="s">
        <v>198</v>
      </c>
      <c r="B68">
        <v>2015</v>
      </c>
      <c r="C68">
        <v>1</v>
      </c>
    </row>
    <row r="69" spans="1:3">
      <c r="A69" t="s">
        <v>198</v>
      </c>
      <c r="B69">
        <v>2016</v>
      </c>
      <c r="C69">
        <v>1</v>
      </c>
    </row>
    <row r="70" spans="1:3">
      <c r="A70" t="s">
        <v>198</v>
      </c>
      <c r="B70">
        <v>2017</v>
      </c>
      <c r="C70" t="s">
        <v>225</v>
      </c>
    </row>
    <row r="71" spans="1:3">
      <c r="A71" t="s">
        <v>198</v>
      </c>
      <c r="B71">
        <v>2018</v>
      </c>
      <c r="C71" t="s">
        <v>225</v>
      </c>
    </row>
    <row r="72" spans="1:3">
      <c r="A72" t="s">
        <v>198</v>
      </c>
      <c r="B72">
        <v>2019</v>
      </c>
      <c r="C72" t="s">
        <v>225</v>
      </c>
    </row>
    <row r="73" spans="1:3">
      <c r="A73" t="s">
        <v>198</v>
      </c>
      <c r="B73">
        <v>2020</v>
      </c>
      <c r="C73" t="s">
        <v>225</v>
      </c>
    </row>
    <row r="74" spans="1:3">
      <c r="A74" t="s">
        <v>198</v>
      </c>
      <c r="B74">
        <v>2021</v>
      </c>
      <c r="C74" t="s">
        <v>225</v>
      </c>
    </row>
    <row r="75" spans="1:3">
      <c r="A75" t="s">
        <v>198</v>
      </c>
      <c r="B75">
        <v>2022</v>
      </c>
      <c r="C75" t="s">
        <v>225</v>
      </c>
    </row>
    <row r="76" spans="1:3">
      <c r="A76" t="s">
        <v>198</v>
      </c>
      <c r="B76">
        <v>2023</v>
      </c>
      <c r="C76" t="s">
        <v>225</v>
      </c>
    </row>
    <row r="77" spans="1:3">
      <c r="A77" t="s">
        <v>198</v>
      </c>
      <c r="B77">
        <v>2024</v>
      </c>
      <c r="C77" t="s">
        <v>225</v>
      </c>
    </row>
    <row r="78" spans="1:3">
      <c r="A78" t="s">
        <v>198</v>
      </c>
      <c r="B78">
        <v>2025</v>
      </c>
      <c r="C78" t="s">
        <v>225</v>
      </c>
    </row>
    <row r="79" spans="1:3">
      <c r="A79" t="s">
        <v>204</v>
      </c>
      <c r="B79">
        <v>2015</v>
      </c>
      <c r="C79">
        <v>18</v>
      </c>
    </row>
    <row r="80" spans="1:3">
      <c r="A80" t="s">
        <v>204</v>
      </c>
      <c r="B80">
        <v>2016</v>
      </c>
      <c r="C80">
        <v>14</v>
      </c>
    </row>
    <row r="81" spans="1:3">
      <c r="A81" t="s">
        <v>204</v>
      </c>
      <c r="B81">
        <v>2017</v>
      </c>
      <c r="C81">
        <v>14</v>
      </c>
    </row>
    <row r="82" spans="1:3">
      <c r="A82" t="s">
        <v>204</v>
      </c>
      <c r="B82">
        <v>2018</v>
      </c>
      <c r="C82">
        <v>6</v>
      </c>
    </row>
    <row r="83" spans="1:3">
      <c r="A83" t="s">
        <v>204</v>
      </c>
      <c r="B83">
        <v>2019</v>
      </c>
      <c r="C83">
        <v>6</v>
      </c>
    </row>
    <row r="84" spans="1:3">
      <c r="A84" t="s">
        <v>204</v>
      </c>
      <c r="B84">
        <v>2020</v>
      </c>
      <c r="C84">
        <v>6</v>
      </c>
    </row>
    <row r="85" spans="1:3">
      <c r="A85" t="s">
        <v>204</v>
      </c>
      <c r="B85">
        <v>2021</v>
      </c>
      <c r="C85">
        <v>6</v>
      </c>
    </row>
    <row r="86" spans="1:3">
      <c r="A86" t="s">
        <v>204</v>
      </c>
      <c r="B86">
        <v>2022</v>
      </c>
      <c r="C86">
        <v>1</v>
      </c>
    </row>
    <row r="87" spans="1:3">
      <c r="A87" t="s">
        <v>204</v>
      </c>
      <c r="B87">
        <v>2023</v>
      </c>
      <c r="C87">
        <v>1</v>
      </c>
    </row>
    <row r="88" spans="1:3">
      <c r="A88" t="s">
        <v>204</v>
      </c>
      <c r="B88">
        <v>2024</v>
      </c>
      <c r="C88">
        <v>1</v>
      </c>
    </row>
    <row r="89" spans="1:3">
      <c r="A89" t="s">
        <v>204</v>
      </c>
      <c r="B89">
        <v>2025</v>
      </c>
      <c r="C89">
        <v>1</v>
      </c>
    </row>
    <row r="90" spans="1:3">
      <c r="A90" t="s">
        <v>210</v>
      </c>
      <c r="B90">
        <v>2015</v>
      </c>
      <c r="C90">
        <v>3</v>
      </c>
    </row>
    <row r="91" spans="1:3">
      <c r="A91" t="s">
        <v>210</v>
      </c>
      <c r="B91">
        <v>2016</v>
      </c>
      <c r="C91">
        <v>3</v>
      </c>
    </row>
    <row r="92" spans="1:3">
      <c r="A92" t="s">
        <v>210</v>
      </c>
      <c r="B92">
        <v>2017</v>
      </c>
      <c r="C92">
        <v>3</v>
      </c>
    </row>
    <row r="93" spans="1:3">
      <c r="A93" t="s">
        <v>210</v>
      </c>
      <c r="B93">
        <v>2018</v>
      </c>
      <c r="C93" t="s">
        <v>225</v>
      </c>
    </row>
    <row r="94" spans="1:3">
      <c r="A94" t="s">
        <v>210</v>
      </c>
      <c r="B94">
        <v>2019</v>
      </c>
      <c r="C94" t="s">
        <v>225</v>
      </c>
    </row>
    <row r="95" spans="1:3">
      <c r="A95" t="s">
        <v>210</v>
      </c>
      <c r="B95">
        <v>2020</v>
      </c>
      <c r="C95" t="s">
        <v>225</v>
      </c>
    </row>
    <row r="96" spans="1:3">
      <c r="A96" t="s">
        <v>210</v>
      </c>
      <c r="B96">
        <v>2021</v>
      </c>
      <c r="C96" t="s">
        <v>225</v>
      </c>
    </row>
    <row r="97" spans="1:12">
      <c r="A97" t="s">
        <v>210</v>
      </c>
      <c r="B97">
        <v>2022</v>
      </c>
      <c r="C97" t="s">
        <v>225</v>
      </c>
    </row>
    <row r="98" spans="1:12">
      <c r="A98" t="s">
        <v>210</v>
      </c>
      <c r="B98">
        <v>2023</v>
      </c>
      <c r="C98" t="s">
        <v>225</v>
      </c>
    </row>
    <row r="99" spans="1:12">
      <c r="A99" t="s">
        <v>210</v>
      </c>
      <c r="B99">
        <v>2024</v>
      </c>
      <c r="C99" t="s">
        <v>225</v>
      </c>
    </row>
    <row r="100" spans="1:12">
      <c r="A100" t="s">
        <v>210</v>
      </c>
      <c r="B100">
        <v>2025</v>
      </c>
      <c r="C100" t="s">
        <v>225</v>
      </c>
    </row>
    <row r="102" spans="1:12">
      <c r="A102" t="s">
        <v>234</v>
      </c>
    </row>
    <row r="103" spans="1:12">
      <c r="A103" t="s">
        <v>227</v>
      </c>
    </row>
    <row r="104" spans="1:12">
      <c r="A104" t="s">
        <v>239</v>
      </c>
    </row>
    <row r="105" spans="1:12">
      <c r="A105" t="s">
        <v>242</v>
      </c>
    </row>
    <row r="106" spans="1:12">
      <c r="A106" t="s">
        <v>133</v>
      </c>
    </row>
    <row r="107" spans="1:12">
      <c r="A107" t="s">
        <v>134</v>
      </c>
      <c r="B107" t="s">
        <v>135</v>
      </c>
      <c r="C107" t="s">
        <v>136</v>
      </c>
      <c r="D107" t="s">
        <v>137</v>
      </c>
      <c r="E107" t="s">
        <v>138</v>
      </c>
      <c r="F107" t="s">
        <v>139</v>
      </c>
      <c r="G107" t="s">
        <v>140</v>
      </c>
      <c r="H107" t="s">
        <v>141</v>
      </c>
      <c r="I107" t="s">
        <v>142</v>
      </c>
      <c r="J107" t="s">
        <v>143</v>
      </c>
      <c r="K107" t="s">
        <v>144</v>
      </c>
      <c r="L107" t="s">
        <v>145</v>
      </c>
    </row>
    <row r="108" spans="1:12">
      <c r="A108" t="s">
        <v>147</v>
      </c>
      <c r="B108">
        <v>1</v>
      </c>
      <c r="C108" t="s">
        <v>225</v>
      </c>
      <c r="D108" t="s">
        <v>225</v>
      </c>
      <c r="E108" t="s">
        <v>225</v>
      </c>
      <c r="F108" t="s">
        <v>225</v>
      </c>
      <c r="G108" t="s">
        <v>225</v>
      </c>
      <c r="H108" t="s">
        <v>225</v>
      </c>
      <c r="I108" t="s">
        <v>225</v>
      </c>
      <c r="J108" t="s">
        <v>225</v>
      </c>
      <c r="K108" t="s">
        <v>225</v>
      </c>
      <c r="L108" t="s">
        <v>225</v>
      </c>
    </row>
    <row r="109" spans="1:12">
      <c r="A109" t="s">
        <v>179</v>
      </c>
      <c r="B109">
        <v>3</v>
      </c>
      <c r="C109" t="s">
        <v>225</v>
      </c>
      <c r="D109" t="s">
        <v>225</v>
      </c>
      <c r="E109" t="s">
        <v>225</v>
      </c>
      <c r="F109" t="s">
        <v>225</v>
      </c>
      <c r="G109" t="s">
        <v>225</v>
      </c>
      <c r="H109" t="s">
        <v>225</v>
      </c>
      <c r="I109" t="s">
        <v>225</v>
      </c>
      <c r="J109" t="s">
        <v>225</v>
      </c>
      <c r="K109" t="s">
        <v>225</v>
      </c>
      <c r="L109" t="s">
        <v>225</v>
      </c>
    </row>
    <row r="110" spans="1:12">
      <c r="A110" t="s">
        <v>186</v>
      </c>
      <c r="B110" t="s">
        <v>225</v>
      </c>
      <c r="C110" t="s">
        <v>225</v>
      </c>
      <c r="D110">
        <v>1</v>
      </c>
      <c r="E110" t="s">
        <v>225</v>
      </c>
      <c r="F110" t="s">
        <v>225</v>
      </c>
      <c r="G110" t="s">
        <v>225</v>
      </c>
      <c r="H110" t="s">
        <v>225</v>
      </c>
      <c r="I110" t="s">
        <v>225</v>
      </c>
      <c r="J110" t="s">
        <v>225</v>
      </c>
      <c r="K110" t="s">
        <v>225</v>
      </c>
      <c r="L110" t="s">
        <v>225</v>
      </c>
    </row>
    <row r="111" spans="1:12">
      <c r="A111" t="s">
        <v>188</v>
      </c>
      <c r="B111">
        <v>1</v>
      </c>
      <c r="C111">
        <v>1</v>
      </c>
      <c r="D111">
        <v>1</v>
      </c>
      <c r="E111">
        <v>1</v>
      </c>
      <c r="F111">
        <v>1</v>
      </c>
      <c r="G111">
        <v>1</v>
      </c>
      <c r="H111">
        <v>1</v>
      </c>
      <c r="I111" t="s">
        <v>225</v>
      </c>
      <c r="J111" t="s">
        <v>225</v>
      </c>
      <c r="K111" t="s">
        <v>225</v>
      </c>
      <c r="L111" t="s">
        <v>225</v>
      </c>
    </row>
    <row r="112" spans="1:12">
      <c r="A112" t="s">
        <v>190</v>
      </c>
      <c r="B112">
        <v>3</v>
      </c>
      <c r="C112">
        <v>3</v>
      </c>
      <c r="D112">
        <v>3</v>
      </c>
      <c r="E112">
        <v>3</v>
      </c>
      <c r="F112">
        <v>1</v>
      </c>
      <c r="G112">
        <v>1</v>
      </c>
      <c r="H112">
        <v>1</v>
      </c>
      <c r="I112">
        <v>1</v>
      </c>
      <c r="J112">
        <v>1</v>
      </c>
      <c r="K112">
        <v>1</v>
      </c>
      <c r="L112">
        <v>1</v>
      </c>
    </row>
    <row r="113" spans="1:12">
      <c r="A113" t="s">
        <v>196</v>
      </c>
      <c r="B113">
        <v>3</v>
      </c>
      <c r="C113">
        <v>2</v>
      </c>
      <c r="D113">
        <v>2</v>
      </c>
      <c r="E113">
        <v>3</v>
      </c>
      <c r="F113">
        <v>2</v>
      </c>
      <c r="G113">
        <v>2</v>
      </c>
      <c r="H113">
        <v>2</v>
      </c>
      <c r="I113">
        <v>2</v>
      </c>
      <c r="J113">
        <v>1</v>
      </c>
      <c r="K113">
        <v>1</v>
      </c>
      <c r="L113">
        <v>1</v>
      </c>
    </row>
    <row r="114" spans="1:12">
      <c r="A114" t="s">
        <v>198</v>
      </c>
      <c r="B114">
        <v>1</v>
      </c>
      <c r="C114">
        <v>1</v>
      </c>
      <c r="D114" t="s">
        <v>225</v>
      </c>
      <c r="E114" t="s">
        <v>225</v>
      </c>
      <c r="F114" t="s">
        <v>225</v>
      </c>
      <c r="G114" t="s">
        <v>225</v>
      </c>
      <c r="H114" t="s">
        <v>225</v>
      </c>
      <c r="I114" t="s">
        <v>225</v>
      </c>
      <c r="J114" t="s">
        <v>225</v>
      </c>
      <c r="K114" t="s">
        <v>225</v>
      </c>
      <c r="L114" t="s">
        <v>225</v>
      </c>
    </row>
    <row r="115" spans="1:12">
      <c r="A115" t="s">
        <v>204</v>
      </c>
      <c r="B115">
        <v>18</v>
      </c>
      <c r="C115">
        <v>14</v>
      </c>
      <c r="D115">
        <v>14</v>
      </c>
      <c r="E115">
        <v>6</v>
      </c>
      <c r="F115">
        <v>6</v>
      </c>
      <c r="G115">
        <v>6</v>
      </c>
      <c r="H115">
        <v>6</v>
      </c>
      <c r="I115">
        <v>1</v>
      </c>
      <c r="J115">
        <v>1</v>
      </c>
      <c r="K115">
        <v>1</v>
      </c>
      <c r="L115">
        <v>1</v>
      </c>
    </row>
    <row r="116" spans="1:12">
      <c r="A116" t="s">
        <v>210</v>
      </c>
      <c r="B116">
        <v>3</v>
      </c>
      <c r="C116">
        <v>3</v>
      </c>
      <c r="D116">
        <v>3</v>
      </c>
      <c r="E116" t="s">
        <v>225</v>
      </c>
      <c r="F116" t="s">
        <v>225</v>
      </c>
      <c r="G116" t="s">
        <v>225</v>
      </c>
      <c r="H116" t="s">
        <v>225</v>
      </c>
      <c r="I116" t="s">
        <v>225</v>
      </c>
      <c r="J116" t="s">
        <v>225</v>
      </c>
      <c r="K116" t="s">
        <v>225</v>
      </c>
      <c r="L116" t="s">
        <v>225</v>
      </c>
    </row>
    <row r="117" spans="1:12">
      <c r="A117" t="s">
        <v>211</v>
      </c>
      <c r="B117">
        <v>33</v>
      </c>
      <c r="C117">
        <v>24</v>
      </c>
      <c r="D117">
        <v>24</v>
      </c>
      <c r="E117">
        <v>13</v>
      </c>
      <c r="F117">
        <v>10</v>
      </c>
      <c r="G117">
        <v>10</v>
      </c>
      <c r="H117">
        <v>10</v>
      </c>
      <c r="I117">
        <v>4</v>
      </c>
      <c r="J117">
        <v>3</v>
      </c>
      <c r="K117">
        <v>3</v>
      </c>
      <c r="L117">
        <v>3</v>
      </c>
    </row>
    <row r="118" spans="1:12">
      <c r="A118" t="s">
        <v>215</v>
      </c>
    </row>
    <row r="119" spans="1:12">
      <c r="A119" t="s">
        <v>216</v>
      </c>
    </row>
    <row r="120" spans="1:12">
      <c r="A120" t="s">
        <v>217</v>
      </c>
    </row>
    <row r="121" spans="1:12">
      <c r="A121" t="s">
        <v>218</v>
      </c>
    </row>
    <row r="122" spans="1:12">
      <c r="A122" t="s">
        <v>219</v>
      </c>
    </row>
    <row r="123" spans="1:12">
      <c r="A123" t="s">
        <v>220</v>
      </c>
    </row>
    <row r="124" spans="1:12">
      <c r="A124" t="s">
        <v>221</v>
      </c>
    </row>
    <row r="125" spans="1:12">
      <c r="A125" t="s">
        <v>222</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C5B71-308E-ED44-8731-E69162D42D28}">
  <dimension ref="A1:M818"/>
  <sheetViews>
    <sheetView topLeftCell="A707" workbookViewId="0">
      <selection activeCell="A721" sqref="A721"/>
    </sheetView>
  </sheetViews>
  <sheetFormatPr baseColWidth="10" defaultColWidth="11.5" defaultRowHeight="15"/>
  <cols>
    <col min="1" max="1" width="80.6640625" bestFit="1" customWidth="1"/>
    <col min="2" max="10" width="7.1640625" bestFit="1" customWidth="1"/>
    <col min="11" max="11" width="8.1640625" bestFit="1" customWidth="1"/>
    <col min="12" max="12" width="7.1640625" bestFit="1" customWidth="1"/>
    <col min="13" max="13" width="8.1640625" bestFit="1" customWidth="1"/>
  </cols>
  <sheetData>
    <row r="1" spans="1:3">
      <c r="A1" t="s">
        <v>256</v>
      </c>
      <c r="B1" t="s">
        <v>257</v>
      </c>
      <c r="C1" t="s">
        <v>258</v>
      </c>
    </row>
    <row r="2" spans="1:3">
      <c r="A2" t="s">
        <v>146</v>
      </c>
      <c r="B2">
        <v>2015</v>
      </c>
      <c r="C2">
        <v>233</v>
      </c>
    </row>
    <row r="3" spans="1:3">
      <c r="A3" t="s">
        <v>146</v>
      </c>
      <c r="B3">
        <v>2016</v>
      </c>
      <c r="C3">
        <v>1009</v>
      </c>
    </row>
    <row r="4" spans="1:3">
      <c r="A4" t="s">
        <v>146</v>
      </c>
      <c r="B4">
        <v>2017</v>
      </c>
      <c r="C4">
        <v>357</v>
      </c>
    </row>
    <row r="5" spans="1:3">
      <c r="A5" t="s">
        <v>146</v>
      </c>
      <c r="B5">
        <v>2018</v>
      </c>
      <c r="C5">
        <v>114</v>
      </c>
    </row>
    <row r="6" spans="1:3">
      <c r="A6" t="s">
        <v>146</v>
      </c>
      <c r="B6">
        <v>2019</v>
      </c>
      <c r="C6">
        <v>181</v>
      </c>
    </row>
    <row r="7" spans="1:3">
      <c r="A7" t="s">
        <v>146</v>
      </c>
      <c r="B7">
        <v>2020</v>
      </c>
      <c r="C7">
        <v>309</v>
      </c>
    </row>
    <row r="8" spans="1:3">
      <c r="A8" t="s">
        <v>146</v>
      </c>
      <c r="B8">
        <v>2021</v>
      </c>
      <c r="C8">
        <v>212</v>
      </c>
    </row>
    <row r="9" spans="1:3">
      <c r="A9" t="s">
        <v>146</v>
      </c>
      <c r="B9">
        <v>2022</v>
      </c>
      <c r="C9">
        <v>2021</v>
      </c>
    </row>
    <row r="10" spans="1:3">
      <c r="A10" t="s">
        <v>146</v>
      </c>
      <c r="B10">
        <v>2023</v>
      </c>
      <c r="C10">
        <v>1160</v>
      </c>
    </row>
    <row r="11" spans="1:3">
      <c r="A11" t="s">
        <v>146</v>
      </c>
      <c r="B11">
        <v>2024</v>
      </c>
      <c r="C11">
        <v>613</v>
      </c>
    </row>
    <row r="12" spans="1:3">
      <c r="A12" t="s">
        <v>146</v>
      </c>
      <c r="B12">
        <v>2025</v>
      </c>
      <c r="C12">
        <v>211</v>
      </c>
    </row>
    <row r="13" spans="1:3">
      <c r="A13" t="s">
        <v>147</v>
      </c>
      <c r="B13">
        <v>2015</v>
      </c>
      <c r="C13">
        <v>1620</v>
      </c>
    </row>
    <row r="14" spans="1:3">
      <c r="A14" t="s">
        <v>147</v>
      </c>
      <c r="B14">
        <v>2016</v>
      </c>
      <c r="C14">
        <v>5359</v>
      </c>
    </row>
    <row r="15" spans="1:3">
      <c r="A15" t="s">
        <v>147</v>
      </c>
      <c r="B15">
        <v>2017</v>
      </c>
      <c r="C15">
        <v>2554</v>
      </c>
    </row>
    <row r="16" spans="1:3">
      <c r="A16" t="s">
        <v>147</v>
      </c>
      <c r="B16">
        <v>2018</v>
      </c>
      <c r="C16">
        <v>1303</v>
      </c>
    </row>
    <row r="17" spans="1:3">
      <c r="A17" t="s">
        <v>147</v>
      </c>
      <c r="B17">
        <v>2019</v>
      </c>
      <c r="C17">
        <v>477</v>
      </c>
    </row>
    <row r="18" spans="1:3">
      <c r="A18" t="s">
        <v>147</v>
      </c>
      <c r="B18">
        <v>2020</v>
      </c>
      <c r="C18">
        <v>959</v>
      </c>
    </row>
    <row r="19" spans="1:3">
      <c r="A19" t="s">
        <v>147</v>
      </c>
      <c r="B19">
        <v>2021</v>
      </c>
      <c r="C19">
        <v>4016</v>
      </c>
    </row>
    <row r="20" spans="1:3">
      <c r="A20" t="s">
        <v>147</v>
      </c>
      <c r="B20">
        <v>2022</v>
      </c>
      <c r="C20">
        <v>1197</v>
      </c>
    </row>
    <row r="21" spans="1:3">
      <c r="A21" t="s">
        <v>147</v>
      </c>
      <c r="B21">
        <v>2023</v>
      </c>
      <c r="C21">
        <v>1172</v>
      </c>
    </row>
    <row r="22" spans="1:3">
      <c r="A22" t="s">
        <v>147</v>
      </c>
      <c r="B22">
        <v>2024</v>
      </c>
      <c r="C22">
        <v>2606</v>
      </c>
    </row>
    <row r="23" spans="1:3">
      <c r="A23" t="s">
        <v>147</v>
      </c>
      <c r="B23">
        <v>2025</v>
      </c>
      <c r="C23">
        <v>1272</v>
      </c>
    </row>
    <row r="24" spans="1:3">
      <c r="A24" t="s">
        <v>148</v>
      </c>
      <c r="B24">
        <v>2015</v>
      </c>
      <c r="C24">
        <v>439</v>
      </c>
    </row>
    <row r="25" spans="1:3">
      <c r="A25" t="s">
        <v>148</v>
      </c>
      <c r="B25">
        <v>2016</v>
      </c>
      <c r="C25">
        <v>82</v>
      </c>
    </row>
    <row r="26" spans="1:3">
      <c r="A26" t="s">
        <v>148</v>
      </c>
      <c r="B26">
        <v>2017</v>
      </c>
      <c r="C26">
        <v>203</v>
      </c>
    </row>
    <row r="27" spans="1:3">
      <c r="A27" t="s">
        <v>148</v>
      </c>
      <c r="B27">
        <v>2018</v>
      </c>
      <c r="C27">
        <v>75</v>
      </c>
    </row>
    <row r="28" spans="1:3">
      <c r="A28" t="s">
        <v>148</v>
      </c>
      <c r="B28">
        <v>2019</v>
      </c>
      <c r="C28">
        <v>1038</v>
      </c>
    </row>
    <row r="29" spans="1:3">
      <c r="A29" t="s">
        <v>148</v>
      </c>
      <c r="B29">
        <v>2020</v>
      </c>
      <c r="C29">
        <v>374</v>
      </c>
    </row>
    <row r="30" spans="1:3">
      <c r="A30" t="s">
        <v>148</v>
      </c>
      <c r="B30">
        <v>2021</v>
      </c>
      <c r="C30">
        <v>41</v>
      </c>
    </row>
    <row r="31" spans="1:3">
      <c r="A31" t="s">
        <v>148</v>
      </c>
      <c r="B31">
        <v>2022</v>
      </c>
      <c r="C31">
        <v>42</v>
      </c>
    </row>
    <row r="32" spans="1:3">
      <c r="A32" t="s">
        <v>148</v>
      </c>
      <c r="B32">
        <v>2023</v>
      </c>
      <c r="C32">
        <v>63</v>
      </c>
    </row>
    <row r="33" spans="1:3">
      <c r="A33" t="s">
        <v>148</v>
      </c>
      <c r="B33">
        <v>2024</v>
      </c>
      <c r="C33">
        <v>267</v>
      </c>
    </row>
    <row r="34" spans="1:3">
      <c r="A34" t="s">
        <v>148</v>
      </c>
      <c r="B34">
        <v>2025</v>
      </c>
      <c r="C34">
        <v>247</v>
      </c>
    </row>
    <row r="35" spans="1:3">
      <c r="A35" t="s">
        <v>149</v>
      </c>
      <c r="B35">
        <v>2015</v>
      </c>
      <c r="C35">
        <v>405</v>
      </c>
    </row>
    <row r="36" spans="1:3">
      <c r="A36" t="s">
        <v>149</v>
      </c>
      <c r="B36">
        <v>2016</v>
      </c>
      <c r="C36">
        <v>312</v>
      </c>
    </row>
    <row r="37" spans="1:3">
      <c r="A37" t="s">
        <v>149</v>
      </c>
      <c r="B37">
        <v>2017</v>
      </c>
      <c r="C37">
        <v>69</v>
      </c>
    </row>
    <row r="38" spans="1:3">
      <c r="A38" t="s">
        <v>149</v>
      </c>
      <c r="B38">
        <v>2018</v>
      </c>
      <c r="C38">
        <v>80</v>
      </c>
    </row>
    <row r="39" spans="1:3">
      <c r="A39" t="s">
        <v>149</v>
      </c>
      <c r="B39">
        <v>2019</v>
      </c>
      <c r="C39">
        <v>68</v>
      </c>
    </row>
    <row r="40" spans="1:3">
      <c r="A40" t="s">
        <v>149</v>
      </c>
      <c r="B40">
        <v>2020</v>
      </c>
      <c r="C40">
        <v>44</v>
      </c>
    </row>
    <row r="41" spans="1:3">
      <c r="A41" t="s">
        <v>149</v>
      </c>
      <c r="B41">
        <v>2021</v>
      </c>
      <c r="C41">
        <v>17</v>
      </c>
    </row>
    <row r="42" spans="1:3">
      <c r="A42" t="s">
        <v>149</v>
      </c>
      <c r="B42">
        <v>2022</v>
      </c>
      <c r="C42">
        <v>53</v>
      </c>
    </row>
    <row r="43" spans="1:3">
      <c r="A43" t="s">
        <v>149</v>
      </c>
      <c r="B43">
        <v>2023</v>
      </c>
      <c r="C43">
        <v>66</v>
      </c>
    </row>
    <row r="44" spans="1:3">
      <c r="A44" t="s">
        <v>149</v>
      </c>
      <c r="B44">
        <v>2024</v>
      </c>
      <c r="C44">
        <v>558</v>
      </c>
    </row>
    <row r="45" spans="1:3">
      <c r="A45" t="s">
        <v>149</v>
      </c>
      <c r="B45">
        <v>2025</v>
      </c>
      <c r="C45">
        <v>213</v>
      </c>
    </row>
    <row r="46" spans="1:3">
      <c r="A46" t="s">
        <v>150</v>
      </c>
      <c r="B46">
        <v>2015</v>
      </c>
      <c r="C46">
        <v>1471</v>
      </c>
    </row>
    <row r="47" spans="1:3">
      <c r="A47" t="s">
        <v>150</v>
      </c>
      <c r="B47">
        <v>2016</v>
      </c>
      <c r="C47">
        <v>742</v>
      </c>
    </row>
    <row r="48" spans="1:3">
      <c r="A48" t="s">
        <v>150</v>
      </c>
      <c r="B48">
        <v>2017</v>
      </c>
      <c r="C48">
        <v>303</v>
      </c>
    </row>
    <row r="49" spans="1:3">
      <c r="A49" t="s">
        <v>150</v>
      </c>
      <c r="B49">
        <v>2018</v>
      </c>
      <c r="C49">
        <v>294</v>
      </c>
    </row>
    <row r="50" spans="1:3">
      <c r="A50" t="s">
        <v>150</v>
      </c>
      <c r="B50">
        <v>2019</v>
      </c>
      <c r="C50">
        <v>204</v>
      </c>
    </row>
    <row r="51" spans="1:3">
      <c r="A51" t="s">
        <v>150</v>
      </c>
      <c r="B51">
        <v>2020</v>
      </c>
      <c r="C51">
        <v>234</v>
      </c>
    </row>
    <row r="52" spans="1:3">
      <c r="A52" t="s">
        <v>150</v>
      </c>
      <c r="B52">
        <v>2021</v>
      </c>
      <c r="C52">
        <v>623</v>
      </c>
    </row>
    <row r="53" spans="1:3">
      <c r="A53" t="s">
        <v>150</v>
      </c>
      <c r="B53">
        <v>2022</v>
      </c>
      <c r="C53">
        <v>260</v>
      </c>
    </row>
    <row r="54" spans="1:3">
      <c r="A54" t="s">
        <v>150</v>
      </c>
      <c r="B54">
        <v>2023</v>
      </c>
      <c r="C54">
        <v>481</v>
      </c>
    </row>
    <row r="55" spans="1:3">
      <c r="A55" t="s">
        <v>150</v>
      </c>
      <c r="B55">
        <v>2024</v>
      </c>
      <c r="C55">
        <v>3349</v>
      </c>
    </row>
    <row r="56" spans="1:3">
      <c r="A56" t="s">
        <v>150</v>
      </c>
      <c r="B56">
        <v>2025</v>
      </c>
      <c r="C56">
        <v>1034</v>
      </c>
    </row>
    <row r="57" spans="1:3">
      <c r="A57" t="s">
        <v>151</v>
      </c>
      <c r="B57">
        <v>2015</v>
      </c>
      <c r="C57">
        <v>1605</v>
      </c>
    </row>
    <row r="58" spans="1:3">
      <c r="A58" t="s">
        <v>151</v>
      </c>
      <c r="B58">
        <v>2016</v>
      </c>
      <c r="C58">
        <v>953</v>
      </c>
    </row>
    <row r="59" spans="1:3">
      <c r="A59" t="s">
        <v>151</v>
      </c>
      <c r="B59">
        <v>2017</v>
      </c>
      <c r="C59">
        <v>386</v>
      </c>
    </row>
    <row r="60" spans="1:3">
      <c r="A60" t="s">
        <v>151</v>
      </c>
      <c r="B60">
        <v>2018</v>
      </c>
      <c r="C60">
        <v>366</v>
      </c>
    </row>
    <row r="61" spans="1:3">
      <c r="A61" t="s">
        <v>151</v>
      </c>
      <c r="B61">
        <v>2019</v>
      </c>
      <c r="C61">
        <v>158</v>
      </c>
    </row>
    <row r="62" spans="1:3">
      <c r="A62" t="s">
        <v>151</v>
      </c>
      <c r="B62">
        <v>2020</v>
      </c>
      <c r="C62">
        <v>36</v>
      </c>
    </row>
    <row r="63" spans="1:3">
      <c r="A63" t="s">
        <v>151</v>
      </c>
      <c r="B63">
        <v>2021</v>
      </c>
      <c r="C63">
        <v>245</v>
      </c>
    </row>
    <row r="64" spans="1:3">
      <c r="A64" t="s">
        <v>151</v>
      </c>
      <c r="B64">
        <v>2022</v>
      </c>
      <c r="C64">
        <v>233</v>
      </c>
    </row>
    <row r="65" spans="1:3">
      <c r="A65" t="s">
        <v>151</v>
      </c>
      <c r="B65">
        <v>2023</v>
      </c>
      <c r="C65">
        <v>633</v>
      </c>
    </row>
    <row r="66" spans="1:3">
      <c r="A66" t="s">
        <v>151</v>
      </c>
      <c r="B66">
        <v>2024</v>
      </c>
      <c r="C66">
        <v>5757</v>
      </c>
    </row>
    <row r="67" spans="1:3">
      <c r="A67" t="s">
        <v>151</v>
      </c>
      <c r="B67">
        <v>2025</v>
      </c>
      <c r="C67">
        <v>1367</v>
      </c>
    </row>
    <row r="68" spans="1:3">
      <c r="A68" t="s">
        <v>152</v>
      </c>
      <c r="B68">
        <v>2015</v>
      </c>
      <c r="C68">
        <v>2896</v>
      </c>
    </row>
    <row r="69" spans="1:3">
      <c r="A69" t="s">
        <v>152</v>
      </c>
      <c r="B69">
        <v>2016</v>
      </c>
      <c r="C69">
        <v>5583</v>
      </c>
    </row>
    <row r="70" spans="1:3">
      <c r="A70" t="s">
        <v>152</v>
      </c>
      <c r="B70">
        <v>2017</v>
      </c>
      <c r="C70">
        <v>1261</v>
      </c>
    </row>
    <row r="71" spans="1:3">
      <c r="A71" t="s">
        <v>152</v>
      </c>
      <c r="B71">
        <v>2018</v>
      </c>
      <c r="C71">
        <v>765</v>
      </c>
    </row>
    <row r="72" spans="1:3">
      <c r="A72" t="s">
        <v>152</v>
      </c>
      <c r="B72">
        <v>2019</v>
      </c>
      <c r="C72">
        <v>1397</v>
      </c>
    </row>
    <row r="73" spans="1:3">
      <c r="A73" t="s">
        <v>152</v>
      </c>
      <c r="B73">
        <v>2020</v>
      </c>
      <c r="C73">
        <v>857</v>
      </c>
    </row>
    <row r="74" spans="1:3">
      <c r="A74" t="s">
        <v>152</v>
      </c>
      <c r="B74">
        <v>2021</v>
      </c>
      <c r="C74">
        <v>215</v>
      </c>
    </row>
    <row r="75" spans="1:3">
      <c r="A75" t="s">
        <v>152</v>
      </c>
      <c r="B75">
        <v>2022</v>
      </c>
      <c r="C75">
        <v>2409</v>
      </c>
    </row>
    <row r="76" spans="1:3">
      <c r="A76" t="s">
        <v>152</v>
      </c>
      <c r="B76">
        <v>2023</v>
      </c>
      <c r="C76">
        <v>1740</v>
      </c>
    </row>
    <row r="77" spans="1:3">
      <c r="A77" t="s">
        <v>152</v>
      </c>
      <c r="B77">
        <v>2024</v>
      </c>
      <c r="C77">
        <v>1998</v>
      </c>
    </row>
    <row r="78" spans="1:3">
      <c r="A78" t="s">
        <v>152</v>
      </c>
      <c r="B78">
        <v>2025</v>
      </c>
      <c r="C78">
        <v>1748</v>
      </c>
    </row>
    <row r="79" spans="1:3">
      <c r="A79" t="s">
        <v>153</v>
      </c>
      <c r="B79">
        <v>2015</v>
      </c>
      <c r="C79">
        <v>5135</v>
      </c>
    </row>
    <row r="80" spans="1:3">
      <c r="A80" t="s">
        <v>153</v>
      </c>
      <c r="B80">
        <v>2016</v>
      </c>
      <c r="C80">
        <v>3279</v>
      </c>
    </row>
    <row r="81" spans="1:3">
      <c r="A81" t="s">
        <v>153</v>
      </c>
      <c r="B81">
        <v>2017</v>
      </c>
      <c r="C81">
        <v>3127</v>
      </c>
    </row>
    <row r="82" spans="1:3">
      <c r="A82" t="s">
        <v>153</v>
      </c>
      <c r="B82">
        <v>2018</v>
      </c>
      <c r="C82">
        <v>1205</v>
      </c>
    </row>
    <row r="83" spans="1:3">
      <c r="A83" t="s">
        <v>153</v>
      </c>
      <c r="B83">
        <v>2019</v>
      </c>
      <c r="C83">
        <v>4890</v>
      </c>
    </row>
    <row r="84" spans="1:3">
      <c r="A84" t="s">
        <v>153</v>
      </c>
      <c r="B84">
        <v>2020</v>
      </c>
      <c r="C84">
        <v>1091</v>
      </c>
    </row>
    <row r="85" spans="1:3">
      <c r="A85" t="s">
        <v>153</v>
      </c>
      <c r="B85">
        <v>2021</v>
      </c>
      <c r="C85">
        <v>1338</v>
      </c>
    </row>
    <row r="86" spans="1:3">
      <c r="A86" t="s">
        <v>153</v>
      </c>
      <c r="B86">
        <v>2022</v>
      </c>
      <c r="C86">
        <v>18014</v>
      </c>
    </row>
    <row r="87" spans="1:3">
      <c r="A87" t="s">
        <v>153</v>
      </c>
      <c r="B87">
        <v>2023</v>
      </c>
      <c r="C87">
        <v>5127</v>
      </c>
    </row>
    <row r="88" spans="1:3">
      <c r="A88" t="s">
        <v>153</v>
      </c>
      <c r="B88">
        <v>2024</v>
      </c>
      <c r="C88">
        <v>7173</v>
      </c>
    </row>
    <row r="89" spans="1:3">
      <c r="A89" t="s">
        <v>153</v>
      </c>
      <c r="B89">
        <v>2025</v>
      </c>
      <c r="C89">
        <v>5153</v>
      </c>
    </row>
    <row r="90" spans="1:3">
      <c r="A90" t="s">
        <v>154</v>
      </c>
      <c r="B90">
        <v>2015</v>
      </c>
      <c r="C90">
        <v>27982</v>
      </c>
    </row>
    <row r="91" spans="1:3">
      <c r="A91" t="s">
        <v>154</v>
      </c>
      <c r="B91">
        <v>2016</v>
      </c>
      <c r="C91">
        <v>25099</v>
      </c>
    </row>
    <row r="92" spans="1:3">
      <c r="A92" t="s">
        <v>154</v>
      </c>
      <c r="B92">
        <v>2017</v>
      </c>
      <c r="C92">
        <v>23599</v>
      </c>
    </row>
    <row r="93" spans="1:3">
      <c r="A93" t="s">
        <v>154</v>
      </c>
      <c r="B93">
        <v>2018</v>
      </c>
      <c r="C93">
        <v>1480</v>
      </c>
    </row>
    <row r="94" spans="1:3">
      <c r="A94" t="s">
        <v>154</v>
      </c>
      <c r="B94">
        <v>2019</v>
      </c>
      <c r="C94">
        <v>4073</v>
      </c>
    </row>
    <row r="95" spans="1:3">
      <c r="A95" t="s">
        <v>154</v>
      </c>
      <c r="B95">
        <v>2020</v>
      </c>
      <c r="C95">
        <v>10044</v>
      </c>
    </row>
    <row r="96" spans="1:3">
      <c r="A96" t="s">
        <v>154</v>
      </c>
      <c r="B96">
        <v>2021</v>
      </c>
      <c r="C96">
        <v>15218</v>
      </c>
    </row>
    <row r="97" spans="1:3">
      <c r="A97" t="s">
        <v>154</v>
      </c>
      <c r="B97">
        <v>2022</v>
      </c>
      <c r="C97">
        <v>19278</v>
      </c>
    </row>
    <row r="98" spans="1:3">
      <c r="A98" t="s">
        <v>154</v>
      </c>
      <c r="B98">
        <v>2023</v>
      </c>
      <c r="C98">
        <v>5330</v>
      </c>
    </row>
    <row r="99" spans="1:3">
      <c r="A99" t="s">
        <v>154</v>
      </c>
      <c r="B99">
        <v>2024</v>
      </c>
      <c r="C99">
        <v>3635</v>
      </c>
    </row>
    <row r="100" spans="1:3">
      <c r="A100" t="s">
        <v>154</v>
      </c>
      <c r="B100">
        <v>2025</v>
      </c>
      <c r="C100">
        <v>807</v>
      </c>
    </row>
    <row r="101" spans="1:3">
      <c r="A101" t="s">
        <v>155</v>
      </c>
      <c r="B101">
        <v>2015</v>
      </c>
      <c r="C101">
        <v>8953</v>
      </c>
    </row>
    <row r="102" spans="1:3">
      <c r="A102" t="s">
        <v>155</v>
      </c>
      <c r="B102">
        <v>2016</v>
      </c>
      <c r="C102">
        <v>15359</v>
      </c>
    </row>
    <row r="103" spans="1:3">
      <c r="A103" t="s">
        <v>155</v>
      </c>
      <c r="B103">
        <v>2017</v>
      </c>
      <c r="C103">
        <v>4179</v>
      </c>
    </row>
    <row r="104" spans="1:3">
      <c r="A104" t="s">
        <v>155</v>
      </c>
      <c r="B104">
        <v>2018</v>
      </c>
      <c r="C104">
        <v>14954</v>
      </c>
    </row>
    <row r="105" spans="1:3">
      <c r="A105" t="s">
        <v>155</v>
      </c>
      <c r="B105">
        <v>2019</v>
      </c>
      <c r="C105">
        <v>18188</v>
      </c>
    </row>
    <row r="106" spans="1:3">
      <c r="A106" t="s">
        <v>155</v>
      </c>
      <c r="B106">
        <v>2020</v>
      </c>
      <c r="C106">
        <v>1371</v>
      </c>
    </row>
    <row r="107" spans="1:3">
      <c r="A107" t="s">
        <v>155</v>
      </c>
      <c r="B107">
        <v>2021</v>
      </c>
      <c r="C107">
        <v>1394</v>
      </c>
    </row>
    <row r="108" spans="1:3">
      <c r="A108" t="s">
        <v>155</v>
      </c>
      <c r="B108">
        <v>2022</v>
      </c>
      <c r="C108">
        <v>19005</v>
      </c>
    </row>
    <row r="109" spans="1:3">
      <c r="A109" t="s">
        <v>155</v>
      </c>
      <c r="B109">
        <v>2023</v>
      </c>
      <c r="C109">
        <v>3734</v>
      </c>
    </row>
    <row r="110" spans="1:3">
      <c r="A110" t="s">
        <v>155</v>
      </c>
      <c r="B110">
        <v>2024</v>
      </c>
      <c r="C110">
        <v>8234</v>
      </c>
    </row>
    <row r="111" spans="1:3">
      <c r="A111" t="s">
        <v>155</v>
      </c>
      <c r="B111">
        <v>2025</v>
      </c>
      <c r="C111">
        <v>5433</v>
      </c>
    </row>
    <row r="112" spans="1:3">
      <c r="A112" t="s">
        <v>156</v>
      </c>
      <c r="B112">
        <v>2015</v>
      </c>
      <c r="C112">
        <v>266</v>
      </c>
    </row>
    <row r="113" spans="1:3">
      <c r="A113" t="s">
        <v>156</v>
      </c>
      <c r="B113">
        <v>2016</v>
      </c>
      <c r="C113">
        <v>379</v>
      </c>
    </row>
    <row r="114" spans="1:3">
      <c r="A114" t="s">
        <v>156</v>
      </c>
      <c r="B114">
        <v>2017</v>
      </c>
      <c r="C114">
        <v>165</v>
      </c>
    </row>
    <row r="115" spans="1:3">
      <c r="A115" t="s">
        <v>156</v>
      </c>
      <c r="B115">
        <v>2018</v>
      </c>
      <c r="C115">
        <v>867</v>
      </c>
    </row>
    <row r="116" spans="1:3">
      <c r="A116" t="s">
        <v>156</v>
      </c>
      <c r="B116">
        <v>2019</v>
      </c>
      <c r="C116">
        <v>150</v>
      </c>
    </row>
    <row r="117" spans="1:3">
      <c r="A117" t="s">
        <v>156</v>
      </c>
      <c r="B117">
        <v>2020</v>
      </c>
      <c r="C117">
        <v>401</v>
      </c>
    </row>
    <row r="118" spans="1:3">
      <c r="A118" t="s">
        <v>156</v>
      </c>
      <c r="B118">
        <v>2021</v>
      </c>
      <c r="C118">
        <v>118</v>
      </c>
    </row>
    <row r="119" spans="1:3">
      <c r="A119" t="s">
        <v>156</v>
      </c>
      <c r="B119">
        <v>2022</v>
      </c>
      <c r="C119">
        <v>354</v>
      </c>
    </row>
    <row r="120" spans="1:3">
      <c r="A120" t="s">
        <v>156</v>
      </c>
      <c r="B120">
        <v>2023</v>
      </c>
      <c r="C120">
        <v>120</v>
      </c>
    </row>
    <row r="121" spans="1:3">
      <c r="A121" t="s">
        <v>156</v>
      </c>
      <c r="B121">
        <v>2024</v>
      </c>
      <c r="C121">
        <v>466</v>
      </c>
    </row>
    <row r="122" spans="1:3">
      <c r="A122" t="s">
        <v>156</v>
      </c>
      <c r="B122">
        <v>2025</v>
      </c>
      <c r="C122">
        <v>236</v>
      </c>
    </row>
    <row r="123" spans="1:3">
      <c r="A123" t="s">
        <v>157</v>
      </c>
      <c r="B123">
        <v>2015</v>
      </c>
      <c r="C123">
        <v>4688</v>
      </c>
    </row>
    <row r="124" spans="1:3">
      <c r="A124" t="s">
        <v>157</v>
      </c>
      <c r="B124">
        <v>2016</v>
      </c>
      <c r="C124">
        <v>7039</v>
      </c>
    </row>
    <row r="125" spans="1:3">
      <c r="A125" t="s">
        <v>157</v>
      </c>
      <c r="B125">
        <v>2017</v>
      </c>
      <c r="C125">
        <v>2548</v>
      </c>
    </row>
    <row r="126" spans="1:3">
      <c r="A126" t="s">
        <v>157</v>
      </c>
      <c r="B126">
        <v>2018</v>
      </c>
      <c r="C126">
        <v>3340</v>
      </c>
    </row>
    <row r="127" spans="1:3">
      <c r="A127" t="s">
        <v>157</v>
      </c>
      <c r="B127">
        <v>2019</v>
      </c>
      <c r="C127">
        <v>11488</v>
      </c>
    </row>
    <row r="128" spans="1:3">
      <c r="A128" t="s">
        <v>157</v>
      </c>
      <c r="B128">
        <v>2020</v>
      </c>
      <c r="C128">
        <v>2867</v>
      </c>
    </row>
    <row r="129" spans="1:3">
      <c r="A129" t="s">
        <v>157</v>
      </c>
      <c r="B129">
        <v>2021</v>
      </c>
      <c r="C129">
        <v>8545</v>
      </c>
    </row>
    <row r="130" spans="1:3">
      <c r="A130" t="s">
        <v>157</v>
      </c>
      <c r="B130">
        <v>2022</v>
      </c>
      <c r="C130">
        <v>11114</v>
      </c>
    </row>
    <row r="131" spans="1:3">
      <c r="A131" t="s">
        <v>157</v>
      </c>
      <c r="B131">
        <v>2023</v>
      </c>
      <c r="C131">
        <v>4339</v>
      </c>
    </row>
    <row r="132" spans="1:3">
      <c r="A132" t="s">
        <v>157</v>
      </c>
      <c r="B132">
        <v>2024</v>
      </c>
      <c r="C132">
        <v>7990</v>
      </c>
    </row>
    <row r="133" spans="1:3">
      <c r="A133" t="s">
        <v>157</v>
      </c>
      <c r="B133">
        <v>2025</v>
      </c>
      <c r="C133">
        <v>4464</v>
      </c>
    </row>
    <row r="134" spans="1:3">
      <c r="A134" t="s">
        <v>158</v>
      </c>
      <c r="B134">
        <v>2015</v>
      </c>
      <c r="C134">
        <v>693</v>
      </c>
    </row>
    <row r="135" spans="1:3">
      <c r="A135" t="s">
        <v>158</v>
      </c>
      <c r="B135">
        <v>2016</v>
      </c>
      <c r="C135">
        <v>817</v>
      </c>
    </row>
    <row r="136" spans="1:3">
      <c r="A136" t="s">
        <v>158</v>
      </c>
      <c r="B136">
        <v>2017</v>
      </c>
      <c r="C136">
        <v>297</v>
      </c>
    </row>
    <row r="137" spans="1:3">
      <c r="A137" t="s">
        <v>158</v>
      </c>
      <c r="B137">
        <v>2018</v>
      </c>
      <c r="C137">
        <v>273</v>
      </c>
    </row>
    <row r="138" spans="1:3">
      <c r="A138" t="s">
        <v>158</v>
      </c>
      <c r="B138">
        <v>2019</v>
      </c>
      <c r="C138">
        <v>230</v>
      </c>
    </row>
    <row r="139" spans="1:3">
      <c r="A139" t="s">
        <v>158</v>
      </c>
      <c r="B139">
        <v>2020</v>
      </c>
      <c r="C139">
        <v>143</v>
      </c>
    </row>
    <row r="140" spans="1:3">
      <c r="A140" t="s">
        <v>158</v>
      </c>
      <c r="B140">
        <v>2021</v>
      </c>
      <c r="C140">
        <v>91</v>
      </c>
    </row>
    <row r="141" spans="1:3">
      <c r="A141" t="s">
        <v>158</v>
      </c>
      <c r="B141">
        <v>2022</v>
      </c>
      <c r="C141">
        <v>355</v>
      </c>
    </row>
    <row r="142" spans="1:3">
      <c r="A142" t="s">
        <v>158</v>
      </c>
      <c r="B142">
        <v>2023</v>
      </c>
      <c r="C142">
        <v>107</v>
      </c>
    </row>
    <row r="143" spans="1:3">
      <c r="A143" t="s">
        <v>158</v>
      </c>
      <c r="B143">
        <v>2024</v>
      </c>
      <c r="C143">
        <v>276</v>
      </c>
    </row>
    <row r="144" spans="1:3">
      <c r="A144" t="s">
        <v>158</v>
      </c>
      <c r="B144">
        <v>2025</v>
      </c>
      <c r="C144">
        <v>227</v>
      </c>
    </row>
    <row r="145" spans="1:3">
      <c r="A145" t="s">
        <v>159</v>
      </c>
      <c r="B145">
        <v>2015</v>
      </c>
      <c r="C145">
        <v>4360</v>
      </c>
    </row>
    <row r="146" spans="1:3">
      <c r="A146" t="s">
        <v>159</v>
      </c>
      <c r="B146">
        <v>2016</v>
      </c>
      <c r="C146">
        <v>2734</v>
      </c>
    </row>
    <row r="147" spans="1:3">
      <c r="A147" t="s">
        <v>159</v>
      </c>
      <c r="B147">
        <v>2017</v>
      </c>
      <c r="C147">
        <v>170</v>
      </c>
    </row>
    <row r="148" spans="1:3">
      <c r="A148" t="s">
        <v>159</v>
      </c>
      <c r="B148">
        <v>2018</v>
      </c>
      <c r="C148">
        <v>750</v>
      </c>
    </row>
    <row r="149" spans="1:3">
      <c r="A149" t="s">
        <v>159</v>
      </c>
      <c r="B149">
        <v>2019</v>
      </c>
      <c r="C149">
        <v>4358</v>
      </c>
    </row>
    <row r="150" spans="1:3">
      <c r="A150" t="s">
        <v>159</v>
      </c>
      <c r="B150">
        <v>2020</v>
      </c>
      <c r="C150">
        <v>3120</v>
      </c>
    </row>
    <row r="151" spans="1:3">
      <c r="A151" t="s">
        <v>159</v>
      </c>
      <c r="B151">
        <v>2021</v>
      </c>
      <c r="C151">
        <v>9000</v>
      </c>
    </row>
    <row r="152" spans="1:3">
      <c r="A152" t="s">
        <v>159</v>
      </c>
      <c r="B152">
        <v>2022</v>
      </c>
      <c r="C152">
        <v>1554</v>
      </c>
    </row>
    <row r="153" spans="1:3">
      <c r="A153" t="s">
        <v>159</v>
      </c>
      <c r="B153">
        <v>2023</v>
      </c>
      <c r="C153">
        <v>965</v>
      </c>
    </row>
    <row r="154" spans="1:3">
      <c r="A154" t="s">
        <v>159</v>
      </c>
      <c r="B154">
        <v>2024</v>
      </c>
      <c r="C154">
        <v>1423</v>
      </c>
    </row>
    <row r="155" spans="1:3">
      <c r="A155" t="s">
        <v>159</v>
      </c>
      <c r="B155">
        <v>2025</v>
      </c>
      <c r="C155">
        <v>2781</v>
      </c>
    </row>
    <row r="156" spans="1:3">
      <c r="A156" t="s">
        <v>160</v>
      </c>
      <c r="B156">
        <v>2015</v>
      </c>
      <c r="C156">
        <v>1556</v>
      </c>
    </row>
    <row r="157" spans="1:3">
      <c r="A157" t="s">
        <v>160</v>
      </c>
      <c r="B157">
        <v>2016</v>
      </c>
      <c r="C157">
        <v>322</v>
      </c>
    </row>
    <row r="158" spans="1:3">
      <c r="A158" t="s">
        <v>160</v>
      </c>
      <c r="B158">
        <v>2017</v>
      </c>
      <c r="C158">
        <v>24</v>
      </c>
    </row>
    <row r="159" spans="1:3">
      <c r="A159" t="s">
        <v>160</v>
      </c>
      <c r="B159">
        <v>2018</v>
      </c>
      <c r="C159">
        <v>124</v>
      </c>
    </row>
    <row r="160" spans="1:3">
      <c r="A160" t="s">
        <v>160</v>
      </c>
      <c r="B160">
        <v>2019</v>
      </c>
      <c r="C160">
        <v>1482</v>
      </c>
    </row>
    <row r="161" spans="1:3">
      <c r="A161" t="s">
        <v>160</v>
      </c>
      <c r="B161">
        <v>2020</v>
      </c>
      <c r="C161">
        <v>2692</v>
      </c>
    </row>
    <row r="162" spans="1:3">
      <c r="A162" t="s">
        <v>160</v>
      </c>
      <c r="B162">
        <v>2021</v>
      </c>
      <c r="C162">
        <v>223</v>
      </c>
    </row>
    <row r="163" spans="1:3">
      <c r="A163" t="s">
        <v>160</v>
      </c>
      <c r="B163">
        <v>2022</v>
      </c>
      <c r="C163">
        <v>490</v>
      </c>
    </row>
    <row r="164" spans="1:3">
      <c r="A164" t="s">
        <v>160</v>
      </c>
      <c r="B164">
        <v>2023</v>
      </c>
      <c r="C164">
        <v>67</v>
      </c>
    </row>
    <row r="165" spans="1:3">
      <c r="A165" t="s">
        <v>160</v>
      </c>
      <c r="B165">
        <v>2024</v>
      </c>
      <c r="C165">
        <v>211</v>
      </c>
    </row>
    <row r="166" spans="1:3">
      <c r="A166" t="s">
        <v>160</v>
      </c>
      <c r="B166">
        <v>2025</v>
      </c>
      <c r="C166">
        <v>125</v>
      </c>
    </row>
    <row r="167" spans="1:3">
      <c r="A167" t="s">
        <v>161</v>
      </c>
      <c r="B167">
        <v>2015</v>
      </c>
      <c r="C167">
        <v>32078</v>
      </c>
    </row>
    <row r="168" spans="1:3">
      <c r="A168" t="s">
        <v>161</v>
      </c>
      <c r="B168">
        <v>2016</v>
      </c>
      <c r="C168">
        <v>18773</v>
      </c>
    </row>
    <row r="169" spans="1:3">
      <c r="A169" t="s">
        <v>161</v>
      </c>
      <c r="B169">
        <v>2017</v>
      </c>
      <c r="C169">
        <v>1749</v>
      </c>
    </row>
    <row r="170" spans="1:3">
      <c r="A170" t="s">
        <v>161</v>
      </c>
      <c r="B170">
        <v>2018</v>
      </c>
      <c r="C170">
        <v>2276</v>
      </c>
    </row>
    <row r="171" spans="1:3">
      <c r="A171" t="s">
        <v>161</v>
      </c>
      <c r="B171">
        <v>2019</v>
      </c>
      <c r="C171">
        <v>7236</v>
      </c>
    </row>
    <row r="172" spans="1:3">
      <c r="A172" t="s">
        <v>161</v>
      </c>
      <c r="B172">
        <v>2020</v>
      </c>
      <c r="C172">
        <v>2600</v>
      </c>
    </row>
    <row r="173" spans="1:3">
      <c r="A173" t="s">
        <v>161</v>
      </c>
      <c r="B173">
        <v>2021</v>
      </c>
      <c r="C173">
        <v>9924</v>
      </c>
    </row>
    <row r="174" spans="1:3">
      <c r="A174" t="s">
        <v>161</v>
      </c>
      <c r="B174">
        <v>2022</v>
      </c>
      <c r="C174">
        <v>2239</v>
      </c>
    </row>
    <row r="175" spans="1:3">
      <c r="A175" t="s">
        <v>161</v>
      </c>
      <c r="B175">
        <v>2023</v>
      </c>
      <c r="C175">
        <v>2435</v>
      </c>
    </row>
    <row r="176" spans="1:3">
      <c r="A176" t="s">
        <v>161</v>
      </c>
      <c r="B176">
        <v>2024</v>
      </c>
      <c r="C176">
        <v>4546</v>
      </c>
    </row>
    <row r="177" spans="1:3">
      <c r="A177" t="s">
        <v>161</v>
      </c>
      <c r="B177">
        <v>2025</v>
      </c>
      <c r="C177">
        <v>8350</v>
      </c>
    </row>
    <row r="178" spans="1:3">
      <c r="A178" t="s">
        <v>162</v>
      </c>
      <c r="B178">
        <v>2015</v>
      </c>
      <c r="C178">
        <v>4013</v>
      </c>
    </row>
    <row r="179" spans="1:3">
      <c r="A179" t="s">
        <v>162</v>
      </c>
      <c r="B179">
        <v>2016</v>
      </c>
      <c r="C179">
        <v>5802</v>
      </c>
    </row>
    <row r="180" spans="1:3">
      <c r="A180" t="s">
        <v>162</v>
      </c>
      <c r="B180">
        <v>2017</v>
      </c>
      <c r="C180">
        <v>725</v>
      </c>
    </row>
    <row r="181" spans="1:3">
      <c r="A181" t="s">
        <v>162</v>
      </c>
      <c r="B181">
        <v>2018</v>
      </c>
      <c r="C181">
        <v>431</v>
      </c>
    </row>
    <row r="182" spans="1:3">
      <c r="A182" t="s">
        <v>162</v>
      </c>
      <c r="B182">
        <v>2019</v>
      </c>
      <c r="C182">
        <v>5027</v>
      </c>
    </row>
    <row r="183" spans="1:3">
      <c r="A183" t="s">
        <v>162</v>
      </c>
      <c r="B183">
        <v>2020</v>
      </c>
      <c r="C183">
        <v>990</v>
      </c>
    </row>
    <row r="184" spans="1:3">
      <c r="A184" t="s">
        <v>162</v>
      </c>
      <c r="B184">
        <v>2021</v>
      </c>
      <c r="C184">
        <v>4135</v>
      </c>
    </row>
    <row r="185" spans="1:3">
      <c r="A185" t="s">
        <v>162</v>
      </c>
      <c r="B185">
        <v>2022</v>
      </c>
      <c r="C185">
        <v>15634</v>
      </c>
    </row>
    <row r="186" spans="1:3">
      <c r="A186" t="s">
        <v>162</v>
      </c>
      <c r="B186">
        <v>2023</v>
      </c>
      <c r="C186">
        <v>2463</v>
      </c>
    </row>
    <row r="187" spans="1:3">
      <c r="A187" t="s">
        <v>162</v>
      </c>
      <c r="B187">
        <v>2024</v>
      </c>
      <c r="C187">
        <v>8112</v>
      </c>
    </row>
    <row r="188" spans="1:3">
      <c r="A188" t="s">
        <v>162</v>
      </c>
      <c r="B188">
        <v>2025</v>
      </c>
      <c r="C188">
        <v>3062</v>
      </c>
    </row>
    <row r="189" spans="1:3">
      <c r="A189" t="s">
        <v>163</v>
      </c>
      <c r="B189">
        <v>2015</v>
      </c>
      <c r="C189">
        <v>3037</v>
      </c>
    </row>
    <row r="190" spans="1:3">
      <c r="A190" t="s">
        <v>163</v>
      </c>
      <c r="B190">
        <v>2016</v>
      </c>
      <c r="C190">
        <v>1252</v>
      </c>
    </row>
    <row r="191" spans="1:3">
      <c r="A191" t="s">
        <v>163</v>
      </c>
      <c r="B191">
        <v>2017</v>
      </c>
      <c r="C191">
        <v>283</v>
      </c>
    </row>
    <row r="192" spans="1:3">
      <c r="A192" t="s">
        <v>163</v>
      </c>
      <c r="B192">
        <v>2018</v>
      </c>
      <c r="C192">
        <v>167</v>
      </c>
    </row>
    <row r="193" spans="1:3">
      <c r="A193" t="s">
        <v>163</v>
      </c>
      <c r="B193">
        <v>2019</v>
      </c>
      <c r="C193">
        <v>2744</v>
      </c>
    </row>
    <row r="194" spans="1:3">
      <c r="A194" t="s">
        <v>163</v>
      </c>
      <c r="B194">
        <v>2020</v>
      </c>
      <c r="C194">
        <v>1074</v>
      </c>
    </row>
    <row r="195" spans="1:3">
      <c r="A195" t="s">
        <v>163</v>
      </c>
      <c r="B195">
        <v>2021</v>
      </c>
      <c r="C195">
        <v>224</v>
      </c>
    </row>
    <row r="196" spans="1:3">
      <c r="A196" t="s">
        <v>163</v>
      </c>
      <c r="B196">
        <v>2022</v>
      </c>
      <c r="C196">
        <v>3646</v>
      </c>
    </row>
    <row r="197" spans="1:3">
      <c r="A197" t="s">
        <v>163</v>
      </c>
      <c r="B197">
        <v>2023</v>
      </c>
      <c r="C197">
        <v>1474</v>
      </c>
    </row>
    <row r="198" spans="1:3">
      <c r="A198" t="s">
        <v>163</v>
      </c>
      <c r="B198">
        <v>2024</v>
      </c>
      <c r="C198">
        <v>868</v>
      </c>
    </row>
    <row r="199" spans="1:3">
      <c r="A199" t="s">
        <v>163</v>
      </c>
      <c r="B199">
        <v>2025</v>
      </c>
      <c r="C199">
        <v>678</v>
      </c>
    </row>
    <row r="200" spans="1:3">
      <c r="A200" t="s">
        <v>164</v>
      </c>
      <c r="B200">
        <v>2015</v>
      </c>
      <c r="C200">
        <v>1938</v>
      </c>
    </row>
    <row r="201" spans="1:3">
      <c r="A201" t="s">
        <v>164</v>
      </c>
      <c r="B201">
        <v>2016</v>
      </c>
      <c r="C201">
        <v>315</v>
      </c>
    </row>
    <row r="202" spans="1:3">
      <c r="A202" t="s">
        <v>164</v>
      </c>
      <c r="B202">
        <v>2017</v>
      </c>
      <c r="C202">
        <v>169</v>
      </c>
    </row>
    <row r="203" spans="1:3">
      <c r="A203" t="s">
        <v>164</v>
      </c>
      <c r="B203">
        <v>2018</v>
      </c>
      <c r="C203">
        <v>650</v>
      </c>
    </row>
    <row r="204" spans="1:3">
      <c r="A204" t="s">
        <v>164</v>
      </c>
      <c r="B204">
        <v>2019</v>
      </c>
      <c r="C204">
        <v>12551</v>
      </c>
    </row>
    <row r="205" spans="1:3">
      <c r="A205" t="s">
        <v>164</v>
      </c>
      <c r="B205">
        <v>2020</v>
      </c>
      <c r="C205">
        <v>3375</v>
      </c>
    </row>
    <row r="206" spans="1:3">
      <c r="A206" t="s">
        <v>164</v>
      </c>
      <c r="B206">
        <v>2021</v>
      </c>
      <c r="C206">
        <v>180</v>
      </c>
    </row>
    <row r="207" spans="1:3">
      <c r="A207" t="s">
        <v>164</v>
      </c>
      <c r="B207">
        <v>2022</v>
      </c>
      <c r="C207">
        <v>438</v>
      </c>
    </row>
    <row r="208" spans="1:3">
      <c r="A208" t="s">
        <v>164</v>
      </c>
      <c r="B208">
        <v>2023</v>
      </c>
      <c r="C208">
        <v>3133</v>
      </c>
    </row>
    <row r="209" spans="1:3">
      <c r="A209" t="s">
        <v>164</v>
      </c>
      <c r="B209">
        <v>2024</v>
      </c>
      <c r="C209">
        <v>8477</v>
      </c>
    </row>
    <row r="210" spans="1:3">
      <c r="A210" t="s">
        <v>164</v>
      </c>
      <c r="B210">
        <v>2025</v>
      </c>
      <c r="C210">
        <v>544</v>
      </c>
    </row>
    <row r="211" spans="1:3">
      <c r="A211" t="s">
        <v>165</v>
      </c>
      <c r="B211">
        <v>2015</v>
      </c>
      <c r="C211">
        <v>5775</v>
      </c>
    </row>
    <row r="212" spans="1:3">
      <c r="A212" t="s">
        <v>165</v>
      </c>
      <c r="B212">
        <v>2016</v>
      </c>
      <c r="C212">
        <v>3401</v>
      </c>
    </row>
    <row r="213" spans="1:3">
      <c r="A213" t="s">
        <v>165</v>
      </c>
      <c r="B213">
        <v>2017</v>
      </c>
      <c r="C213">
        <v>2128</v>
      </c>
    </row>
    <row r="214" spans="1:3">
      <c r="A214" t="s">
        <v>165</v>
      </c>
      <c r="B214">
        <v>2018</v>
      </c>
      <c r="C214">
        <v>1287</v>
      </c>
    </row>
    <row r="215" spans="1:3">
      <c r="A215" t="s">
        <v>165</v>
      </c>
      <c r="B215">
        <v>2019</v>
      </c>
      <c r="C215">
        <v>9571</v>
      </c>
    </row>
    <row r="216" spans="1:3">
      <c r="A216" t="s">
        <v>165</v>
      </c>
      <c r="B216">
        <v>2020</v>
      </c>
      <c r="C216">
        <v>10925</v>
      </c>
    </row>
    <row r="217" spans="1:3">
      <c r="A217" t="s">
        <v>165</v>
      </c>
      <c r="B217">
        <v>2021</v>
      </c>
      <c r="C217">
        <v>792</v>
      </c>
    </row>
    <row r="218" spans="1:3">
      <c r="A218" t="s">
        <v>165</v>
      </c>
      <c r="B218">
        <v>2022</v>
      </c>
      <c r="C218">
        <v>2650</v>
      </c>
    </row>
    <row r="219" spans="1:3">
      <c r="A219" t="s">
        <v>165</v>
      </c>
      <c r="B219">
        <v>2023</v>
      </c>
      <c r="C219">
        <v>13219</v>
      </c>
    </row>
    <row r="220" spans="1:3">
      <c r="A220" t="s">
        <v>165</v>
      </c>
      <c r="B220">
        <v>2024</v>
      </c>
      <c r="C220">
        <v>11202</v>
      </c>
    </row>
    <row r="221" spans="1:3">
      <c r="A221" t="s">
        <v>165</v>
      </c>
      <c r="B221">
        <v>2025</v>
      </c>
      <c r="C221">
        <v>3872</v>
      </c>
    </row>
    <row r="222" spans="1:3">
      <c r="A222" t="s">
        <v>166</v>
      </c>
      <c r="B222">
        <v>2015</v>
      </c>
      <c r="C222">
        <v>19162</v>
      </c>
    </row>
    <row r="223" spans="1:3">
      <c r="A223" t="s">
        <v>166</v>
      </c>
      <c r="B223">
        <v>2016</v>
      </c>
      <c r="C223">
        <v>161820</v>
      </c>
    </row>
    <row r="224" spans="1:3">
      <c r="A224" t="s">
        <v>166</v>
      </c>
      <c r="B224">
        <v>2017</v>
      </c>
      <c r="C224">
        <v>1590</v>
      </c>
    </row>
    <row r="225" spans="1:3">
      <c r="A225" t="s">
        <v>166</v>
      </c>
      <c r="B225">
        <v>2018</v>
      </c>
      <c r="C225">
        <v>1010</v>
      </c>
    </row>
    <row r="226" spans="1:3">
      <c r="A226" t="s">
        <v>166</v>
      </c>
      <c r="B226">
        <v>2019</v>
      </c>
      <c r="C226">
        <v>124704</v>
      </c>
    </row>
    <row r="227" spans="1:3">
      <c r="A227" t="s">
        <v>166</v>
      </c>
      <c r="B227">
        <v>2020</v>
      </c>
      <c r="C227">
        <v>6197</v>
      </c>
    </row>
    <row r="228" spans="1:3">
      <c r="A228" t="s">
        <v>166</v>
      </c>
      <c r="B228">
        <v>2021</v>
      </c>
      <c r="C228">
        <v>1631</v>
      </c>
    </row>
    <row r="229" spans="1:3">
      <c r="A229" t="s">
        <v>166</v>
      </c>
      <c r="B229">
        <v>2022</v>
      </c>
      <c r="C229">
        <v>2305</v>
      </c>
    </row>
    <row r="230" spans="1:3">
      <c r="A230" t="s">
        <v>166</v>
      </c>
      <c r="B230">
        <v>2023</v>
      </c>
      <c r="C230">
        <v>21410</v>
      </c>
    </row>
    <row r="231" spans="1:3">
      <c r="A231" t="s">
        <v>166</v>
      </c>
      <c r="B231">
        <v>2024</v>
      </c>
      <c r="C231">
        <v>251472</v>
      </c>
    </row>
    <row r="232" spans="1:3">
      <c r="A232" t="s">
        <v>166</v>
      </c>
      <c r="B232">
        <v>2025</v>
      </c>
      <c r="C232">
        <v>5161</v>
      </c>
    </row>
    <row r="233" spans="1:3">
      <c r="A233" t="s">
        <v>167</v>
      </c>
      <c r="B233">
        <v>2015</v>
      </c>
      <c r="C233">
        <v>22814</v>
      </c>
    </row>
    <row r="234" spans="1:3">
      <c r="A234" t="s">
        <v>167</v>
      </c>
      <c r="B234">
        <v>2016</v>
      </c>
      <c r="C234">
        <v>15990</v>
      </c>
    </row>
    <row r="235" spans="1:3">
      <c r="A235" t="s">
        <v>167</v>
      </c>
      <c r="B235">
        <v>2017</v>
      </c>
      <c r="C235">
        <v>785</v>
      </c>
    </row>
    <row r="236" spans="1:3">
      <c r="A236" t="s">
        <v>167</v>
      </c>
      <c r="B236">
        <v>2018</v>
      </c>
      <c r="C236">
        <v>325</v>
      </c>
    </row>
    <row r="237" spans="1:3">
      <c r="A237" t="s">
        <v>167</v>
      </c>
      <c r="B237">
        <v>2019</v>
      </c>
      <c r="C237">
        <v>50154</v>
      </c>
    </row>
    <row r="238" spans="1:3">
      <c r="A238" t="s">
        <v>167</v>
      </c>
      <c r="B238">
        <v>2020</v>
      </c>
      <c r="C238">
        <v>339</v>
      </c>
    </row>
    <row r="239" spans="1:3">
      <c r="A239" t="s">
        <v>167</v>
      </c>
      <c r="B239">
        <v>2021</v>
      </c>
      <c r="C239">
        <v>230</v>
      </c>
    </row>
    <row r="240" spans="1:3">
      <c r="A240" t="s">
        <v>167</v>
      </c>
      <c r="B240">
        <v>2022</v>
      </c>
      <c r="C240">
        <v>306</v>
      </c>
    </row>
    <row r="241" spans="1:3">
      <c r="A241" t="s">
        <v>167</v>
      </c>
      <c r="B241">
        <v>2023</v>
      </c>
      <c r="C241">
        <v>9972</v>
      </c>
    </row>
    <row r="242" spans="1:3">
      <c r="A242" t="s">
        <v>167</v>
      </c>
      <c r="B242">
        <v>2024</v>
      </c>
      <c r="C242">
        <v>56696</v>
      </c>
    </row>
    <row r="243" spans="1:3">
      <c r="A243" t="s">
        <v>167</v>
      </c>
      <c r="B243">
        <v>2025</v>
      </c>
      <c r="C243">
        <v>878</v>
      </c>
    </row>
    <row r="244" spans="1:3">
      <c r="A244" t="s">
        <v>168</v>
      </c>
      <c r="B244">
        <v>2015</v>
      </c>
      <c r="C244">
        <v>10111</v>
      </c>
    </row>
    <row r="245" spans="1:3">
      <c r="A245" t="s">
        <v>168</v>
      </c>
      <c r="B245">
        <v>2016</v>
      </c>
      <c r="C245">
        <v>36590</v>
      </c>
    </row>
    <row r="246" spans="1:3">
      <c r="A246" t="s">
        <v>168</v>
      </c>
      <c r="B246">
        <v>2017</v>
      </c>
      <c r="C246">
        <v>527</v>
      </c>
    </row>
    <row r="247" spans="1:3">
      <c r="A247" t="s">
        <v>168</v>
      </c>
      <c r="B247">
        <v>2018</v>
      </c>
      <c r="C247">
        <v>633</v>
      </c>
    </row>
    <row r="248" spans="1:3">
      <c r="A248" t="s">
        <v>168</v>
      </c>
      <c r="B248">
        <v>2019</v>
      </c>
      <c r="C248">
        <v>45068</v>
      </c>
    </row>
    <row r="249" spans="1:3">
      <c r="A249" t="s">
        <v>168</v>
      </c>
      <c r="B249">
        <v>2020</v>
      </c>
      <c r="C249">
        <v>1603</v>
      </c>
    </row>
    <row r="250" spans="1:3">
      <c r="A250" t="s">
        <v>168</v>
      </c>
      <c r="B250">
        <v>2021</v>
      </c>
      <c r="C250">
        <v>333</v>
      </c>
    </row>
    <row r="251" spans="1:3">
      <c r="A251" t="s">
        <v>168</v>
      </c>
      <c r="B251">
        <v>2022</v>
      </c>
      <c r="C251">
        <v>436</v>
      </c>
    </row>
    <row r="252" spans="1:3">
      <c r="A252" t="s">
        <v>168</v>
      </c>
      <c r="B252">
        <v>2023</v>
      </c>
      <c r="C252">
        <v>6516</v>
      </c>
    </row>
    <row r="253" spans="1:3">
      <c r="A253" t="s">
        <v>168</v>
      </c>
      <c r="B253">
        <v>2024</v>
      </c>
      <c r="C253">
        <v>70965</v>
      </c>
    </row>
    <row r="254" spans="1:3">
      <c r="A254" t="s">
        <v>168</v>
      </c>
      <c r="B254">
        <v>2025</v>
      </c>
      <c r="C254">
        <v>2180</v>
      </c>
    </row>
    <row r="255" spans="1:3">
      <c r="A255" t="s">
        <v>169</v>
      </c>
      <c r="B255">
        <v>2015</v>
      </c>
      <c r="C255">
        <v>4678</v>
      </c>
    </row>
    <row r="256" spans="1:3">
      <c r="A256" t="s">
        <v>169</v>
      </c>
      <c r="B256">
        <v>2016</v>
      </c>
      <c r="C256">
        <v>35013</v>
      </c>
    </row>
    <row r="257" spans="1:3">
      <c r="A257" t="s">
        <v>169</v>
      </c>
      <c r="B257">
        <v>2017</v>
      </c>
      <c r="C257">
        <v>102</v>
      </c>
    </row>
    <row r="258" spans="1:3">
      <c r="A258" t="s">
        <v>169</v>
      </c>
      <c r="B258">
        <v>2018</v>
      </c>
      <c r="C258">
        <v>162</v>
      </c>
    </row>
    <row r="259" spans="1:3">
      <c r="A259" t="s">
        <v>169</v>
      </c>
      <c r="B259">
        <v>2019</v>
      </c>
      <c r="C259">
        <v>7605</v>
      </c>
    </row>
    <row r="260" spans="1:3">
      <c r="A260" t="s">
        <v>169</v>
      </c>
      <c r="B260">
        <v>2020</v>
      </c>
      <c r="C260">
        <v>173</v>
      </c>
    </row>
    <row r="261" spans="1:3">
      <c r="A261" t="s">
        <v>169</v>
      </c>
      <c r="B261">
        <v>2021</v>
      </c>
      <c r="C261">
        <v>43</v>
      </c>
    </row>
    <row r="262" spans="1:3">
      <c r="A262" t="s">
        <v>169</v>
      </c>
      <c r="B262">
        <v>2022</v>
      </c>
      <c r="C262">
        <v>117</v>
      </c>
    </row>
    <row r="263" spans="1:3">
      <c r="A263" t="s">
        <v>169</v>
      </c>
      <c r="B263">
        <v>2023</v>
      </c>
      <c r="C263">
        <v>1630</v>
      </c>
    </row>
    <row r="264" spans="1:3">
      <c r="A264" t="s">
        <v>169</v>
      </c>
      <c r="B264">
        <v>2024</v>
      </c>
      <c r="C264">
        <v>24025</v>
      </c>
    </row>
    <row r="265" spans="1:3">
      <c r="A265" t="s">
        <v>169</v>
      </c>
      <c r="B265">
        <v>2025</v>
      </c>
      <c r="C265">
        <v>4221</v>
      </c>
    </row>
    <row r="266" spans="1:3">
      <c r="A266" t="s">
        <v>170</v>
      </c>
      <c r="B266">
        <v>2015</v>
      </c>
      <c r="C266">
        <v>1268</v>
      </c>
    </row>
    <row r="267" spans="1:3">
      <c r="A267" t="s">
        <v>170</v>
      </c>
      <c r="B267">
        <v>2016</v>
      </c>
      <c r="C267">
        <v>2214</v>
      </c>
    </row>
    <row r="268" spans="1:3">
      <c r="A268" t="s">
        <v>170</v>
      </c>
      <c r="B268">
        <v>2017</v>
      </c>
      <c r="C268">
        <v>105</v>
      </c>
    </row>
    <row r="269" spans="1:3">
      <c r="A269" t="s">
        <v>170</v>
      </c>
      <c r="B269">
        <v>2018</v>
      </c>
      <c r="C269">
        <v>246</v>
      </c>
    </row>
    <row r="270" spans="1:3">
      <c r="A270" t="s">
        <v>170</v>
      </c>
      <c r="B270">
        <v>2019</v>
      </c>
      <c r="C270">
        <v>8422</v>
      </c>
    </row>
    <row r="271" spans="1:3">
      <c r="A271" t="s">
        <v>170</v>
      </c>
      <c r="B271">
        <v>2020</v>
      </c>
      <c r="C271">
        <v>81</v>
      </c>
    </row>
    <row r="272" spans="1:3">
      <c r="A272" t="s">
        <v>170</v>
      </c>
      <c r="B272">
        <v>2021</v>
      </c>
      <c r="C272">
        <v>31</v>
      </c>
    </row>
    <row r="273" spans="1:3">
      <c r="A273" t="s">
        <v>170</v>
      </c>
      <c r="B273">
        <v>2022</v>
      </c>
      <c r="C273">
        <v>300</v>
      </c>
    </row>
    <row r="274" spans="1:3">
      <c r="A274" t="s">
        <v>170</v>
      </c>
      <c r="B274">
        <v>2023</v>
      </c>
      <c r="C274">
        <v>8526</v>
      </c>
    </row>
    <row r="275" spans="1:3">
      <c r="A275" t="s">
        <v>170</v>
      </c>
      <c r="B275">
        <v>2024</v>
      </c>
      <c r="C275">
        <v>17417</v>
      </c>
    </row>
    <row r="276" spans="1:3">
      <c r="A276" t="s">
        <v>170</v>
      </c>
      <c r="B276">
        <v>2025</v>
      </c>
      <c r="C276">
        <v>570</v>
      </c>
    </row>
    <row r="277" spans="1:3">
      <c r="A277" t="s">
        <v>171</v>
      </c>
      <c r="B277">
        <v>2015</v>
      </c>
      <c r="C277">
        <v>16768</v>
      </c>
    </row>
    <row r="278" spans="1:3">
      <c r="A278" t="s">
        <v>171</v>
      </c>
      <c r="B278">
        <v>2016</v>
      </c>
      <c r="C278">
        <v>9465</v>
      </c>
    </row>
    <row r="279" spans="1:3">
      <c r="A279" t="s">
        <v>171</v>
      </c>
      <c r="B279">
        <v>2017</v>
      </c>
      <c r="C279">
        <v>1767</v>
      </c>
    </row>
    <row r="280" spans="1:3">
      <c r="A280" t="s">
        <v>171</v>
      </c>
      <c r="B280">
        <v>2018</v>
      </c>
      <c r="C280">
        <v>1969</v>
      </c>
    </row>
    <row r="281" spans="1:3">
      <c r="A281" t="s">
        <v>171</v>
      </c>
      <c r="B281">
        <v>2019</v>
      </c>
      <c r="C281">
        <v>30950</v>
      </c>
    </row>
    <row r="282" spans="1:3">
      <c r="A282" t="s">
        <v>171</v>
      </c>
      <c r="B282">
        <v>2020</v>
      </c>
      <c r="C282">
        <v>1986</v>
      </c>
    </row>
    <row r="283" spans="1:3">
      <c r="A283" t="s">
        <v>171</v>
      </c>
      <c r="B283">
        <v>2021</v>
      </c>
      <c r="C283">
        <v>686</v>
      </c>
    </row>
    <row r="284" spans="1:3">
      <c r="A284" t="s">
        <v>171</v>
      </c>
      <c r="B284">
        <v>2022</v>
      </c>
      <c r="C284">
        <v>5196</v>
      </c>
    </row>
    <row r="285" spans="1:3">
      <c r="A285" t="s">
        <v>171</v>
      </c>
      <c r="B285">
        <v>2023</v>
      </c>
      <c r="C285">
        <v>28106</v>
      </c>
    </row>
    <row r="286" spans="1:3">
      <c r="A286" t="s">
        <v>171</v>
      </c>
      <c r="B286">
        <v>2024</v>
      </c>
      <c r="C286">
        <v>27118</v>
      </c>
    </row>
    <row r="287" spans="1:3">
      <c r="A287" t="s">
        <v>171</v>
      </c>
      <c r="B287">
        <v>2025</v>
      </c>
      <c r="C287">
        <v>27007</v>
      </c>
    </row>
    <row r="288" spans="1:3">
      <c r="A288" t="s">
        <v>172</v>
      </c>
      <c r="B288">
        <v>2015</v>
      </c>
      <c r="C288">
        <v>4218</v>
      </c>
    </row>
    <row r="289" spans="1:3">
      <c r="A289" t="s">
        <v>172</v>
      </c>
      <c r="B289">
        <v>2016</v>
      </c>
      <c r="C289">
        <v>4694</v>
      </c>
    </row>
    <row r="290" spans="1:3">
      <c r="A290" t="s">
        <v>172</v>
      </c>
      <c r="B290">
        <v>2017</v>
      </c>
      <c r="C290">
        <v>702</v>
      </c>
    </row>
    <row r="291" spans="1:3">
      <c r="A291" t="s">
        <v>172</v>
      </c>
      <c r="B291">
        <v>2018</v>
      </c>
      <c r="C291">
        <v>1176</v>
      </c>
    </row>
    <row r="292" spans="1:3">
      <c r="A292" t="s">
        <v>172</v>
      </c>
      <c r="B292">
        <v>2019</v>
      </c>
      <c r="C292">
        <v>16645</v>
      </c>
    </row>
    <row r="293" spans="1:3">
      <c r="A293" t="s">
        <v>172</v>
      </c>
      <c r="B293">
        <v>2020</v>
      </c>
      <c r="C293">
        <v>38</v>
      </c>
    </row>
    <row r="294" spans="1:3">
      <c r="A294" t="s">
        <v>172</v>
      </c>
      <c r="B294">
        <v>2021</v>
      </c>
      <c r="C294" t="s">
        <v>225</v>
      </c>
    </row>
    <row r="295" spans="1:3">
      <c r="A295" t="s">
        <v>172</v>
      </c>
      <c r="B295">
        <v>2022</v>
      </c>
      <c r="C295" t="s">
        <v>225</v>
      </c>
    </row>
    <row r="296" spans="1:3">
      <c r="A296" t="s">
        <v>172</v>
      </c>
      <c r="B296">
        <v>2023</v>
      </c>
      <c r="C296">
        <v>25194</v>
      </c>
    </row>
    <row r="297" spans="1:3">
      <c r="A297" t="s">
        <v>172</v>
      </c>
      <c r="B297">
        <v>2024</v>
      </c>
      <c r="C297">
        <v>20168</v>
      </c>
    </row>
    <row r="298" spans="1:3">
      <c r="A298" t="s">
        <v>172</v>
      </c>
      <c r="B298">
        <v>2025</v>
      </c>
      <c r="C298">
        <v>8345</v>
      </c>
    </row>
    <row r="299" spans="1:3">
      <c r="A299" t="s">
        <v>173</v>
      </c>
      <c r="B299">
        <v>2015</v>
      </c>
      <c r="C299">
        <v>3152</v>
      </c>
    </row>
    <row r="300" spans="1:3">
      <c r="A300" t="s">
        <v>173</v>
      </c>
      <c r="B300">
        <v>2016</v>
      </c>
      <c r="C300">
        <v>2721</v>
      </c>
    </row>
    <row r="301" spans="1:3">
      <c r="A301" t="s">
        <v>173</v>
      </c>
      <c r="B301">
        <v>2017</v>
      </c>
      <c r="C301">
        <v>1628</v>
      </c>
    </row>
    <row r="302" spans="1:3">
      <c r="A302" t="s">
        <v>173</v>
      </c>
      <c r="B302">
        <v>2018</v>
      </c>
      <c r="C302">
        <v>1307</v>
      </c>
    </row>
    <row r="303" spans="1:3">
      <c r="A303" t="s">
        <v>173</v>
      </c>
      <c r="B303">
        <v>2019</v>
      </c>
      <c r="C303">
        <v>6951</v>
      </c>
    </row>
    <row r="304" spans="1:3">
      <c r="A304" t="s">
        <v>173</v>
      </c>
      <c r="B304">
        <v>2020</v>
      </c>
      <c r="C304" t="s">
        <v>225</v>
      </c>
    </row>
    <row r="305" spans="1:3">
      <c r="A305" t="s">
        <v>173</v>
      </c>
      <c r="B305">
        <v>2021</v>
      </c>
      <c r="C305" t="s">
        <v>225</v>
      </c>
    </row>
    <row r="306" spans="1:3">
      <c r="A306" t="s">
        <v>173</v>
      </c>
      <c r="B306">
        <v>2022</v>
      </c>
      <c r="C306" t="s">
        <v>225</v>
      </c>
    </row>
    <row r="307" spans="1:3">
      <c r="A307" t="s">
        <v>173</v>
      </c>
      <c r="B307">
        <v>2023</v>
      </c>
      <c r="C307">
        <v>16549</v>
      </c>
    </row>
    <row r="308" spans="1:3">
      <c r="A308" t="s">
        <v>173</v>
      </c>
      <c r="B308">
        <v>2024</v>
      </c>
      <c r="C308">
        <v>16623</v>
      </c>
    </row>
    <row r="309" spans="1:3">
      <c r="A309" t="s">
        <v>173</v>
      </c>
      <c r="B309">
        <v>2025</v>
      </c>
      <c r="C309">
        <v>4181</v>
      </c>
    </row>
    <row r="310" spans="1:3">
      <c r="A310" t="s">
        <v>174</v>
      </c>
      <c r="B310">
        <v>2015</v>
      </c>
      <c r="C310">
        <v>83</v>
      </c>
    </row>
    <row r="311" spans="1:3">
      <c r="A311" t="s">
        <v>174</v>
      </c>
      <c r="B311">
        <v>2016</v>
      </c>
      <c r="C311">
        <v>31</v>
      </c>
    </row>
    <row r="312" spans="1:3">
      <c r="A312" t="s">
        <v>174</v>
      </c>
      <c r="B312">
        <v>2017</v>
      </c>
      <c r="C312">
        <v>1</v>
      </c>
    </row>
    <row r="313" spans="1:3">
      <c r="A313" t="s">
        <v>174</v>
      </c>
      <c r="B313">
        <v>2018</v>
      </c>
      <c r="C313">
        <v>49</v>
      </c>
    </row>
    <row r="314" spans="1:3">
      <c r="A314" t="s">
        <v>174</v>
      </c>
      <c r="B314">
        <v>2019</v>
      </c>
      <c r="C314">
        <v>353</v>
      </c>
    </row>
    <row r="315" spans="1:3">
      <c r="A315" t="s">
        <v>174</v>
      </c>
      <c r="B315">
        <v>2020</v>
      </c>
      <c r="C315">
        <v>35</v>
      </c>
    </row>
    <row r="316" spans="1:3">
      <c r="A316" t="s">
        <v>174</v>
      </c>
      <c r="B316">
        <v>2021</v>
      </c>
      <c r="C316">
        <v>7</v>
      </c>
    </row>
    <row r="317" spans="1:3">
      <c r="A317" t="s">
        <v>174</v>
      </c>
      <c r="B317">
        <v>2022</v>
      </c>
      <c r="C317">
        <v>166</v>
      </c>
    </row>
    <row r="318" spans="1:3">
      <c r="A318" t="s">
        <v>174</v>
      </c>
      <c r="B318">
        <v>2023</v>
      </c>
      <c r="C318">
        <v>172</v>
      </c>
    </row>
    <row r="319" spans="1:3">
      <c r="A319" t="s">
        <v>174</v>
      </c>
      <c r="B319">
        <v>2024</v>
      </c>
      <c r="C319">
        <v>175</v>
      </c>
    </row>
    <row r="320" spans="1:3">
      <c r="A320" t="s">
        <v>174</v>
      </c>
      <c r="B320">
        <v>2025</v>
      </c>
      <c r="C320">
        <v>33</v>
      </c>
    </row>
    <row r="321" spans="1:3">
      <c r="A321" t="s">
        <v>175</v>
      </c>
      <c r="B321">
        <v>2015</v>
      </c>
      <c r="C321">
        <v>4672</v>
      </c>
    </row>
    <row r="322" spans="1:3">
      <c r="A322" t="s">
        <v>175</v>
      </c>
      <c r="B322">
        <v>2016</v>
      </c>
      <c r="C322">
        <v>1705</v>
      </c>
    </row>
    <row r="323" spans="1:3">
      <c r="A323" t="s">
        <v>175</v>
      </c>
      <c r="B323">
        <v>2017</v>
      </c>
      <c r="C323">
        <v>63</v>
      </c>
    </row>
    <row r="324" spans="1:3">
      <c r="A324" t="s">
        <v>175</v>
      </c>
      <c r="B324">
        <v>2018</v>
      </c>
      <c r="C324">
        <v>150</v>
      </c>
    </row>
    <row r="325" spans="1:3">
      <c r="A325" t="s">
        <v>175</v>
      </c>
      <c r="B325">
        <v>2019</v>
      </c>
      <c r="C325">
        <v>77</v>
      </c>
    </row>
    <row r="326" spans="1:3">
      <c r="A326" t="s">
        <v>175</v>
      </c>
      <c r="B326">
        <v>2020</v>
      </c>
      <c r="C326">
        <v>8</v>
      </c>
    </row>
    <row r="327" spans="1:3">
      <c r="A327" t="s">
        <v>175</v>
      </c>
      <c r="B327">
        <v>2021</v>
      </c>
      <c r="C327">
        <v>34</v>
      </c>
    </row>
    <row r="328" spans="1:3">
      <c r="A328" t="s">
        <v>175</v>
      </c>
      <c r="B328">
        <v>2022</v>
      </c>
      <c r="C328">
        <v>224</v>
      </c>
    </row>
    <row r="329" spans="1:3">
      <c r="A329" t="s">
        <v>175</v>
      </c>
      <c r="B329">
        <v>2023</v>
      </c>
      <c r="C329">
        <v>3644</v>
      </c>
    </row>
    <row r="330" spans="1:3">
      <c r="A330" t="s">
        <v>175</v>
      </c>
      <c r="B330">
        <v>2024</v>
      </c>
      <c r="C330">
        <v>19797</v>
      </c>
    </row>
    <row r="331" spans="1:3">
      <c r="A331" t="s">
        <v>175</v>
      </c>
      <c r="B331">
        <v>2025</v>
      </c>
      <c r="C331">
        <v>318</v>
      </c>
    </row>
    <row r="332" spans="1:3">
      <c r="A332" t="s">
        <v>176</v>
      </c>
      <c r="B332">
        <v>2015</v>
      </c>
      <c r="C332">
        <v>295</v>
      </c>
    </row>
    <row r="333" spans="1:3">
      <c r="A333" t="s">
        <v>176</v>
      </c>
      <c r="B333">
        <v>2016</v>
      </c>
      <c r="C333">
        <v>1764</v>
      </c>
    </row>
    <row r="334" spans="1:3">
      <c r="A334" t="s">
        <v>176</v>
      </c>
      <c r="B334">
        <v>2017</v>
      </c>
      <c r="C334">
        <v>400</v>
      </c>
    </row>
    <row r="335" spans="1:3">
      <c r="A335" t="s">
        <v>176</v>
      </c>
      <c r="B335">
        <v>2018</v>
      </c>
      <c r="C335">
        <v>309</v>
      </c>
    </row>
    <row r="336" spans="1:3">
      <c r="A336" t="s">
        <v>176</v>
      </c>
      <c r="B336">
        <v>2019</v>
      </c>
      <c r="C336">
        <v>736</v>
      </c>
    </row>
    <row r="337" spans="1:3">
      <c r="A337" t="s">
        <v>176</v>
      </c>
      <c r="B337">
        <v>2020</v>
      </c>
      <c r="C337">
        <v>49</v>
      </c>
    </row>
    <row r="338" spans="1:3">
      <c r="A338" t="s">
        <v>176</v>
      </c>
      <c r="B338">
        <v>2021</v>
      </c>
      <c r="C338">
        <v>83</v>
      </c>
    </row>
    <row r="339" spans="1:3">
      <c r="A339" t="s">
        <v>176</v>
      </c>
      <c r="B339">
        <v>2022</v>
      </c>
      <c r="C339">
        <v>479</v>
      </c>
    </row>
    <row r="340" spans="1:3">
      <c r="A340" t="s">
        <v>176</v>
      </c>
      <c r="B340">
        <v>2023</v>
      </c>
      <c r="C340">
        <v>1720</v>
      </c>
    </row>
    <row r="341" spans="1:3">
      <c r="A341" t="s">
        <v>176</v>
      </c>
      <c r="B341">
        <v>2024</v>
      </c>
      <c r="C341">
        <v>7169</v>
      </c>
    </row>
    <row r="342" spans="1:3">
      <c r="A342" t="s">
        <v>176</v>
      </c>
      <c r="B342">
        <v>2025</v>
      </c>
      <c r="C342">
        <v>775</v>
      </c>
    </row>
    <row r="343" spans="1:3">
      <c r="A343" t="s">
        <v>177</v>
      </c>
      <c r="B343">
        <v>2015</v>
      </c>
      <c r="C343">
        <v>846</v>
      </c>
    </row>
    <row r="344" spans="1:3">
      <c r="A344" t="s">
        <v>177</v>
      </c>
      <c r="B344">
        <v>2016</v>
      </c>
      <c r="C344">
        <v>3908</v>
      </c>
    </row>
    <row r="345" spans="1:3">
      <c r="A345" t="s">
        <v>177</v>
      </c>
      <c r="B345">
        <v>2017</v>
      </c>
      <c r="C345">
        <v>985</v>
      </c>
    </row>
    <row r="346" spans="1:3">
      <c r="A346" t="s">
        <v>177</v>
      </c>
      <c r="B346">
        <v>2018</v>
      </c>
      <c r="C346">
        <v>1907</v>
      </c>
    </row>
    <row r="347" spans="1:3">
      <c r="A347" t="s">
        <v>177</v>
      </c>
      <c r="B347">
        <v>2019</v>
      </c>
      <c r="C347">
        <v>374</v>
      </c>
    </row>
    <row r="348" spans="1:3">
      <c r="A348" t="s">
        <v>177</v>
      </c>
      <c r="B348">
        <v>2020</v>
      </c>
      <c r="C348">
        <v>78</v>
      </c>
    </row>
    <row r="349" spans="1:3">
      <c r="A349" t="s">
        <v>177</v>
      </c>
      <c r="B349">
        <v>2021</v>
      </c>
      <c r="C349">
        <v>23</v>
      </c>
    </row>
    <row r="350" spans="1:3">
      <c r="A350" t="s">
        <v>177</v>
      </c>
      <c r="B350">
        <v>2022</v>
      </c>
      <c r="C350">
        <v>49</v>
      </c>
    </row>
    <row r="351" spans="1:3">
      <c r="A351" t="s">
        <v>177</v>
      </c>
      <c r="B351">
        <v>2023</v>
      </c>
      <c r="C351">
        <v>187</v>
      </c>
    </row>
    <row r="352" spans="1:3">
      <c r="A352" t="s">
        <v>177</v>
      </c>
      <c r="B352">
        <v>2024</v>
      </c>
      <c r="C352">
        <v>2517</v>
      </c>
    </row>
    <row r="353" spans="1:3">
      <c r="A353" t="s">
        <v>177</v>
      </c>
      <c r="B353">
        <v>2025</v>
      </c>
      <c r="C353">
        <v>306</v>
      </c>
    </row>
    <row r="354" spans="1:3">
      <c r="A354" t="s">
        <v>178</v>
      </c>
      <c r="B354">
        <v>2015</v>
      </c>
      <c r="C354">
        <v>259</v>
      </c>
    </row>
    <row r="355" spans="1:3">
      <c r="A355" t="s">
        <v>178</v>
      </c>
      <c r="B355">
        <v>2016</v>
      </c>
      <c r="C355">
        <v>342</v>
      </c>
    </row>
    <row r="356" spans="1:3">
      <c r="A356" t="s">
        <v>178</v>
      </c>
      <c r="B356">
        <v>2017</v>
      </c>
      <c r="C356">
        <v>11</v>
      </c>
    </row>
    <row r="357" spans="1:3">
      <c r="A357" t="s">
        <v>178</v>
      </c>
      <c r="B357">
        <v>2018</v>
      </c>
      <c r="C357">
        <v>13</v>
      </c>
    </row>
    <row r="358" spans="1:3">
      <c r="A358" t="s">
        <v>178</v>
      </c>
      <c r="B358">
        <v>2019</v>
      </c>
      <c r="C358">
        <v>78</v>
      </c>
    </row>
    <row r="359" spans="1:3">
      <c r="A359" t="s">
        <v>178</v>
      </c>
      <c r="B359">
        <v>2020</v>
      </c>
      <c r="C359">
        <v>11</v>
      </c>
    </row>
    <row r="360" spans="1:3">
      <c r="A360" t="s">
        <v>178</v>
      </c>
      <c r="B360">
        <v>2021</v>
      </c>
      <c r="C360">
        <v>26</v>
      </c>
    </row>
    <row r="361" spans="1:3">
      <c r="A361" t="s">
        <v>178</v>
      </c>
      <c r="B361">
        <v>2022</v>
      </c>
      <c r="C361">
        <v>38</v>
      </c>
    </row>
    <row r="362" spans="1:3">
      <c r="A362" t="s">
        <v>178</v>
      </c>
      <c r="B362">
        <v>2023</v>
      </c>
      <c r="C362">
        <v>657</v>
      </c>
    </row>
    <row r="363" spans="1:3">
      <c r="A363" t="s">
        <v>178</v>
      </c>
      <c r="B363">
        <v>2024</v>
      </c>
      <c r="C363">
        <v>1643</v>
      </c>
    </row>
    <row r="364" spans="1:3">
      <c r="A364" t="s">
        <v>178</v>
      </c>
      <c r="B364">
        <v>2025</v>
      </c>
      <c r="C364">
        <v>101</v>
      </c>
    </row>
    <row r="365" spans="1:3">
      <c r="A365" t="s">
        <v>179</v>
      </c>
      <c r="B365">
        <v>2015</v>
      </c>
      <c r="C365">
        <v>18302</v>
      </c>
    </row>
    <row r="366" spans="1:3">
      <c r="A366" t="s">
        <v>179</v>
      </c>
      <c r="B366">
        <v>2016</v>
      </c>
      <c r="C366">
        <v>26402</v>
      </c>
    </row>
    <row r="367" spans="1:3">
      <c r="A367" t="s">
        <v>179</v>
      </c>
      <c r="B367">
        <v>2017</v>
      </c>
      <c r="C367">
        <v>3767</v>
      </c>
    </row>
    <row r="368" spans="1:3">
      <c r="A368" t="s">
        <v>179</v>
      </c>
      <c r="B368">
        <v>2018</v>
      </c>
      <c r="C368">
        <v>5591</v>
      </c>
    </row>
    <row r="369" spans="1:3">
      <c r="A369" t="s">
        <v>179</v>
      </c>
      <c r="B369">
        <v>2019</v>
      </c>
      <c r="C369">
        <v>18070</v>
      </c>
    </row>
    <row r="370" spans="1:3">
      <c r="A370" t="s">
        <v>179</v>
      </c>
      <c r="B370">
        <v>2020</v>
      </c>
      <c r="C370">
        <v>1196</v>
      </c>
    </row>
    <row r="371" spans="1:3">
      <c r="A371" t="s">
        <v>179</v>
      </c>
      <c r="B371">
        <v>2021</v>
      </c>
      <c r="C371">
        <v>858</v>
      </c>
    </row>
    <row r="372" spans="1:3">
      <c r="A372" t="s">
        <v>179</v>
      </c>
      <c r="B372">
        <v>2022</v>
      </c>
      <c r="C372">
        <v>4577</v>
      </c>
    </row>
    <row r="373" spans="1:3">
      <c r="A373" t="s">
        <v>179</v>
      </c>
      <c r="B373">
        <v>2023</v>
      </c>
      <c r="C373">
        <v>22617</v>
      </c>
    </row>
    <row r="374" spans="1:3">
      <c r="A374" t="s">
        <v>179</v>
      </c>
      <c r="B374">
        <v>2024</v>
      </c>
      <c r="C374">
        <v>111760</v>
      </c>
    </row>
    <row r="375" spans="1:3">
      <c r="A375" t="s">
        <v>179</v>
      </c>
      <c r="B375">
        <v>2025</v>
      </c>
      <c r="C375">
        <v>9427</v>
      </c>
    </row>
    <row r="376" spans="1:3">
      <c r="A376" t="s">
        <v>180</v>
      </c>
      <c r="B376">
        <v>2015</v>
      </c>
      <c r="C376">
        <v>2313</v>
      </c>
    </row>
    <row r="377" spans="1:3">
      <c r="A377" t="s">
        <v>180</v>
      </c>
      <c r="B377">
        <v>2016</v>
      </c>
      <c r="C377">
        <v>8004</v>
      </c>
    </row>
    <row r="378" spans="1:3">
      <c r="A378" t="s">
        <v>180</v>
      </c>
      <c r="B378">
        <v>2017</v>
      </c>
      <c r="C378">
        <v>1742</v>
      </c>
    </row>
    <row r="379" spans="1:3">
      <c r="A379" t="s">
        <v>180</v>
      </c>
      <c r="B379">
        <v>2018</v>
      </c>
      <c r="C379">
        <v>1200</v>
      </c>
    </row>
    <row r="380" spans="1:3">
      <c r="A380" t="s">
        <v>180</v>
      </c>
      <c r="B380">
        <v>2019</v>
      </c>
      <c r="C380">
        <v>768</v>
      </c>
    </row>
    <row r="381" spans="1:3">
      <c r="A381" t="s">
        <v>180</v>
      </c>
      <c r="B381">
        <v>2020</v>
      </c>
      <c r="C381">
        <v>27</v>
      </c>
    </row>
    <row r="382" spans="1:3">
      <c r="A382" t="s">
        <v>180</v>
      </c>
      <c r="B382">
        <v>2021</v>
      </c>
      <c r="C382">
        <v>27</v>
      </c>
    </row>
    <row r="383" spans="1:3">
      <c r="A383" t="s">
        <v>180</v>
      </c>
      <c r="B383">
        <v>2022</v>
      </c>
      <c r="C383">
        <v>22</v>
      </c>
    </row>
    <row r="384" spans="1:3">
      <c r="A384" t="s">
        <v>180</v>
      </c>
      <c r="B384">
        <v>2023</v>
      </c>
      <c r="C384">
        <v>111</v>
      </c>
    </row>
    <row r="385" spans="1:3">
      <c r="A385" t="s">
        <v>180</v>
      </c>
      <c r="B385">
        <v>2024</v>
      </c>
      <c r="C385">
        <v>2592</v>
      </c>
    </row>
    <row r="386" spans="1:3">
      <c r="A386" t="s">
        <v>180</v>
      </c>
      <c r="B386">
        <v>2025</v>
      </c>
      <c r="C386">
        <v>471</v>
      </c>
    </row>
    <row r="387" spans="1:3">
      <c r="A387" t="s">
        <v>181</v>
      </c>
      <c r="B387">
        <v>2015</v>
      </c>
      <c r="C387">
        <v>46</v>
      </c>
    </row>
    <row r="388" spans="1:3">
      <c r="A388" t="s">
        <v>181</v>
      </c>
      <c r="B388">
        <v>2016</v>
      </c>
      <c r="C388">
        <v>14</v>
      </c>
    </row>
    <row r="389" spans="1:3">
      <c r="A389" t="s">
        <v>181</v>
      </c>
      <c r="B389">
        <v>2017</v>
      </c>
      <c r="C389" t="s">
        <v>225</v>
      </c>
    </row>
    <row r="390" spans="1:3">
      <c r="A390" t="s">
        <v>181</v>
      </c>
      <c r="B390">
        <v>2018</v>
      </c>
      <c r="C390">
        <v>2</v>
      </c>
    </row>
    <row r="391" spans="1:3">
      <c r="A391" t="s">
        <v>181</v>
      </c>
      <c r="B391">
        <v>2019</v>
      </c>
      <c r="C391">
        <v>145</v>
      </c>
    </row>
    <row r="392" spans="1:3">
      <c r="A392" t="s">
        <v>181</v>
      </c>
      <c r="B392">
        <v>2020</v>
      </c>
      <c r="C392">
        <v>11</v>
      </c>
    </row>
    <row r="393" spans="1:3">
      <c r="A393" t="s">
        <v>181</v>
      </c>
      <c r="B393">
        <v>2021</v>
      </c>
      <c r="C393">
        <v>1</v>
      </c>
    </row>
    <row r="394" spans="1:3">
      <c r="A394" t="s">
        <v>181</v>
      </c>
      <c r="B394">
        <v>2022</v>
      </c>
      <c r="C394">
        <v>18</v>
      </c>
    </row>
    <row r="395" spans="1:3">
      <c r="A395" t="s">
        <v>181</v>
      </c>
      <c r="B395">
        <v>2023</v>
      </c>
      <c r="C395">
        <v>339</v>
      </c>
    </row>
    <row r="396" spans="1:3">
      <c r="A396" t="s">
        <v>181</v>
      </c>
      <c r="B396">
        <v>2024</v>
      </c>
      <c r="C396">
        <v>2768</v>
      </c>
    </row>
    <row r="397" spans="1:3">
      <c r="A397" t="s">
        <v>181</v>
      </c>
      <c r="B397">
        <v>2025</v>
      </c>
      <c r="C397">
        <v>16</v>
      </c>
    </row>
    <row r="398" spans="1:3">
      <c r="A398" t="s">
        <v>182</v>
      </c>
      <c r="B398">
        <v>2015</v>
      </c>
      <c r="C398">
        <v>69902</v>
      </c>
    </row>
    <row r="399" spans="1:3">
      <c r="A399" t="s">
        <v>182</v>
      </c>
      <c r="B399">
        <v>2016</v>
      </c>
      <c r="C399">
        <v>4051</v>
      </c>
    </row>
    <row r="400" spans="1:3">
      <c r="A400" t="s">
        <v>182</v>
      </c>
      <c r="B400">
        <v>2017</v>
      </c>
      <c r="C400">
        <v>392</v>
      </c>
    </row>
    <row r="401" spans="1:3">
      <c r="A401" t="s">
        <v>182</v>
      </c>
      <c r="B401">
        <v>2018</v>
      </c>
      <c r="C401">
        <v>483</v>
      </c>
    </row>
    <row r="402" spans="1:3">
      <c r="A402" t="s">
        <v>182</v>
      </c>
      <c r="B402">
        <v>2019</v>
      </c>
      <c r="C402">
        <v>27413</v>
      </c>
    </row>
    <row r="403" spans="1:3">
      <c r="A403" t="s">
        <v>182</v>
      </c>
      <c r="B403">
        <v>2020</v>
      </c>
      <c r="C403">
        <v>4348</v>
      </c>
    </row>
    <row r="404" spans="1:3">
      <c r="A404" t="s">
        <v>182</v>
      </c>
      <c r="B404">
        <v>2021</v>
      </c>
      <c r="C404">
        <v>2619</v>
      </c>
    </row>
    <row r="405" spans="1:3">
      <c r="A405" t="s">
        <v>182</v>
      </c>
      <c r="B405">
        <v>2022</v>
      </c>
      <c r="C405">
        <v>12446</v>
      </c>
    </row>
    <row r="406" spans="1:3">
      <c r="A406" t="s">
        <v>182</v>
      </c>
      <c r="B406">
        <v>2023</v>
      </c>
      <c r="C406">
        <v>12081</v>
      </c>
    </row>
    <row r="407" spans="1:3">
      <c r="A407" t="s">
        <v>182</v>
      </c>
      <c r="B407">
        <v>2024</v>
      </c>
      <c r="C407">
        <v>128619</v>
      </c>
    </row>
    <row r="408" spans="1:3">
      <c r="A408" t="s">
        <v>182</v>
      </c>
      <c r="B408">
        <v>2025</v>
      </c>
      <c r="C408">
        <v>50498</v>
      </c>
    </row>
    <row r="409" spans="1:3">
      <c r="A409" t="s">
        <v>183</v>
      </c>
      <c r="B409">
        <v>2015</v>
      </c>
      <c r="C409">
        <v>3587</v>
      </c>
    </row>
    <row r="410" spans="1:3">
      <c r="A410" t="s">
        <v>183</v>
      </c>
      <c r="B410">
        <v>2016</v>
      </c>
      <c r="C410">
        <v>489</v>
      </c>
    </row>
    <row r="411" spans="1:3">
      <c r="A411" t="s">
        <v>183</v>
      </c>
      <c r="B411">
        <v>2017</v>
      </c>
      <c r="C411">
        <v>21</v>
      </c>
    </row>
    <row r="412" spans="1:3">
      <c r="A412" t="s">
        <v>183</v>
      </c>
      <c r="B412">
        <v>2018</v>
      </c>
      <c r="C412">
        <v>27</v>
      </c>
    </row>
    <row r="413" spans="1:3">
      <c r="A413" t="s">
        <v>183</v>
      </c>
      <c r="B413">
        <v>2019</v>
      </c>
      <c r="C413">
        <v>496</v>
      </c>
    </row>
    <row r="414" spans="1:3">
      <c r="A414" t="s">
        <v>183</v>
      </c>
      <c r="B414">
        <v>2020</v>
      </c>
      <c r="C414">
        <v>30</v>
      </c>
    </row>
    <row r="415" spans="1:3">
      <c r="A415" t="s">
        <v>183</v>
      </c>
      <c r="B415">
        <v>2021</v>
      </c>
      <c r="C415">
        <v>188</v>
      </c>
    </row>
    <row r="416" spans="1:3">
      <c r="A416" t="s">
        <v>183</v>
      </c>
      <c r="B416">
        <v>2022</v>
      </c>
      <c r="C416">
        <v>179</v>
      </c>
    </row>
    <row r="417" spans="1:3">
      <c r="A417" t="s">
        <v>183</v>
      </c>
      <c r="B417">
        <v>2023</v>
      </c>
      <c r="C417">
        <v>192</v>
      </c>
    </row>
    <row r="418" spans="1:3">
      <c r="A418" t="s">
        <v>183</v>
      </c>
      <c r="B418">
        <v>2024</v>
      </c>
      <c r="C418">
        <v>10248</v>
      </c>
    </row>
    <row r="419" spans="1:3">
      <c r="A419" t="s">
        <v>183</v>
      </c>
      <c r="B419">
        <v>2025</v>
      </c>
      <c r="C419">
        <v>4482</v>
      </c>
    </row>
    <row r="420" spans="1:3">
      <c r="A420" t="s">
        <v>184</v>
      </c>
      <c r="B420">
        <v>2015</v>
      </c>
      <c r="C420">
        <v>22424</v>
      </c>
    </row>
    <row r="421" spans="1:3">
      <c r="A421" t="s">
        <v>184</v>
      </c>
      <c r="B421">
        <v>2016</v>
      </c>
      <c r="C421">
        <v>1153</v>
      </c>
    </row>
    <row r="422" spans="1:3">
      <c r="A422" t="s">
        <v>184</v>
      </c>
      <c r="B422">
        <v>2017</v>
      </c>
      <c r="C422">
        <v>364</v>
      </c>
    </row>
    <row r="423" spans="1:3">
      <c r="A423" t="s">
        <v>184</v>
      </c>
      <c r="B423">
        <v>2018</v>
      </c>
      <c r="C423">
        <v>93</v>
      </c>
    </row>
    <row r="424" spans="1:3">
      <c r="A424" t="s">
        <v>184</v>
      </c>
      <c r="B424">
        <v>2019</v>
      </c>
      <c r="C424">
        <v>5733</v>
      </c>
    </row>
    <row r="425" spans="1:3">
      <c r="A425" t="s">
        <v>184</v>
      </c>
      <c r="B425">
        <v>2020</v>
      </c>
      <c r="C425">
        <v>227</v>
      </c>
    </row>
    <row r="426" spans="1:3">
      <c r="A426" t="s">
        <v>184</v>
      </c>
      <c r="B426">
        <v>2021</v>
      </c>
      <c r="C426">
        <v>805</v>
      </c>
    </row>
    <row r="427" spans="1:3">
      <c r="A427" t="s">
        <v>184</v>
      </c>
      <c r="B427">
        <v>2022</v>
      </c>
      <c r="C427">
        <v>896</v>
      </c>
    </row>
    <row r="428" spans="1:3">
      <c r="A428" t="s">
        <v>184</v>
      </c>
      <c r="B428">
        <v>2023</v>
      </c>
      <c r="C428">
        <v>1505</v>
      </c>
    </row>
    <row r="429" spans="1:3">
      <c r="A429" t="s">
        <v>184</v>
      </c>
      <c r="B429">
        <v>2024</v>
      </c>
      <c r="C429">
        <v>68385</v>
      </c>
    </row>
    <row r="430" spans="1:3">
      <c r="A430" t="s">
        <v>184</v>
      </c>
      <c r="B430">
        <v>2025</v>
      </c>
      <c r="C430">
        <v>4857</v>
      </c>
    </row>
    <row r="431" spans="1:3">
      <c r="A431" t="s">
        <v>185</v>
      </c>
      <c r="B431">
        <v>2015</v>
      </c>
      <c r="C431">
        <v>6209</v>
      </c>
    </row>
    <row r="432" spans="1:3">
      <c r="A432" t="s">
        <v>185</v>
      </c>
      <c r="B432">
        <v>2016</v>
      </c>
      <c r="C432">
        <v>710</v>
      </c>
    </row>
    <row r="433" spans="1:3">
      <c r="A433" t="s">
        <v>185</v>
      </c>
      <c r="B433">
        <v>2017</v>
      </c>
      <c r="C433">
        <v>61</v>
      </c>
    </row>
    <row r="434" spans="1:3">
      <c r="A434" t="s">
        <v>185</v>
      </c>
      <c r="B434">
        <v>2018</v>
      </c>
      <c r="C434">
        <v>57</v>
      </c>
    </row>
    <row r="435" spans="1:3">
      <c r="A435" t="s">
        <v>185</v>
      </c>
      <c r="B435">
        <v>2019</v>
      </c>
      <c r="C435">
        <v>3231</v>
      </c>
    </row>
    <row r="436" spans="1:3">
      <c r="A436" t="s">
        <v>185</v>
      </c>
      <c r="B436">
        <v>2020</v>
      </c>
      <c r="C436">
        <v>180</v>
      </c>
    </row>
    <row r="437" spans="1:3">
      <c r="A437" t="s">
        <v>185</v>
      </c>
      <c r="B437">
        <v>2021</v>
      </c>
      <c r="C437">
        <v>568</v>
      </c>
    </row>
    <row r="438" spans="1:3">
      <c r="A438" t="s">
        <v>185</v>
      </c>
      <c r="B438">
        <v>2022</v>
      </c>
      <c r="C438">
        <v>859</v>
      </c>
    </row>
    <row r="439" spans="1:3">
      <c r="A439" t="s">
        <v>185</v>
      </c>
      <c r="B439">
        <v>2023</v>
      </c>
      <c r="C439">
        <v>1399</v>
      </c>
    </row>
    <row r="440" spans="1:3">
      <c r="A440" t="s">
        <v>185</v>
      </c>
      <c r="B440">
        <v>2024</v>
      </c>
      <c r="C440">
        <v>23718</v>
      </c>
    </row>
    <row r="441" spans="1:3">
      <c r="A441" t="s">
        <v>185</v>
      </c>
      <c r="B441">
        <v>2025</v>
      </c>
      <c r="C441">
        <v>8344</v>
      </c>
    </row>
    <row r="442" spans="1:3">
      <c r="A442" t="s">
        <v>186</v>
      </c>
      <c r="B442">
        <v>2015</v>
      </c>
      <c r="C442">
        <v>757</v>
      </c>
    </row>
    <row r="443" spans="1:3">
      <c r="A443" t="s">
        <v>186</v>
      </c>
      <c r="B443">
        <v>2016</v>
      </c>
      <c r="C443">
        <v>414</v>
      </c>
    </row>
    <row r="444" spans="1:3">
      <c r="A444" t="s">
        <v>186</v>
      </c>
      <c r="B444">
        <v>2017</v>
      </c>
      <c r="C444">
        <v>17</v>
      </c>
    </row>
    <row r="445" spans="1:3">
      <c r="A445" t="s">
        <v>186</v>
      </c>
      <c r="B445">
        <v>2018</v>
      </c>
      <c r="C445">
        <v>8</v>
      </c>
    </row>
    <row r="446" spans="1:3">
      <c r="A446" t="s">
        <v>186</v>
      </c>
      <c r="B446">
        <v>2019</v>
      </c>
      <c r="C446">
        <v>456</v>
      </c>
    </row>
    <row r="447" spans="1:3">
      <c r="A447" t="s">
        <v>186</v>
      </c>
      <c r="B447">
        <v>2020</v>
      </c>
      <c r="C447">
        <v>34</v>
      </c>
    </row>
    <row r="448" spans="1:3">
      <c r="A448" t="s">
        <v>186</v>
      </c>
      <c r="B448">
        <v>2021</v>
      </c>
      <c r="C448">
        <v>64</v>
      </c>
    </row>
    <row r="449" spans="1:3">
      <c r="A449" t="s">
        <v>186</v>
      </c>
      <c r="B449">
        <v>2022</v>
      </c>
      <c r="C449">
        <v>92</v>
      </c>
    </row>
    <row r="450" spans="1:3">
      <c r="A450" t="s">
        <v>186</v>
      </c>
      <c r="B450">
        <v>2023</v>
      </c>
      <c r="C450">
        <v>107</v>
      </c>
    </row>
    <row r="451" spans="1:3">
      <c r="A451" t="s">
        <v>186</v>
      </c>
      <c r="B451">
        <v>2024</v>
      </c>
      <c r="C451">
        <v>10890</v>
      </c>
    </row>
    <row r="452" spans="1:3">
      <c r="A452" t="s">
        <v>186</v>
      </c>
      <c r="B452">
        <v>2025</v>
      </c>
      <c r="C452">
        <v>1866</v>
      </c>
    </row>
    <row r="453" spans="1:3">
      <c r="A453" t="s">
        <v>187</v>
      </c>
      <c r="B453">
        <v>2015</v>
      </c>
      <c r="C453">
        <v>1498</v>
      </c>
    </row>
    <row r="454" spans="1:3">
      <c r="A454" t="s">
        <v>187</v>
      </c>
      <c r="B454">
        <v>2016</v>
      </c>
      <c r="C454">
        <v>557</v>
      </c>
    </row>
    <row r="455" spans="1:3">
      <c r="A455" t="s">
        <v>187</v>
      </c>
      <c r="B455">
        <v>2017</v>
      </c>
      <c r="C455">
        <v>43</v>
      </c>
    </row>
    <row r="456" spans="1:3">
      <c r="A456" t="s">
        <v>187</v>
      </c>
      <c r="B456">
        <v>2018</v>
      </c>
      <c r="C456">
        <v>27</v>
      </c>
    </row>
    <row r="457" spans="1:3">
      <c r="A457" t="s">
        <v>187</v>
      </c>
      <c r="B457">
        <v>2019</v>
      </c>
      <c r="C457">
        <v>362</v>
      </c>
    </row>
    <row r="458" spans="1:3">
      <c r="A458" t="s">
        <v>187</v>
      </c>
      <c r="B458">
        <v>2020</v>
      </c>
      <c r="C458">
        <v>49</v>
      </c>
    </row>
    <row r="459" spans="1:3">
      <c r="A459" t="s">
        <v>187</v>
      </c>
      <c r="B459">
        <v>2021</v>
      </c>
      <c r="C459">
        <v>121</v>
      </c>
    </row>
    <row r="460" spans="1:3">
      <c r="A460" t="s">
        <v>187</v>
      </c>
      <c r="B460">
        <v>2022</v>
      </c>
      <c r="C460">
        <v>190</v>
      </c>
    </row>
    <row r="461" spans="1:3">
      <c r="A461" t="s">
        <v>187</v>
      </c>
      <c r="B461">
        <v>2023</v>
      </c>
      <c r="C461">
        <v>84</v>
      </c>
    </row>
    <row r="462" spans="1:3">
      <c r="A462" t="s">
        <v>187</v>
      </c>
      <c r="B462">
        <v>2024</v>
      </c>
      <c r="C462">
        <v>20888</v>
      </c>
    </row>
    <row r="463" spans="1:3">
      <c r="A463" t="s">
        <v>187</v>
      </c>
      <c r="B463">
        <v>2025</v>
      </c>
      <c r="C463">
        <v>717</v>
      </c>
    </row>
    <row r="464" spans="1:3">
      <c r="A464" t="s">
        <v>188</v>
      </c>
      <c r="B464">
        <v>2015</v>
      </c>
      <c r="C464">
        <v>2046</v>
      </c>
    </row>
    <row r="465" spans="1:3">
      <c r="A465" t="s">
        <v>188</v>
      </c>
      <c r="B465">
        <v>2016</v>
      </c>
      <c r="C465">
        <v>572</v>
      </c>
    </row>
    <row r="466" spans="1:3">
      <c r="A466" t="s">
        <v>188</v>
      </c>
      <c r="B466">
        <v>2017</v>
      </c>
      <c r="C466">
        <v>14</v>
      </c>
    </row>
    <row r="467" spans="1:3">
      <c r="A467" t="s">
        <v>188</v>
      </c>
      <c r="B467">
        <v>2018</v>
      </c>
      <c r="C467">
        <v>21</v>
      </c>
    </row>
    <row r="468" spans="1:3">
      <c r="A468" t="s">
        <v>188</v>
      </c>
      <c r="B468">
        <v>2019</v>
      </c>
      <c r="C468">
        <v>634</v>
      </c>
    </row>
    <row r="469" spans="1:3">
      <c r="A469" t="s">
        <v>188</v>
      </c>
      <c r="B469">
        <v>2020</v>
      </c>
      <c r="C469">
        <v>210</v>
      </c>
    </row>
    <row r="470" spans="1:3">
      <c r="A470" t="s">
        <v>188</v>
      </c>
      <c r="B470">
        <v>2021</v>
      </c>
      <c r="C470">
        <v>162</v>
      </c>
    </row>
    <row r="471" spans="1:3">
      <c r="A471" t="s">
        <v>188</v>
      </c>
      <c r="B471">
        <v>2022</v>
      </c>
      <c r="C471">
        <v>406</v>
      </c>
    </row>
    <row r="472" spans="1:3">
      <c r="A472" t="s">
        <v>188</v>
      </c>
      <c r="B472">
        <v>2023</v>
      </c>
      <c r="C472">
        <v>1163</v>
      </c>
    </row>
    <row r="473" spans="1:3">
      <c r="A473" t="s">
        <v>188</v>
      </c>
      <c r="B473">
        <v>2024</v>
      </c>
      <c r="C473">
        <v>20653</v>
      </c>
    </row>
    <row r="474" spans="1:3">
      <c r="A474" t="s">
        <v>188</v>
      </c>
      <c r="B474">
        <v>2025</v>
      </c>
      <c r="C474">
        <v>10452</v>
      </c>
    </row>
    <row r="475" spans="1:3">
      <c r="A475" t="s">
        <v>189</v>
      </c>
      <c r="B475">
        <v>2015</v>
      </c>
      <c r="C475">
        <v>3770</v>
      </c>
    </row>
    <row r="476" spans="1:3">
      <c r="A476" t="s">
        <v>189</v>
      </c>
      <c r="B476">
        <v>2016</v>
      </c>
      <c r="C476">
        <v>2379</v>
      </c>
    </row>
    <row r="477" spans="1:3">
      <c r="A477" t="s">
        <v>189</v>
      </c>
      <c r="B477">
        <v>2017</v>
      </c>
      <c r="C477">
        <v>68</v>
      </c>
    </row>
    <row r="478" spans="1:3">
      <c r="A478" t="s">
        <v>189</v>
      </c>
      <c r="B478">
        <v>2018</v>
      </c>
      <c r="C478">
        <v>14</v>
      </c>
    </row>
    <row r="479" spans="1:3">
      <c r="A479" t="s">
        <v>189</v>
      </c>
      <c r="B479">
        <v>2019</v>
      </c>
      <c r="C479">
        <v>4126</v>
      </c>
    </row>
    <row r="480" spans="1:3">
      <c r="A480" t="s">
        <v>189</v>
      </c>
      <c r="B480">
        <v>2020</v>
      </c>
      <c r="C480">
        <v>1453</v>
      </c>
    </row>
    <row r="481" spans="1:3">
      <c r="A481" t="s">
        <v>189</v>
      </c>
      <c r="B481">
        <v>2021</v>
      </c>
      <c r="C481">
        <v>5430</v>
      </c>
    </row>
    <row r="482" spans="1:3">
      <c r="A482" t="s">
        <v>189</v>
      </c>
      <c r="B482">
        <v>2022</v>
      </c>
      <c r="C482">
        <v>1513</v>
      </c>
    </row>
    <row r="483" spans="1:3">
      <c r="A483" t="s">
        <v>189</v>
      </c>
      <c r="B483">
        <v>2023</v>
      </c>
      <c r="C483">
        <v>3330</v>
      </c>
    </row>
    <row r="484" spans="1:3">
      <c r="A484" t="s">
        <v>189</v>
      </c>
      <c r="B484">
        <v>2024</v>
      </c>
      <c r="C484">
        <v>30136</v>
      </c>
    </row>
    <row r="485" spans="1:3">
      <c r="A485" t="s">
        <v>189</v>
      </c>
      <c r="B485">
        <v>2025</v>
      </c>
      <c r="C485">
        <v>6189</v>
      </c>
    </row>
    <row r="486" spans="1:3">
      <c r="A486" t="s">
        <v>190</v>
      </c>
      <c r="B486">
        <v>2015</v>
      </c>
      <c r="C486">
        <v>5585</v>
      </c>
    </row>
    <row r="487" spans="1:3">
      <c r="A487" t="s">
        <v>190</v>
      </c>
      <c r="B487">
        <v>2016</v>
      </c>
      <c r="C487">
        <v>36251</v>
      </c>
    </row>
    <row r="488" spans="1:3">
      <c r="A488" t="s">
        <v>190</v>
      </c>
      <c r="B488">
        <v>2017</v>
      </c>
      <c r="C488">
        <v>288</v>
      </c>
    </row>
    <row r="489" spans="1:3">
      <c r="A489" t="s">
        <v>190</v>
      </c>
      <c r="B489">
        <v>2018</v>
      </c>
      <c r="C489">
        <v>285</v>
      </c>
    </row>
    <row r="490" spans="1:3">
      <c r="A490" t="s">
        <v>190</v>
      </c>
      <c r="B490">
        <v>2019</v>
      </c>
      <c r="C490">
        <v>15367</v>
      </c>
    </row>
    <row r="491" spans="1:3">
      <c r="A491" t="s">
        <v>190</v>
      </c>
      <c r="B491">
        <v>2020</v>
      </c>
      <c r="C491">
        <v>18303</v>
      </c>
    </row>
    <row r="492" spans="1:3">
      <c r="A492" t="s">
        <v>190</v>
      </c>
      <c r="B492">
        <v>2021</v>
      </c>
      <c r="C492">
        <v>481</v>
      </c>
    </row>
    <row r="493" spans="1:3">
      <c r="A493" t="s">
        <v>190</v>
      </c>
      <c r="B493">
        <v>2022</v>
      </c>
      <c r="C493">
        <v>8284</v>
      </c>
    </row>
    <row r="494" spans="1:3">
      <c r="A494" t="s">
        <v>190</v>
      </c>
      <c r="B494">
        <v>2023</v>
      </c>
      <c r="C494">
        <v>13261</v>
      </c>
    </row>
    <row r="495" spans="1:3">
      <c r="A495" t="s">
        <v>190</v>
      </c>
      <c r="B495">
        <v>2024</v>
      </c>
      <c r="C495">
        <v>46607</v>
      </c>
    </row>
    <row r="496" spans="1:3">
      <c r="A496" t="s">
        <v>190</v>
      </c>
      <c r="B496">
        <v>2025</v>
      </c>
      <c r="C496">
        <v>23919</v>
      </c>
    </row>
    <row r="497" spans="1:3">
      <c r="A497" t="s">
        <v>191</v>
      </c>
      <c r="B497">
        <v>2015</v>
      </c>
      <c r="C497">
        <v>2356</v>
      </c>
    </row>
    <row r="498" spans="1:3">
      <c r="A498" t="s">
        <v>191</v>
      </c>
      <c r="B498">
        <v>2016</v>
      </c>
      <c r="C498">
        <v>471</v>
      </c>
    </row>
    <row r="499" spans="1:3">
      <c r="A499" t="s">
        <v>191</v>
      </c>
      <c r="B499">
        <v>2017</v>
      </c>
      <c r="C499">
        <v>38</v>
      </c>
    </row>
    <row r="500" spans="1:3">
      <c r="A500" t="s">
        <v>191</v>
      </c>
      <c r="B500">
        <v>2018</v>
      </c>
      <c r="C500">
        <v>33</v>
      </c>
    </row>
    <row r="501" spans="1:3">
      <c r="A501" t="s">
        <v>191</v>
      </c>
      <c r="B501">
        <v>2019</v>
      </c>
      <c r="C501">
        <v>422</v>
      </c>
    </row>
    <row r="502" spans="1:3">
      <c r="A502" t="s">
        <v>191</v>
      </c>
      <c r="B502">
        <v>2020</v>
      </c>
      <c r="C502">
        <v>39</v>
      </c>
    </row>
    <row r="503" spans="1:3">
      <c r="A503" t="s">
        <v>191</v>
      </c>
      <c r="B503">
        <v>2021</v>
      </c>
      <c r="C503">
        <v>124</v>
      </c>
    </row>
    <row r="504" spans="1:3">
      <c r="A504" t="s">
        <v>191</v>
      </c>
      <c r="B504">
        <v>2022</v>
      </c>
      <c r="C504">
        <v>165</v>
      </c>
    </row>
    <row r="505" spans="1:3">
      <c r="A505" t="s">
        <v>191</v>
      </c>
      <c r="B505">
        <v>2023</v>
      </c>
      <c r="C505">
        <v>316</v>
      </c>
    </row>
    <row r="506" spans="1:3">
      <c r="A506" t="s">
        <v>191</v>
      </c>
      <c r="B506">
        <v>2024</v>
      </c>
      <c r="C506">
        <v>15375</v>
      </c>
    </row>
    <row r="507" spans="1:3">
      <c r="A507" t="s">
        <v>191</v>
      </c>
      <c r="B507">
        <v>2025</v>
      </c>
      <c r="C507">
        <v>2989</v>
      </c>
    </row>
    <row r="508" spans="1:3">
      <c r="A508" t="s">
        <v>192</v>
      </c>
      <c r="B508">
        <v>2015</v>
      </c>
      <c r="C508">
        <v>7696</v>
      </c>
    </row>
    <row r="509" spans="1:3">
      <c r="A509" t="s">
        <v>192</v>
      </c>
      <c r="B509">
        <v>2016</v>
      </c>
      <c r="C509">
        <v>2991</v>
      </c>
    </row>
    <row r="510" spans="1:3">
      <c r="A510" t="s">
        <v>192</v>
      </c>
      <c r="B510">
        <v>2017</v>
      </c>
      <c r="C510">
        <v>420</v>
      </c>
    </row>
    <row r="511" spans="1:3">
      <c r="A511" t="s">
        <v>192</v>
      </c>
      <c r="B511">
        <v>2018</v>
      </c>
      <c r="C511">
        <v>224</v>
      </c>
    </row>
    <row r="512" spans="1:3">
      <c r="A512" t="s">
        <v>192</v>
      </c>
      <c r="B512">
        <v>2019</v>
      </c>
      <c r="C512">
        <v>766</v>
      </c>
    </row>
    <row r="513" spans="1:3">
      <c r="A513" t="s">
        <v>192</v>
      </c>
      <c r="B513">
        <v>2020</v>
      </c>
      <c r="C513">
        <v>487</v>
      </c>
    </row>
    <row r="514" spans="1:3">
      <c r="A514" t="s">
        <v>192</v>
      </c>
      <c r="B514">
        <v>2021</v>
      </c>
      <c r="C514">
        <v>8779</v>
      </c>
    </row>
    <row r="515" spans="1:3">
      <c r="A515" t="s">
        <v>192</v>
      </c>
      <c r="B515">
        <v>2022</v>
      </c>
      <c r="C515">
        <v>791</v>
      </c>
    </row>
    <row r="516" spans="1:3">
      <c r="A516" t="s">
        <v>192</v>
      </c>
      <c r="B516">
        <v>2023</v>
      </c>
      <c r="C516">
        <v>1178</v>
      </c>
    </row>
    <row r="517" spans="1:3">
      <c r="A517" t="s">
        <v>192</v>
      </c>
      <c r="B517">
        <v>2024</v>
      </c>
      <c r="C517">
        <v>7022</v>
      </c>
    </row>
    <row r="518" spans="1:3">
      <c r="A518" t="s">
        <v>192</v>
      </c>
      <c r="B518">
        <v>2025</v>
      </c>
      <c r="C518">
        <v>6245</v>
      </c>
    </row>
    <row r="519" spans="1:3">
      <c r="A519" t="s">
        <v>193</v>
      </c>
      <c r="B519">
        <v>2015</v>
      </c>
      <c r="C519">
        <v>5277</v>
      </c>
    </row>
    <row r="520" spans="1:3">
      <c r="A520" t="s">
        <v>193</v>
      </c>
      <c r="B520">
        <v>2016</v>
      </c>
      <c r="C520">
        <v>1594</v>
      </c>
    </row>
    <row r="521" spans="1:3">
      <c r="A521" t="s">
        <v>193</v>
      </c>
      <c r="B521">
        <v>2017</v>
      </c>
      <c r="C521">
        <v>108</v>
      </c>
    </row>
    <row r="522" spans="1:3">
      <c r="A522" t="s">
        <v>193</v>
      </c>
      <c r="B522">
        <v>2018</v>
      </c>
      <c r="C522">
        <v>101</v>
      </c>
    </row>
    <row r="523" spans="1:3">
      <c r="A523" t="s">
        <v>193</v>
      </c>
      <c r="B523">
        <v>2019</v>
      </c>
      <c r="C523">
        <v>853</v>
      </c>
    </row>
    <row r="524" spans="1:3">
      <c r="A524" t="s">
        <v>193</v>
      </c>
      <c r="B524">
        <v>2020</v>
      </c>
      <c r="C524">
        <v>208</v>
      </c>
    </row>
    <row r="525" spans="1:3">
      <c r="A525" t="s">
        <v>193</v>
      </c>
      <c r="B525">
        <v>2021</v>
      </c>
      <c r="C525">
        <v>436</v>
      </c>
    </row>
    <row r="526" spans="1:3">
      <c r="A526" t="s">
        <v>193</v>
      </c>
      <c r="B526">
        <v>2022</v>
      </c>
      <c r="C526">
        <v>335</v>
      </c>
    </row>
    <row r="527" spans="1:3">
      <c r="A527" t="s">
        <v>193</v>
      </c>
      <c r="B527">
        <v>2023</v>
      </c>
      <c r="C527">
        <v>169</v>
      </c>
    </row>
    <row r="528" spans="1:3">
      <c r="A528" t="s">
        <v>193</v>
      </c>
      <c r="B528">
        <v>2024</v>
      </c>
      <c r="C528">
        <v>16407</v>
      </c>
    </row>
    <row r="529" spans="1:3">
      <c r="A529" t="s">
        <v>193</v>
      </c>
      <c r="B529">
        <v>2025</v>
      </c>
      <c r="C529">
        <v>3754</v>
      </c>
    </row>
    <row r="530" spans="1:3">
      <c r="A530" t="s">
        <v>194</v>
      </c>
      <c r="B530">
        <v>2015</v>
      </c>
      <c r="C530">
        <v>23747</v>
      </c>
    </row>
    <row r="531" spans="1:3">
      <c r="A531" t="s">
        <v>194</v>
      </c>
      <c r="B531">
        <v>2016</v>
      </c>
      <c r="C531">
        <v>17660</v>
      </c>
    </row>
    <row r="532" spans="1:3">
      <c r="A532" t="s">
        <v>194</v>
      </c>
      <c r="B532">
        <v>2017</v>
      </c>
      <c r="C532">
        <v>815</v>
      </c>
    </row>
    <row r="533" spans="1:3">
      <c r="A533" t="s">
        <v>194</v>
      </c>
      <c r="B533">
        <v>2018</v>
      </c>
      <c r="C533">
        <v>1546</v>
      </c>
    </row>
    <row r="534" spans="1:3">
      <c r="A534" t="s">
        <v>194</v>
      </c>
      <c r="B534">
        <v>2019</v>
      </c>
      <c r="C534">
        <v>38107</v>
      </c>
    </row>
    <row r="535" spans="1:3">
      <c r="A535" t="s">
        <v>194</v>
      </c>
      <c r="B535">
        <v>2020</v>
      </c>
      <c r="C535">
        <v>8142</v>
      </c>
    </row>
    <row r="536" spans="1:3">
      <c r="A536" t="s">
        <v>194</v>
      </c>
      <c r="B536">
        <v>2021</v>
      </c>
      <c r="C536">
        <v>23528</v>
      </c>
    </row>
    <row r="537" spans="1:3">
      <c r="A537" t="s">
        <v>194</v>
      </c>
      <c r="B537">
        <v>2022</v>
      </c>
      <c r="C537">
        <v>25047</v>
      </c>
    </row>
    <row r="538" spans="1:3">
      <c r="A538" t="s">
        <v>194</v>
      </c>
      <c r="B538">
        <v>2023</v>
      </c>
      <c r="C538">
        <v>11004</v>
      </c>
    </row>
    <row r="539" spans="1:3">
      <c r="A539" t="s">
        <v>194</v>
      </c>
      <c r="B539">
        <v>2024</v>
      </c>
      <c r="C539">
        <v>42464</v>
      </c>
    </row>
    <row r="540" spans="1:3">
      <c r="A540" t="s">
        <v>194</v>
      </c>
      <c r="B540">
        <v>2025</v>
      </c>
      <c r="C540">
        <v>61596</v>
      </c>
    </row>
    <row r="541" spans="1:3">
      <c r="A541" t="s">
        <v>195</v>
      </c>
      <c r="B541">
        <v>2015</v>
      </c>
      <c r="C541">
        <v>15165</v>
      </c>
    </row>
    <row r="542" spans="1:3">
      <c r="A542" t="s">
        <v>195</v>
      </c>
      <c r="B542">
        <v>2016</v>
      </c>
      <c r="C542">
        <v>1926</v>
      </c>
    </row>
    <row r="543" spans="1:3">
      <c r="A543" t="s">
        <v>195</v>
      </c>
      <c r="B543">
        <v>2017</v>
      </c>
      <c r="C543">
        <v>514</v>
      </c>
    </row>
    <row r="544" spans="1:3">
      <c r="A544" t="s">
        <v>195</v>
      </c>
      <c r="B544">
        <v>2018</v>
      </c>
      <c r="C544">
        <v>246</v>
      </c>
    </row>
    <row r="545" spans="1:3">
      <c r="A545" t="s">
        <v>195</v>
      </c>
      <c r="B545">
        <v>2019</v>
      </c>
      <c r="C545">
        <v>880</v>
      </c>
    </row>
    <row r="546" spans="1:3">
      <c r="A546" t="s">
        <v>195</v>
      </c>
      <c r="B546">
        <v>2020</v>
      </c>
      <c r="C546">
        <v>533</v>
      </c>
    </row>
    <row r="547" spans="1:3">
      <c r="A547" t="s">
        <v>195</v>
      </c>
      <c r="B547">
        <v>2021</v>
      </c>
      <c r="C547">
        <v>724</v>
      </c>
    </row>
    <row r="548" spans="1:3">
      <c r="A548" t="s">
        <v>195</v>
      </c>
      <c r="B548">
        <v>2022</v>
      </c>
      <c r="C548">
        <v>2092</v>
      </c>
    </row>
    <row r="549" spans="1:3">
      <c r="A549" t="s">
        <v>195</v>
      </c>
      <c r="B549">
        <v>2023</v>
      </c>
      <c r="C549">
        <v>1288</v>
      </c>
    </row>
    <row r="550" spans="1:3">
      <c r="A550" t="s">
        <v>195</v>
      </c>
      <c r="B550">
        <v>2024</v>
      </c>
      <c r="C550">
        <v>101210</v>
      </c>
    </row>
    <row r="551" spans="1:3">
      <c r="A551" t="s">
        <v>195</v>
      </c>
      <c r="B551">
        <v>2025</v>
      </c>
      <c r="C551">
        <v>6752</v>
      </c>
    </row>
    <row r="552" spans="1:3">
      <c r="A552" t="s">
        <v>196</v>
      </c>
      <c r="B552">
        <v>2015</v>
      </c>
      <c r="C552">
        <v>60427</v>
      </c>
    </row>
    <row r="553" spans="1:3">
      <c r="A553" t="s">
        <v>196</v>
      </c>
      <c r="B553">
        <v>2016</v>
      </c>
      <c r="C553">
        <v>19791</v>
      </c>
    </row>
    <row r="554" spans="1:3">
      <c r="A554" t="s">
        <v>196</v>
      </c>
      <c r="B554">
        <v>2017</v>
      </c>
      <c r="C554">
        <v>1071</v>
      </c>
    </row>
    <row r="555" spans="1:3">
      <c r="A555" t="s">
        <v>196</v>
      </c>
      <c r="B555">
        <v>2018</v>
      </c>
      <c r="C555">
        <v>1281</v>
      </c>
    </row>
    <row r="556" spans="1:3">
      <c r="A556" t="s">
        <v>196</v>
      </c>
      <c r="B556">
        <v>2019</v>
      </c>
      <c r="C556">
        <v>20899</v>
      </c>
    </row>
    <row r="557" spans="1:3">
      <c r="A557" t="s">
        <v>196</v>
      </c>
      <c r="B557">
        <v>2020</v>
      </c>
      <c r="C557">
        <v>2507</v>
      </c>
    </row>
    <row r="558" spans="1:3">
      <c r="A558" t="s">
        <v>196</v>
      </c>
      <c r="B558">
        <v>2021</v>
      </c>
      <c r="C558">
        <v>8803</v>
      </c>
    </row>
    <row r="559" spans="1:3">
      <c r="A559" t="s">
        <v>196</v>
      </c>
      <c r="B559">
        <v>2022</v>
      </c>
      <c r="C559">
        <v>13191</v>
      </c>
    </row>
    <row r="560" spans="1:3">
      <c r="A560" t="s">
        <v>196</v>
      </c>
      <c r="B560">
        <v>2023</v>
      </c>
      <c r="C560">
        <v>15421</v>
      </c>
    </row>
    <row r="561" spans="1:3">
      <c r="A561" t="s">
        <v>196</v>
      </c>
      <c r="B561">
        <v>2024</v>
      </c>
      <c r="C561">
        <v>658285</v>
      </c>
    </row>
    <row r="562" spans="1:3">
      <c r="A562" t="s">
        <v>196</v>
      </c>
      <c r="B562">
        <v>2025</v>
      </c>
      <c r="C562">
        <v>72585</v>
      </c>
    </row>
    <row r="563" spans="1:3">
      <c r="A563" t="s">
        <v>197</v>
      </c>
      <c r="B563">
        <v>2015</v>
      </c>
      <c r="C563">
        <v>58225</v>
      </c>
    </row>
    <row r="564" spans="1:3">
      <c r="A564" t="s">
        <v>197</v>
      </c>
      <c r="B564">
        <v>2016</v>
      </c>
      <c r="C564">
        <v>465</v>
      </c>
    </row>
    <row r="565" spans="1:3">
      <c r="A565" t="s">
        <v>197</v>
      </c>
      <c r="B565">
        <v>2017</v>
      </c>
      <c r="C565">
        <v>82</v>
      </c>
    </row>
    <row r="566" spans="1:3">
      <c r="A566" t="s">
        <v>197</v>
      </c>
      <c r="B566">
        <v>2018</v>
      </c>
      <c r="C566">
        <v>87</v>
      </c>
    </row>
    <row r="567" spans="1:3">
      <c r="A567" t="s">
        <v>197</v>
      </c>
      <c r="B567">
        <v>2019</v>
      </c>
      <c r="C567">
        <v>1372</v>
      </c>
    </row>
    <row r="568" spans="1:3">
      <c r="A568" t="s">
        <v>197</v>
      </c>
      <c r="B568">
        <v>2020</v>
      </c>
      <c r="C568">
        <v>2270</v>
      </c>
    </row>
    <row r="569" spans="1:3">
      <c r="A569" t="s">
        <v>197</v>
      </c>
      <c r="B569">
        <v>2021</v>
      </c>
      <c r="C569">
        <v>1555</v>
      </c>
    </row>
    <row r="570" spans="1:3">
      <c r="A570" t="s">
        <v>197</v>
      </c>
      <c r="B570">
        <v>2022</v>
      </c>
      <c r="C570">
        <v>1530</v>
      </c>
    </row>
    <row r="571" spans="1:3">
      <c r="A571" t="s">
        <v>197</v>
      </c>
      <c r="B571">
        <v>2023</v>
      </c>
      <c r="C571">
        <v>5909</v>
      </c>
    </row>
    <row r="572" spans="1:3">
      <c r="A572" t="s">
        <v>197</v>
      </c>
      <c r="B572">
        <v>2024</v>
      </c>
      <c r="C572">
        <v>52051</v>
      </c>
    </row>
    <row r="573" spans="1:3">
      <c r="A573" t="s">
        <v>197</v>
      </c>
      <c r="B573">
        <v>2025</v>
      </c>
      <c r="C573">
        <v>15056</v>
      </c>
    </row>
    <row r="574" spans="1:3">
      <c r="A574" t="s">
        <v>198</v>
      </c>
      <c r="B574">
        <v>2015</v>
      </c>
      <c r="C574">
        <v>315</v>
      </c>
    </row>
    <row r="575" spans="1:3">
      <c r="A575" t="s">
        <v>198</v>
      </c>
      <c r="B575">
        <v>2016</v>
      </c>
      <c r="C575">
        <v>1072</v>
      </c>
    </row>
    <row r="576" spans="1:3">
      <c r="A576" t="s">
        <v>198</v>
      </c>
      <c r="B576">
        <v>2017</v>
      </c>
      <c r="C576">
        <v>90</v>
      </c>
    </row>
    <row r="577" spans="1:3">
      <c r="A577" t="s">
        <v>198</v>
      </c>
      <c r="B577">
        <v>2018</v>
      </c>
      <c r="C577">
        <v>53</v>
      </c>
    </row>
    <row r="578" spans="1:3">
      <c r="A578" t="s">
        <v>198</v>
      </c>
      <c r="B578">
        <v>2019</v>
      </c>
      <c r="C578">
        <v>176</v>
      </c>
    </row>
    <row r="579" spans="1:3">
      <c r="A579" t="s">
        <v>198</v>
      </c>
      <c r="B579">
        <v>2020</v>
      </c>
      <c r="C579">
        <v>380</v>
      </c>
    </row>
    <row r="580" spans="1:3">
      <c r="A580" t="s">
        <v>198</v>
      </c>
      <c r="B580">
        <v>2021</v>
      </c>
      <c r="C580">
        <v>60</v>
      </c>
    </row>
    <row r="581" spans="1:3">
      <c r="A581" t="s">
        <v>198</v>
      </c>
      <c r="B581">
        <v>2022</v>
      </c>
      <c r="C581">
        <v>254</v>
      </c>
    </row>
    <row r="582" spans="1:3">
      <c r="A582" t="s">
        <v>198</v>
      </c>
      <c r="B582">
        <v>2023</v>
      </c>
      <c r="C582">
        <v>809</v>
      </c>
    </row>
    <row r="583" spans="1:3">
      <c r="A583" t="s">
        <v>198</v>
      </c>
      <c r="B583">
        <v>2024</v>
      </c>
      <c r="C583">
        <v>19730</v>
      </c>
    </row>
    <row r="584" spans="1:3">
      <c r="A584" t="s">
        <v>198</v>
      </c>
      <c r="B584">
        <v>2025</v>
      </c>
      <c r="C584">
        <v>1869</v>
      </c>
    </row>
    <row r="585" spans="1:3">
      <c r="A585" t="s">
        <v>199</v>
      </c>
      <c r="B585">
        <v>2015</v>
      </c>
      <c r="C585">
        <v>3289</v>
      </c>
    </row>
    <row r="586" spans="1:3">
      <c r="A586" t="s">
        <v>199</v>
      </c>
      <c r="B586">
        <v>2016</v>
      </c>
      <c r="C586">
        <v>5300</v>
      </c>
    </row>
    <row r="587" spans="1:3">
      <c r="A587" t="s">
        <v>199</v>
      </c>
      <c r="B587">
        <v>2017</v>
      </c>
      <c r="C587">
        <v>113</v>
      </c>
    </row>
    <row r="588" spans="1:3">
      <c r="A588" t="s">
        <v>199</v>
      </c>
      <c r="B588">
        <v>2018</v>
      </c>
      <c r="C588">
        <v>113</v>
      </c>
    </row>
    <row r="589" spans="1:3">
      <c r="A589" t="s">
        <v>199</v>
      </c>
      <c r="B589">
        <v>2019</v>
      </c>
      <c r="C589">
        <v>3948</v>
      </c>
    </row>
    <row r="590" spans="1:3">
      <c r="A590" t="s">
        <v>199</v>
      </c>
      <c r="B590">
        <v>2020</v>
      </c>
      <c r="C590">
        <v>43885</v>
      </c>
    </row>
    <row r="591" spans="1:3">
      <c r="A591" t="s">
        <v>199</v>
      </c>
      <c r="B591">
        <v>2021</v>
      </c>
      <c r="C591">
        <v>7493</v>
      </c>
    </row>
    <row r="592" spans="1:3">
      <c r="A592" t="s">
        <v>199</v>
      </c>
      <c r="B592">
        <v>2022</v>
      </c>
      <c r="C592">
        <v>3676</v>
      </c>
    </row>
    <row r="593" spans="1:3">
      <c r="A593" t="s">
        <v>199</v>
      </c>
      <c r="B593">
        <v>2023</v>
      </c>
      <c r="C593">
        <v>47289</v>
      </c>
    </row>
    <row r="594" spans="1:3">
      <c r="A594" t="s">
        <v>199</v>
      </c>
      <c r="B594">
        <v>2024</v>
      </c>
      <c r="C594">
        <v>50300</v>
      </c>
    </row>
    <row r="595" spans="1:3">
      <c r="A595" t="s">
        <v>199</v>
      </c>
      <c r="B595">
        <v>2025</v>
      </c>
      <c r="C595">
        <v>7728</v>
      </c>
    </row>
    <row r="596" spans="1:3">
      <c r="A596" t="s">
        <v>200</v>
      </c>
      <c r="B596">
        <v>2015</v>
      </c>
      <c r="C596">
        <v>1699</v>
      </c>
    </row>
    <row r="597" spans="1:3">
      <c r="A597" t="s">
        <v>200</v>
      </c>
      <c r="B597">
        <v>2016</v>
      </c>
      <c r="C597">
        <v>3523</v>
      </c>
    </row>
    <row r="598" spans="1:3">
      <c r="A598" t="s">
        <v>200</v>
      </c>
      <c r="B598">
        <v>2017</v>
      </c>
      <c r="C598">
        <v>249</v>
      </c>
    </row>
    <row r="599" spans="1:3">
      <c r="A599" t="s">
        <v>200</v>
      </c>
      <c r="B599">
        <v>2018</v>
      </c>
      <c r="C599">
        <v>27</v>
      </c>
    </row>
    <row r="600" spans="1:3">
      <c r="A600" t="s">
        <v>200</v>
      </c>
      <c r="B600">
        <v>2019</v>
      </c>
      <c r="C600">
        <v>1816</v>
      </c>
    </row>
    <row r="601" spans="1:3">
      <c r="A601" t="s">
        <v>200</v>
      </c>
      <c r="B601">
        <v>2020</v>
      </c>
      <c r="C601">
        <v>14188</v>
      </c>
    </row>
    <row r="602" spans="1:3">
      <c r="A602" t="s">
        <v>200</v>
      </c>
      <c r="B602">
        <v>2021</v>
      </c>
      <c r="C602">
        <v>894</v>
      </c>
    </row>
    <row r="603" spans="1:3">
      <c r="A603" t="s">
        <v>200</v>
      </c>
      <c r="B603">
        <v>2022</v>
      </c>
      <c r="C603">
        <v>8036</v>
      </c>
    </row>
    <row r="604" spans="1:3">
      <c r="A604" t="s">
        <v>200</v>
      </c>
      <c r="B604">
        <v>2023</v>
      </c>
      <c r="C604">
        <v>4819</v>
      </c>
    </row>
    <row r="605" spans="1:3">
      <c r="A605" t="s">
        <v>200</v>
      </c>
      <c r="B605">
        <v>2024</v>
      </c>
      <c r="C605">
        <v>26159</v>
      </c>
    </row>
    <row r="606" spans="1:3">
      <c r="A606" t="s">
        <v>200</v>
      </c>
      <c r="B606">
        <v>2025</v>
      </c>
      <c r="C606">
        <v>5513</v>
      </c>
    </row>
    <row r="607" spans="1:3">
      <c r="A607" t="s">
        <v>201</v>
      </c>
      <c r="B607">
        <v>2015</v>
      </c>
      <c r="C607">
        <v>124</v>
      </c>
    </row>
    <row r="608" spans="1:3">
      <c r="A608" t="s">
        <v>201</v>
      </c>
      <c r="B608">
        <v>2016</v>
      </c>
      <c r="C608">
        <v>329</v>
      </c>
    </row>
    <row r="609" spans="1:3">
      <c r="A609" t="s">
        <v>201</v>
      </c>
      <c r="B609">
        <v>2017</v>
      </c>
      <c r="C609">
        <v>74</v>
      </c>
    </row>
    <row r="610" spans="1:3">
      <c r="A610" t="s">
        <v>201</v>
      </c>
      <c r="B610">
        <v>2018</v>
      </c>
      <c r="C610">
        <v>20</v>
      </c>
    </row>
    <row r="611" spans="1:3">
      <c r="A611" t="s">
        <v>201</v>
      </c>
      <c r="B611">
        <v>2019</v>
      </c>
      <c r="C611">
        <v>123</v>
      </c>
    </row>
    <row r="612" spans="1:3">
      <c r="A612" t="s">
        <v>201</v>
      </c>
      <c r="B612">
        <v>2020</v>
      </c>
      <c r="C612">
        <v>216</v>
      </c>
    </row>
    <row r="613" spans="1:3">
      <c r="A613" t="s">
        <v>201</v>
      </c>
      <c r="B613">
        <v>2021</v>
      </c>
      <c r="C613">
        <v>301</v>
      </c>
    </row>
    <row r="614" spans="1:3">
      <c r="A614" t="s">
        <v>201</v>
      </c>
      <c r="B614">
        <v>2022</v>
      </c>
      <c r="C614">
        <v>4941</v>
      </c>
    </row>
    <row r="615" spans="1:3">
      <c r="A615" t="s">
        <v>201</v>
      </c>
      <c r="B615">
        <v>2023</v>
      </c>
      <c r="C615">
        <v>42126</v>
      </c>
    </row>
    <row r="616" spans="1:3">
      <c r="A616" t="s">
        <v>201</v>
      </c>
      <c r="B616">
        <v>2024</v>
      </c>
      <c r="C616">
        <v>15951</v>
      </c>
    </row>
    <row r="617" spans="1:3">
      <c r="A617" t="s">
        <v>201</v>
      </c>
      <c r="B617">
        <v>2025</v>
      </c>
      <c r="C617">
        <v>7121</v>
      </c>
    </row>
    <row r="618" spans="1:3">
      <c r="A618" t="s">
        <v>202</v>
      </c>
      <c r="B618">
        <v>2015</v>
      </c>
      <c r="C618">
        <v>57</v>
      </c>
    </row>
    <row r="619" spans="1:3">
      <c r="A619" t="s">
        <v>202</v>
      </c>
      <c r="B619">
        <v>2016</v>
      </c>
      <c r="C619">
        <v>32</v>
      </c>
    </row>
    <row r="620" spans="1:3">
      <c r="A620" t="s">
        <v>202</v>
      </c>
      <c r="B620">
        <v>2017</v>
      </c>
      <c r="C620">
        <v>2</v>
      </c>
    </row>
    <row r="621" spans="1:3">
      <c r="A621" t="s">
        <v>202</v>
      </c>
      <c r="B621">
        <v>2018</v>
      </c>
      <c r="C621">
        <v>4</v>
      </c>
    </row>
    <row r="622" spans="1:3">
      <c r="A622" t="s">
        <v>202</v>
      </c>
      <c r="B622">
        <v>2019</v>
      </c>
      <c r="C622">
        <v>21</v>
      </c>
    </row>
    <row r="623" spans="1:3">
      <c r="A623" t="s">
        <v>202</v>
      </c>
      <c r="B623">
        <v>2020</v>
      </c>
      <c r="C623">
        <v>8787</v>
      </c>
    </row>
    <row r="624" spans="1:3">
      <c r="A624" t="s">
        <v>202</v>
      </c>
      <c r="B624">
        <v>2021</v>
      </c>
      <c r="C624">
        <v>16472</v>
      </c>
    </row>
    <row r="625" spans="1:3">
      <c r="A625" t="s">
        <v>202</v>
      </c>
      <c r="B625">
        <v>2022</v>
      </c>
      <c r="C625">
        <v>21499</v>
      </c>
    </row>
    <row r="626" spans="1:3">
      <c r="A626" t="s">
        <v>202</v>
      </c>
      <c r="B626">
        <v>2023</v>
      </c>
      <c r="C626">
        <v>46152</v>
      </c>
    </row>
    <row r="627" spans="1:3">
      <c r="A627" t="s">
        <v>202</v>
      </c>
      <c r="B627">
        <v>2024</v>
      </c>
      <c r="C627">
        <v>83097</v>
      </c>
    </row>
    <row r="628" spans="1:3">
      <c r="A628" t="s">
        <v>202</v>
      </c>
      <c r="B628">
        <v>2025</v>
      </c>
      <c r="C628">
        <v>1523</v>
      </c>
    </row>
    <row r="629" spans="1:3">
      <c r="A629" t="s">
        <v>203</v>
      </c>
      <c r="B629">
        <v>2015</v>
      </c>
      <c r="C629">
        <v>21</v>
      </c>
    </row>
    <row r="630" spans="1:3">
      <c r="A630" t="s">
        <v>203</v>
      </c>
      <c r="B630">
        <v>2016</v>
      </c>
      <c r="C630">
        <v>25</v>
      </c>
    </row>
    <row r="631" spans="1:3">
      <c r="A631" t="s">
        <v>203</v>
      </c>
      <c r="B631">
        <v>2017</v>
      </c>
      <c r="C631">
        <v>1</v>
      </c>
    </row>
    <row r="632" spans="1:3">
      <c r="A632" t="s">
        <v>203</v>
      </c>
      <c r="B632">
        <v>2018</v>
      </c>
      <c r="C632" t="s">
        <v>225</v>
      </c>
    </row>
    <row r="633" spans="1:3">
      <c r="A633" t="s">
        <v>203</v>
      </c>
      <c r="B633">
        <v>2019</v>
      </c>
      <c r="C633">
        <v>5</v>
      </c>
    </row>
    <row r="634" spans="1:3">
      <c r="A634" t="s">
        <v>203</v>
      </c>
      <c r="B634">
        <v>2020</v>
      </c>
      <c r="C634">
        <v>11</v>
      </c>
    </row>
    <row r="635" spans="1:3">
      <c r="A635" t="s">
        <v>203</v>
      </c>
      <c r="B635">
        <v>2021</v>
      </c>
      <c r="C635">
        <v>2</v>
      </c>
    </row>
    <row r="636" spans="1:3">
      <c r="A636" t="s">
        <v>203</v>
      </c>
      <c r="B636">
        <v>2022</v>
      </c>
      <c r="C636">
        <v>46</v>
      </c>
    </row>
    <row r="637" spans="1:3">
      <c r="A637" t="s">
        <v>203</v>
      </c>
      <c r="B637">
        <v>2023</v>
      </c>
      <c r="C637">
        <v>45</v>
      </c>
    </row>
    <row r="638" spans="1:3">
      <c r="A638" t="s">
        <v>203</v>
      </c>
      <c r="B638">
        <v>2024</v>
      </c>
      <c r="C638">
        <v>267</v>
      </c>
    </row>
    <row r="639" spans="1:3">
      <c r="A639" t="s">
        <v>203</v>
      </c>
      <c r="B639">
        <v>2025</v>
      </c>
      <c r="C639">
        <v>94</v>
      </c>
    </row>
    <row r="640" spans="1:3">
      <c r="A640" t="s">
        <v>204</v>
      </c>
      <c r="B640">
        <v>2015</v>
      </c>
      <c r="C640">
        <v>132</v>
      </c>
    </row>
    <row r="641" spans="1:3">
      <c r="A641" t="s">
        <v>204</v>
      </c>
      <c r="B641">
        <v>2016</v>
      </c>
      <c r="C641">
        <v>608</v>
      </c>
    </row>
    <row r="642" spans="1:3">
      <c r="A642" t="s">
        <v>204</v>
      </c>
      <c r="B642">
        <v>2017</v>
      </c>
      <c r="C642">
        <v>40</v>
      </c>
    </row>
    <row r="643" spans="1:3">
      <c r="A643" t="s">
        <v>204</v>
      </c>
      <c r="B643">
        <v>2018</v>
      </c>
      <c r="C643">
        <v>20</v>
      </c>
    </row>
    <row r="644" spans="1:3">
      <c r="A644" t="s">
        <v>204</v>
      </c>
      <c r="B644">
        <v>2019</v>
      </c>
      <c r="C644">
        <v>560</v>
      </c>
    </row>
    <row r="645" spans="1:3">
      <c r="A645" t="s">
        <v>204</v>
      </c>
      <c r="B645">
        <v>2020</v>
      </c>
      <c r="C645">
        <v>56</v>
      </c>
    </row>
    <row r="646" spans="1:3">
      <c r="A646" t="s">
        <v>204</v>
      </c>
      <c r="B646">
        <v>2021</v>
      </c>
      <c r="C646">
        <v>83</v>
      </c>
    </row>
    <row r="647" spans="1:3">
      <c r="A647" t="s">
        <v>204</v>
      </c>
      <c r="B647">
        <v>2022</v>
      </c>
      <c r="C647">
        <v>5594</v>
      </c>
    </row>
    <row r="648" spans="1:3">
      <c r="A648" t="s">
        <v>204</v>
      </c>
      <c r="B648">
        <v>2023</v>
      </c>
      <c r="C648">
        <v>6622</v>
      </c>
    </row>
    <row r="649" spans="1:3">
      <c r="A649" t="s">
        <v>204</v>
      </c>
      <c r="B649">
        <v>2024</v>
      </c>
      <c r="C649">
        <v>31497</v>
      </c>
    </row>
    <row r="650" spans="1:3">
      <c r="A650" t="s">
        <v>204</v>
      </c>
      <c r="B650">
        <v>2025</v>
      </c>
      <c r="C650">
        <v>54771</v>
      </c>
    </row>
    <row r="651" spans="1:3">
      <c r="A651" t="s">
        <v>205</v>
      </c>
      <c r="B651">
        <v>2015</v>
      </c>
      <c r="C651">
        <v>9340</v>
      </c>
    </row>
    <row r="652" spans="1:3">
      <c r="A652" t="s">
        <v>205</v>
      </c>
      <c r="B652">
        <v>2016</v>
      </c>
      <c r="C652">
        <v>23997</v>
      </c>
    </row>
    <row r="653" spans="1:3">
      <c r="A653" t="s">
        <v>205</v>
      </c>
      <c r="B653">
        <v>2017</v>
      </c>
      <c r="C653">
        <v>1019</v>
      </c>
    </row>
    <row r="654" spans="1:3">
      <c r="A654" t="s">
        <v>205</v>
      </c>
      <c r="B654">
        <v>2018</v>
      </c>
      <c r="C654">
        <v>1567</v>
      </c>
    </row>
    <row r="655" spans="1:3">
      <c r="A655" t="s">
        <v>205</v>
      </c>
      <c r="B655">
        <v>2019</v>
      </c>
      <c r="C655">
        <v>36816</v>
      </c>
    </row>
    <row r="656" spans="1:3">
      <c r="A656" t="s">
        <v>205</v>
      </c>
      <c r="B656">
        <v>2020</v>
      </c>
      <c r="C656">
        <v>13978</v>
      </c>
    </row>
    <row r="657" spans="1:3">
      <c r="A657" t="s">
        <v>205</v>
      </c>
      <c r="B657">
        <v>2021</v>
      </c>
      <c r="C657">
        <v>575</v>
      </c>
    </row>
    <row r="658" spans="1:3">
      <c r="A658" t="s">
        <v>205</v>
      </c>
      <c r="B658">
        <v>2022</v>
      </c>
      <c r="C658">
        <v>8708</v>
      </c>
    </row>
    <row r="659" spans="1:3">
      <c r="A659" t="s">
        <v>205</v>
      </c>
      <c r="B659">
        <v>2023</v>
      </c>
      <c r="C659">
        <v>12256</v>
      </c>
    </row>
    <row r="660" spans="1:3">
      <c r="A660" t="s">
        <v>205</v>
      </c>
      <c r="B660">
        <v>2024</v>
      </c>
      <c r="C660">
        <v>830</v>
      </c>
    </row>
    <row r="661" spans="1:3">
      <c r="A661" t="s">
        <v>205</v>
      </c>
      <c r="B661">
        <v>2025</v>
      </c>
      <c r="C661">
        <v>639</v>
      </c>
    </row>
    <row r="662" spans="1:3">
      <c r="A662" t="s">
        <v>206</v>
      </c>
      <c r="B662">
        <v>2015</v>
      </c>
      <c r="C662">
        <v>4220</v>
      </c>
    </row>
    <row r="663" spans="1:3">
      <c r="A663" t="s">
        <v>206</v>
      </c>
      <c r="B663">
        <v>2016</v>
      </c>
      <c r="C663">
        <v>2140</v>
      </c>
    </row>
    <row r="664" spans="1:3">
      <c r="A664" t="s">
        <v>206</v>
      </c>
      <c r="B664">
        <v>2017</v>
      </c>
      <c r="C664">
        <v>3784</v>
      </c>
    </row>
    <row r="665" spans="1:3">
      <c r="A665" t="s">
        <v>206</v>
      </c>
      <c r="B665">
        <v>2018</v>
      </c>
      <c r="C665">
        <v>1672</v>
      </c>
    </row>
    <row r="666" spans="1:3">
      <c r="A666" t="s">
        <v>206</v>
      </c>
      <c r="B666">
        <v>2019</v>
      </c>
      <c r="C666">
        <v>519</v>
      </c>
    </row>
    <row r="667" spans="1:3">
      <c r="A667" t="s">
        <v>206</v>
      </c>
      <c r="B667">
        <v>2020</v>
      </c>
      <c r="C667">
        <v>974</v>
      </c>
    </row>
    <row r="668" spans="1:3">
      <c r="A668" t="s">
        <v>206</v>
      </c>
      <c r="B668">
        <v>2021</v>
      </c>
      <c r="C668">
        <v>784</v>
      </c>
    </row>
    <row r="669" spans="1:3">
      <c r="A669" t="s">
        <v>206</v>
      </c>
      <c r="B669">
        <v>2022</v>
      </c>
      <c r="C669">
        <v>969</v>
      </c>
    </row>
    <row r="670" spans="1:3">
      <c r="A670" t="s">
        <v>206</v>
      </c>
      <c r="B670">
        <v>2023</v>
      </c>
      <c r="C670">
        <v>1577</v>
      </c>
    </row>
    <row r="671" spans="1:3">
      <c r="A671" t="s">
        <v>206</v>
      </c>
      <c r="B671">
        <v>2024</v>
      </c>
      <c r="C671">
        <v>2773</v>
      </c>
    </row>
    <row r="672" spans="1:3">
      <c r="A672" t="s">
        <v>206</v>
      </c>
      <c r="B672">
        <v>2025</v>
      </c>
      <c r="C672">
        <v>1595</v>
      </c>
    </row>
    <row r="673" spans="1:3">
      <c r="A673" t="s">
        <v>207</v>
      </c>
      <c r="B673">
        <v>2015</v>
      </c>
      <c r="C673">
        <v>5926</v>
      </c>
    </row>
    <row r="674" spans="1:3">
      <c r="A674" t="s">
        <v>207</v>
      </c>
      <c r="B674">
        <v>2016</v>
      </c>
      <c r="C674">
        <v>11039</v>
      </c>
    </row>
    <row r="675" spans="1:3">
      <c r="A675" t="s">
        <v>207</v>
      </c>
      <c r="B675">
        <v>2017</v>
      </c>
      <c r="C675">
        <v>1175</v>
      </c>
    </row>
    <row r="676" spans="1:3">
      <c r="A676" t="s">
        <v>207</v>
      </c>
      <c r="B676">
        <v>2018</v>
      </c>
      <c r="C676">
        <v>2278</v>
      </c>
    </row>
    <row r="677" spans="1:3">
      <c r="A677" t="s">
        <v>207</v>
      </c>
      <c r="B677">
        <v>2019</v>
      </c>
      <c r="C677">
        <v>11700</v>
      </c>
    </row>
    <row r="678" spans="1:3">
      <c r="A678" t="s">
        <v>207</v>
      </c>
      <c r="B678">
        <v>2020</v>
      </c>
      <c r="C678">
        <v>4855</v>
      </c>
    </row>
    <row r="679" spans="1:3">
      <c r="A679" t="s">
        <v>207</v>
      </c>
      <c r="B679">
        <v>2021</v>
      </c>
      <c r="C679">
        <v>1670</v>
      </c>
    </row>
    <row r="680" spans="1:3">
      <c r="A680" t="s">
        <v>207</v>
      </c>
      <c r="B680">
        <v>2022</v>
      </c>
      <c r="C680">
        <v>17313</v>
      </c>
    </row>
    <row r="681" spans="1:3">
      <c r="A681" t="s">
        <v>207</v>
      </c>
      <c r="B681">
        <v>2023</v>
      </c>
      <c r="C681">
        <v>1275</v>
      </c>
    </row>
    <row r="682" spans="1:3">
      <c r="A682" t="s">
        <v>207</v>
      </c>
      <c r="B682">
        <v>2024</v>
      </c>
      <c r="C682">
        <v>39155</v>
      </c>
    </row>
    <row r="683" spans="1:3">
      <c r="A683" t="s">
        <v>207</v>
      </c>
      <c r="B683">
        <v>2025</v>
      </c>
      <c r="C683">
        <v>2211</v>
      </c>
    </row>
    <row r="684" spans="1:3">
      <c r="A684" t="s">
        <v>208</v>
      </c>
      <c r="B684">
        <v>2015</v>
      </c>
      <c r="C684">
        <v>14000</v>
      </c>
    </row>
    <row r="685" spans="1:3">
      <c r="A685" t="s">
        <v>208</v>
      </c>
      <c r="B685">
        <v>2016</v>
      </c>
      <c r="C685">
        <v>11905</v>
      </c>
    </row>
    <row r="686" spans="1:3">
      <c r="A686" t="s">
        <v>208</v>
      </c>
      <c r="B686">
        <v>2017</v>
      </c>
      <c r="C686">
        <v>11147</v>
      </c>
    </row>
    <row r="687" spans="1:3">
      <c r="A687" t="s">
        <v>208</v>
      </c>
      <c r="B687">
        <v>2018</v>
      </c>
      <c r="C687">
        <v>17302</v>
      </c>
    </row>
    <row r="688" spans="1:3">
      <c r="A688" t="s">
        <v>208</v>
      </c>
      <c r="B688">
        <v>2019</v>
      </c>
      <c r="C688">
        <v>18930</v>
      </c>
    </row>
    <row r="689" spans="1:3">
      <c r="A689" t="s">
        <v>208</v>
      </c>
      <c r="B689">
        <v>2020</v>
      </c>
      <c r="C689">
        <v>10623</v>
      </c>
    </row>
    <row r="690" spans="1:3">
      <c r="A690" t="s">
        <v>208</v>
      </c>
      <c r="B690">
        <v>2021</v>
      </c>
      <c r="C690">
        <v>10765</v>
      </c>
    </row>
    <row r="691" spans="1:3">
      <c r="A691" t="s">
        <v>208</v>
      </c>
      <c r="B691">
        <v>2022</v>
      </c>
      <c r="C691">
        <v>25416</v>
      </c>
    </row>
    <row r="692" spans="1:3">
      <c r="A692" t="s">
        <v>208</v>
      </c>
      <c r="B692">
        <v>2023</v>
      </c>
      <c r="C692">
        <v>15340</v>
      </c>
    </row>
    <row r="693" spans="1:3">
      <c r="A693" t="s">
        <v>208</v>
      </c>
      <c r="B693">
        <v>2024</v>
      </c>
      <c r="C693">
        <v>23303</v>
      </c>
    </row>
    <row r="694" spans="1:3">
      <c r="A694" t="s">
        <v>208</v>
      </c>
      <c r="B694">
        <v>2025</v>
      </c>
      <c r="C694">
        <v>15707</v>
      </c>
    </row>
    <row r="695" spans="1:3">
      <c r="A695" t="s">
        <v>209</v>
      </c>
      <c r="B695">
        <v>2015</v>
      </c>
      <c r="C695">
        <v>82685</v>
      </c>
    </row>
    <row r="696" spans="1:3">
      <c r="A696" t="s">
        <v>209</v>
      </c>
      <c r="B696">
        <v>2016</v>
      </c>
      <c r="C696">
        <v>62649</v>
      </c>
    </row>
    <row r="697" spans="1:3">
      <c r="A697" t="s">
        <v>209</v>
      </c>
      <c r="B697">
        <v>2017</v>
      </c>
      <c r="C697">
        <v>31728</v>
      </c>
    </row>
    <row r="698" spans="1:3">
      <c r="A698" t="s">
        <v>209</v>
      </c>
      <c r="B698">
        <v>2018</v>
      </c>
      <c r="C698">
        <v>31306</v>
      </c>
    </row>
    <row r="699" spans="1:3">
      <c r="A699" t="s">
        <v>209</v>
      </c>
      <c r="B699">
        <v>2019</v>
      </c>
      <c r="C699">
        <v>34131</v>
      </c>
    </row>
    <row r="700" spans="1:3">
      <c r="A700" t="s">
        <v>209</v>
      </c>
      <c r="B700">
        <v>2020</v>
      </c>
      <c r="C700">
        <v>13585</v>
      </c>
    </row>
    <row r="701" spans="1:3">
      <c r="A701" t="s">
        <v>209</v>
      </c>
      <c r="B701">
        <v>2021</v>
      </c>
      <c r="C701">
        <v>12637</v>
      </c>
    </row>
    <row r="702" spans="1:3">
      <c r="A702" t="s">
        <v>209</v>
      </c>
      <c r="B702">
        <v>2022</v>
      </c>
      <c r="C702">
        <v>58436</v>
      </c>
    </row>
    <row r="703" spans="1:3">
      <c r="A703" t="s">
        <v>209</v>
      </c>
      <c r="B703">
        <v>2023</v>
      </c>
      <c r="C703">
        <v>20799</v>
      </c>
    </row>
    <row r="704" spans="1:3">
      <c r="A704" t="s">
        <v>209</v>
      </c>
      <c r="B704">
        <v>2024</v>
      </c>
      <c r="C704">
        <v>61595</v>
      </c>
    </row>
    <row r="705" spans="1:3">
      <c r="A705" t="s">
        <v>209</v>
      </c>
      <c r="B705">
        <v>2025</v>
      </c>
      <c r="C705">
        <v>32433</v>
      </c>
    </row>
    <row r="706" spans="1:3">
      <c r="A706" t="s">
        <v>210</v>
      </c>
      <c r="B706">
        <v>2015</v>
      </c>
      <c r="C706">
        <v>10240</v>
      </c>
    </row>
    <row r="707" spans="1:3">
      <c r="A707" t="s">
        <v>210</v>
      </c>
      <c r="B707">
        <v>2016</v>
      </c>
      <c r="C707">
        <v>19603</v>
      </c>
    </row>
    <row r="708" spans="1:3">
      <c r="A708" t="s">
        <v>210</v>
      </c>
      <c r="B708">
        <v>2017</v>
      </c>
      <c r="C708">
        <v>4251</v>
      </c>
    </row>
    <row r="709" spans="1:3">
      <c r="A709" t="s">
        <v>210</v>
      </c>
      <c r="B709">
        <v>2018</v>
      </c>
      <c r="C709">
        <v>2482</v>
      </c>
    </row>
    <row r="710" spans="1:3">
      <c r="A710" t="s">
        <v>210</v>
      </c>
      <c r="B710">
        <v>2019</v>
      </c>
      <c r="C710">
        <v>39583</v>
      </c>
    </row>
    <row r="711" spans="1:3">
      <c r="A711" t="s">
        <v>210</v>
      </c>
      <c r="B711">
        <v>2020</v>
      </c>
      <c r="C711">
        <v>50856</v>
      </c>
    </row>
    <row r="712" spans="1:3">
      <c r="A712" t="s">
        <v>210</v>
      </c>
      <c r="B712">
        <v>2021</v>
      </c>
      <c r="C712">
        <v>18707</v>
      </c>
    </row>
    <row r="713" spans="1:3">
      <c r="A713" t="s">
        <v>210</v>
      </c>
      <c r="B713">
        <v>2022</v>
      </c>
      <c r="C713">
        <v>72691</v>
      </c>
    </row>
    <row r="714" spans="1:3">
      <c r="A714" t="s">
        <v>210</v>
      </c>
      <c r="B714">
        <v>2023</v>
      </c>
      <c r="C714">
        <v>42167</v>
      </c>
    </row>
    <row r="715" spans="1:3">
      <c r="A715" t="s">
        <v>210</v>
      </c>
      <c r="B715">
        <v>2024</v>
      </c>
      <c r="C715">
        <v>278998</v>
      </c>
    </row>
    <row r="716" spans="1:3">
      <c r="A716" t="s">
        <v>210</v>
      </c>
      <c r="B716">
        <v>2025</v>
      </c>
      <c r="C716">
        <v>11473</v>
      </c>
    </row>
    <row r="721" spans="1:13">
      <c r="A721" t="s">
        <v>259</v>
      </c>
    </row>
    <row r="722" spans="1:13">
      <c r="A722" t="s">
        <v>260</v>
      </c>
    </row>
    <row r="723" spans="1:13">
      <c r="A723" t="s">
        <v>261</v>
      </c>
    </row>
    <row r="724" spans="1:13">
      <c r="A724" t="s">
        <v>262</v>
      </c>
    </row>
    <row r="725" spans="1:13">
      <c r="A725" t="s">
        <v>263</v>
      </c>
      <c r="B725">
        <v>2015</v>
      </c>
      <c r="C725">
        <v>2016</v>
      </c>
      <c r="D725">
        <v>2017</v>
      </c>
      <c r="E725">
        <v>2018</v>
      </c>
      <c r="F725">
        <v>2019</v>
      </c>
      <c r="G725">
        <v>2020</v>
      </c>
      <c r="H725">
        <v>2021</v>
      </c>
      <c r="I725">
        <v>2022</v>
      </c>
      <c r="J725">
        <v>2023</v>
      </c>
      <c r="K725">
        <v>2024</v>
      </c>
      <c r="L725">
        <v>2025</v>
      </c>
      <c r="M725" t="s">
        <v>211</v>
      </c>
    </row>
    <row r="726" spans="1:13">
      <c r="A726" t="s">
        <v>146</v>
      </c>
      <c r="B726">
        <v>233</v>
      </c>
      <c r="C726">
        <v>1009</v>
      </c>
      <c r="D726">
        <v>357</v>
      </c>
      <c r="E726">
        <v>114</v>
      </c>
      <c r="F726">
        <v>181</v>
      </c>
      <c r="G726">
        <v>309</v>
      </c>
      <c r="H726">
        <v>212</v>
      </c>
      <c r="I726">
        <v>2021</v>
      </c>
      <c r="J726">
        <v>1160</v>
      </c>
      <c r="K726">
        <v>613</v>
      </c>
      <c r="L726">
        <v>211</v>
      </c>
      <c r="M726">
        <v>6420</v>
      </c>
    </row>
    <row r="727" spans="1:13">
      <c r="A727" t="s">
        <v>147</v>
      </c>
      <c r="B727">
        <v>1620</v>
      </c>
      <c r="C727">
        <v>5359</v>
      </c>
      <c r="D727">
        <v>2554</v>
      </c>
      <c r="E727">
        <v>1303</v>
      </c>
      <c r="F727">
        <v>477</v>
      </c>
      <c r="G727">
        <v>959</v>
      </c>
      <c r="H727">
        <v>4016</v>
      </c>
      <c r="I727">
        <v>1197</v>
      </c>
      <c r="J727">
        <v>1172</v>
      </c>
      <c r="K727">
        <v>2606</v>
      </c>
      <c r="L727">
        <v>1272</v>
      </c>
      <c r="M727">
        <v>22535</v>
      </c>
    </row>
    <row r="728" spans="1:13">
      <c r="A728" t="s">
        <v>148</v>
      </c>
      <c r="B728">
        <v>439</v>
      </c>
      <c r="C728">
        <v>82</v>
      </c>
      <c r="D728">
        <v>203</v>
      </c>
      <c r="E728">
        <v>75</v>
      </c>
      <c r="F728">
        <v>1038</v>
      </c>
      <c r="G728">
        <v>374</v>
      </c>
      <c r="H728">
        <v>41</v>
      </c>
      <c r="I728">
        <v>42</v>
      </c>
      <c r="J728">
        <v>63</v>
      </c>
      <c r="K728">
        <v>267</v>
      </c>
      <c r="L728">
        <v>247</v>
      </c>
      <c r="M728">
        <v>2871</v>
      </c>
    </row>
    <row r="729" spans="1:13">
      <c r="A729" t="s">
        <v>149</v>
      </c>
      <c r="B729">
        <v>405</v>
      </c>
      <c r="C729">
        <v>312</v>
      </c>
      <c r="D729">
        <v>69</v>
      </c>
      <c r="E729">
        <v>80</v>
      </c>
      <c r="F729">
        <v>68</v>
      </c>
      <c r="G729">
        <v>44</v>
      </c>
      <c r="H729">
        <v>17</v>
      </c>
      <c r="I729">
        <v>53</v>
      </c>
      <c r="J729">
        <v>66</v>
      </c>
      <c r="K729">
        <v>558</v>
      </c>
      <c r="L729">
        <v>213</v>
      </c>
      <c r="M729">
        <v>1885</v>
      </c>
    </row>
    <row r="730" spans="1:13">
      <c r="A730" t="s">
        <v>150</v>
      </c>
      <c r="B730">
        <v>1471</v>
      </c>
      <c r="C730">
        <v>742</v>
      </c>
      <c r="D730">
        <v>303</v>
      </c>
      <c r="E730">
        <v>294</v>
      </c>
      <c r="F730">
        <v>204</v>
      </c>
      <c r="G730">
        <v>234</v>
      </c>
      <c r="H730">
        <v>623</v>
      </c>
      <c r="I730">
        <v>260</v>
      </c>
      <c r="J730">
        <v>481</v>
      </c>
      <c r="K730">
        <v>3349</v>
      </c>
      <c r="L730">
        <v>1034</v>
      </c>
      <c r="M730">
        <v>8995</v>
      </c>
    </row>
    <row r="731" spans="1:13">
      <c r="A731" t="s">
        <v>151</v>
      </c>
      <c r="B731">
        <v>1605</v>
      </c>
      <c r="C731">
        <v>953</v>
      </c>
      <c r="D731">
        <v>386</v>
      </c>
      <c r="E731">
        <v>366</v>
      </c>
      <c r="F731">
        <v>158</v>
      </c>
      <c r="G731">
        <v>36</v>
      </c>
      <c r="H731">
        <v>245</v>
      </c>
      <c r="I731">
        <v>233</v>
      </c>
      <c r="J731">
        <v>633</v>
      </c>
      <c r="K731">
        <v>5757</v>
      </c>
      <c r="L731">
        <v>1367</v>
      </c>
      <c r="M731">
        <v>11739</v>
      </c>
    </row>
    <row r="732" spans="1:13">
      <c r="A732" t="s">
        <v>152</v>
      </c>
      <c r="B732">
        <v>2896</v>
      </c>
      <c r="C732">
        <v>5583</v>
      </c>
      <c r="D732">
        <v>1261</v>
      </c>
      <c r="E732">
        <v>765</v>
      </c>
      <c r="F732">
        <v>1397</v>
      </c>
      <c r="G732">
        <v>857</v>
      </c>
      <c r="H732">
        <v>215</v>
      </c>
      <c r="I732">
        <v>2409</v>
      </c>
      <c r="J732">
        <v>1740</v>
      </c>
      <c r="K732">
        <v>1998</v>
      </c>
      <c r="L732">
        <v>1748</v>
      </c>
      <c r="M732">
        <v>20869</v>
      </c>
    </row>
    <row r="733" spans="1:13">
      <c r="A733" t="s">
        <v>153</v>
      </c>
      <c r="B733">
        <v>5135</v>
      </c>
      <c r="C733">
        <v>3279</v>
      </c>
      <c r="D733">
        <v>3127</v>
      </c>
      <c r="E733">
        <v>1205</v>
      </c>
      <c r="F733">
        <v>4890</v>
      </c>
      <c r="G733">
        <v>1091</v>
      </c>
      <c r="H733">
        <v>1338</v>
      </c>
      <c r="I733">
        <v>18014</v>
      </c>
      <c r="J733">
        <v>5127</v>
      </c>
      <c r="K733">
        <v>7173</v>
      </c>
      <c r="L733">
        <v>5153</v>
      </c>
      <c r="M733">
        <v>55532</v>
      </c>
    </row>
    <row r="734" spans="1:13">
      <c r="A734" t="s">
        <v>154</v>
      </c>
      <c r="B734">
        <v>27982</v>
      </c>
      <c r="C734">
        <v>25099</v>
      </c>
      <c r="D734">
        <v>23599</v>
      </c>
      <c r="E734">
        <v>1480</v>
      </c>
      <c r="F734">
        <v>4073</v>
      </c>
      <c r="G734">
        <v>10044</v>
      </c>
      <c r="H734">
        <v>15218</v>
      </c>
      <c r="I734">
        <v>19278</v>
      </c>
      <c r="J734">
        <v>5330</v>
      </c>
      <c r="K734">
        <v>3635</v>
      </c>
      <c r="L734">
        <v>807</v>
      </c>
      <c r="M734">
        <v>136545</v>
      </c>
    </row>
    <row r="735" spans="1:13">
      <c r="A735" t="s">
        <v>155</v>
      </c>
      <c r="B735">
        <v>8953</v>
      </c>
      <c r="C735">
        <v>15359</v>
      </c>
      <c r="D735">
        <v>4179</v>
      </c>
      <c r="E735">
        <v>14954</v>
      </c>
      <c r="F735">
        <v>18188</v>
      </c>
      <c r="G735">
        <v>1371</v>
      </c>
      <c r="H735">
        <v>1394</v>
      </c>
      <c r="I735">
        <v>19005</v>
      </c>
      <c r="J735">
        <v>3734</v>
      </c>
      <c r="K735">
        <v>8234</v>
      </c>
      <c r="L735">
        <v>5433</v>
      </c>
      <c r="M735">
        <v>100804</v>
      </c>
    </row>
    <row r="736" spans="1:13">
      <c r="A736" t="s">
        <v>156</v>
      </c>
      <c r="B736">
        <v>266</v>
      </c>
      <c r="C736">
        <v>379</v>
      </c>
      <c r="D736">
        <v>165</v>
      </c>
      <c r="E736">
        <v>867</v>
      </c>
      <c r="F736">
        <v>150</v>
      </c>
      <c r="G736">
        <v>401</v>
      </c>
      <c r="H736">
        <v>118</v>
      </c>
      <c r="I736">
        <v>354</v>
      </c>
      <c r="J736">
        <v>120</v>
      </c>
      <c r="K736">
        <v>466</v>
      </c>
      <c r="L736">
        <v>236</v>
      </c>
      <c r="M736">
        <v>3522</v>
      </c>
    </row>
    <row r="737" spans="1:13">
      <c r="A737" t="s">
        <v>157</v>
      </c>
      <c r="B737">
        <v>4688</v>
      </c>
      <c r="C737">
        <v>7039</v>
      </c>
      <c r="D737">
        <v>2548</v>
      </c>
      <c r="E737">
        <v>3340</v>
      </c>
      <c r="F737">
        <v>11488</v>
      </c>
      <c r="G737">
        <v>2867</v>
      </c>
      <c r="H737">
        <v>8545</v>
      </c>
      <c r="I737">
        <v>11114</v>
      </c>
      <c r="J737">
        <v>4339</v>
      </c>
      <c r="K737">
        <v>7990</v>
      </c>
      <c r="L737">
        <v>4464</v>
      </c>
      <c r="M737">
        <v>68422</v>
      </c>
    </row>
    <row r="738" spans="1:13">
      <c r="A738" t="s">
        <v>158</v>
      </c>
      <c r="B738">
        <v>693</v>
      </c>
      <c r="C738">
        <v>817</v>
      </c>
      <c r="D738">
        <v>297</v>
      </c>
      <c r="E738">
        <v>273</v>
      </c>
      <c r="F738">
        <v>230</v>
      </c>
      <c r="G738">
        <v>143</v>
      </c>
      <c r="H738">
        <v>91</v>
      </c>
      <c r="I738">
        <v>355</v>
      </c>
      <c r="J738">
        <v>107</v>
      </c>
      <c r="K738">
        <v>276</v>
      </c>
      <c r="L738">
        <v>227</v>
      </c>
      <c r="M738">
        <v>3509</v>
      </c>
    </row>
    <row r="739" spans="1:13">
      <c r="A739" t="s">
        <v>159</v>
      </c>
      <c r="B739">
        <v>4360</v>
      </c>
      <c r="C739">
        <v>2734</v>
      </c>
      <c r="D739">
        <v>170</v>
      </c>
      <c r="E739">
        <v>750</v>
      </c>
      <c r="F739">
        <v>4358</v>
      </c>
      <c r="G739">
        <v>3120</v>
      </c>
      <c r="H739">
        <v>9000</v>
      </c>
      <c r="I739">
        <v>1554</v>
      </c>
      <c r="J739">
        <v>965</v>
      </c>
      <c r="K739">
        <v>1423</v>
      </c>
      <c r="L739">
        <v>2781</v>
      </c>
      <c r="M739">
        <v>31215</v>
      </c>
    </row>
    <row r="740" spans="1:13">
      <c r="A740" t="s">
        <v>160</v>
      </c>
      <c r="B740">
        <v>1556</v>
      </c>
      <c r="C740">
        <v>322</v>
      </c>
      <c r="D740">
        <v>24</v>
      </c>
      <c r="E740">
        <v>124</v>
      </c>
      <c r="F740">
        <v>1482</v>
      </c>
      <c r="G740">
        <v>2692</v>
      </c>
      <c r="H740">
        <v>223</v>
      </c>
      <c r="I740">
        <v>490</v>
      </c>
      <c r="J740">
        <v>67</v>
      </c>
      <c r="K740">
        <v>211</v>
      </c>
      <c r="L740">
        <v>125</v>
      </c>
      <c r="M740">
        <v>7316</v>
      </c>
    </row>
    <row r="741" spans="1:13">
      <c r="A741" t="s">
        <v>161</v>
      </c>
      <c r="B741">
        <v>32078</v>
      </c>
      <c r="C741">
        <v>18773</v>
      </c>
      <c r="D741">
        <v>1749</v>
      </c>
      <c r="E741">
        <v>2276</v>
      </c>
      <c r="F741">
        <v>7236</v>
      </c>
      <c r="G741">
        <v>2600</v>
      </c>
      <c r="H741">
        <v>9924</v>
      </c>
      <c r="I741">
        <v>2239</v>
      </c>
      <c r="J741">
        <v>2435</v>
      </c>
      <c r="K741">
        <v>4546</v>
      </c>
      <c r="L741">
        <v>8350</v>
      </c>
      <c r="M741">
        <v>92206</v>
      </c>
    </row>
    <row r="742" spans="1:13">
      <c r="A742" t="s">
        <v>162</v>
      </c>
      <c r="B742">
        <v>4013</v>
      </c>
      <c r="C742">
        <v>5802</v>
      </c>
      <c r="D742">
        <v>725</v>
      </c>
      <c r="E742">
        <v>431</v>
      </c>
      <c r="F742">
        <v>5027</v>
      </c>
      <c r="G742">
        <v>990</v>
      </c>
      <c r="H742">
        <v>4135</v>
      </c>
      <c r="I742">
        <v>15634</v>
      </c>
      <c r="J742">
        <v>2463</v>
      </c>
      <c r="K742">
        <v>8112</v>
      </c>
      <c r="L742">
        <v>3062</v>
      </c>
      <c r="M742">
        <v>50394</v>
      </c>
    </row>
    <row r="743" spans="1:13">
      <c r="A743" t="s">
        <v>163</v>
      </c>
      <c r="B743">
        <v>3037</v>
      </c>
      <c r="C743">
        <v>1252</v>
      </c>
      <c r="D743">
        <v>283</v>
      </c>
      <c r="E743">
        <v>167</v>
      </c>
      <c r="F743">
        <v>2744</v>
      </c>
      <c r="G743">
        <v>1074</v>
      </c>
      <c r="H743">
        <v>224</v>
      </c>
      <c r="I743">
        <v>3646</v>
      </c>
      <c r="J743">
        <v>1474</v>
      </c>
      <c r="K743">
        <v>868</v>
      </c>
      <c r="L743">
        <v>678</v>
      </c>
      <c r="M743">
        <v>15447</v>
      </c>
    </row>
    <row r="744" spans="1:13">
      <c r="A744" t="s">
        <v>164</v>
      </c>
      <c r="B744">
        <v>1938</v>
      </c>
      <c r="C744">
        <v>315</v>
      </c>
      <c r="D744">
        <v>169</v>
      </c>
      <c r="E744">
        <v>650</v>
      </c>
      <c r="F744">
        <v>12551</v>
      </c>
      <c r="G744">
        <v>3375</v>
      </c>
      <c r="H744">
        <v>180</v>
      </c>
      <c r="I744">
        <v>438</v>
      </c>
      <c r="J744">
        <v>3133</v>
      </c>
      <c r="K744">
        <v>8477</v>
      </c>
      <c r="L744">
        <v>544</v>
      </c>
      <c r="M744">
        <v>31770</v>
      </c>
    </row>
    <row r="745" spans="1:13">
      <c r="A745" t="s">
        <v>165</v>
      </c>
      <c r="B745">
        <v>5775</v>
      </c>
      <c r="C745">
        <v>3401</v>
      </c>
      <c r="D745">
        <v>2128</v>
      </c>
      <c r="E745">
        <v>1287</v>
      </c>
      <c r="F745">
        <v>9571</v>
      </c>
      <c r="G745">
        <v>10925</v>
      </c>
      <c r="H745">
        <v>792</v>
      </c>
      <c r="I745">
        <v>2650</v>
      </c>
      <c r="J745">
        <v>13219</v>
      </c>
      <c r="K745">
        <v>11202</v>
      </c>
      <c r="L745">
        <v>3872</v>
      </c>
      <c r="M745">
        <v>64822</v>
      </c>
    </row>
    <row r="746" spans="1:13">
      <c r="A746" t="s">
        <v>166</v>
      </c>
      <c r="B746">
        <v>19162</v>
      </c>
      <c r="C746">
        <v>161820</v>
      </c>
      <c r="D746">
        <v>1590</v>
      </c>
      <c r="E746">
        <v>1010</v>
      </c>
      <c r="F746">
        <v>124704</v>
      </c>
      <c r="G746">
        <v>6197</v>
      </c>
      <c r="H746">
        <v>1631</v>
      </c>
      <c r="I746">
        <v>2305</v>
      </c>
      <c r="J746">
        <v>21410</v>
      </c>
      <c r="K746">
        <v>251472</v>
      </c>
      <c r="L746">
        <v>5161</v>
      </c>
      <c r="M746">
        <v>596462</v>
      </c>
    </row>
    <row r="747" spans="1:13">
      <c r="A747" t="s">
        <v>167</v>
      </c>
      <c r="B747">
        <v>22814</v>
      </c>
      <c r="C747">
        <v>15990</v>
      </c>
      <c r="D747">
        <v>785</v>
      </c>
      <c r="E747">
        <v>325</v>
      </c>
      <c r="F747">
        <v>50154</v>
      </c>
      <c r="G747">
        <v>339</v>
      </c>
      <c r="H747">
        <v>230</v>
      </c>
      <c r="I747">
        <v>306</v>
      </c>
      <c r="J747">
        <v>9972</v>
      </c>
      <c r="K747">
        <v>56696</v>
      </c>
      <c r="L747">
        <v>878</v>
      </c>
      <c r="M747">
        <v>158489</v>
      </c>
    </row>
    <row r="748" spans="1:13">
      <c r="A748" t="s">
        <v>168</v>
      </c>
      <c r="B748">
        <v>10111</v>
      </c>
      <c r="C748">
        <v>36590</v>
      </c>
      <c r="D748">
        <v>527</v>
      </c>
      <c r="E748">
        <v>633</v>
      </c>
      <c r="F748">
        <v>45068</v>
      </c>
      <c r="G748">
        <v>1603</v>
      </c>
      <c r="H748">
        <v>333</v>
      </c>
      <c r="I748">
        <v>436</v>
      </c>
      <c r="J748">
        <v>6516</v>
      </c>
      <c r="K748">
        <v>70965</v>
      </c>
      <c r="L748">
        <v>2180</v>
      </c>
      <c r="M748">
        <v>174962</v>
      </c>
    </row>
    <row r="749" spans="1:13">
      <c r="A749" t="s">
        <v>169</v>
      </c>
      <c r="B749">
        <v>4678</v>
      </c>
      <c r="C749">
        <v>35013</v>
      </c>
      <c r="D749">
        <v>102</v>
      </c>
      <c r="E749">
        <v>162</v>
      </c>
      <c r="F749">
        <v>7605</v>
      </c>
      <c r="G749">
        <v>173</v>
      </c>
      <c r="H749">
        <v>43</v>
      </c>
      <c r="I749">
        <v>117</v>
      </c>
      <c r="J749">
        <v>1630</v>
      </c>
      <c r="K749">
        <v>24025</v>
      </c>
      <c r="L749">
        <v>4221</v>
      </c>
      <c r="M749">
        <v>77769</v>
      </c>
    </row>
    <row r="750" spans="1:13">
      <c r="A750" t="s">
        <v>170</v>
      </c>
      <c r="B750">
        <v>1268</v>
      </c>
      <c r="C750">
        <v>2214</v>
      </c>
      <c r="D750">
        <v>105</v>
      </c>
      <c r="E750">
        <v>246</v>
      </c>
      <c r="F750">
        <v>8422</v>
      </c>
      <c r="G750">
        <v>81</v>
      </c>
      <c r="H750">
        <v>31</v>
      </c>
      <c r="I750">
        <v>300</v>
      </c>
      <c r="J750">
        <v>8526</v>
      </c>
      <c r="K750">
        <v>17417</v>
      </c>
      <c r="L750">
        <v>570</v>
      </c>
      <c r="M750">
        <v>39180</v>
      </c>
    </row>
    <row r="751" spans="1:13">
      <c r="A751" t="s">
        <v>171</v>
      </c>
      <c r="B751">
        <v>16768</v>
      </c>
      <c r="C751">
        <v>9465</v>
      </c>
      <c r="D751">
        <v>1767</v>
      </c>
      <c r="E751">
        <v>1969</v>
      </c>
      <c r="F751">
        <v>30950</v>
      </c>
      <c r="G751">
        <v>1986</v>
      </c>
      <c r="H751">
        <v>686</v>
      </c>
      <c r="I751">
        <v>5196</v>
      </c>
      <c r="J751">
        <v>28106</v>
      </c>
      <c r="K751">
        <v>27118</v>
      </c>
      <c r="L751">
        <v>27007</v>
      </c>
      <c r="M751">
        <v>151018</v>
      </c>
    </row>
    <row r="752" spans="1:13">
      <c r="A752" t="s">
        <v>172</v>
      </c>
      <c r="B752">
        <v>4218</v>
      </c>
      <c r="C752">
        <v>4694</v>
      </c>
      <c r="D752">
        <v>702</v>
      </c>
      <c r="E752">
        <v>1176</v>
      </c>
      <c r="F752">
        <v>16645</v>
      </c>
      <c r="G752">
        <v>38</v>
      </c>
      <c r="H752" t="s">
        <v>225</v>
      </c>
      <c r="I752" t="s">
        <v>225</v>
      </c>
      <c r="J752">
        <v>25194</v>
      </c>
      <c r="K752">
        <v>20168</v>
      </c>
      <c r="L752">
        <v>8345</v>
      </c>
      <c r="M752">
        <v>81180</v>
      </c>
    </row>
    <row r="753" spans="1:13">
      <c r="A753" t="s">
        <v>173</v>
      </c>
      <c r="B753">
        <v>3152</v>
      </c>
      <c r="C753">
        <v>2721</v>
      </c>
      <c r="D753">
        <v>1628</v>
      </c>
      <c r="E753">
        <v>1307</v>
      </c>
      <c r="F753">
        <v>6951</v>
      </c>
      <c r="G753" t="s">
        <v>225</v>
      </c>
      <c r="H753" t="s">
        <v>225</v>
      </c>
      <c r="I753" t="s">
        <v>225</v>
      </c>
      <c r="J753">
        <v>16549</v>
      </c>
      <c r="K753">
        <v>16623</v>
      </c>
      <c r="L753">
        <v>4181</v>
      </c>
      <c r="M753">
        <v>53112</v>
      </c>
    </row>
    <row r="754" spans="1:13">
      <c r="A754" t="s">
        <v>174</v>
      </c>
      <c r="B754">
        <v>83</v>
      </c>
      <c r="C754">
        <v>31</v>
      </c>
      <c r="D754">
        <v>1</v>
      </c>
      <c r="E754">
        <v>49</v>
      </c>
      <c r="F754">
        <v>353</v>
      </c>
      <c r="G754">
        <v>35</v>
      </c>
      <c r="H754">
        <v>7</v>
      </c>
      <c r="I754">
        <v>166</v>
      </c>
      <c r="J754">
        <v>172</v>
      </c>
      <c r="K754">
        <v>175</v>
      </c>
      <c r="L754">
        <v>33</v>
      </c>
      <c r="M754">
        <v>1105</v>
      </c>
    </row>
    <row r="755" spans="1:13">
      <c r="A755" t="s">
        <v>175</v>
      </c>
      <c r="B755">
        <v>4672</v>
      </c>
      <c r="C755">
        <v>1705</v>
      </c>
      <c r="D755">
        <v>63</v>
      </c>
      <c r="E755">
        <v>150</v>
      </c>
      <c r="F755">
        <v>77</v>
      </c>
      <c r="G755">
        <v>8</v>
      </c>
      <c r="H755">
        <v>34</v>
      </c>
      <c r="I755">
        <v>224</v>
      </c>
      <c r="J755">
        <v>3644</v>
      </c>
      <c r="K755">
        <v>19797</v>
      </c>
      <c r="L755">
        <v>318</v>
      </c>
      <c r="M755">
        <v>30692</v>
      </c>
    </row>
    <row r="756" spans="1:13">
      <c r="A756" t="s">
        <v>176</v>
      </c>
      <c r="B756">
        <v>295</v>
      </c>
      <c r="C756">
        <v>1764</v>
      </c>
      <c r="D756">
        <v>400</v>
      </c>
      <c r="E756">
        <v>309</v>
      </c>
      <c r="F756">
        <v>736</v>
      </c>
      <c r="G756">
        <v>49</v>
      </c>
      <c r="H756">
        <v>83</v>
      </c>
      <c r="I756">
        <v>479</v>
      </c>
      <c r="J756">
        <v>1720</v>
      </c>
      <c r="K756">
        <v>7169</v>
      </c>
      <c r="L756">
        <v>775</v>
      </c>
      <c r="M756">
        <v>13779</v>
      </c>
    </row>
    <row r="757" spans="1:13">
      <c r="A757" t="s">
        <v>177</v>
      </c>
      <c r="B757">
        <v>846</v>
      </c>
      <c r="C757">
        <v>3908</v>
      </c>
      <c r="D757">
        <v>985</v>
      </c>
      <c r="E757">
        <v>1907</v>
      </c>
      <c r="F757">
        <v>374</v>
      </c>
      <c r="G757">
        <v>78</v>
      </c>
      <c r="H757">
        <v>23</v>
      </c>
      <c r="I757">
        <v>49</v>
      </c>
      <c r="J757">
        <v>187</v>
      </c>
      <c r="K757">
        <v>2517</v>
      </c>
      <c r="L757">
        <v>306</v>
      </c>
      <c r="M757">
        <v>11180</v>
      </c>
    </row>
    <row r="758" spans="1:13">
      <c r="A758" t="s">
        <v>178</v>
      </c>
      <c r="B758">
        <v>259</v>
      </c>
      <c r="C758">
        <v>342</v>
      </c>
      <c r="D758">
        <v>11</v>
      </c>
      <c r="E758">
        <v>13</v>
      </c>
      <c r="F758">
        <v>78</v>
      </c>
      <c r="G758">
        <v>11</v>
      </c>
      <c r="H758">
        <v>26</v>
      </c>
      <c r="I758">
        <v>38</v>
      </c>
      <c r="J758">
        <v>657</v>
      </c>
      <c r="K758">
        <v>1643</v>
      </c>
      <c r="L758">
        <v>101</v>
      </c>
      <c r="M758">
        <v>3179</v>
      </c>
    </row>
    <row r="759" spans="1:13">
      <c r="A759" t="s">
        <v>179</v>
      </c>
      <c r="B759">
        <v>18302</v>
      </c>
      <c r="C759">
        <v>26402</v>
      </c>
      <c r="D759">
        <v>3767</v>
      </c>
      <c r="E759">
        <v>5591</v>
      </c>
      <c r="F759">
        <v>18070</v>
      </c>
      <c r="G759">
        <v>1196</v>
      </c>
      <c r="H759">
        <v>858</v>
      </c>
      <c r="I759">
        <v>4577</v>
      </c>
      <c r="J759">
        <v>22617</v>
      </c>
      <c r="K759">
        <v>111760</v>
      </c>
      <c r="L759">
        <v>9427</v>
      </c>
      <c r="M759">
        <v>222567</v>
      </c>
    </row>
    <row r="760" spans="1:13">
      <c r="A760" t="s">
        <v>180</v>
      </c>
      <c r="B760">
        <v>2313</v>
      </c>
      <c r="C760">
        <v>8004</v>
      </c>
      <c r="D760">
        <v>1742</v>
      </c>
      <c r="E760">
        <v>1200</v>
      </c>
      <c r="F760">
        <v>768</v>
      </c>
      <c r="G760">
        <v>27</v>
      </c>
      <c r="H760">
        <v>27</v>
      </c>
      <c r="I760">
        <v>22</v>
      </c>
      <c r="J760">
        <v>111</v>
      </c>
      <c r="K760">
        <v>2592</v>
      </c>
      <c r="L760">
        <v>471</v>
      </c>
      <c r="M760">
        <v>17277</v>
      </c>
    </row>
    <row r="761" spans="1:13">
      <c r="A761" t="s">
        <v>181</v>
      </c>
      <c r="B761">
        <v>46</v>
      </c>
      <c r="C761">
        <v>14</v>
      </c>
      <c r="D761" t="s">
        <v>225</v>
      </c>
      <c r="E761">
        <v>2</v>
      </c>
      <c r="F761">
        <v>145</v>
      </c>
      <c r="G761">
        <v>11</v>
      </c>
      <c r="H761">
        <v>1</v>
      </c>
      <c r="I761">
        <v>18</v>
      </c>
      <c r="J761">
        <v>339</v>
      </c>
      <c r="K761">
        <v>2768</v>
      </c>
      <c r="L761">
        <v>16</v>
      </c>
      <c r="M761">
        <v>3360</v>
      </c>
    </row>
    <row r="762" spans="1:13">
      <c r="A762" t="s">
        <v>182</v>
      </c>
      <c r="B762">
        <v>69902</v>
      </c>
      <c r="C762">
        <v>4051</v>
      </c>
      <c r="D762">
        <v>392</v>
      </c>
      <c r="E762">
        <v>483</v>
      </c>
      <c r="F762">
        <v>27413</v>
      </c>
      <c r="G762">
        <v>4348</v>
      </c>
      <c r="H762">
        <v>2619</v>
      </c>
      <c r="I762">
        <v>12446</v>
      </c>
      <c r="J762">
        <v>12081</v>
      </c>
      <c r="K762">
        <v>128619</v>
      </c>
      <c r="L762">
        <v>50498</v>
      </c>
      <c r="M762">
        <v>312852</v>
      </c>
    </row>
    <row r="763" spans="1:13">
      <c r="A763" t="s">
        <v>183</v>
      </c>
      <c r="B763">
        <v>3587</v>
      </c>
      <c r="C763">
        <v>489</v>
      </c>
      <c r="D763">
        <v>21</v>
      </c>
      <c r="E763">
        <v>27</v>
      </c>
      <c r="F763">
        <v>496</v>
      </c>
      <c r="G763">
        <v>30</v>
      </c>
      <c r="H763">
        <v>188</v>
      </c>
      <c r="I763">
        <v>179</v>
      </c>
      <c r="J763">
        <v>192</v>
      </c>
      <c r="K763">
        <v>10248</v>
      </c>
      <c r="L763">
        <v>4482</v>
      </c>
      <c r="M763">
        <v>19939</v>
      </c>
    </row>
    <row r="764" spans="1:13">
      <c r="A764" t="s">
        <v>184</v>
      </c>
      <c r="B764">
        <v>22424</v>
      </c>
      <c r="C764">
        <v>1153</v>
      </c>
      <c r="D764">
        <v>364</v>
      </c>
      <c r="E764">
        <v>93</v>
      </c>
      <c r="F764">
        <v>5733</v>
      </c>
      <c r="G764">
        <v>227</v>
      </c>
      <c r="H764">
        <v>805</v>
      </c>
      <c r="I764">
        <v>896</v>
      </c>
      <c r="J764">
        <v>1505</v>
      </c>
      <c r="K764">
        <v>68385</v>
      </c>
      <c r="L764">
        <v>4857</v>
      </c>
      <c r="M764">
        <v>106442</v>
      </c>
    </row>
    <row r="765" spans="1:13">
      <c r="A765" t="s">
        <v>185</v>
      </c>
      <c r="B765">
        <v>6209</v>
      </c>
      <c r="C765">
        <v>710</v>
      </c>
      <c r="D765">
        <v>61</v>
      </c>
      <c r="E765">
        <v>57</v>
      </c>
      <c r="F765">
        <v>3231</v>
      </c>
      <c r="G765">
        <v>180</v>
      </c>
      <c r="H765">
        <v>568</v>
      </c>
      <c r="I765">
        <v>859</v>
      </c>
      <c r="J765">
        <v>1399</v>
      </c>
      <c r="K765">
        <v>23718</v>
      </c>
      <c r="L765">
        <v>8344</v>
      </c>
      <c r="M765">
        <v>45336</v>
      </c>
    </row>
    <row r="766" spans="1:13">
      <c r="A766" t="s">
        <v>186</v>
      </c>
      <c r="B766">
        <v>757</v>
      </c>
      <c r="C766">
        <v>414</v>
      </c>
      <c r="D766">
        <v>17</v>
      </c>
      <c r="E766">
        <v>8</v>
      </c>
      <c r="F766">
        <v>456</v>
      </c>
      <c r="G766">
        <v>34</v>
      </c>
      <c r="H766">
        <v>64</v>
      </c>
      <c r="I766">
        <v>92</v>
      </c>
      <c r="J766">
        <v>107</v>
      </c>
      <c r="K766">
        <v>10890</v>
      </c>
      <c r="L766">
        <v>1866</v>
      </c>
      <c r="M766">
        <v>14705</v>
      </c>
    </row>
    <row r="767" spans="1:13">
      <c r="A767" t="s">
        <v>187</v>
      </c>
      <c r="B767">
        <v>1498</v>
      </c>
      <c r="C767">
        <v>557</v>
      </c>
      <c r="D767">
        <v>43</v>
      </c>
      <c r="E767">
        <v>27</v>
      </c>
      <c r="F767">
        <v>362</v>
      </c>
      <c r="G767">
        <v>49</v>
      </c>
      <c r="H767">
        <v>121</v>
      </c>
      <c r="I767">
        <v>190</v>
      </c>
      <c r="J767">
        <v>84</v>
      </c>
      <c r="K767">
        <v>20888</v>
      </c>
      <c r="L767">
        <v>717</v>
      </c>
      <c r="M767">
        <v>24536</v>
      </c>
    </row>
    <row r="768" spans="1:13">
      <c r="A768" t="s">
        <v>188</v>
      </c>
      <c r="B768">
        <v>2046</v>
      </c>
      <c r="C768">
        <v>572</v>
      </c>
      <c r="D768">
        <v>14</v>
      </c>
      <c r="E768">
        <v>21</v>
      </c>
      <c r="F768">
        <v>634</v>
      </c>
      <c r="G768">
        <v>210</v>
      </c>
      <c r="H768">
        <v>162</v>
      </c>
      <c r="I768">
        <v>406</v>
      </c>
      <c r="J768">
        <v>1163</v>
      </c>
      <c r="K768">
        <v>20653</v>
      </c>
      <c r="L768">
        <v>10452</v>
      </c>
      <c r="M768">
        <v>36333</v>
      </c>
    </row>
    <row r="769" spans="1:13">
      <c r="A769" t="s">
        <v>189</v>
      </c>
      <c r="B769">
        <v>3770</v>
      </c>
      <c r="C769">
        <v>2379</v>
      </c>
      <c r="D769">
        <v>68</v>
      </c>
      <c r="E769">
        <v>14</v>
      </c>
      <c r="F769">
        <v>4126</v>
      </c>
      <c r="G769">
        <v>1453</v>
      </c>
      <c r="H769">
        <v>5430</v>
      </c>
      <c r="I769">
        <v>1513</v>
      </c>
      <c r="J769">
        <v>3330</v>
      </c>
      <c r="K769">
        <v>30136</v>
      </c>
      <c r="L769">
        <v>6189</v>
      </c>
      <c r="M769">
        <v>58408</v>
      </c>
    </row>
    <row r="770" spans="1:13">
      <c r="A770" t="s">
        <v>190</v>
      </c>
      <c r="B770">
        <v>5585</v>
      </c>
      <c r="C770">
        <v>36251</v>
      </c>
      <c r="D770">
        <v>288</v>
      </c>
      <c r="E770">
        <v>285</v>
      </c>
      <c r="F770">
        <v>15367</v>
      </c>
      <c r="G770">
        <v>18303</v>
      </c>
      <c r="H770">
        <v>481</v>
      </c>
      <c r="I770">
        <v>8284</v>
      </c>
      <c r="J770">
        <v>13261</v>
      </c>
      <c r="K770">
        <v>46607</v>
      </c>
      <c r="L770">
        <v>23919</v>
      </c>
      <c r="M770">
        <v>168631</v>
      </c>
    </row>
    <row r="771" spans="1:13">
      <c r="A771" t="s">
        <v>191</v>
      </c>
      <c r="B771">
        <v>2356</v>
      </c>
      <c r="C771">
        <v>471</v>
      </c>
      <c r="D771">
        <v>38</v>
      </c>
      <c r="E771">
        <v>33</v>
      </c>
      <c r="F771">
        <v>422</v>
      </c>
      <c r="G771">
        <v>39</v>
      </c>
      <c r="H771">
        <v>124</v>
      </c>
      <c r="I771">
        <v>165</v>
      </c>
      <c r="J771">
        <v>316</v>
      </c>
      <c r="K771">
        <v>15375</v>
      </c>
      <c r="L771">
        <v>2989</v>
      </c>
      <c r="M771">
        <v>22328</v>
      </c>
    </row>
    <row r="772" spans="1:13">
      <c r="A772" t="s">
        <v>192</v>
      </c>
      <c r="B772">
        <v>7696</v>
      </c>
      <c r="C772">
        <v>2991</v>
      </c>
      <c r="D772">
        <v>420</v>
      </c>
      <c r="E772">
        <v>224</v>
      </c>
      <c r="F772">
        <v>766</v>
      </c>
      <c r="G772">
        <v>487</v>
      </c>
      <c r="H772">
        <v>8779</v>
      </c>
      <c r="I772">
        <v>791</v>
      </c>
      <c r="J772">
        <v>1178</v>
      </c>
      <c r="K772">
        <v>7022</v>
      </c>
      <c r="L772">
        <v>6245</v>
      </c>
      <c r="M772">
        <v>36599</v>
      </c>
    </row>
    <row r="773" spans="1:13">
      <c r="A773" t="s">
        <v>193</v>
      </c>
      <c r="B773">
        <v>5277</v>
      </c>
      <c r="C773">
        <v>1594</v>
      </c>
      <c r="D773">
        <v>108</v>
      </c>
      <c r="E773">
        <v>101</v>
      </c>
      <c r="F773">
        <v>853</v>
      </c>
      <c r="G773">
        <v>208</v>
      </c>
      <c r="H773">
        <v>436</v>
      </c>
      <c r="I773">
        <v>335</v>
      </c>
      <c r="J773">
        <v>169</v>
      </c>
      <c r="K773">
        <v>16407</v>
      </c>
      <c r="L773">
        <v>3754</v>
      </c>
      <c r="M773">
        <v>29242</v>
      </c>
    </row>
    <row r="774" spans="1:13">
      <c r="A774" t="s">
        <v>194</v>
      </c>
      <c r="B774">
        <v>23747</v>
      </c>
      <c r="C774">
        <v>17660</v>
      </c>
      <c r="D774">
        <v>815</v>
      </c>
      <c r="E774">
        <v>1546</v>
      </c>
      <c r="F774">
        <v>38107</v>
      </c>
      <c r="G774">
        <v>8142</v>
      </c>
      <c r="H774">
        <v>23528</v>
      </c>
      <c r="I774">
        <v>25047</v>
      </c>
      <c r="J774">
        <v>11004</v>
      </c>
      <c r="K774">
        <v>42464</v>
      </c>
      <c r="L774">
        <v>61596</v>
      </c>
      <c r="M774">
        <v>253656</v>
      </c>
    </row>
    <row r="775" spans="1:13">
      <c r="A775" t="s">
        <v>195</v>
      </c>
      <c r="B775">
        <v>15165</v>
      </c>
      <c r="C775">
        <v>1926</v>
      </c>
      <c r="D775">
        <v>514</v>
      </c>
      <c r="E775">
        <v>246</v>
      </c>
      <c r="F775">
        <v>880</v>
      </c>
      <c r="G775">
        <v>533</v>
      </c>
      <c r="H775">
        <v>724</v>
      </c>
      <c r="I775">
        <v>2092</v>
      </c>
      <c r="J775">
        <v>1288</v>
      </c>
      <c r="K775">
        <v>101210</v>
      </c>
      <c r="L775">
        <v>6752</v>
      </c>
      <c r="M775">
        <v>131330</v>
      </c>
    </row>
    <row r="776" spans="1:13">
      <c r="A776" t="s">
        <v>196</v>
      </c>
      <c r="B776">
        <v>60427</v>
      </c>
      <c r="C776">
        <v>19791</v>
      </c>
      <c r="D776">
        <v>1071</v>
      </c>
      <c r="E776">
        <v>1281</v>
      </c>
      <c r="F776">
        <v>20899</v>
      </c>
      <c r="G776">
        <v>2507</v>
      </c>
      <c r="H776">
        <v>8803</v>
      </c>
      <c r="I776">
        <v>13191</v>
      </c>
      <c r="J776">
        <v>15421</v>
      </c>
      <c r="K776">
        <v>658285</v>
      </c>
      <c r="L776">
        <v>72585</v>
      </c>
      <c r="M776">
        <v>874261</v>
      </c>
    </row>
    <row r="777" spans="1:13">
      <c r="A777" t="s">
        <v>197</v>
      </c>
      <c r="B777">
        <v>58225</v>
      </c>
      <c r="C777">
        <v>465</v>
      </c>
      <c r="D777">
        <v>82</v>
      </c>
      <c r="E777">
        <v>87</v>
      </c>
      <c r="F777">
        <v>1372</v>
      </c>
      <c r="G777">
        <v>2270</v>
      </c>
      <c r="H777">
        <v>1555</v>
      </c>
      <c r="I777">
        <v>1530</v>
      </c>
      <c r="J777">
        <v>5909</v>
      </c>
      <c r="K777">
        <v>52051</v>
      </c>
      <c r="L777">
        <v>15056</v>
      </c>
      <c r="M777">
        <v>138602</v>
      </c>
    </row>
    <row r="778" spans="1:13">
      <c r="A778" t="s">
        <v>198</v>
      </c>
      <c r="B778">
        <v>315</v>
      </c>
      <c r="C778">
        <v>1072</v>
      </c>
      <c r="D778">
        <v>90</v>
      </c>
      <c r="E778">
        <v>53</v>
      </c>
      <c r="F778">
        <v>176</v>
      </c>
      <c r="G778">
        <v>380</v>
      </c>
      <c r="H778">
        <v>60</v>
      </c>
      <c r="I778">
        <v>254</v>
      </c>
      <c r="J778">
        <v>809</v>
      </c>
      <c r="K778">
        <v>19730</v>
      </c>
      <c r="L778">
        <v>1869</v>
      </c>
      <c r="M778">
        <v>24808</v>
      </c>
    </row>
    <row r="779" spans="1:13">
      <c r="A779" t="s">
        <v>199</v>
      </c>
      <c r="B779">
        <v>3289</v>
      </c>
      <c r="C779">
        <v>5300</v>
      </c>
      <c r="D779">
        <v>113</v>
      </c>
      <c r="E779">
        <v>113</v>
      </c>
      <c r="F779">
        <v>3948</v>
      </c>
      <c r="G779">
        <v>43885</v>
      </c>
      <c r="H779">
        <v>7493</v>
      </c>
      <c r="I779">
        <v>3676</v>
      </c>
      <c r="J779">
        <v>47289</v>
      </c>
      <c r="K779">
        <v>50300</v>
      </c>
      <c r="L779">
        <v>7728</v>
      </c>
      <c r="M779">
        <v>173134</v>
      </c>
    </row>
    <row r="780" spans="1:13">
      <c r="A780" t="s">
        <v>200</v>
      </c>
      <c r="B780">
        <v>1699</v>
      </c>
      <c r="C780">
        <v>3523</v>
      </c>
      <c r="D780">
        <v>249</v>
      </c>
      <c r="E780">
        <v>27</v>
      </c>
      <c r="F780">
        <v>1816</v>
      </c>
      <c r="G780">
        <v>14188</v>
      </c>
      <c r="H780">
        <v>894</v>
      </c>
      <c r="I780">
        <v>8036</v>
      </c>
      <c r="J780">
        <v>4819</v>
      </c>
      <c r="K780">
        <v>26159</v>
      </c>
      <c r="L780">
        <v>5513</v>
      </c>
      <c r="M780">
        <v>66923</v>
      </c>
    </row>
    <row r="781" spans="1:13">
      <c r="A781" t="s">
        <v>201</v>
      </c>
      <c r="B781">
        <v>124</v>
      </c>
      <c r="C781">
        <v>329</v>
      </c>
      <c r="D781">
        <v>74</v>
      </c>
      <c r="E781">
        <v>20</v>
      </c>
      <c r="F781">
        <v>123</v>
      </c>
      <c r="G781">
        <v>216</v>
      </c>
      <c r="H781">
        <v>301</v>
      </c>
      <c r="I781">
        <v>4941</v>
      </c>
      <c r="J781">
        <v>42126</v>
      </c>
      <c r="K781">
        <v>15951</v>
      </c>
      <c r="L781">
        <v>7121</v>
      </c>
      <c r="M781">
        <v>71326</v>
      </c>
    </row>
    <row r="782" spans="1:13">
      <c r="A782" t="s">
        <v>202</v>
      </c>
      <c r="B782">
        <v>57</v>
      </c>
      <c r="C782">
        <v>32</v>
      </c>
      <c r="D782">
        <v>2</v>
      </c>
      <c r="E782">
        <v>4</v>
      </c>
      <c r="F782">
        <v>21</v>
      </c>
      <c r="G782">
        <v>8787</v>
      </c>
      <c r="H782">
        <v>16472</v>
      </c>
      <c r="I782">
        <v>21499</v>
      </c>
      <c r="J782">
        <v>46152</v>
      </c>
      <c r="K782">
        <v>83097</v>
      </c>
      <c r="L782">
        <v>1523</v>
      </c>
      <c r="M782">
        <v>177646</v>
      </c>
    </row>
    <row r="783" spans="1:13">
      <c r="A783" t="s">
        <v>203</v>
      </c>
      <c r="B783">
        <v>21</v>
      </c>
      <c r="C783">
        <v>25</v>
      </c>
      <c r="D783">
        <v>1</v>
      </c>
      <c r="E783" t="s">
        <v>225</v>
      </c>
      <c r="F783">
        <v>5</v>
      </c>
      <c r="G783">
        <v>11</v>
      </c>
      <c r="H783">
        <v>2</v>
      </c>
      <c r="I783">
        <v>46</v>
      </c>
      <c r="J783">
        <v>45</v>
      </c>
      <c r="K783">
        <v>267</v>
      </c>
      <c r="L783">
        <v>94</v>
      </c>
      <c r="M783">
        <v>517</v>
      </c>
    </row>
    <row r="784" spans="1:13">
      <c r="A784" t="s">
        <v>204</v>
      </c>
      <c r="B784">
        <v>132</v>
      </c>
      <c r="C784">
        <v>608</v>
      </c>
      <c r="D784">
        <v>40</v>
      </c>
      <c r="E784">
        <v>20</v>
      </c>
      <c r="F784">
        <v>560</v>
      </c>
      <c r="G784">
        <v>56</v>
      </c>
      <c r="H784">
        <v>83</v>
      </c>
      <c r="I784">
        <v>5594</v>
      </c>
      <c r="J784">
        <v>6622</v>
      </c>
      <c r="K784">
        <v>31497</v>
      </c>
      <c r="L784">
        <v>54771</v>
      </c>
      <c r="M784">
        <v>99983</v>
      </c>
    </row>
    <row r="785" spans="1:13">
      <c r="A785" t="s">
        <v>205</v>
      </c>
      <c r="B785">
        <v>9340</v>
      </c>
      <c r="C785">
        <v>23997</v>
      </c>
      <c r="D785">
        <v>1019</v>
      </c>
      <c r="E785">
        <v>1567</v>
      </c>
      <c r="F785">
        <v>36816</v>
      </c>
      <c r="G785">
        <v>13978</v>
      </c>
      <c r="H785">
        <v>575</v>
      </c>
      <c r="I785">
        <v>8708</v>
      </c>
      <c r="J785">
        <v>12256</v>
      </c>
      <c r="K785">
        <v>830</v>
      </c>
      <c r="L785">
        <v>639</v>
      </c>
      <c r="M785">
        <v>109725</v>
      </c>
    </row>
    <row r="786" spans="1:13">
      <c r="A786" t="s">
        <v>206</v>
      </c>
      <c r="B786">
        <v>4220</v>
      </c>
      <c r="C786">
        <v>2140</v>
      </c>
      <c r="D786">
        <v>3784</v>
      </c>
      <c r="E786">
        <v>1672</v>
      </c>
      <c r="F786">
        <v>519</v>
      </c>
      <c r="G786">
        <v>974</v>
      </c>
      <c r="H786">
        <v>784</v>
      </c>
      <c r="I786">
        <v>969</v>
      </c>
      <c r="J786">
        <v>1577</v>
      </c>
      <c r="K786">
        <v>2773</v>
      </c>
      <c r="L786">
        <v>1595</v>
      </c>
      <c r="M786">
        <v>21007</v>
      </c>
    </row>
    <row r="787" spans="1:13">
      <c r="A787" t="s">
        <v>207</v>
      </c>
      <c r="B787">
        <v>5926</v>
      </c>
      <c r="C787">
        <v>11039</v>
      </c>
      <c r="D787">
        <v>1175</v>
      </c>
      <c r="E787">
        <v>2278</v>
      </c>
      <c r="F787">
        <v>11700</v>
      </c>
      <c r="G787">
        <v>4855</v>
      </c>
      <c r="H787">
        <v>1670</v>
      </c>
      <c r="I787">
        <v>17313</v>
      </c>
      <c r="J787">
        <v>1275</v>
      </c>
      <c r="K787">
        <v>39155</v>
      </c>
      <c r="L787">
        <v>2211</v>
      </c>
      <c r="M787">
        <v>98597</v>
      </c>
    </row>
    <row r="788" spans="1:13">
      <c r="A788" t="s">
        <v>208</v>
      </c>
      <c r="B788">
        <v>14000</v>
      </c>
      <c r="C788">
        <v>11905</v>
      </c>
      <c r="D788">
        <v>11147</v>
      </c>
      <c r="E788">
        <v>17302</v>
      </c>
      <c r="F788">
        <v>18930</v>
      </c>
      <c r="G788">
        <v>10623</v>
      </c>
      <c r="H788">
        <v>10765</v>
      </c>
      <c r="I788">
        <v>25416</v>
      </c>
      <c r="J788">
        <v>15340</v>
      </c>
      <c r="K788">
        <v>23303</v>
      </c>
      <c r="L788">
        <v>15707</v>
      </c>
      <c r="M788">
        <v>174438</v>
      </c>
    </row>
    <row r="789" spans="1:13">
      <c r="A789" t="s">
        <v>209</v>
      </c>
      <c r="B789">
        <v>82685</v>
      </c>
      <c r="C789">
        <v>62649</v>
      </c>
      <c r="D789">
        <v>31728</v>
      </c>
      <c r="E789">
        <v>31306</v>
      </c>
      <c r="F789">
        <v>34131</v>
      </c>
      <c r="G789">
        <v>13585</v>
      </c>
      <c r="H789">
        <v>12637</v>
      </c>
      <c r="I789">
        <v>58436</v>
      </c>
      <c r="J789">
        <v>20799</v>
      </c>
      <c r="K789">
        <v>61595</v>
      </c>
      <c r="L789">
        <v>32433</v>
      </c>
      <c r="M789">
        <v>441984</v>
      </c>
    </row>
    <row r="790" spans="1:13">
      <c r="A790" t="s">
        <v>210</v>
      </c>
      <c r="B790">
        <v>10240</v>
      </c>
      <c r="C790">
        <v>19603</v>
      </c>
      <c r="D790">
        <v>4251</v>
      </c>
      <c r="E790">
        <v>2482</v>
      </c>
      <c r="F790">
        <v>39583</v>
      </c>
      <c r="G790">
        <v>50856</v>
      </c>
      <c r="H790">
        <v>18707</v>
      </c>
      <c r="I790">
        <v>72691</v>
      </c>
      <c r="J790">
        <v>42167</v>
      </c>
      <c r="K790">
        <v>278998</v>
      </c>
      <c r="L790">
        <v>11473</v>
      </c>
      <c r="M790">
        <v>551051</v>
      </c>
    </row>
    <row r="791" spans="1:13">
      <c r="A791" t="s">
        <v>211</v>
      </c>
      <c r="B791">
        <v>638849</v>
      </c>
      <c r="C791">
        <v>642984</v>
      </c>
      <c r="D791">
        <v>116460</v>
      </c>
      <c r="E791">
        <v>108227</v>
      </c>
      <c r="F791">
        <v>666056</v>
      </c>
      <c r="G791">
        <v>256752</v>
      </c>
      <c r="H791">
        <v>185394</v>
      </c>
      <c r="I791">
        <v>410814</v>
      </c>
      <c r="J791">
        <v>504861</v>
      </c>
      <c r="K791">
        <v>2597279</v>
      </c>
      <c r="L791">
        <v>528792</v>
      </c>
      <c r="M791">
        <v>6656468</v>
      </c>
    </row>
    <row r="792" spans="1:13">
      <c r="A792" t="s">
        <v>264</v>
      </c>
    </row>
    <row r="793" spans="1:13">
      <c r="A793" t="s">
        <v>265</v>
      </c>
    </row>
    <row r="794" spans="1:13">
      <c r="A794" t="s">
        <v>219</v>
      </c>
    </row>
    <row r="795" spans="1:13">
      <c r="A795" t="s">
        <v>266</v>
      </c>
    </row>
    <row r="796" spans="1:13">
      <c r="A796" t="s">
        <v>267</v>
      </c>
    </row>
    <row r="797" spans="1:13">
      <c r="A797" t="s">
        <v>268</v>
      </c>
    </row>
    <row r="798" spans="1:13">
      <c r="A798" t="s">
        <v>269</v>
      </c>
    </row>
    <row r="799" spans="1:13">
      <c r="A799" t="s">
        <v>270</v>
      </c>
    </row>
    <row r="800" spans="1:13">
      <c r="A800" t="s">
        <v>271</v>
      </c>
    </row>
    <row r="801" spans="1:1">
      <c r="A801" t="s">
        <v>272</v>
      </c>
    </row>
    <row r="802" spans="1:1">
      <c r="A802" t="s">
        <v>273</v>
      </c>
    </row>
    <row r="803" spans="1:1">
      <c r="A803" t="s">
        <v>274</v>
      </c>
    </row>
    <row r="804" spans="1:1">
      <c r="A804" t="s">
        <v>275</v>
      </c>
    </row>
    <row r="805" spans="1:1">
      <c r="A805" t="s">
        <v>276</v>
      </c>
    </row>
    <row r="806" spans="1:1">
      <c r="A806" t="s">
        <v>277</v>
      </c>
    </row>
    <row r="807" spans="1:1">
      <c r="A807" t="s">
        <v>278</v>
      </c>
    </row>
    <row r="808" spans="1:1">
      <c r="A808" t="s">
        <v>279</v>
      </c>
    </row>
    <row r="809" spans="1:1">
      <c r="A809" t="s">
        <v>280</v>
      </c>
    </row>
    <row r="810" spans="1:1">
      <c r="A810" t="s">
        <v>281</v>
      </c>
    </row>
    <row r="811" spans="1:1">
      <c r="A811" t="s">
        <v>282</v>
      </c>
    </row>
    <row r="812" spans="1:1">
      <c r="A812" t="s">
        <v>283</v>
      </c>
    </row>
    <row r="813" spans="1:1">
      <c r="A813" t="s">
        <v>284</v>
      </c>
    </row>
    <row r="814" spans="1:1">
      <c r="A814" t="s">
        <v>285</v>
      </c>
    </row>
    <row r="815" spans="1:1">
      <c r="A815" t="s">
        <v>286</v>
      </c>
    </row>
    <row r="816" spans="1:1">
      <c r="A816" t="s">
        <v>287</v>
      </c>
    </row>
    <row r="817" spans="1:1">
      <c r="A817" t="s">
        <v>288</v>
      </c>
    </row>
    <row r="818" spans="1:1">
      <c r="A818" t="s">
        <v>219</v>
      </c>
    </row>
  </sheetData>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BC509-8FB9-8040-B224-9F75EAE4A241}">
  <dimension ref="A1:M783"/>
  <sheetViews>
    <sheetView topLeftCell="A642" workbookViewId="0">
      <selection activeCell="A688" sqref="A688"/>
    </sheetView>
  </sheetViews>
  <sheetFormatPr baseColWidth="10" defaultColWidth="11.5" defaultRowHeight="15"/>
  <cols>
    <col min="1" max="1" width="80.6640625" bestFit="1" customWidth="1"/>
    <col min="2" max="13" width="5.1640625" bestFit="1" customWidth="1"/>
    <col min="20" max="20" width="28.6640625" bestFit="1" customWidth="1"/>
    <col min="21" max="22" width="5.1640625" bestFit="1" customWidth="1"/>
  </cols>
  <sheetData>
    <row r="1" spans="1:3">
      <c r="A1" t="s">
        <v>256</v>
      </c>
      <c r="B1" t="s">
        <v>257</v>
      </c>
      <c r="C1" t="s">
        <v>258</v>
      </c>
    </row>
    <row r="2" spans="1:3">
      <c r="A2" t="s">
        <v>146</v>
      </c>
      <c r="B2">
        <v>2015</v>
      </c>
      <c r="C2">
        <v>2</v>
      </c>
    </row>
    <row r="3" spans="1:3">
      <c r="A3" t="s">
        <v>146</v>
      </c>
      <c r="B3">
        <v>2016</v>
      </c>
      <c r="C3">
        <v>1</v>
      </c>
    </row>
    <row r="4" spans="1:3">
      <c r="A4" t="s">
        <v>146</v>
      </c>
      <c r="B4">
        <v>2017</v>
      </c>
      <c r="C4" t="s">
        <v>225</v>
      </c>
    </row>
    <row r="5" spans="1:3">
      <c r="A5" t="s">
        <v>146</v>
      </c>
      <c r="B5">
        <v>2018</v>
      </c>
      <c r="C5">
        <v>2</v>
      </c>
    </row>
    <row r="6" spans="1:3">
      <c r="A6" t="s">
        <v>146</v>
      </c>
      <c r="B6">
        <v>2019</v>
      </c>
      <c r="C6" t="s">
        <v>225</v>
      </c>
    </row>
    <row r="7" spans="1:3">
      <c r="A7" t="s">
        <v>146</v>
      </c>
      <c r="B7">
        <v>2020</v>
      </c>
      <c r="C7">
        <v>2</v>
      </c>
    </row>
    <row r="8" spans="1:3">
      <c r="A8" t="s">
        <v>146</v>
      </c>
      <c r="B8">
        <v>2021</v>
      </c>
      <c r="C8" t="s">
        <v>225</v>
      </c>
    </row>
    <row r="9" spans="1:3">
      <c r="A9" t="s">
        <v>146</v>
      </c>
      <c r="B9">
        <v>2022</v>
      </c>
      <c r="C9">
        <v>3</v>
      </c>
    </row>
    <row r="10" spans="1:3">
      <c r="A10" t="s">
        <v>146</v>
      </c>
      <c r="B10">
        <v>2023</v>
      </c>
      <c r="C10">
        <v>4</v>
      </c>
    </row>
    <row r="11" spans="1:3">
      <c r="A11" t="s">
        <v>146</v>
      </c>
      <c r="B11">
        <v>2024</v>
      </c>
      <c r="C11">
        <v>1</v>
      </c>
    </row>
    <row r="12" spans="1:3">
      <c r="A12" t="s">
        <v>146</v>
      </c>
      <c r="B12">
        <v>2025</v>
      </c>
      <c r="C12" t="s">
        <v>225</v>
      </c>
    </row>
    <row r="13" spans="1:3">
      <c r="A13" t="s">
        <v>147</v>
      </c>
      <c r="B13">
        <v>2015</v>
      </c>
      <c r="C13">
        <v>3</v>
      </c>
    </row>
    <row r="14" spans="1:3">
      <c r="A14" t="s">
        <v>147</v>
      </c>
      <c r="B14">
        <v>2016</v>
      </c>
      <c r="C14">
        <v>1</v>
      </c>
    </row>
    <row r="15" spans="1:3">
      <c r="A15" t="s">
        <v>147</v>
      </c>
      <c r="B15">
        <v>2017</v>
      </c>
      <c r="C15">
        <v>1</v>
      </c>
    </row>
    <row r="16" spans="1:3">
      <c r="A16" t="s">
        <v>147</v>
      </c>
      <c r="B16">
        <v>2018</v>
      </c>
      <c r="C16" t="s">
        <v>225</v>
      </c>
    </row>
    <row r="17" spans="1:3">
      <c r="A17" t="s">
        <v>147</v>
      </c>
      <c r="B17">
        <v>2019</v>
      </c>
      <c r="C17" t="s">
        <v>225</v>
      </c>
    </row>
    <row r="18" spans="1:3">
      <c r="A18" t="s">
        <v>147</v>
      </c>
      <c r="B18">
        <v>2020</v>
      </c>
      <c r="C18">
        <v>1</v>
      </c>
    </row>
    <row r="19" spans="1:3">
      <c r="A19" t="s">
        <v>147</v>
      </c>
      <c r="B19">
        <v>2021</v>
      </c>
      <c r="C19">
        <v>6</v>
      </c>
    </row>
    <row r="20" spans="1:3">
      <c r="A20" t="s">
        <v>147</v>
      </c>
      <c r="B20">
        <v>2022</v>
      </c>
      <c r="C20">
        <v>4</v>
      </c>
    </row>
    <row r="21" spans="1:3">
      <c r="A21" t="s">
        <v>147</v>
      </c>
      <c r="B21">
        <v>2023</v>
      </c>
      <c r="C21">
        <v>3</v>
      </c>
    </row>
    <row r="22" spans="1:3">
      <c r="A22" t="s">
        <v>147</v>
      </c>
      <c r="B22">
        <v>2024</v>
      </c>
      <c r="C22">
        <v>1</v>
      </c>
    </row>
    <row r="23" spans="1:3">
      <c r="A23" t="s">
        <v>147</v>
      </c>
      <c r="B23">
        <v>2025</v>
      </c>
      <c r="C23">
        <v>1</v>
      </c>
    </row>
    <row r="24" spans="1:3">
      <c r="A24" t="s">
        <v>148</v>
      </c>
      <c r="B24">
        <v>2015</v>
      </c>
      <c r="C24" t="s">
        <v>225</v>
      </c>
    </row>
    <row r="25" spans="1:3">
      <c r="A25" t="s">
        <v>148</v>
      </c>
      <c r="B25">
        <v>2016</v>
      </c>
      <c r="C25" t="s">
        <v>225</v>
      </c>
    </row>
    <row r="26" spans="1:3">
      <c r="A26" t="s">
        <v>148</v>
      </c>
      <c r="B26">
        <v>2017</v>
      </c>
      <c r="C26" t="s">
        <v>225</v>
      </c>
    </row>
    <row r="27" spans="1:3">
      <c r="A27" t="s">
        <v>148</v>
      </c>
      <c r="B27">
        <v>2018</v>
      </c>
      <c r="C27" t="s">
        <v>225</v>
      </c>
    </row>
    <row r="28" spans="1:3">
      <c r="A28" t="s">
        <v>148</v>
      </c>
      <c r="B28">
        <v>2019</v>
      </c>
      <c r="C28">
        <v>1</v>
      </c>
    </row>
    <row r="29" spans="1:3">
      <c r="A29" t="s">
        <v>148</v>
      </c>
      <c r="B29">
        <v>2020</v>
      </c>
      <c r="C29">
        <v>1</v>
      </c>
    </row>
    <row r="30" spans="1:3">
      <c r="A30" t="s">
        <v>148</v>
      </c>
      <c r="B30">
        <v>2021</v>
      </c>
      <c r="C30">
        <v>1</v>
      </c>
    </row>
    <row r="31" spans="1:3">
      <c r="A31" t="s">
        <v>148</v>
      </c>
      <c r="B31">
        <v>2022</v>
      </c>
      <c r="C31">
        <v>1</v>
      </c>
    </row>
    <row r="32" spans="1:3">
      <c r="A32" t="s">
        <v>148</v>
      </c>
      <c r="B32">
        <v>2023</v>
      </c>
      <c r="C32" t="s">
        <v>225</v>
      </c>
    </row>
    <row r="33" spans="1:3">
      <c r="A33" t="s">
        <v>148</v>
      </c>
      <c r="B33">
        <v>2024</v>
      </c>
      <c r="C33" t="s">
        <v>225</v>
      </c>
    </row>
    <row r="34" spans="1:3">
      <c r="A34" t="s">
        <v>148</v>
      </c>
      <c r="B34">
        <v>2025</v>
      </c>
      <c r="C34">
        <v>1</v>
      </c>
    </row>
    <row r="35" spans="1:3">
      <c r="A35" t="s">
        <v>150</v>
      </c>
      <c r="B35">
        <v>2015</v>
      </c>
      <c r="C35">
        <v>2</v>
      </c>
    </row>
    <row r="36" spans="1:3">
      <c r="A36" t="s">
        <v>150</v>
      </c>
      <c r="B36">
        <v>2016</v>
      </c>
      <c r="C36" t="s">
        <v>225</v>
      </c>
    </row>
    <row r="37" spans="1:3">
      <c r="A37" t="s">
        <v>150</v>
      </c>
      <c r="B37">
        <v>2017</v>
      </c>
      <c r="C37" t="s">
        <v>225</v>
      </c>
    </row>
    <row r="38" spans="1:3">
      <c r="A38" t="s">
        <v>150</v>
      </c>
      <c r="B38">
        <v>2018</v>
      </c>
      <c r="C38">
        <v>1</v>
      </c>
    </row>
    <row r="39" spans="1:3">
      <c r="A39" t="s">
        <v>150</v>
      </c>
      <c r="B39">
        <v>2019</v>
      </c>
      <c r="C39" t="s">
        <v>225</v>
      </c>
    </row>
    <row r="40" spans="1:3">
      <c r="A40" t="s">
        <v>150</v>
      </c>
      <c r="B40">
        <v>2020</v>
      </c>
      <c r="C40" t="s">
        <v>225</v>
      </c>
    </row>
    <row r="41" spans="1:3">
      <c r="A41" t="s">
        <v>150</v>
      </c>
      <c r="B41">
        <v>2021</v>
      </c>
      <c r="C41">
        <v>1</v>
      </c>
    </row>
    <row r="42" spans="1:3">
      <c r="A42" t="s">
        <v>150</v>
      </c>
      <c r="B42">
        <v>2022</v>
      </c>
      <c r="C42" t="s">
        <v>225</v>
      </c>
    </row>
    <row r="43" spans="1:3">
      <c r="A43" t="s">
        <v>150</v>
      </c>
      <c r="B43">
        <v>2023</v>
      </c>
      <c r="C43" t="s">
        <v>225</v>
      </c>
    </row>
    <row r="44" spans="1:3">
      <c r="A44" t="s">
        <v>150</v>
      </c>
      <c r="B44">
        <v>2024</v>
      </c>
      <c r="C44">
        <v>4</v>
      </c>
    </row>
    <row r="45" spans="1:3">
      <c r="A45" t="s">
        <v>150</v>
      </c>
      <c r="B45">
        <v>2025</v>
      </c>
      <c r="C45">
        <v>4</v>
      </c>
    </row>
    <row r="46" spans="1:3">
      <c r="A46" t="s">
        <v>151</v>
      </c>
      <c r="B46">
        <v>2015</v>
      </c>
      <c r="C46">
        <v>2</v>
      </c>
    </row>
    <row r="47" spans="1:3">
      <c r="A47" t="s">
        <v>151</v>
      </c>
      <c r="B47">
        <v>2016</v>
      </c>
      <c r="C47" t="s">
        <v>225</v>
      </c>
    </row>
    <row r="48" spans="1:3">
      <c r="A48" t="s">
        <v>151</v>
      </c>
      <c r="B48">
        <v>2017</v>
      </c>
      <c r="C48" t="s">
        <v>225</v>
      </c>
    </row>
    <row r="49" spans="1:3">
      <c r="A49" t="s">
        <v>151</v>
      </c>
      <c r="B49">
        <v>2018</v>
      </c>
      <c r="C49" t="s">
        <v>225</v>
      </c>
    </row>
    <row r="50" spans="1:3">
      <c r="A50" t="s">
        <v>151</v>
      </c>
      <c r="B50">
        <v>2019</v>
      </c>
      <c r="C50">
        <v>1</v>
      </c>
    </row>
    <row r="51" spans="1:3">
      <c r="A51" t="s">
        <v>151</v>
      </c>
      <c r="B51">
        <v>2020</v>
      </c>
      <c r="C51" t="s">
        <v>225</v>
      </c>
    </row>
    <row r="52" spans="1:3">
      <c r="A52" t="s">
        <v>151</v>
      </c>
      <c r="B52">
        <v>2021</v>
      </c>
      <c r="C52" t="s">
        <v>225</v>
      </c>
    </row>
    <row r="53" spans="1:3">
      <c r="A53" t="s">
        <v>151</v>
      </c>
      <c r="B53">
        <v>2022</v>
      </c>
      <c r="C53" t="s">
        <v>225</v>
      </c>
    </row>
    <row r="54" spans="1:3">
      <c r="A54" t="s">
        <v>151</v>
      </c>
      <c r="B54">
        <v>2023</v>
      </c>
      <c r="C54" t="s">
        <v>225</v>
      </c>
    </row>
    <row r="55" spans="1:3">
      <c r="A55" t="s">
        <v>151</v>
      </c>
      <c r="B55">
        <v>2024</v>
      </c>
      <c r="C55">
        <v>9</v>
      </c>
    </row>
    <row r="56" spans="1:3">
      <c r="A56" t="s">
        <v>151</v>
      </c>
      <c r="B56">
        <v>2025</v>
      </c>
      <c r="C56" t="s">
        <v>225</v>
      </c>
    </row>
    <row r="57" spans="1:3">
      <c r="A57" t="s">
        <v>152</v>
      </c>
      <c r="B57">
        <v>2015</v>
      </c>
      <c r="C57">
        <v>10</v>
      </c>
    </row>
    <row r="58" spans="1:3">
      <c r="A58" t="s">
        <v>152</v>
      </c>
      <c r="B58">
        <v>2016</v>
      </c>
      <c r="C58">
        <v>2</v>
      </c>
    </row>
    <row r="59" spans="1:3">
      <c r="A59" t="s">
        <v>152</v>
      </c>
      <c r="B59">
        <v>2017</v>
      </c>
      <c r="C59">
        <v>1</v>
      </c>
    </row>
    <row r="60" spans="1:3">
      <c r="A60" t="s">
        <v>152</v>
      </c>
      <c r="B60">
        <v>2018</v>
      </c>
      <c r="C60">
        <v>1</v>
      </c>
    </row>
    <row r="61" spans="1:3">
      <c r="A61" t="s">
        <v>152</v>
      </c>
      <c r="B61">
        <v>2019</v>
      </c>
      <c r="C61">
        <v>1</v>
      </c>
    </row>
    <row r="62" spans="1:3">
      <c r="A62" t="s">
        <v>152</v>
      </c>
      <c r="B62">
        <v>2020</v>
      </c>
      <c r="C62">
        <v>3</v>
      </c>
    </row>
    <row r="63" spans="1:3">
      <c r="A63" t="s">
        <v>152</v>
      </c>
      <c r="B63">
        <v>2021</v>
      </c>
      <c r="C63" t="s">
        <v>225</v>
      </c>
    </row>
    <row r="64" spans="1:3">
      <c r="A64" t="s">
        <v>152</v>
      </c>
      <c r="B64">
        <v>2022</v>
      </c>
      <c r="C64">
        <v>7</v>
      </c>
    </row>
    <row r="65" spans="1:3">
      <c r="A65" t="s">
        <v>152</v>
      </c>
      <c r="B65">
        <v>2023</v>
      </c>
      <c r="C65">
        <v>5</v>
      </c>
    </row>
    <row r="66" spans="1:3">
      <c r="A66" t="s">
        <v>152</v>
      </c>
      <c r="B66">
        <v>2024</v>
      </c>
      <c r="C66">
        <v>6</v>
      </c>
    </row>
    <row r="67" spans="1:3">
      <c r="A67" t="s">
        <v>152</v>
      </c>
      <c r="B67">
        <v>2025</v>
      </c>
      <c r="C67">
        <v>4</v>
      </c>
    </row>
    <row r="68" spans="1:3">
      <c r="A68" t="s">
        <v>153</v>
      </c>
      <c r="B68">
        <v>2015</v>
      </c>
      <c r="C68">
        <v>2</v>
      </c>
    </row>
    <row r="69" spans="1:3">
      <c r="A69" t="s">
        <v>153</v>
      </c>
      <c r="B69">
        <v>2016</v>
      </c>
      <c r="C69">
        <v>1</v>
      </c>
    </row>
    <row r="70" spans="1:3">
      <c r="A70" t="s">
        <v>153</v>
      </c>
      <c r="B70">
        <v>2017</v>
      </c>
      <c r="C70" t="s">
        <v>225</v>
      </c>
    </row>
    <row r="71" spans="1:3">
      <c r="A71" t="s">
        <v>153</v>
      </c>
      <c r="B71">
        <v>2018</v>
      </c>
      <c r="C71" t="s">
        <v>225</v>
      </c>
    </row>
    <row r="72" spans="1:3">
      <c r="A72" t="s">
        <v>153</v>
      </c>
      <c r="B72">
        <v>2019</v>
      </c>
      <c r="C72">
        <v>3</v>
      </c>
    </row>
    <row r="73" spans="1:3">
      <c r="A73" t="s">
        <v>153</v>
      </c>
      <c r="B73">
        <v>2020</v>
      </c>
      <c r="C73" t="s">
        <v>225</v>
      </c>
    </row>
    <row r="74" spans="1:3">
      <c r="A74" t="s">
        <v>153</v>
      </c>
      <c r="B74">
        <v>2021</v>
      </c>
      <c r="C74" t="s">
        <v>225</v>
      </c>
    </row>
    <row r="75" spans="1:3">
      <c r="A75" t="s">
        <v>153</v>
      </c>
      <c r="B75">
        <v>2022</v>
      </c>
      <c r="C75">
        <v>12</v>
      </c>
    </row>
    <row r="76" spans="1:3">
      <c r="A76" t="s">
        <v>153</v>
      </c>
      <c r="B76">
        <v>2023</v>
      </c>
      <c r="C76" t="s">
        <v>225</v>
      </c>
    </row>
    <row r="77" spans="1:3">
      <c r="A77" t="s">
        <v>153</v>
      </c>
      <c r="B77">
        <v>2024</v>
      </c>
      <c r="C77">
        <v>8</v>
      </c>
    </row>
    <row r="78" spans="1:3">
      <c r="A78" t="s">
        <v>153</v>
      </c>
      <c r="B78">
        <v>2025</v>
      </c>
      <c r="C78">
        <v>3</v>
      </c>
    </row>
    <row r="79" spans="1:3">
      <c r="A79" t="s">
        <v>154</v>
      </c>
      <c r="B79">
        <v>2015</v>
      </c>
      <c r="C79">
        <v>40</v>
      </c>
    </row>
    <row r="80" spans="1:3">
      <c r="A80" t="s">
        <v>154</v>
      </c>
      <c r="B80">
        <v>2016</v>
      </c>
      <c r="C80">
        <v>15</v>
      </c>
    </row>
    <row r="81" spans="1:3">
      <c r="A81" t="s">
        <v>154</v>
      </c>
      <c r="B81">
        <v>2017</v>
      </c>
      <c r="C81">
        <v>22</v>
      </c>
    </row>
    <row r="82" spans="1:3">
      <c r="A82" t="s">
        <v>154</v>
      </c>
      <c r="B82">
        <v>2018</v>
      </c>
      <c r="C82">
        <v>5</v>
      </c>
    </row>
    <row r="83" spans="1:3">
      <c r="A83" t="s">
        <v>154</v>
      </c>
      <c r="B83">
        <v>2019</v>
      </c>
      <c r="C83">
        <v>7</v>
      </c>
    </row>
    <row r="84" spans="1:3">
      <c r="A84" t="s">
        <v>154</v>
      </c>
      <c r="B84">
        <v>2020</v>
      </c>
      <c r="C84">
        <v>6</v>
      </c>
    </row>
    <row r="85" spans="1:3">
      <c r="A85" t="s">
        <v>154</v>
      </c>
      <c r="B85">
        <v>2021</v>
      </c>
      <c r="C85">
        <v>7</v>
      </c>
    </row>
    <row r="86" spans="1:3">
      <c r="A86" t="s">
        <v>154</v>
      </c>
      <c r="B86">
        <v>2022</v>
      </c>
      <c r="C86">
        <v>8</v>
      </c>
    </row>
    <row r="87" spans="1:3">
      <c r="A87" t="s">
        <v>154</v>
      </c>
      <c r="B87">
        <v>2023</v>
      </c>
      <c r="C87">
        <v>4</v>
      </c>
    </row>
    <row r="88" spans="1:3">
      <c r="A88" t="s">
        <v>154</v>
      </c>
      <c r="B88">
        <v>2024</v>
      </c>
      <c r="C88">
        <v>3</v>
      </c>
    </row>
    <row r="89" spans="1:3">
      <c r="A89" t="s">
        <v>154</v>
      </c>
      <c r="B89">
        <v>2025</v>
      </c>
      <c r="C89">
        <v>1</v>
      </c>
    </row>
    <row r="90" spans="1:3">
      <c r="A90" t="s">
        <v>155</v>
      </c>
      <c r="B90">
        <v>2015</v>
      </c>
      <c r="C90">
        <v>9</v>
      </c>
    </row>
    <row r="91" spans="1:3">
      <c r="A91" t="s">
        <v>155</v>
      </c>
      <c r="B91">
        <v>2016</v>
      </c>
      <c r="C91">
        <v>8</v>
      </c>
    </row>
    <row r="92" spans="1:3">
      <c r="A92" t="s">
        <v>155</v>
      </c>
      <c r="B92">
        <v>2017</v>
      </c>
      <c r="C92">
        <v>10</v>
      </c>
    </row>
    <row r="93" spans="1:3">
      <c r="A93" t="s">
        <v>155</v>
      </c>
      <c r="B93">
        <v>2018</v>
      </c>
      <c r="C93">
        <v>33</v>
      </c>
    </row>
    <row r="94" spans="1:3">
      <c r="A94" t="s">
        <v>155</v>
      </c>
      <c r="B94">
        <v>2019</v>
      </c>
      <c r="C94">
        <v>10</v>
      </c>
    </row>
    <row r="95" spans="1:3">
      <c r="A95" t="s">
        <v>155</v>
      </c>
      <c r="B95">
        <v>2020</v>
      </c>
      <c r="C95">
        <v>7</v>
      </c>
    </row>
    <row r="96" spans="1:3">
      <c r="A96" t="s">
        <v>155</v>
      </c>
      <c r="B96">
        <v>2021</v>
      </c>
      <c r="C96" t="s">
        <v>225</v>
      </c>
    </row>
    <row r="97" spans="1:3">
      <c r="A97" t="s">
        <v>155</v>
      </c>
      <c r="B97">
        <v>2022</v>
      </c>
      <c r="C97">
        <v>14</v>
      </c>
    </row>
    <row r="98" spans="1:3">
      <c r="A98" t="s">
        <v>155</v>
      </c>
      <c r="B98">
        <v>2023</v>
      </c>
      <c r="C98">
        <v>3</v>
      </c>
    </row>
    <row r="99" spans="1:3">
      <c r="A99" t="s">
        <v>155</v>
      </c>
      <c r="B99">
        <v>2024</v>
      </c>
      <c r="C99">
        <v>2</v>
      </c>
    </row>
    <row r="100" spans="1:3">
      <c r="A100" t="s">
        <v>155</v>
      </c>
      <c r="B100">
        <v>2025</v>
      </c>
      <c r="C100">
        <v>5</v>
      </c>
    </row>
    <row r="101" spans="1:3">
      <c r="A101" t="s">
        <v>156</v>
      </c>
      <c r="B101">
        <v>2015</v>
      </c>
      <c r="C101" t="s">
        <v>225</v>
      </c>
    </row>
    <row r="102" spans="1:3">
      <c r="A102" t="s">
        <v>156</v>
      </c>
      <c r="B102">
        <v>2016</v>
      </c>
      <c r="C102" t="s">
        <v>225</v>
      </c>
    </row>
    <row r="103" spans="1:3">
      <c r="A103" t="s">
        <v>156</v>
      </c>
      <c r="B103">
        <v>2017</v>
      </c>
      <c r="C103">
        <v>3</v>
      </c>
    </row>
    <row r="104" spans="1:3">
      <c r="A104" t="s">
        <v>156</v>
      </c>
      <c r="B104">
        <v>2018</v>
      </c>
      <c r="C104">
        <v>7</v>
      </c>
    </row>
    <row r="105" spans="1:3">
      <c r="A105" t="s">
        <v>156</v>
      </c>
      <c r="B105">
        <v>2019</v>
      </c>
      <c r="C105">
        <v>1</v>
      </c>
    </row>
    <row r="106" spans="1:3">
      <c r="A106" t="s">
        <v>156</v>
      </c>
      <c r="B106">
        <v>2020</v>
      </c>
      <c r="C106" t="s">
        <v>225</v>
      </c>
    </row>
    <row r="107" spans="1:3">
      <c r="A107" t="s">
        <v>156</v>
      </c>
      <c r="B107">
        <v>2021</v>
      </c>
      <c r="C107">
        <v>1</v>
      </c>
    </row>
    <row r="108" spans="1:3">
      <c r="A108" t="s">
        <v>156</v>
      </c>
      <c r="B108">
        <v>2022</v>
      </c>
      <c r="C108">
        <v>1</v>
      </c>
    </row>
    <row r="109" spans="1:3">
      <c r="A109" t="s">
        <v>156</v>
      </c>
      <c r="B109">
        <v>2023</v>
      </c>
      <c r="C109" t="s">
        <v>225</v>
      </c>
    </row>
    <row r="110" spans="1:3">
      <c r="A110" t="s">
        <v>156</v>
      </c>
      <c r="B110">
        <v>2024</v>
      </c>
      <c r="C110">
        <v>3</v>
      </c>
    </row>
    <row r="111" spans="1:3">
      <c r="A111" t="s">
        <v>156</v>
      </c>
      <c r="B111">
        <v>2025</v>
      </c>
      <c r="C111">
        <v>1</v>
      </c>
    </row>
    <row r="112" spans="1:3">
      <c r="A112" t="s">
        <v>157</v>
      </c>
      <c r="B112">
        <v>2015</v>
      </c>
      <c r="C112">
        <v>4</v>
      </c>
    </row>
    <row r="113" spans="1:3">
      <c r="A113" t="s">
        <v>157</v>
      </c>
      <c r="B113">
        <v>2016</v>
      </c>
      <c r="C113">
        <v>1</v>
      </c>
    </row>
    <row r="114" spans="1:3">
      <c r="A114" t="s">
        <v>157</v>
      </c>
      <c r="B114">
        <v>2017</v>
      </c>
      <c r="C114">
        <v>2</v>
      </c>
    </row>
    <row r="115" spans="1:3">
      <c r="A115" t="s">
        <v>157</v>
      </c>
      <c r="B115">
        <v>2018</v>
      </c>
      <c r="C115">
        <v>1</v>
      </c>
    </row>
    <row r="116" spans="1:3">
      <c r="A116" t="s">
        <v>157</v>
      </c>
      <c r="B116">
        <v>2019</v>
      </c>
      <c r="C116">
        <v>5</v>
      </c>
    </row>
    <row r="117" spans="1:3">
      <c r="A117" t="s">
        <v>157</v>
      </c>
      <c r="B117">
        <v>2020</v>
      </c>
      <c r="C117">
        <v>3</v>
      </c>
    </row>
    <row r="118" spans="1:3">
      <c r="A118" t="s">
        <v>157</v>
      </c>
      <c r="B118">
        <v>2021</v>
      </c>
      <c r="C118">
        <v>2</v>
      </c>
    </row>
    <row r="119" spans="1:3">
      <c r="A119" t="s">
        <v>157</v>
      </c>
      <c r="B119">
        <v>2022</v>
      </c>
      <c r="C119">
        <v>2</v>
      </c>
    </row>
    <row r="120" spans="1:3">
      <c r="A120" t="s">
        <v>157</v>
      </c>
      <c r="B120">
        <v>2023</v>
      </c>
      <c r="C120">
        <v>2</v>
      </c>
    </row>
    <row r="121" spans="1:3">
      <c r="A121" t="s">
        <v>157</v>
      </c>
      <c r="B121">
        <v>2024</v>
      </c>
      <c r="C121">
        <v>5</v>
      </c>
    </row>
    <row r="122" spans="1:3">
      <c r="A122" t="s">
        <v>157</v>
      </c>
      <c r="B122">
        <v>2025</v>
      </c>
      <c r="C122">
        <v>6</v>
      </c>
    </row>
    <row r="123" spans="1:3">
      <c r="A123" t="s">
        <v>158</v>
      </c>
      <c r="B123">
        <v>2015</v>
      </c>
      <c r="C123">
        <v>2</v>
      </c>
    </row>
    <row r="124" spans="1:3">
      <c r="A124" t="s">
        <v>158</v>
      </c>
      <c r="B124">
        <v>2016</v>
      </c>
      <c r="C124" t="s">
        <v>225</v>
      </c>
    </row>
    <row r="125" spans="1:3">
      <c r="A125" t="s">
        <v>158</v>
      </c>
      <c r="B125">
        <v>2017</v>
      </c>
      <c r="C125" t="s">
        <v>225</v>
      </c>
    </row>
    <row r="126" spans="1:3">
      <c r="A126" t="s">
        <v>158</v>
      </c>
      <c r="B126">
        <v>2018</v>
      </c>
      <c r="C126">
        <v>1</v>
      </c>
    </row>
    <row r="127" spans="1:3">
      <c r="A127" t="s">
        <v>158</v>
      </c>
      <c r="B127">
        <v>2019</v>
      </c>
      <c r="C127">
        <v>1</v>
      </c>
    </row>
    <row r="128" spans="1:3">
      <c r="A128" t="s">
        <v>158</v>
      </c>
      <c r="B128">
        <v>2020</v>
      </c>
      <c r="C128" t="s">
        <v>225</v>
      </c>
    </row>
    <row r="129" spans="1:3">
      <c r="A129" t="s">
        <v>158</v>
      </c>
      <c r="B129">
        <v>2021</v>
      </c>
      <c r="C129" t="s">
        <v>225</v>
      </c>
    </row>
    <row r="130" spans="1:3">
      <c r="A130" t="s">
        <v>158</v>
      </c>
      <c r="B130">
        <v>2022</v>
      </c>
      <c r="C130" t="s">
        <v>225</v>
      </c>
    </row>
    <row r="131" spans="1:3">
      <c r="A131" t="s">
        <v>158</v>
      </c>
      <c r="B131">
        <v>2023</v>
      </c>
      <c r="C131" t="s">
        <v>225</v>
      </c>
    </row>
    <row r="132" spans="1:3">
      <c r="A132" t="s">
        <v>158</v>
      </c>
      <c r="B132">
        <v>2024</v>
      </c>
      <c r="C132">
        <v>1</v>
      </c>
    </row>
    <row r="133" spans="1:3">
      <c r="A133" t="s">
        <v>158</v>
      </c>
      <c r="B133">
        <v>2025</v>
      </c>
      <c r="C133" t="s">
        <v>225</v>
      </c>
    </row>
    <row r="134" spans="1:3">
      <c r="A134" t="s">
        <v>160</v>
      </c>
      <c r="B134">
        <v>2015</v>
      </c>
      <c r="C134" t="s">
        <v>225</v>
      </c>
    </row>
    <row r="135" spans="1:3">
      <c r="A135" t="s">
        <v>160</v>
      </c>
      <c r="B135">
        <v>2016</v>
      </c>
      <c r="C135" t="s">
        <v>225</v>
      </c>
    </row>
    <row r="136" spans="1:3">
      <c r="A136" t="s">
        <v>160</v>
      </c>
      <c r="B136">
        <v>2017</v>
      </c>
      <c r="C136" t="s">
        <v>225</v>
      </c>
    </row>
    <row r="137" spans="1:3">
      <c r="A137" t="s">
        <v>160</v>
      </c>
      <c r="B137">
        <v>2018</v>
      </c>
      <c r="C137" t="s">
        <v>225</v>
      </c>
    </row>
    <row r="138" spans="1:3">
      <c r="A138" t="s">
        <v>160</v>
      </c>
      <c r="B138">
        <v>2019</v>
      </c>
      <c r="C138" t="s">
        <v>225</v>
      </c>
    </row>
    <row r="139" spans="1:3">
      <c r="A139" t="s">
        <v>160</v>
      </c>
      <c r="B139">
        <v>2020</v>
      </c>
      <c r="C139" t="s">
        <v>225</v>
      </c>
    </row>
    <row r="140" spans="1:3">
      <c r="A140" t="s">
        <v>160</v>
      </c>
      <c r="B140">
        <v>2021</v>
      </c>
      <c r="C140" t="s">
        <v>225</v>
      </c>
    </row>
    <row r="141" spans="1:3">
      <c r="A141" t="s">
        <v>160</v>
      </c>
      <c r="B141">
        <v>2022</v>
      </c>
      <c r="C141" t="s">
        <v>225</v>
      </c>
    </row>
    <row r="142" spans="1:3">
      <c r="A142" t="s">
        <v>160</v>
      </c>
      <c r="B142">
        <v>2023</v>
      </c>
      <c r="C142">
        <v>1</v>
      </c>
    </row>
    <row r="143" spans="1:3">
      <c r="A143" t="s">
        <v>160</v>
      </c>
      <c r="B143">
        <v>2024</v>
      </c>
      <c r="C143">
        <v>1</v>
      </c>
    </row>
    <row r="144" spans="1:3">
      <c r="A144" t="s">
        <v>160</v>
      </c>
      <c r="B144">
        <v>2025</v>
      </c>
      <c r="C144">
        <v>1</v>
      </c>
    </row>
    <row r="145" spans="1:3">
      <c r="A145" t="s">
        <v>161</v>
      </c>
      <c r="B145">
        <v>2015</v>
      </c>
      <c r="C145">
        <v>30</v>
      </c>
    </row>
    <row r="146" spans="1:3">
      <c r="A146" t="s">
        <v>161</v>
      </c>
      <c r="B146">
        <v>2016</v>
      </c>
      <c r="C146">
        <v>28</v>
      </c>
    </row>
    <row r="147" spans="1:3">
      <c r="A147" t="s">
        <v>161</v>
      </c>
      <c r="B147">
        <v>2017</v>
      </c>
      <c r="C147">
        <v>9</v>
      </c>
    </row>
    <row r="148" spans="1:3">
      <c r="A148" t="s">
        <v>161</v>
      </c>
      <c r="B148">
        <v>2018</v>
      </c>
      <c r="C148">
        <v>2</v>
      </c>
    </row>
    <row r="149" spans="1:3">
      <c r="A149" t="s">
        <v>161</v>
      </c>
      <c r="B149">
        <v>2019</v>
      </c>
      <c r="C149">
        <v>7</v>
      </c>
    </row>
    <row r="150" spans="1:3">
      <c r="A150" t="s">
        <v>161</v>
      </c>
      <c r="B150">
        <v>2020</v>
      </c>
      <c r="C150" t="s">
        <v>225</v>
      </c>
    </row>
    <row r="151" spans="1:3">
      <c r="A151" t="s">
        <v>161</v>
      </c>
      <c r="B151">
        <v>2021</v>
      </c>
      <c r="C151">
        <v>6</v>
      </c>
    </row>
    <row r="152" spans="1:3">
      <c r="A152" t="s">
        <v>161</v>
      </c>
      <c r="B152">
        <v>2022</v>
      </c>
      <c r="C152" t="s">
        <v>225</v>
      </c>
    </row>
    <row r="153" spans="1:3">
      <c r="A153" t="s">
        <v>161</v>
      </c>
      <c r="B153">
        <v>2023</v>
      </c>
      <c r="C153">
        <v>2</v>
      </c>
    </row>
    <row r="154" spans="1:3">
      <c r="A154" t="s">
        <v>161</v>
      </c>
      <c r="B154">
        <v>2024</v>
      </c>
      <c r="C154">
        <v>3</v>
      </c>
    </row>
    <row r="155" spans="1:3">
      <c r="A155" t="s">
        <v>161</v>
      </c>
      <c r="B155">
        <v>2025</v>
      </c>
      <c r="C155">
        <v>6</v>
      </c>
    </row>
    <row r="156" spans="1:3">
      <c r="A156" t="s">
        <v>162</v>
      </c>
      <c r="B156">
        <v>2015</v>
      </c>
      <c r="C156">
        <v>3</v>
      </c>
    </row>
    <row r="157" spans="1:3">
      <c r="A157" t="s">
        <v>162</v>
      </c>
      <c r="B157">
        <v>2016</v>
      </c>
      <c r="C157">
        <v>5</v>
      </c>
    </row>
    <row r="158" spans="1:3">
      <c r="A158" t="s">
        <v>162</v>
      </c>
      <c r="B158">
        <v>2017</v>
      </c>
      <c r="C158">
        <v>1</v>
      </c>
    </row>
    <row r="159" spans="1:3">
      <c r="A159" t="s">
        <v>162</v>
      </c>
      <c r="B159">
        <v>2018</v>
      </c>
      <c r="C159">
        <v>1</v>
      </c>
    </row>
    <row r="160" spans="1:3">
      <c r="A160" t="s">
        <v>162</v>
      </c>
      <c r="B160">
        <v>2019</v>
      </c>
      <c r="C160">
        <v>2</v>
      </c>
    </row>
    <row r="161" spans="1:3">
      <c r="A161" t="s">
        <v>162</v>
      </c>
      <c r="B161">
        <v>2020</v>
      </c>
      <c r="C161" t="s">
        <v>225</v>
      </c>
    </row>
    <row r="162" spans="1:3">
      <c r="A162" t="s">
        <v>162</v>
      </c>
      <c r="B162">
        <v>2021</v>
      </c>
      <c r="C162">
        <v>5</v>
      </c>
    </row>
    <row r="163" spans="1:3">
      <c r="A163" t="s">
        <v>162</v>
      </c>
      <c r="B163">
        <v>2022</v>
      </c>
      <c r="C163">
        <v>4</v>
      </c>
    </row>
    <row r="164" spans="1:3">
      <c r="A164" t="s">
        <v>162</v>
      </c>
      <c r="B164">
        <v>2023</v>
      </c>
      <c r="C164">
        <v>1</v>
      </c>
    </row>
    <row r="165" spans="1:3">
      <c r="A165" t="s">
        <v>162</v>
      </c>
      <c r="B165">
        <v>2024</v>
      </c>
      <c r="C165">
        <v>9</v>
      </c>
    </row>
    <row r="166" spans="1:3">
      <c r="A166" t="s">
        <v>162</v>
      </c>
      <c r="B166">
        <v>2025</v>
      </c>
      <c r="C166" t="s">
        <v>225</v>
      </c>
    </row>
    <row r="167" spans="1:3">
      <c r="A167" t="s">
        <v>163</v>
      </c>
      <c r="B167">
        <v>2015</v>
      </c>
      <c r="C167">
        <v>2</v>
      </c>
    </row>
    <row r="168" spans="1:3">
      <c r="A168" t="s">
        <v>163</v>
      </c>
      <c r="B168">
        <v>2016</v>
      </c>
      <c r="C168">
        <v>1</v>
      </c>
    </row>
    <row r="169" spans="1:3">
      <c r="A169" t="s">
        <v>163</v>
      </c>
      <c r="B169">
        <v>2017</v>
      </c>
      <c r="C169" t="s">
        <v>225</v>
      </c>
    </row>
    <row r="170" spans="1:3">
      <c r="A170" t="s">
        <v>163</v>
      </c>
      <c r="B170">
        <v>2018</v>
      </c>
      <c r="C170" t="s">
        <v>225</v>
      </c>
    </row>
    <row r="171" spans="1:3">
      <c r="A171" t="s">
        <v>163</v>
      </c>
      <c r="B171">
        <v>2019</v>
      </c>
      <c r="C171">
        <v>5</v>
      </c>
    </row>
    <row r="172" spans="1:3">
      <c r="A172" t="s">
        <v>163</v>
      </c>
      <c r="B172">
        <v>2020</v>
      </c>
      <c r="C172" t="s">
        <v>225</v>
      </c>
    </row>
    <row r="173" spans="1:3">
      <c r="A173" t="s">
        <v>163</v>
      </c>
      <c r="B173">
        <v>2021</v>
      </c>
      <c r="C173" t="s">
        <v>225</v>
      </c>
    </row>
    <row r="174" spans="1:3">
      <c r="A174" t="s">
        <v>163</v>
      </c>
      <c r="B174">
        <v>2022</v>
      </c>
      <c r="C174">
        <v>6</v>
      </c>
    </row>
    <row r="175" spans="1:3">
      <c r="A175" t="s">
        <v>163</v>
      </c>
      <c r="B175">
        <v>2023</v>
      </c>
      <c r="C175">
        <v>5</v>
      </c>
    </row>
    <row r="176" spans="1:3">
      <c r="A176" t="s">
        <v>163</v>
      </c>
      <c r="B176">
        <v>2024</v>
      </c>
      <c r="C176">
        <v>5</v>
      </c>
    </row>
    <row r="177" spans="1:3">
      <c r="A177" t="s">
        <v>163</v>
      </c>
      <c r="B177">
        <v>2025</v>
      </c>
      <c r="C177">
        <v>1</v>
      </c>
    </row>
    <row r="178" spans="1:3">
      <c r="A178" t="s">
        <v>164</v>
      </c>
      <c r="B178">
        <v>2015</v>
      </c>
      <c r="C178">
        <v>4</v>
      </c>
    </row>
    <row r="179" spans="1:3">
      <c r="A179" t="s">
        <v>164</v>
      </c>
      <c r="B179">
        <v>2016</v>
      </c>
      <c r="C179" t="s">
        <v>225</v>
      </c>
    </row>
    <row r="180" spans="1:3">
      <c r="A180" t="s">
        <v>164</v>
      </c>
      <c r="B180">
        <v>2017</v>
      </c>
      <c r="C180" t="s">
        <v>225</v>
      </c>
    </row>
    <row r="181" spans="1:3">
      <c r="A181" t="s">
        <v>164</v>
      </c>
      <c r="B181">
        <v>2018</v>
      </c>
      <c r="C181" t="s">
        <v>225</v>
      </c>
    </row>
    <row r="182" spans="1:3">
      <c r="A182" t="s">
        <v>164</v>
      </c>
      <c r="B182">
        <v>2019</v>
      </c>
      <c r="C182">
        <v>15</v>
      </c>
    </row>
    <row r="183" spans="1:3">
      <c r="A183" t="s">
        <v>164</v>
      </c>
      <c r="B183">
        <v>2020</v>
      </c>
      <c r="C183" t="s">
        <v>225</v>
      </c>
    </row>
    <row r="184" spans="1:3">
      <c r="A184" t="s">
        <v>164</v>
      </c>
      <c r="B184">
        <v>2021</v>
      </c>
      <c r="C184">
        <v>1</v>
      </c>
    </row>
    <row r="185" spans="1:3">
      <c r="A185" t="s">
        <v>164</v>
      </c>
      <c r="B185">
        <v>2022</v>
      </c>
      <c r="C185">
        <v>3</v>
      </c>
    </row>
    <row r="186" spans="1:3">
      <c r="A186" t="s">
        <v>164</v>
      </c>
      <c r="B186">
        <v>2023</v>
      </c>
      <c r="C186">
        <v>9</v>
      </c>
    </row>
    <row r="187" spans="1:3">
      <c r="A187" t="s">
        <v>164</v>
      </c>
      <c r="B187">
        <v>2024</v>
      </c>
      <c r="C187">
        <v>12</v>
      </c>
    </row>
    <row r="188" spans="1:3">
      <c r="A188" t="s">
        <v>164</v>
      </c>
      <c r="B188">
        <v>2025</v>
      </c>
      <c r="C188">
        <v>1</v>
      </c>
    </row>
    <row r="189" spans="1:3">
      <c r="A189" t="s">
        <v>165</v>
      </c>
      <c r="B189">
        <v>2015</v>
      </c>
      <c r="C189">
        <v>4</v>
      </c>
    </row>
    <row r="190" spans="1:3">
      <c r="A190" t="s">
        <v>165</v>
      </c>
      <c r="B190">
        <v>2016</v>
      </c>
      <c r="C190" t="s">
        <v>225</v>
      </c>
    </row>
    <row r="191" spans="1:3">
      <c r="A191" t="s">
        <v>165</v>
      </c>
      <c r="B191">
        <v>2017</v>
      </c>
      <c r="C191">
        <v>1</v>
      </c>
    </row>
    <row r="192" spans="1:3">
      <c r="A192" t="s">
        <v>165</v>
      </c>
      <c r="B192">
        <v>2018</v>
      </c>
      <c r="C192" t="s">
        <v>225</v>
      </c>
    </row>
    <row r="193" spans="1:3">
      <c r="A193" t="s">
        <v>165</v>
      </c>
      <c r="B193">
        <v>2019</v>
      </c>
      <c r="C193">
        <v>6</v>
      </c>
    </row>
    <row r="194" spans="1:3">
      <c r="A194" t="s">
        <v>165</v>
      </c>
      <c r="B194">
        <v>2020</v>
      </c>
      <c r="C194">
        <v>3</v>
      </c>
    </row>
    <row r="195" spans="1:3">
      <c r="A195" t="s">
        <v>165</v>
      </c>
      <c r="B195">
        <v>2021</v>
      </c>
      <c r="C195">
        <v>2</v>
      </c>
    </row>
    <row r="196" spans="1:3">
      <c r="A196" t="s">
        <v>165</v>
      </c>
      <c r="B196">
        <v>2022</v>
      </c>
      <c r="C196">
        <v>4</v>
      </c>
    </row>
    <row r="197" spans="1:3">
      <c r="A197" t="s">
        <v>165</v>
      </c>
      <c r="B197">
        <v>2023</v>
      </c>
      <c r="C197">
        <v>12</v>
      </c>
    </row>
    <row r="198" spans="1:3">
      <c r="A198" t="s">
        <v>165</v>
      </c>
      <c r="B198">
        <v>2024</v>
      </c>
      <c r="C198">
        <v>9</v>
      </c>
    </row>
    <row r="199" spans="1:3">
      <c r="A199" t="s">
        <v>165</v>
      </c>
      <c r="B199">
        <v>2025</v>
      </c>
      <c r="C199">
        <v>5</v>
      </c>
    </row>
    <row r="200" spans="1:3">
      <c r="A200" t="s">
        <v>166</v>
      </c>
      <c r="B200">
        <v>2015</v>
      </c>
      <c r="C200">
        <v>5</v>
      </c>
    </row>
    <row r="201" spans="1:3">
      <c r="A201" t="s">
        <v>166</v>
      </c>
      <c r="B201">
        <v>2016</v>
      </c>
      <c r="C201">
        <v>72</v>
      </c>
    </row>
    <row r="202" spans="1:3">
      <c r="A202" t="s">
        <v>166</v>
      </c>
      <c r="B202">
        <v>2017</v>
      </c>
      <c r="C202">
        <v>3</v>
      </c>
    </row>
    <row r="203" spans="1:3">
      <c r="A203" t="s">
        <v>166</v>
      </c>
      <c r="B203">
        <v>2018</v>
      </c>
      <c r="C203" t="s">
        <v>225</v>
      </c>
    </row>
    <row r="204" spans="1:3">
      <c r="A204" t="s">
        <v>166</v>
      </c>
      <c r="B204">
        <v>2019</v>
      </c>
      <c r="C204">
        <v>45</v>
      </c>
    </row>
    <row r="205" spans="1:3">
      <c r="A205" t="s">
        <v>166</v>
      </c>
      <c r="B205">
        <v>2020</v>
      </c>
      <c r="C205">
        <v>2</v>
      </c>
    </row>
    <row r="206" spans="1:3">
      <c r="A206" t="s">
        <v>166</v>
      </c>
      <c r="B206">
        <v>2021</v>
      </c>
      <c r="C206" t="s">
        <v>225</v>
      </c>
    </row>
    <row r="207" spans="1:3">
      <c r="A207" t="s">
        <v>166</v>
      </c>
      <c r="B207">
        <v>2022</v>
      </c>
      <c r="C207">
        <v>2</v>
      </c>
    </row>
    <row r="208" spans="1:3">
      <c r="A208" t="s">
        <v>166</v>
      </c>
      <c r="B208">
        <v>2023</v>
      </c>
      <c r="C208">
        <v>14</v>
      </c>
    </row>
    <row r="209" spans="1:3">
      <c r="A209" t="s">
        <v>166</v>
      </c>
      <c r="B209">
        <v>2024</v>
      </c>
      <c r="C209">
        <v>196</v>
      </c>
    </row>
    <row r="210" spans="1:3">
      <c r="A210" t="s">
        <v>166</v>
      </c>
      <c r="B210">
        <v>2025</v>
      </c>
      <c r="C210">
        <v>3</v>
      </c>
    </row>
    <row r="211" spans="1:3">
      <c r="A211" t="s">
        <v>167</v>
      </c>
      <c r="B211">
        <v>2015</v>
      </c>
      <c r="C211">
        <v>1</v>
      </c>
    </row>
    <row r="212" spans="1:3">
      <c r="A212" t="s">
        <v>167</v>
      </c>
      <c r="B212">
        <v>2016</v>
      </c>
      <c r="C212">
        <v>1</v>
      </c>
    </row>
    <row r="213" spans="1:3">
      <c r="A213" t="s">
        <v>167</v>
      </c>
      <c r="B213">
        <v>2017</v>
      </c>
      <c r="C213">
        <v>1</v>
      </c>
    </row>
    <row r="214" spans="1:3">
      <c r="A214" t="s">
        <v>167</v>
      </c>
      <c r="B214">
        <v>2018</v>
      </c>
      <c r="C214" t="s">
        <v>225</v>
      </c>
    </row>
    <row r="215" spans="1:3">
      <c r="A215" t="s">
        <v>167</v>
      </c>
      <c r="B215">
        <v>2019</v>
      </c>
      <c r="C215">
        <v>14</v>
      </c>
    </row>
    <row r="216" spans="1:3">
      <c r="A216" t="s">
        <v>167</v>
      </c>
      <c r="B216">
        <v>2020</v>
      </c>
      <c r="C216" t="s">
        <v>225</v>
      </c>
    </row>
    <row r="217" spans="1:3">
      <c r="A217" t="s">
        <v>167</v>
      </c>
      <c r="B217">
        <v>2021</v>
      </c>
      <c r="C217">
        <v>1</v>
      </c>
    </row>
    <row r="218" spans="1:3">
      <c r="A218" t="s">
        <v>167</v>
      </c>
      <c r="B218">
        <v>2022</v>
      </c>
      <c r="C218">
        <v>1</v>
      </c>
    </row>
    <row r="219" spans="1:3">
      <c r="A219" t="s">
        <v>167</v>
      </c>
      <c r="B219">
        <v>2023</v>
      </c>
      <c r="C219">
        <v>5</v>
      </c>
    </row>
    <row r="220" spans="1:3">
      <c r="A220" t="s">
        <v>167</v>
      </c>
      <c r="B220">
        <v>2024</v>
      </c>
      <c r="C220">
        <v>22</v>
      </c>
    </row>
    <row r="221" spans="1:3">
      <c r="A221" t="s">
        <v>167</v>
      </c>
      <c r="B221">
        <v>2025</v>
      </c>
      <c r="C221">
        <v>1</v>
      </c>
    </row>
    <row r="222" spans="1:3">
      <c r="A222" t="s">
        <v>168</v>
      </c>
      <c r="B222">
        <v>2015</v>
      </c>
      <c r="C222">
        <v>2</v>
      </c>
    </row>
    <row r="223" spans="1:3">
      <c r="A223" t="s">
        <v>168</v>
      </c>
      <c r="B223">
        <v>2016</v>
      </c>
      <c r="C223">
        <v>12</v>
      </c>
    </row>
    <row r="224" spans="1:3">
      <c r="A224" t="s">
        <v>168</v>
      </c>
      <c r="B224">
        <v>2017</v>
      </c>
      <c r="C224">
        <v>2</v>
      </c>
    </row>
    <row r="225" spans="1:3">
      <c r="A225" t="s">
        <v>168</v>
      </c>
      <c r="B225">
        <v>2018</v>
      </c>
      <c r="C225">
        <v>1</v>
      </c>
    </row>
    <row r="226" spans="1:3">
      <c r="A226" t="s">
        <v>168</v>
      </c>
      <c r="B226">
        <v>2019</v>
      </c>
      <c r="C226">
        <v>6</v>
      </c>
    </row>
    <row r="227" spans="1:3">
      <c r="A227" t="s">
        <v>168</v>
      </c>
      <c r="B227">
        <v>2020</v>
      </c>
      <c r="C227" t="s">
        <v>225</v>
      </c>
    </row>
    <row r="228" spans="1:3">
      <c r="A228" t="s">
        <v>168</v>
      </c>
      <c r="B228">
        <v>2021</v>
      </c>
      <c r="C228" t="s">
        <v>225</v>
      </c>
    </row>
    <row r="229" spans="1:3">
      <c r="A229" t="s">
        <v>168</v>
      </c>
      <c r="B229">
        <v>2022</v>
      </c>
      <c r="C229" t="s">
        <v>225</v>
      </c>
    </row>
    <row r="230" spans="1:3">
      <c r="A230" t="s">
        <v>168</v>
      </c>
      <c r="B230">
        <v>2023</v>
      </c>
      <c r="C230">
        <v>2</v>
      </c>
    </row>
    <row r="231" spans="1:3">
      <c r="A231" t="s">
        <v>168</v>
      </c>
      <c r="B231">
        <v>2024</v>
      </c>
      <c r="C231">
        <v>46</v>
      </c>
    </row>
    <row r="232" spans="1:3">
      <c r="A232" t="s">
        <v>168</v>
      </c>
      <c r="B232">
        <v>2025</v>
      </c>
      <c r="C232" t="s">
        <v>225</v>
      </c>
    </row>
    <row r="233" spans="1:3">
      <c r="A233" t="s">
        <v>169</v>
      </c>
      <c r="B233">
        <v>2015</v>
      </c>
      <c r="C233">
        <v>1</v>
      </c>
    </row>
    <row r="234" spans="1:3">
      <c r="A234" t="s">
        <v>169</v>
      </c>
      <c r="B234">
        <v>2016</v>
      </c>
      <c r="C234">
        <v>58</v>
      </c>
    </row>
    <row r="235" spans="1:3">
      <c r="A235" t="s">
        <v>169</v>
      </c>
      <c r="B235">
        <v>2017</v>
      </c>
      <c r="C235">
        <v>1</v>
      </c>
    </row>
    <row r="236" spans="1:3">
      <c r="A236" t="s">
        <v>169</v>
      </c>
      <c r="B236">
        <v>2018</v>
      </c>
      <c r="C236" t="s">
        <v>225</v>
      </c>
    </row>
    <row r="237" spans="1:3">
      <c r="A237" t="s">
        <v>169</v>
      </c>
      <c r="B237">
        <v>2019</v>
      </c>
      <c r="C237">
        <v>17</v>
      </c>
    </row>
    <row r="238" spans="1:3">
      <c r="A238" t="s">
        <v>169</v>
      </c>
      <c r="B238">
        <v>2020</v>
      </c>
      <c r="C238" t="s">
        <v>225</v>
      </c>
    </row>
    <row r="239" spans="1:3">
      <c r="A239" t="s">
        <v>169</v>
      </c>
      <c r="B239">
        <v>2021</v>
      </c>
      <c r="C239" t="s">
        <v>225</v>
      </c>
    </row>
    <row r="240" spans="1:3">
      <c r="A240" t="s">
        <v>169</v>
      </c>
      <c r="B240">
        <v>2022</v>
      </c>
      <c r="C240">
        <v>2</v>
      </c>
    </row>
    <row r="241" spans="1:3">
      <c r="A241" t="s">
        <v>169</v>
      </c>
      <c r="B241">
        <v>2023</v>
      </c>
      <c r="C241">
        <v>2</v>
      </c>
    </row>
    <row r="242" spans="1:3">
      <c r="A242" t="s">
        <v>169</v>
      </c>
      <c r="B242">
        <v>2024</v>
      </c>
      <c r="C242">
        <v>26</v>
      </c>
    </row>
    <row r="243" spans="1:3">
      <c r="A243" t="s">
        <v>169</v>
      </c>
      <c r="B243">
        <v>2025</v>
      </c>
      <c r="C243">
        <v>7</v>
      </c>
    </row>
    <row r="244" spans="1:3">
      <c r="A244" t="s">
        <v>170</v>
      </c>
      <c r="B244">
        <v>2015</v>
      </c>
      <c r="C244" t="s">
        <v>225</v>
      </c>
    </row>
    <row r="245" spans="1:3">
      <c r="A245" t="s">
        <v>170</v>
      </c>
      <c r="B245">
        <v>2016</v>
      </c>
      <c r="C245">
        <v>1</v>
      </c>
    </row>
    <row r="246" spans="1:3">
      <c r="A246" t="s">
        <v>170</v>
      </c>
      <c r="B246">
        <v>2017</v>
      </c>
      <c r="C246" t="s">
        <v>225</v>
      </c>
    </row>
    <row r="247" spans="1:3">
      <c r="A247" t="s">
        <v>170</v>
      </c>
      <c r="B247">
        <v>2018</v>
      </c>
      <c r="C247">
        <v>1</v>
      </c>
    </row>
    <row r="248" spans="1:3">
      <c r="A248" t="s">
        <v>170</v>
      </c>
      <c r="B248">
        <v>2019</v>
      </c>
      <c r="C248" t="s">
        <v>225</v>
      </c>
    </row>
    <row r="249" spans="1:3">
      <c r="A249" t="s">
        <v>170</v>
      </c>
      <c r="B249">
        <v>2020</v>
      </c>
      <c r="C249" t="s">
        <v>225</v>
      </c>
    </row>
    <row r="250" spans="1:3">
      <c r="A250" t="s">
        <v>170</v>
      </c>
      <c r="B250">
        <v>2021</v>
      </c>
      <c r="C250">
        <v>1</v>
      </c>
    </row>
    <row r="251" spans="1:3">
      <c r="A251" t="s">
        <v>170</v>
      </c>
      <c r="B251">
        <v>2022</v>
      </c>
      <c r="C251">
        <v>2</v>
      </c>
    </row>
    <row r="252" spans="1:3">
      <c r="A252" t="s">
        <v>170</v>
      </c>
      <c r="B252">
        <v>2023</v>
      </c>
      <c r="C252">
        <v>2</v>
      </c>
    </row>
    <row r="253" spans="1:3">
      <c r="A253" t="s">
        <v>170</v>
      </c>
      <c r="B253">
        <v>2024</v>
      </c>
      <c r="C253">
        <v>7</v>
      </c>
    </row>
    <row r="254" spans="1:3">
      <c r="A254" t="s">
        <v>170</v>
      </c>
      <c r="B254">
        <v>2025</v>
      </c>
      <c r="C254" t="s">
        <v>225</v>
      </c>
    </row>
    <row r="255" spans="1:3">
      <c r="A255" t="s">
        <v>171</v>
      </c>
      <c r="B255">
        <v>2015</v>
      </c>
      <c r="C255">
        <v>9</v>
      </c>
    </row>
    <row r="256" spans="1:3">
      <c r="A256" t="s">
        <v>171</v>
      </c>
      <c r="B256">
        <v>2016</v>
      </c>
      <c r="C256">
        <v>2</v>
      </c>
    </row>
    <row r="257" spans="1:3">
      <c r="A257" t="s">
        <v>171</v>
      </c>
      <c r="B257">
        <v>2017</v>
      </c>
      <c r="C257">
        <v>1</v>
      </c>
    </row>
    <row r="258" spans="1:3">
      <c r="A258" t="s">
        <v>171</v>
      </c>
      <c r="B258">
        <v>2018</v>
      </c>
      <c r="C258" t="s">
        <v>225</v>
      </c>
    </row>
    <row r="259" spans="1:3">
      <c r="A259" t="s">
        <v>171</v>
      </c>
      <c r="B259">
        <v>2019</v>
      </c>
      <c r="C259">
        <v>19</v>
      </c>
    </row>
    <row r="260" spans="1:3">
      <c r="A260" t="s">
        <v>171</v>
      </c>
      <c r="B260">
        <v>2020</v>
      </c>
      <c r="C260" t="s">
        <v>225</v>
      </c>
    </row>
    <row r="261" spans="1:3">
      <c r="A261" t="s">
        <v>171</v>
      </c>
      <c r="B261">
        <v>2021</v>
      </c>
      <c r="C261" t="s">
        <v>225</v>
      </c>
    </row>
    <row r="262" spans="1:3">
      <c r="A262" t="s">
        <v>171</v>
      </c>
      <c r="B262">
        <v>2022</v>
      </c>
      <c r="C262">
        <v>6</v>
      </c>
    </row>
    <row r="263" spans="1:3">
      <c r="A263" t="s">
        <v>171</v>
      </c>
      <c r="B263">
        <v>2023</v>
      </c>
      <c r="C263">
        <v>19</v>
      </c>
    </row>
    <row r="264" spans="1:3">
      <c r="A264" t="s">
        <v>171</v>
      </c>
      <c r="B264">
        <v>2024</v>
      </c>
      <c r="C264">
        <v>23</v>
      </c>
    </row>
    <row r="265" spans="1:3">
      <c r="A265" t="s">
        <v>171</v>
      </c>
      <c r="B265">
        <v>2025</v>
      </c>
      <c r="C265">
        <v>39</v>
      </c>
    </row>
    <row r="266" spans="1:3">
      <c r="A266" t="s">
        <v>172</v>
      </c>
      <c r="B266">
        <v>2015</v>
      </c>
      <c r="C266">
        <v>2</v>
      </c>
    </row>
    <row r="267" spans="1:3">
      <c r="A267" t="s">
        <v>172</v>
      </c>
      <c r="B267">
        <v>2016</v>
      </c>
      <c r="C267" t="s">
        <v>225</v>
      </c>
    </row>
    <row r="268" spans="1:3">
      <c r="A268" t="s">
        <v>172</v>
      </c>
      <c r="B268">
        <v>2017</v>
      </c>
      <c r="C268">
        <v>1</v>
      </c>
    </row>
    <row r="269" spans="1:3">
      <c r="A269" t="s">
        <v>172</v>
      </c>
      <c r="B269">
        <v>2018</v>
      </c>
      <c r="C269">
        <v>3</v>
      </c>
    </row>
    <row r="270" spans="1:3">
      <c r="A270" t="s">
        <v>172</v>
      </c>
      <c r="B270">
        <v>2019</v>
      </c>
      <c r="C270">
        <v>10</v>
      </c>
    </row>
    <row r="271" spans="1:3">
      <c r="A271" t="s">
        <v>172</v>
      </c>
      <c r="B271">
        <v>2020</v>
      </c>
      <c r="C271" t="s">
        <v>225</v>
      </c>
    </row>
    <row r="272" spans="1:3">
      <c r="A272" t="s">
        <v>172</v>
      </c>
      <c r="B272">
        <v>2021</v>
      </c>
      <c r="C272" t="s">
        <v>225</v>
      </c>
    </row>
    <row r="273" spans="1:3">
      <c r="A273" t="s">
        <v>172</v>
      </c>
      <c r="B273">
        <v>2022</v>
      </c>
      <c r="C273" t="s">
        <v>225</v>
      </c>
    </row>
    <row r="274" spans="1:3">
      <c r="A274" t="s">
        <v>172</v>
      </c>
      <c r="B274">
        <v>2023</v>
      </c>
      <c r="C274">
        <v>8</v>
      </c>
    </row>
    <row r="275" spans="1:3">
      <c r="A275" t="s">
        <v>172</v>
      </c>
      <c r="B275">
        <v>2024</v>
      </c>
      <c r="C275">
        <v>2</v>
      </c>
    </row>
    <row r="276" spans="1:3">
      <c r="A276" t="s">
        <v>172</v>
      </c>
      <c r="B276">
        <v>2025</v>
      </c>
      <c r="C276" t="s">
        <v>225</v>
      </c>
    </row>
    <row r="277" spans="1:3">
      <c r="A277" t="s">
        <v>173</v>
      </c>
      <c r="B277">
        <v>2015</v>
      </c>
      <c r="C277">
        <v>5</v>
      </c>
    </row>
    <row r="278" spans="1:3">
      <c r="A278" t="s">
        <v>173</v>
      </c>
      <c r="B278">
        <v>2016</v>
      </c>
      <c r="C278">
        <v>1</v>
      </c>
    </row>
    <row r="279" spans="1:3">
      <c r="A279" t="s">
        <v>173</v>
      </c>
      <c r="B279">
        <v>2017</v>
      </c>
      <c r="C279">
        <v>1</v>
      </c>
    </row>
    <row r="280" spans="1:3">
      <c r="A280" t="s">
        <v>173</v>
      </c>
      <c r="B280">
        <v>2018</v>
      </c>
      <c r="C280">
        <v>1</v>
      </c>
    </row>
    <row r="281" spans="1:3">
      <c r="A281" t="s">
        <v>173</v>
      </c>
      <c r="B281">
        <v>2019</v>
      </c>
      <c r="C281">
        <v>2</v>
      </c>
    </row>
    <row r="282" spans="1:3">
      <c r="A282" t="s">
        <v>173</v>
      </c>
      <c r="B282">
        <v>2020</v>
      </c>
      <c r="C282" t="s">
        <v>225</v>
      </c>
    </row>
    <row r="283" spans="1:3">
      <c r="A283" t="s">
        <v>173</v>
      </c>
      <c r="B283">
        <v>2021</v>
      </c>
      <c r="C283" t="s">
        <v>225</v>
      </c>
    </row>
    <row r="284" spans="1:3">
      <c r="A284" t="s">
        <v>173</v>
      </c>
      <c r="B284">
        <v>2022</v>
      </c>
      <c r="C284" t="s">
        <v>225</v>
      </c>
    </row>
    <row r="285" spans="1:3">
      <c r="A285" t="s">
        <v>173</v>
      </c>
      <c r="B285">
        <v>2023</v>
      </c>
      <c r="C285">
        <v>11</v>
      </c>
    </row>
    <row r="286" spans="1:3">
      <c r="A286" t="s">
        <v>173</v>
      </c>
      <c r="B286">
        <v>2024</v>
      </c>
      <c r="C286">
        <v>2</v>
      </c>
    </row>
    <row r="287" spans="1:3">
      <c r="A287" t="s">
        <v>173</v>
      </c>
      <c r="B287">
        <v>2025</v>
      </c>
      <c r="C287" t="s">
        <v>225</v>
      </c>
    </row>
    <row r="288" spans="1:3">
      <c r="A288" t="s">
        <v>174</v>
      </c>
      <c r="B288">
        <v>2015</v>
      </c>
      <c r="C288" t="s">
        <v>225</v>
      </c>
    </row>
    <row r="289" spans="1:3">
      <c r="A289" t="s">
        <v>174</v>
      </c>
      <c r="B289">
        <v>2016</v>
      </c>
      <c r="C289" t="s">
        <v>225</v>
      </c>
    </row>
    <row r="290" spans="1:3">
      <c r="A290" t="s">
        <v>174</v>
      </c>
      <c r="B290">
        <v>2017</v>
      </c>
      <c r="C290" t="s">
        <v>225</v>
      </c>
    </row>
    <row r="291" spans="1:3">
      <c r="A291" t="s">
        <v>174</v>
      </c>
      <c r="B291">
        <v>2018</v>
      </c>
      <c r="C291" t="s">
        <v>225</v>
      </c>
    </row>
    <row r="292" spans="1:3">
      <c r="A292" t="s">
        <v>174</v>
      </c>
      <c r="B292">
        <v>2019</v>
      </c>
      <c r="C292" t="s">
        <v>225</v>
      </c>
    </row>
    <row r="293" spans="1:3">
      <c r="A293" t="s">
        <v>174</v>
      </c>
      <c r="B293">
        <v>2020</v>
      </c>
      <c r="C293" t="s">
        <v>225</v>
      </c>
    </row>
    <row r="294" spans="1:3">
      <c r="A294" t="s">
        <v>174</v>
      </c>
      <c r="B294">
        <v>2021</v>
      </c>
      <c r="C294" t="s">
        <v>225</v>
      </c>
    </row>
    <row r="295" spans="1:3">
      <c r="A295" t="s">
        <v>174</v>
      </c>
      <c r="B295">
        <v>2022</v>
      </c>
      <c r="C295" t="s">
        <v>225</v>
      </c>
    </row>
    <row r="296" spans="1:3">
      <c r="A296" t="s">
        <v>174</v>
      </c>
      <c r="B296">
        <v>2023</v>
      </c>
      <c r="C296" t="s">
        <v>225</v>
      </c>
    </row>
    <row r="297" spans="1:3">
      <c r="A297" t="s">
        <v>174</v>
      </c>
      <c r="B297">
        <v>2024</v>
      </c>
      <c r="C297">
        <v>1</v>
      </c>
    </row>
    <row r="298" spans="1:3">
      <c r="A298" t="s">
        <v>174</v>
      </c>
      <c r="B298">
        <v>2025</v>
      </c>
      <c r="C298" t="s">
        <v>225</v>
      </c>
    </row>
    <row r="299" spans="1:3">
      <c r="A299" t="s">
        <v>175</v>
      </c>
      <c r="B299">
        <v>2015</v>
      </c>
      <c r="C299">
        <v>7</v>
      </c>
    </row>
    <row r="300" spans="1:3">
      <c r="A300" t="s">
        <v>175</v>
      </c>
      <c r="B300">
        <v>2016</v>
      </c>
      <c r="C300">
        <v>3</v>
      </c>
    </row>
    <row r="301" spans="1:3">
      <c r="A301" t="s">
        <v>175</v>
      </c>
      <c r="B301">
        <v>2017</v>
      </c>
      <c r="C301" t="s">
        <v>225</v>
      </c>
    </row>
    <row r="302" spans="1:3">
      <c r="A302" t="s">
        <v>175</v>
      </c>
      <c r="B302">
        <v>2018</v>
      </c>
      <c r="C302" t="s">
        <v>225</v>
      </c>
    </row>
    <row r="303" spans="1:3">
      <c r="A303" t="s">
        <v>175</v>
      </c>
      <c r="B303">
        <v>2019</v>
      </c>
      <c r="C303" t="s">
        <v>225</v>
      </c>
    </row>
    <row r="304" spans="1:3">
      <c r="A304" t="s">
        <v>175</v>
      </c>
      <c r="B304">
        <v>2020</v>
      </c>
      <c r="C304" t="s">
        <v>225</v>
      </c>
    </row>
    <row r="305" spans="1:3">
      <c r="A305" t="s">
        <v>175</v>
      </c>
      <c r="B305">
        <v>2021</v>
      </c>
      <c r="C305" t="s">
        <v>225</v>
      </c>
    </row>
    <row r="306" spans="1:3">
      <c r="A306" t="s">
        <v>175</v>
      </c>
      <c r="B306">
        <v>2022</v>
      </c>
      <c r="C306" t="s">
        <v>225</v>
      </c>
    </row>
    <row r="307" spans="1:3">
      <c r="A307" t="s">
        <v>175</v>
      </c>
      <c r="B307">
        <v>2023</v>
      </c>
      <c r="C307">
        <v>2</v>
      </c>
    </row>
    <row r="308" spans="1:3">
      <c r="A308" t="s">
        <v>175</v>
      </c>
      <c r="B308">
        <v>2024</v>
      </c>
      <c r="C308">
        <v>5</v>
      </c>
    </row>
    <row r="309" spans="1:3">
      <c r="A309" t="s">
        <v>175</v>
      </c>
      <c r="B309">
        <v>2025</v>
      </c>
      <c r="C309">
        <v>1</v>
      </c>
    </row>
    <row r="310" spans="1:3">
      <c r="A310" t="s">
        <v>176</v>
      </c>
      <c r="B310">
        <v>2015</v>
      </c>
      <c r="C310">
        <v>1</v>
      </c>
    </row>
    <row r="311" spans="1:3">
      <c r="A311" t="s">
        <v>176</v>
      </c>
      <c r="B311">
        <v>2016</v>
      </c>
      <c r="C311">
        <v>3</v>
      </c>
    </row>
    <row r="312" spans="1:3">
      <c r="A312" t="s">
        <v>176</v>
      </c>
      <c r="B312">
        <v>2017</v>
      </c>
      <c r="C312">
        <v>1</v>
      </c>
    </row>
    <row r="313" spans="1:3">
      <c r="A313" t="s">
        <v>176</v>
      </c>
      <c r="B313">
        <v>2018</v>
      </c>
      <c r="C313">
        <v>3</v>
      </c>
    </row>
    <row r="314" spans="1:3">
      <c r="A314" t="s">
        <v>176</v>
      </c>
      <c r="B314">
        <v>2019</v>
      </c>
      <c r="C314" t="s">
        <v>225</v>
      </c>
    </row>
    <row r="315" spans="1:3">
      <c r="A315" t="s">
        <v>176</v>
      </c>
      <c r="B315">
        <v>2020</v>
      </c>
      <c r="C315" t="s">
        <v>225</v>
      </c>
    </row>
    <row r="316" spans="1:3">
      <c r="A316" t="s">
        <v>176</v>
      </c>
      <c r="B316">
        <v>2021</v>
      </c>
      <c r="C316" t="s">
        <v>225</v>
      </c>
    </row>
    <row r="317" spans="1:3">
      <c r="A317" t="s">
        <v>176</v>
      </c>
      <c r="B317">
        <v>2022</v>
      </c>
      <c r="C317">
        <v>1</v>
      </c>
    </row>
    <row r="318" spans="1:3">
      <c r="A318" t="s">
        <v>176</v>
      </c>
      <c r="B318">
        <v>2023</v>
      </c>
      <c r="C318">
        <v>3</v>
      </c>
    </row>
    <row r="319" spans="1:3">
      <c r="A319" t="s">
        <v>176</v>
      </c>
      <c r="B319">
        <v>2024</v>
      </c>
      <c r="C319">
        <v>14</v>
      </c>
    </row>
    <row r="320" spans="1:3">
      <c r="A320" t="s">
        <v>176</v>
      </c>
      <c r="B320">
        <v>2025</v>
      </c>
      <c r="C320">
        <v>3</v>
      </c>
    </row>
    <row r="321" spans="1:3">
      <c r="A321" t="s">
        <v>177</v>
      </c>
      <c r="B321">
        <v>2015</v>
      </c>
      <c r="C321" t="s">
        <v>225</v>
      </c>
    </row>
    <row r="322" spans="1:3">
      <c r="A322" t="s">
        <v>177</v>
      </c>
      <c r="B322">
        <v>2016</v>
      </c>
      <c r="C322" t="s">
        <v>225</v>
      </c>
    </row>
    <row r="323" spans="1:3">
      <c r="A323" t="s">
        <v>177</v>
      </c>
      <c r="B323">
        <v>2017</v>
      </c>
      <c r="C323" t="s">
        <v>225</v>
      </c>
    </row>
    <row r="324" spans="1:3">
      <c r="A324" t="s">
        <v>177</v>
      </c>
      <c r="B324">
        <v>2018</v>
      </c>
      <c r="C324" t="s">
        <v>225</v>
      </c>
    </row>
    <row r="325" spans="1:3">
      <c r="A325" t="s">
        <v>177</v>
      </c>
      <c r="B325">
        <v>2019</v>
      </c>
      <c r="C325" t="s">
        <v>225</v>
      </c>
    </row>
    <row r="326" spans="1:3">
      <c r="A326" t="s">
        <v>177</v>
      </c>
      <c r="B326">
        <v>2020</v>
      </c>
      <c r="C326" t="s">
        <v>225</v>
      </c>
    </row>
    <row r="327" spans="1:3">
      <c r="A327" t="s">
        <v>177</v>
      </c>
      <c r="B327">
        <v>2021</v>
      </c>
      <c r="C327" t="s">
        <v>225</v>
      </c>
    </row>
    <row r="328" spans="1:3">
      <c r="A328" t="s">
        <v>177</v>
      </c>
      <c r="B328">
        <v>2022</v>
      </c>
      <c r="C328" t="s">
        <v>225</v>
      </c>
    </row>
    <row r="329" spans="1:3">
      <c r="A329" t="s">
        <v>177</v>
      </c>
      <c r="B329">
        <v>2023</v>
      </c>
      <c r="C329">
        <v>1</v>
      </c>
    </row>
    <row r="330" spans="1:3">
      <c r="A330" t="s">
        <v>177</v>
      </c>
      <c r="B330">
        <v>2024</v>
      </c>
      <c r="C330">
        <v>3</v>
      </c>
    </row>
    <row r="331" spans="1:3">
      <c r="A331" t="s">
        <v>177</v>
      </c>
      <c r="B331">
        <v>2025</v>
      </c>
      <c r="C331">
        <v>2</v>
      </c>
    </row>
    <row r="332" spans="1:3">
      <c r="A332" t="s">
        <v>178</v>
      </c>
      <c r="B332">
        <v>2015</v>
      </c>
      <c r="C332" t="s">
        <v>225</v>
      </c>
    </row>
    <row r="333" spans="1:3">
      <c r="A333" t="s">
        <v>178</v>
      </c>
      <c r="B333">
        <v>2016</v>
      </c>
      <c r="C333" t="s">
        <v>225</v>
      </c>
    </row>
    <row r="334" spans="1:3">
      <c r="A334" t="s">
        <v>178</v>
      </c>
      <c r="B334">
        <v>2017</v>
      </c>
      <c r="C334" t="s">
        <v>225</v>
      </c>
    </row>
    <row r="335" spans="1:3">
      <c r="A335" t="s">
        <v>178</v>
      </c>
      <c r="B335">
        <v>2018</v>
      </c>
      <c r="C335" t="s">
        <v>225</v>
      </c>
    </row>
    <row r="336" spans="1:3">
      <c r="A336" t="s">
        <v>178</v>
      </c>
      <c r="B336">
        <v>2019</v>
      </c>
      <c r="C336" t="s">
        <v>225</v>
      </c>
    </row>
    <row r="337" spans="1:3">
      <c r="A337" t="s">
        <v>178</v>
      </c>
      <c r="B337">
        <v>2020</v>
      </c>
      <c r="C337" t="s">
        <v>225</v>
      </c>
    </row>
    <row r="338" spans="1:3">
      <c r="A338" t="s">
        <v>178</v>
      </c>
      <c r="B338">
        <v>2021</v>
      </c>
      <c r="C338" t="s">
        <v>225</v>
      </c>
    </row>
    <row r="339" spans="1:3">
      <c r="A339" t="s">
        <v>178</v>
      </c>
      <c r="B339">
        <v>2022</v>
      </c>
      <c r="C339" t="s">
        <v>225</v>
      </c>
    </row>
    <row r="340" spans="1:3">
      <c r="A340" t="s">
        <v>178</v>
      </c>
      <c r="B340">
        <v>2023</v>
      </c>
      <c r="C340" t="s">
        <v>225</v>
      </c>
    </row>
    <row r="341" spans="1:3">
      <c r="A341" t="s">
        <v>178</v>
      </c>
      <c r="B341">
        <v>2024</v>
      </c>
      <c r="C341">
        <v>6</v>
      </c>
    </row>
    <row r="342" spans="1:3">
      <c r="A342" t="s">
        <v>178</v>
      </c>
      <c r="B342">
        <v>2025</v>
      </c>
      <c r="C342">
        <v>1</v>
      </c>
    </row>
    <row r="343" spans="1:3">
      <c r="A343" t="s">
        <v>179</v>
      </c>
      <c r="B343">
        <v>2015</v>
      </c>
      <c r="C343">
        <v>4</v>
      </c>
    </row>
    <row r="344" spans="1:3">
      <c r="A344" t="s">
        <v>179</v>
      </c>
      <c r="B344">
        <v>2016</v>
      </c>
      <c r="C344">
        <v>6</v>
      </c>
    </row>
    <row r="345" spans="1:3">
      <c r="A345" t="s">
        <v>179</v>
      </c>
      <c r="B345">
        <v>2017</v>
      </c>
      <c r="C345" t="s">
        <v>225</v>
      </c>
    </row>
    <row r="346" spans="1:3">
      <c r="A346" t="s">
        <v>179</v>
      </c>
      <c r="B346">
        <v>2018</v>
      </c>
      <c r="C346" t="s">
        <v>225</v>
      </c>
    </row>
    <row r="347" spans="1:3">
      <c r="A347" t="s">
        <v>179</v>
      </c>
      <c r="B347">
        <v>2019</v>
      </c>
      <c r="C347" t="s">
        <v>225</v>
      </c>
    </row>
    <row r="348" spans="1:3">
      <c r="A348" t="s">
        <v>179</v>
      </c>
      <c r="B348">
        <v>2020</v>
      </c>
      <c r="C348" t="s">
        <v>225</v>
      </c>
    </row>
    <row r="349" spans="1:3">
      <c r="A349" t="s">
        <v>179</v>
      </c>
      <c r="B349">
        <v>2021</v>
      </c>
      <c r="C349">
        <v>1</v>
      </c>
    </row>
    <row r="350" spans="1:3">
      <c r="A350" t="s">
        <v>179</v>
      </c>
      <c r="B350">
        <v>2022</v>
      </c>
      <c r="C350">
        <v>4</v>
      </c>
    </row>
    <row r="351" spans="1:3">
      <c r="A351" t="s">
        <v>179</v>
      </c>
      <c r="B351">
        <v>2023</v>
      </c>
      <c r="C351">
        <v>12</v>
      </c>
    </row>
    <row r="352" spans="1:3">
      <c r="A352" t="s">
        <v>179</v>
      </c>
      <c r="B352">
        <v>2024</v>
      </c>
      <c r="C352">
        <v>26</v>
      </c>
    </row>
    <row r="353" spans="1:3">
      <c r="A353" t="s">
        <v>179</v>
      </c>
      <c r="B353">
        <v>2025</v>
      </c>
      <c r="C353">
        <v>5</v>
      </c>
    </row>
    <row r="354" spans="1:3">
      <c r="A354" t="s">
        <v>180</v>
      </c>
      <c r="B354">
        <v>2015</v>
      </c>
      <c r="C354" t="s">
        <v>225</v>
      </c>
    </row>
    <row r="355" spans="1:3">
      <c r="A355" t="s">
        <v>180</v>
      </c>
      <c r="B355">
        <v>2016</v>
      </c>
      <c r="C355" t="s">
        <v>225</v>
      </c>
    </row>
    <row r="356" spans="1:3">
      <c r="A356" t="s">
        <v>180</v>
      </c>
      <c r="B356">
        <v>2017</v>
      </c>
      <c r="C356" t="s">
        <v>225</v>
      </c>
    </row>
    <row r="357" spans="1:3">
      <c r="A357" t="s">
        <v>180</v>
      </c>
      <c r="B357">
        <v>2018</v>
      </c>
      <c r="C357">
        <v>1</v>
      </c>
    </row>
    <row r="358" spans="1:3">
      <c r="A358" t="s">
        <v>180</v>
      </c>
      <c r="B358">
        <v>2019</v>
      </c>
      <c r="C358" t="s">
        <v>225</v>
      </c>
    </row>
    <row r="359" spans="1:3">
      <c r="A359" t="s">
        <v>180</v>
      </c>
      <c r="B359">
        <v>2020</v>
      </c>
      <c r="C359" t="s">
        <v>225</v>
      </c>
    </row>
    <row r="360" spans="1:3">
      <c r="A360" t="s">
        <v>180</v>
      </c>
      <c r="B360">
        <v>2021</v>
      </c>
      <c r="C360" t="s">
        <v>225</v>
      </c>
    </row>
    <row r="361" spans="1:3">
      <c r="A361" t="s">
        <v>180</v>
      </c>
      <c r="B361">
        <v>2022</v>
      </c>
      <c r="C361">
        <v>1</v>
      </c>
    </row>
    <row r="362" spans="1:3">
      <c r="A362" t="s">
        <v>180</v>
      </c>
      <c r="B362">
        <v>2023</v>
      </c>
      <c r="C362">
        <v>1</v>
      </c>
    </row>
    <row r="363" spans="1:3">
      <c r="A363" t="s">
        <v>180</v>
      </c>
      <c r="B363">
        <v>2024</v>
      </c>
      <c r="C363">
        <v>1</v>
      </c>
    </row>
    <row r="364" spans="1:3">
      <c r="A364" t="s">
        <v>180</v>
      </c>
      <c r="B364">
        <v>2025</v>
      </c>
      <c r="C364">
        <v>2</v>
      </c>
    </row>
    <row r="365" spans="1:3">
      <c r="A365" t="s">
        <v>181</v>
      </c>
      <c r="B365">
        <v>2015</v>
      </c>
      <c r="C365" t="s">
        <v>225</v>
      </c>
    </row>
    <row r="366" spans="1:3">
      <c r="A366" t="s">
        <v>181</v>
      </c>
      <c r="B366">
        <v>2016</v>
      </c>
      <c r="C366" t="s">
        <v>225</v>
      </c>
    </row>
    <row r="367" spans="1:3">
      <c r="A367" t="s">
        <v>181</v>
      </c>
      <c r="B367">
        <v>2017</v>
      </c>
      <c r="C367" t="s">
        <v>225</v>
      </c>
    </row>
    <row r="368" spans="1:3">
      <c r="A368" t="s">
        <v>181</v>
      </c>
      <c r="B368">
        <v>2018</v>
      </c>
      <c r="C368" t="s">
        <v>225</v>
      </c>
    </row>
    <row r="369" spans="1:3">
      <c r="A369" t="s">
        <v>181</v>
      </c>
      <c r="B369">
        <v>2019</v>
      </c>
      <c r="C369" t="s">
        <v>225</v>
      </c>
    </row>
    <row r="370" spans="1:3">
      <c r="A370" t="s">
        <v>181</v>
      </c>
      <c r="B370">
        <v>2020</v>
      </c>
      <c r="C370" t="s">
        <v>225</v>
      </c>
    </row>
    <row r="371" spans="1:3">
      <c r="A371" t="s">
        <v>181</v>
      </c>
      <c r="B371">
        <v>2021</v>
      </c>
      <c r="C371" t="s">
        <v>225</v>
      </c>
    </row>
    <row r="372" spans="1:3">
      <c r="A372" t="s">
        <v>181</v>
      </c>
      <c r="B372">
        <v>2022</v>
      </c>
      <c r="C372">
        <v>1</v>
      </c>
    </row>
    <row r="373" spans="1:3">
      <c r="A373" t="s">
        <v>181</v>
      </c>
      <c r="B373">
        <v>2023</v>
      </c>
      <c r="C373" t="s">
        <v>225</v>
      </c>
    </row>
    <row r="374" spans="1:3">
      <c r="A374" t="s">
        <v>181</v>
      </c>
      <c r="B374">
        <v>2024</v>
      </c>
      <c r="C374">
        <v>1</v>
      </c>
    </row>
    <row r="375" spans="1:3">
      <c r="A375" t="s">
        <v>181</v>
      </c>
      <c r="B375">
        <v>2025</v>
      </c>
      <c r="C375" t="s">
        <v>225</v>
      </c>
    </row>
    <row r="376" spans="1:3">
      <c r="A376" t="s">
        <v>182</v>
      </c>
      <c r="B376">
        <v>2015</v>
      </c>
      <c r="C376">
        <v>27</v>
      </c>
    </row>
    <row r="377" spans="1:3">
      <c r="A377" t="s">
        <v>182</v>
      </c>
      <c r="B377">
        <v>2016</v>
      </c>
      <c r="C377" t="s">
        <v>225</v>
      </c>
    </row>
    <row r="378" spans="1:3">
      <c r="A378" t="s">
        <v>182</v>
      </c>
      <c r="B378">
        <v>2017</v>
      </c>
      <c r="C378" t="s">
        <v>225</v>
      </c>
    </row>
    <row r="379" spans="1:3">
      <c r="A379" t="s">
        <v>182</v>
      </c>
      <c r="B379">
        <v>2018</v>
      </c>
      <c r="C379">
        <v>1</v>
      </c>
    </row>
    <row r="380" spans="1:3">
      <c r="A380" t="s">
        <v>182</v>
      </c>
      <c r="B380">
        <v>2019</v>
      </c>
      <c r="C380">
        <v>9</v>
      </c>
    </row>
    <row r="381" spans="1:3">
      <c r="A381" t="s">
        <v>182</v>
      </c>
      <c r="B381">
        <v>2020</v>
      </c>
      <c r="C381" t="s">
        <v>225</v>
      </c>
    </row>
    <row r="382" spans="1:3">
      <c r="A382" t="s">
        <v>182</v>
      </c>
      <c r="B382">
        <v>2021</v>
      </c>
      <c r="C382">
        <v>1</v>
      </c>
    </row>
    <row r="383" spans="1:3">
      <c r="A383" t="s">
        <v>182</v>
      </c>
      <c r="B383">
        <v>2022</v>
      </c>
      <c r="C383">
        <v>3</v>
      </c>
    </row>
    <row r="384" spans="1:3">
      <c r="A384" t="s">
        <v>182</v>
      </c>
      <c r="B384">
        <v>2023</v>
      </c>
      <c r="C384">
        <v>4</v>
      </c>
    </row>
    <row r="385" spans="1:3">
      <c r="A385" t="s">
        <v>182</v>
      </c>
      <c r="B385">
        <v>2024</v>
      </c>
      <c r="C385">
        <v>100</v>
      </c>
    </row>
    <row r="386" spans="1:3">
      <c r="A386" t="s">
        <v>182</v>
      </c>
      <c r="B386">
        <v>2025</v>
      </c>
      <c r="C386">
        <v>42</v>
      </c>
    </row>
    <row r="387" spans="1:3">
      <c r="A387" t="s">
        <v>183</v>
      </c>
      <c r="B387">
        <v>2015</v>
      </c>
      <c r="C387" t="s">
        <v>225</v>
      </c>
    </row>
    <row r="388" spans="1:3">
      <c r="A388" t="s">
        <v>183</v>
      </c>
      <c r="B388">
        <v>2016</v>
      </c>
      <c r="C388" t="s">
        <v>225</v>
      </c>
    </row>
    <row r="389" spans="1:3">
      <c r="A389" t="s">
        <v>183</v>
      </c>
      <c r="B389">
        <v>2017</v>
      </c>
      <c r="C389" t="s">
        <v>225</v>
      </c>
    </row>
    <row r="390" spans="1:3">
      <c r="A390" t="s">
        <v>183</v>
      </c>
      <c r="B390">
        <v>2018</v>
      </c>
      <c r="C390" t="s">
        <v>225</v>
      </c>
    </row>
    <row r="391" spans="1:3">
      <c r="A391" t="s">
        <v>183</v>
      </c>
      <c r="B391">
        <v>2019</v>
      </c>
      <c r="C391" t="s">
        <v>225</v>
      </c>
    </row>
    <row r="392" spans="1:3">
      <c r="A392" t="s">
        <v>183</v>
      </c>
      <c r="B392">
        <v>2020</v>
      </c>
      <c r="C392" t="s">
        <v>225</v>
      </c>
    </row>
    <row r="393" spans="1:3">
      <c r="A393" t="s">
        <v>183</v>
      </c>
      <c r="B393">
        <v>2021</v>
      </c>
      <c r="C393" t="s">
        <v>225</v>
      </c>
    </row>
    <row r="394" spans="1:3">
      <c r="A394" t="s">
        <v>183</v>
      </c>
      <c r="B394">
        <v>2022</v>
      </c>
      <c r="C394" t="s">
        <v>225</v>
      </c>
    </row>
    <row r="395" spans="1:3">
      <c r="A395" t="s">
        <v>183</v>
      </c>
      <c r="B395">
        <v>2023</v>
      </c>
      <c r="C395" t="s">
        <v>225</v>
      </c>
    </row>
    <row r="396" spans="1:3">
      <c r="A396" t="s">
        <v>183</v>
      </c>
      <c r="B396">
        <v>2024</v>
      </c>
      <c r="C396">
        <v>5</v>
      </c>
    </row>
    <row r="397" spans="1:3">
      <c r="A397" t="s">
        <v>183</v>
      </c>
      <c r="B397">
        <v>2025</v>
      </c>
      <c r="C397">
        <v>4</v>
      </c>
    </row>
    <row r="398" spans="1:3">
      <c r="A398" t="s">
        <v>184</v>
      </c>
      <c r="B398">
        <v>2015</v>
      </c>
      <c r="C398">
        <v>10</v>
      </c>
    </row>
    <row r="399" spans="1:3">
      <c r="A399" t="s">
        <v>184</v>
      </c>
      <c r="B399">
        <v>2016</v>
      </c>
      <c r="C399">
        <v>1</v>
      </c>
    </row>
    <row r="400" spans="1:3">
      <c r="A400" t="s">
        <v>184</v>
      </c>
      <c r="B400">
        <v>2017</v>
      </c>
      <c r="C400" t="s">
        <v>225</v>
      </c>
    </row>
    <row r="401" spans="1:3">
      <c r="A401" t="s">
        <v>184</v>
      </c>
      <c r="B401">
        <v>2018</v>
      </c>
      <c r="C401">
        <v>1</v>
      </c>
    </row>
    <row r="402" spans="1:3">
      <c r="A402" t="s">
        <v>184</v>
      </c>
      <c r="B402">
        <v>2019</v>
      </c>
      <c r="C402">
        <v>1</v>
      </c>
    </row>
    <row r="403" spans="1:3">
      <c r="A403" t="s">
        <v>184</v>
      </c>
      <c r="B403">
        <v>2020</v>
      </c>
      <c r="C403" t="s">
        <v>225</v>
      </c>
    </row>
    <row r="404" spans="1:3">
      <c r="A404" t="s">
        <v>184</v>
      </c>
      <c r="B404">
        <v>2021</v>
      </c>
      <c r="C404" t="s">
        <v>225</v>
      </c>
    </row>
    <row r="405" spans="1:3">
      <c r="A405" t="s">
        <v>184</v>
      </c>
      <c r="B405">
        <v>2022</v>
      </c>
      <c r="C405">
        <v>3</v>
      </c>
    </row>
    <row r="406" spans="1:3">
      <c r="A406" t="s">
        <v>184</v>
      </c>
      <c r="B406">
        <v>2023</v>
      </c>
      <c r="C406">
        <v>2</v>
      </c>
    </row>
    <row r="407" spans="1:3">
      <c r="A407" t="s">
        <v>184</v>
      </c>
      <c r="B407">
        <v>2024</v>
      </c>
      <c r="C407">
        <v>109</v>
      </c>
    </row>
    <row r="408" spans="1:3">
      <c r="A408" t="s">
        <v>184</v>
      </c>
      <c r="B408">
        <v>2025</v>
      </c>
      <c r="C408">
        <v>1</v>
      </c>
    </row>
    <row r="409" spans="1:3">
      <c r="A409" t="s">
        <v>185</v>
      </c>
      <c r="B409">
        <v>2015</v>
      </c>
      <c r="C409">
        <v>3</v>
      </c>
    </row>
    <row r="410" spans="1:3">
      <c r="A410" t="s">
        <v>185</v>
      </c>
      <c r="B410">
        <v>2016</v>
      </c>
      <c r="C410" t="s">
        <v>225</v>
      </c>
    </row>
    <row r="411" spans="1:3">
      <c r="A411" t="s">
        <v>185</v>
      </c>
      <c r="B411">
        <v>2017</v>
      </c>
      <c r="C411" t="s">
        <v>225</v>
      </c>
    </row>
    <row r="412" spans="1:3">
      <c r="A412" t="s">
        <v>185</v>
      </c>
      <c r="B412">
        <v>2018</v>
      </c>
      <c r="C412" t="s">
        <v>225</v>
      </c>
    </row>
    <row r="413" spans="1:3">
      <c r="A413" t="s">
        <v>185</v>
      </c>
      <c r="B413">
        <v>2019</v>
      </c>
      <c r="C413">
        <v>1</v>
      </c>
    </row>
    <row r="414" spans="1:3">
      <c r="A414" t="s">
        <v>185</v>
      </c>
      <c r="B414">
        <v>2020</v>
      </c>
      <c r="C414" t="s">
        <v>225</v>
      </c>
    </row>
    <row r="415" spans="1:3">
      <c r="A415" t="s">
        <v>185</v>
      </c>
      <c r="B415">
        <v>2021</v>
      </c>
      <c r="C415" t="s">
        <v>225</v>
      </c>
    </row>
    <row r="416" spans="1:3">
      <c r="A416" t="s">
        <v>185</v>
      </c>
      <c r="B416">
        <v>2022</v>
      </c>
      <c r="C416" t="s">
        <v>225</v>
      </c>
    </row>
    <row r="417" spans="1:3">
      <c r="A417" t="s">
        <v>185</v>
      </c>
      <c r="B417">
        <v>2023</v>
      </c>
      <c r="C417">
        <v>1</v>
      </c>
    </row>
    <row r="418" spans="1:3">
      <c r="A418" t="s">
        <v>185</v>
      </c>
      <c r="B418">
        <v>2024</v>
      </c>
      <c r="C418">
        <v>19</v>
      </c>
    </row>
    <row r="419" spans="1:3">
      <c r="A419" t="s">
        <v>185</v>
      </c>
      <c r="B419">
        <v>2025</v>
      </c>
      <c r="C419">
        <v>9</v>
      </c>
    </row>
    <row r="420" spans="1:3">
      <c r="A420" t="s">
        <v>186</v>
      </c>
      <c r="B420">
        <v>2015</v>
      </c>
      <c r="C420" t="s">
        <v>225</v>
      </c>
    </row>
    <row r="421" spans="1:3">
      <c r="A421" t="s">
        <v>186</v>
      </c>
      <c r="B421">
        <v>2016</v>
      </c>
      <c r="C421" t="s">
        <v>225</v>
      </c>
    </row>
    <row r="422" spans="1:3">
      <c r="A422" t="s">
        <v>186</v>
      </c>
      <c r="B422">
        <v>2017</v>
      </c>
      <c r="C422" t="s">
        <v>225</v>
      </c>
    </row>
    <row r="423" spans="1:3">
      <c r="A423" t="s">
        <v>186</v>
      </c>
      <c r="B423">
        <v>2018</v>
      </c>
      <c r="C423" t="s">
        <v>225</v>
      </c>
    </row>
    <row r="424" spans="1:3">
      <c r="A424" t="s">
        <v>186</v>
      </c>
      <c r="B424">
        <v>2019</v>
      </c>
      <c r="C424">
        <v>1</v>
      </c>
    </row>
    <row r="425" spans="1:3">
      <c r="A425" t="s">
        <v>186</v>
      </c>
      <c r="B425">
        <v>2020</v>
      </c>
      <c r="C425" t="s">
        <v>225</v>
      </c>
    </row>
    <row r="426" spans="1:3">
      <c r="A426" t="s">
        <v>186</v>
      </c>
      <c r="B426">
        <v>2021</v>
      </c>
      <c r="C426" t="s">
        <v>225</v>
      </c>
    </row>
    <row r="427" spans="1:3">
      <c r="A427" t="s">
        <v>186</v>
      </c>
      <c r="B427">
        <v>2022</v>
      </c>
      <c r="C427" t="s">
        <v>225</v>
      </c>
    </row>
    <row r="428" spans="1:3">
      <c r="A428" t="s">
        <v>186</v>
      </c>
      <c r="B428">
        <v>2023</v>
      </c>
      <c r="C428" t="s">
        <v>225</v>
      </c>
    </row>
    <row r="429" spans="1:3">
      <c r="A429" t="s">
        <v>186</v>
      </c>
      <c r="B429">
        <v>2024</v>
      </c>
      <c r="C429">
        <v>10</v>
      </c>
    </row>
    <row r="430" spans="1:3">
      <c r="A430" t="s">
        <v>186</v>
      </c>
      <c r="B430">
        <v>2025</v>
      </c>
      <c r="C430" t="s">
        <v>225</v>
      </c>
    </row>
    <row r="431" spans="1:3">
      <c r="A431" t="s">
        <v>187</v>
      </c>
      <c r="B431">
        <v>2015</v>
      </c>
      <c r="C431">
        <v>1</v>
      </c>
    </row>
    <row r="432" spans="1:3">
      <c r="A432" t="s">
        <v>187</v>
      </c>
      <c r="B432">
        <v>2016</v>
      </c>
      <c r="C432" t="s">
        <v>225</v>
      </c>
    </row>
    <row r="433" spans="1:3">
      <c r="A433" t="s">
        <v>187</v>
      </c>
      <c r="B433">
        <v>2017</v>
      </c>
      <c r="C433" t="s">
        <v>225</v>
      </c>
    </row>
    <row r="434" spans="1:3">
      <c r="A434" t="s">
        <v>187</v>
      </c>
      <c r="B434">
        <v>2018</v>
      </c>
      <c r="C434" t="s">
        <v>225</v>
      </c>
    </row>
    <row r="435" spans="1:3">
      <c r="A435" t="s">
        <v>187</v>
      </c>
      <c r="B435">
        <v>2019</v>
      </c>
      <c r="C435" t="s">
        <v>225</v>
      </c>
    </row>
    <row r="436" spans="1:3">
      <c r="A436" t="s">
        <v>187</v>
      </c>
      <c r="B436">
        <v>2020</v>
      </c>
      <c r="C436" t="s">
        <v>225</v>
      </c>
    </row>
    <row r="437" spans="1:3">
      <c r="A437" t="s">
        <v>187</v>
      </c>
      <c r="B437">
        <v>2021</v>
      </c>
      <c r="C437" t="s">
        <v>225</v>
      </c>
    </row>
    <row r="438" spans="1:3">
      <c r="A438" t="s">
        <v>187</v>
      </c>
      <c r="B438">
        <v>2022</v>
      </c>
      <c r="C438" t="s">
        <v>225</v>
      </c>
    </row>
    <row r="439" spans="1:3">
      <c r="A439" t="s">
        <v>187</v>
      </c>
      <c r="B439">
        <v>2023</v>
      </c>
      <c r="C439" t="s">
        <v>225</v>
      </c>
    </row>
    <row r="440" spans="1:3">
      <c r="A440" t="s">
        <v>187</v>
      </c>
      <c r="B440">
        <v>2024</v>
      </c>
      <c r="C440">
        <v>27</v>
      </c>
    </row>
    <row r="441" spans="1:3">
      <c r="A441" t="s">
        <v>187</v>
      </c>
      <c r="B441">
        <v>2025</v>
      </c>
      <c r="C441" t="s">
        <v>225</v>
      </c>
    </row>
    <row r="442" spans="1:3">
      <c r="A442" t="s">
        <v>188</v>
      </c>
      <c r="B442">
        <v>2015</v>
      </c>
      <c r="C442">
        <v>3</v>
      </c>
    </row>
    <row r="443" spans="1:3">
      <c r="A443" t="s">
        <v>188</v>
      </c>
      <c r="B443">
        <v>2016</v>
      </c>
      <c r="C443">
        <v>5</v>
      </c>
    </row>
    <row r="444" spans="1:3">
      <c r="A444" t="s">
        <v>188</v>
      </c>
      <c r="B444">
        <v>2017</v>
      </c>
      <c r="C444" t="s">
        <v>225</v>
      </c>
    </row>
    <row r="445" spans="1:3">
      <c r="A445" t="s">
        <v>188</v>
      </c>
      <c r="B445">
        <v>2018</v>
      </c>
      <c r="C445" t="s">
        <v>225</v>
      </c>
    </row>
    <row r="446" spans="1:3">
      <c r="A446" t="s">
        <v>188</v>
      </c>
      <c r="B446">
        <v>2019</v>
      </c>
      <c r="C446" t="s">
        <v>225</v>
      </c>
    </row>
    <row r="447" spans="1:3">
      <c r="A447" t="s">
        <v>188</v>
      </c>
      <c r="B447">
        <v>2020</v>
      </c>
      <c r="C447">
        <v>1</v>
      </c>
    </row>
    <row r="448" spans="1:3">
      <c r="A448" t="s">
        <v>188</v>
      </c>
      <c r="B448">
        <v>2021</v>
      </c>
      <c r="C448">
        <v>1</v>
      </c>
    </row>
    <row r="449" spans="1:3">
      <c r="A449" t="s">
        <v>188</v>
      </c>
      <c r="B449">
        <v>2022</v>
      </c>
      <c r="C449" t="s">
        <v>225</v>
      </c>
    </row>
    <row r="450" spans="1:3">
      <c r="A450" t="s">
        <v>188</v>
      </c>
      <c r="B450">
        <v>2023</v>
      </c>
      <c r="C450" t="s">
        <v>225</v>
      </c>
    </row>
    <row r="451" spans="1:3">
      <c r="A451" t="s">
        <v>188</v>
      </c>
      <c r="B451">
        <v>2024</v>
      </c>
      <c r="C451">
        <v>17</v>
      </c>
    </row>
    <row r="452" spans="1:3">
      <c r="A452" t="s">
        <v>188</v>
      </c>
      <c r="B452">
        <v>2025</v>
      </c>
      <c r="C452">
        <v>17</v>
      </c>
    </row>
    <row r="453" spans="1:3">
      <c r="A453" t="s">
        <v>189</v>
      </c>
      <c r="B453">
        <v>2015</v>
      </c>
      <c r="C453">
        <v>3</v>
      </c>
    </row>
    <row r="454" spans="1:3">
      <c r="A454" t="s">
        <v>189</v>
      </c>
      <c r="B454">
        <v>2016</v>
      </c>
      <c r="C454">
        <v>4</v>
      </c>
    </row>
    <row r="455" spans="1:3">
      <c r="A455" t="s">
        <v>189</v>
      </c>
      <c r="B455">
        <v>2017</v>
      </c>
      <c r="C455" t="s">
        <v>225</v>
      </c>
    </row>
    <row r="456" spans="1:3">
      <c r="A456" t="s">
        <v>189</v>
      </c>
      <c r="B456">
        <v>2018</v>
      </c>
      <c r="C456" t="s">
        <v>225</v>
      </c>
    </row>
    <row r="457" spans="1:3">
      <c r="A457" t="s">
        <v>189</v>
      </c>
      <c r="B457">
        <v>2019</v>
      </c>
      <c r="C457">
        <v>3</v>
      </c>
    </row>
    <row r="458" spans="1:3">
      <c r="A458" t="s">
        <v>189</v>
      </c>
      <c r="B458">
        <v>2020</v>
      </c>
      <c r="C458" t="s">
        <v>225</v>
      </c>
    </row>
    <row r="459" spans="1:3">
      <c r="A459" t="s">
        <v>189</v>
      </c>
      <c r="B459">
        <v>2021</v>
      </c>
      <c r="C459">
        <v>1</v>
      </c>
    </row>
    <row r="460" spans="1:3">
      <c r="A460" t="s">
        <v>189</v>
      </c>
      <c r="B460">
        <v>2022</v>
      </c>
      <c r="C460">
        <v>1</v>
      </c>
    </row>
    <row r="461" spans="1:3">
      <c r="A461" t="s">
        <v>189</v>
      </c>
      <c r="B461">
        <v>2023</v>
      </c>
      <c r="C461">
        <v>3</v>
      </c>
    </row>
    <row r="462" spans="1:3">
      <c r="A462" t="s">
        <v>189</v>
      </c>
      <c r="B462">
        <v>2024</v>
      </c>
      <c r="C462">
        <v>22</v>
      </c>
    </row>
    <row r="463" spans="1:3">
      <c r="A463" t="s">
        <v>189</v>
      </c>
      <c r="B463">
        <v>2025</v>
      </c>
      <c r="C463">
        <v>9</v>
      </c>
    </row>
    <row r="464" spans="1:3">
      <c r="A464" t="s">
        <v>190</v>
      </c>
      <c r="B464">
        <v>2015</v>
      </c>
      <c r="C464">
        <v>3</v>
      </c>
    </row>
    <row r="465" spans="1:3">
      <c r="A465" t="s">
        <v>190</v>
      </c>
      <c r="B465">
        <v>2016</v>
      </c>
      <c r="C465">
        <v>9</v>
      </c>
    </row>
    <row r="466" spans="1:3">
      <c r="A466" t="s">
        <v>190</v>
      </c>
      <c r="B466">
        <v>2017</v>
      </c>
      <c r="C466" t="s">
        <v>225</v>
      </c>
    </row>
    <row r="467" spans="1:3">
      <c r="A467" t="s">
        <v>190</v>
      </c>
      <c r="B467">
        <v>2018</v>
      </c>
      <c r="C467" t="s">
        <v>225</v>
      </c>
    </row>
    <row r="468" spans="1:3">
      <c r="A468" t="s">
        <v>190</v>
      </c>
      <c r="B468">
        <v>2019</v>
      </c>
      <c r="C468">
        <v>4</v>
      </c>
    </row>
    <row r="469" spans="1:3">
      <c r="A469" t="s">
        <v>190</v>
      </c>
      <c r="B469">
        <v>2020</v>
      </c>
      <c r="C469">
        <v>10</v>
      </c>
    </row>
    <row r="470" spans="1:3">
      <c r="A470" t="s">
        <v>190</v>
      </c>
      <c r="B470">
        <v>2021</v>
      </c>
      <c r="C470">
        <v>1</v>
      </c>
    </row>
    <row r="471" spans="1:3">
      <c r="A471" t="s">
        <v>190</v>
      </c>
      <c r="B471">
        <v>2022</v>
      </c>
      <c r="C471">
        <v>2</v>
      </c>
    </row>
    <row r="472" spans="1:3">
      <c r="A472" t="s">
        <v>190</v>
      </c>
      <c r="B472">
        <v>2023</v>
      </c>
      <c r="C472">
        <v>10</v>
      </c>
    </row>
    <row r="473" spans="1:3">
      <c r="A473" t="s">
        <v>190</v>
      </c>
      <c r="B473">
        <v>2024</v>
      </c>
      <c r="C473">
        <v>32</v>
      </c>
    </row>
    <row r="474" spans="1:3">
      <c r="A474" t="s">
        <v>190</v>
      </c>
      <c r="B474">
        <v>2025</v>
      </c>
      <c r="C474">
        <v>24</v>
      </c>
    </row>
    <row r="475" spans="1:3">
      <c r="A475" t="s">
        <v>191</v>
      </c>
      <c r="B475">
        <v>2015</v>
      </c>
      <c r="C475">
        <v>3</v>
      </c>
    </row>
    <row r="476" spans="1:3">
      <c r="A476" t="s">
        <v>191</v>
      </c>
      <c r="B476">
        <v>2016</v>
      </c>
      <c r="C476" t="s">
        <v>225</v>
      </c>
    </row>
    <row r="477" spans="1:3">
      <c r="A477" t="s">
        <v>191</v>
      </c>
      <c r="B477">
        <v>2017</v>
      </c>
      <c r="C477" t="s">
        <v>225</v>
      </c>
    </row>
    <row r="478" spans="1:3">
      <c r="A478" t="s">
        <v>191</v>
      </c>
      <c r="B478">
        <v>2018</v>
      </c>
      <c r="C478" t="s">
        <v>225</v>
      </c>
    </row>
    <row r="479" spans="1:3">
      <c r="A479" t="s">
        <v>191</v>
      </c>
      <c r="B479">
        <v>2019</v>
      </c>
      <c r="C479">
        <v>1</v>
      </c>
    </row>
    <row r="480" spans="1:3">
      <c r="A480" t="s">
        <v>191</v>
      </c>
      <c r="B480">
        <v>2020</v>
      </c>
      <c r="C480" t="s">
        <v>225</v>
      </c>
    </row>
    <row r="481" spans="1:3">
      <c r="A481" t="s">
        <v>191</v>
      </c>
      <c r="B481">
        <v>2021</v>
      </c>
      <c r="C481" t="s">
        <v>225</v>
      </c>
    </row>
    <row r="482" spans="1:3">
      <c r="A482" t="s">
        <v>191</v>
      </c>
      <c r="B482">
        <v>2022</v>
      </c>
      <c r="C482">
        <v>1</v>
      </c>
    </row>
    <row r="483" spans="1:3">
      <c r="A483" t="s">
        <v>191</v>
      </c>
      <c r="B483">
        <v>2023</v>
      </c>
      <c r="C483" t="s">
        <v>225</v>
      </c>
    </row>
    <row r="484" spans="1:3">
      <c r="A484" t="s">
        <v>191</v>
      </c>
      <c r="B484">
        <v>2024</v>
      </c>
      <c r="C484">
        <v>17</v>
      </c>
    </row>
    <row r="485" spans="1:3">
      <c r="A485" t="s">
        <v>191</v>
      </c>
      <c r="B485">
        <v>2025</v>
      </c>
      <c r="C485">
        <v>2</v>
      </c>
    </row>
    <row r="486" spans="1:3">
      <c r="A486" t="s">
        <v>192</v>
      </c>
      <c r="B486">
        <v>2015</v>
      </c>
      <c r="C486">
        <v>8</v>
      </c>
    </row>
    <row r="487" spans="1:3">
      <c r="A487" t="s">
        <v>192</v>
      </c>
      <c r="B487">
        <v>2016</v>
      </c>
      <c r="C487">
        <v>2</v>
      </c>
    </row>
    <row r="488" spans="1:3">
      <c r="A488" t="s">
        <v>192</v>
      </c>
      <c r="B488">
        <v>2017</v>
      </c>
      <c r="C488" t="s">
        <v>225</v>
      </c>
    </row>
    <row r="489" spans="1:3">
      <c r="A489" t="s">
        <v>192</v>
      </c>
      <c r="B489">
        <v>2018</v>
      </c>
      <c r="C489" t="s">
        <v>225</v>
      </c>
    </row>
    <row r="490" spans="1:3">
      <c r="A490" t="s">
        <v>192</v>
      </c>
      <c r="B490">
        <v>2019</v>
      </c>
      <c r="C490">
        <v>3</v>
      </c>
    </row>
    <row r="491" spans="1:3">
      <c r="A491" t="s">
        <v>192</v>
      </c>
      <c r="B491">
        <v>2020</v>
      </c>
      <c r="C491" t="s">
        <v>225</v>
      </c>
    </row>
    <row r="492" spans="1:3">
      <c r="A492" t="s">
        <v>192</v>
      </c>
      <c r="B492">
        <v>2021</v>
      </c>
      <c r="C492">
        <v>7</v>
      </c>
    </row>
    <row r="493" spans="1:3">
      <c r="A493" t="s">
        <v>192</v>
      </c>
      <c r="B493">
        <v>2022</v>
      </c>
      <c r="C493" t="s">
        <v>225</v>
      </c>
    </row>
    <row r="494" spans="1:3">
      <c r="A494" t="s">
        <v>192</v>
      </c>
      <c r="B494">
        <v>2023</v>
      </c>
      <c r="C494" t="s">
        <v>225</v>
      </c>
    </row>
    <row r="495" spans="1:3">
      <c r="A495" t="s">
        <v>192</v>
      </c>
      <c r="B495">
        <v>2024</v>
      </c>
      <c r="C495">
        <v>16</v>
      </c>
    </row>
    <row r="496" spans="1:3">
      <c r="A496" t="s">
        <v>192</v>
      </c>
      <c r="B496">
        <v>2025</v>
      </c>
      <c r="C496">
        <v>10</v>
      </c>
    </row>
    <row r="497" spans="1:3">
      <c r="A497" t="s">
        <v>193</v>
      </c>
      <c r="B497">
        <v>2015</v>
      </c>
      <c r="C497">
        <v>3</v>
      </c>
    </row>
    <row r="498" spans="1:3">
      <c r="A498" t="s">
        <v>193</v>
      </c>
      <c r="B498">
        <v>2016</v>
      </c>
      <c r="C498" t="s">
        <v>225</v>
      </c>
    </row>
    <row r="499" spans="1:3">
      <c r="A499" t="s">
        <v>193</v>
      </c>
      <c r="B499">
        <v>2017</v>
      </c>
      <c r="C499" t="s">
        <v>225</v>
      </c>
    </row>
    <row r="500" spans="1:3">
      <c r="A500" t="s">
        <v>193</v>
      </c>
      <c r="B500">
        <v>2018</v>
      </c>
      <c r="C500" t="s">
        <v>225</v>
      </c>
    </row>
    <row r="501" spans="1:3">
      <c r="A501" t="s">
        <v>193</v>
      </c>
      <c r="B501">
        <v>2019</v>
      </c>
      <c r="C501" t="s">
        <v>225</v>
      </c>
    </row>
    <row r="502" spans="1:3">
      <c r="A502" t="s">
        <v>193</v>
      </c>
      <c r="B502">
        <v>2020</v>
      </c>
      <c r="C502" t="s">
        <v>225</v>
      </c>
    </row>
    <row r="503" spans="1:3">
      <c r="A503" t="s">
        <v>193</v>
      </c>
      <c r="B503">
        <v>2021</v>
      </c>
      <c r="C503" t="s">
        <v>225</v>
      </c>
    </row>
    <row r="504" spans="1:3">
      <c r="A504" t="s">
        <v>193</v>
      </c>
      <c r="B504">
        <v>2022</v>
      </c>
      <c r="C504" t="s">
        <v>225</v>
      </c>
    </row>
    <row r="505" spans="1:3">
      <c r="A505" t="s">
        <v>193</v>
      </c>
      <c r="B505">
        <v>2023</v>
      </c>
      <c r="C505" t="s">
        <v>225</v>
      </c>
    </row>
    <row r="506" spans="1:3">
      <c r="A506" t="s">
        <v>193</v>
      </c>
      <c r="B506">
        <v>2024</v>
      </c>
      <c r="C506">
        <v>22</v>
      </c>
    </row>
    <row r="507" spans="1:3">
      <c r="A507" t="s">
        <v>193</v>
      </c>
      <c r="B507">
        <v>2025</v>
      </c>
      <c r="C507">
        <v>4</v>
      </c>
    </row>
    <row r="508" spans="1:3">
      <c r="A508" t="s">
        <v>194</v>
      </c>
      <c r="B508">
        <v>2015</v>
      </c>
      <c r="C508">
        <v>23</v>
      </c>
    </row>
    <row r="509" spans="1:3">
      <c r="A509" t="s">
        <v>194</v>
      </c>
      <c r="B509">
        <v>2016</v>
      </c>
      <c r="C509">
        <v>2</v>
      </c>
    </row>
    <row r="510" spans="1:3">
      <c r="A510" t="s">
        <v>194</v>
      </c>
      <c r="B510">
        <v>2017</v>
      </c>
      <c r="C510">
        <v>2</v>
      </c>
    </row>
    <row r="511" spans="1:3">
      <c r="A511" t="s">
        <v>194</v>
      </c>
      <c r="B511">
        <v>2018</v>
      </c>
      <c r="C511">
        <v>1</v>
      </c>
    </row>
    <row r="512" spans="1:3">
      <c r="A512" t="s">
        <v>194</v>
      </c>
      <c r="B512">
        <v>2019</v>
      </c>
      <c r="C512">
        <v>38</v>
      </c>
    </row>
    <row r="513" spans="1:3">
      <c r="A513" t="s">
        <v>194</v>
      </c>
      <c r="B513">
        <v>2020</v>
      </c>
      <c r="C513">
        <v>8</v>
      </c>
    </row>
    <row r="514" spans="1:3">
      <c r="A514" t="s">
        <v>194</v>
      </c>
      <c r="B514">
        <v>2021</v>
      </c>
      <c r="C514">
        <v>14</v>
      </c>
    </row>
    <row r="515" spans="1:3">
      <c r="A515" t="s">
        <v>194</v>
      </c>
      <c r="B515">
        <v>2022</v>
      </c>
      <c r="C515">
        <v>40</v>
      </c>
    </row>
    <row r="516" spans="1:3">
      <c r="A516" t="s">
        <v>194</v>
      </c>
      <c r="B516">
        <v>2023</v>
      </c>
      <c r="C516">
        <v>8</v>
      </c>
    </row>
    <row r="517" spans="1:3">
      <c r="A517" t="s">
        <v>194</v>
      </c>
      <c r="B517">
        <v>2024</v>
      </c>
      <c r="C517">
        <v>42</v>
      </c>
    </row>
    <row r="518" spans="1:3">
      <c r="A518" t="s">
        <v>194</v>
      </c>
      <c r="B518">
        <v>2025</v>
      </c>
      <c r="C518">
        <v>90</v>
      </c>
    </row>
    <row r="519" spans="1:3">
      <c r="A519" t="s">
        <v>195</v>
      </c>
      <c r="B519">
        <v>2015</v>
      </c>
      <c r="C519">
        <v>9</v>
      </c>
    </row>
    <row r="520" spans="1:3">
      <c r="A520" t="s">
        <v>195</v>
      </c>
      <c r="B520">
        <v>2016</v>
      </c>
      <c r="C520">
        <v>1</v>
      </c>
    </row>
    <row r="521" spans="1:3">
      <c r="A521" t="s">
        <v>195</v>
      </c>
      <c r="B521">
        <v>2017</v>
      </c>
      <c r="C521" t="s">
        <v>225</v>
      </c>
    </row>
    <row r="522" spans="1:3">
      <c r="A522" t="s">
        <v>195</v>
      </c>
      <c r="B522">
        <v>2018</v>
      </c>
      <c r="C522" t="s">
        <v>225</v>
      </c>
    </row>
    <row r="523" spans="1:3">
      <c r="A523" t="s">
        <v>195</v>
      </c>
      <c r="B523">
        <v>2019</v>
      </c>
      <c r="C523">
        <v>4</v>
      </c>
    </row>
    <row r="524" spans="1:3">
      <c r="A524" t="s">
        <v>195</v>
      </c>
      <c r="B524">
        <v>2020</v>
      </c>
      <c r="C524" t="s">
        <v>225</v>
      </c>
    </row>
    <row r="525" spans="1:3">
      <c r="A525" t="s">
        <v>195</v>
      </c>
      <c r="B525">
        <v>2021</v>
      </c>
      <c r="C525">
        <v>1</v>
      </c>
    </row>
    <row r="526" spans="1:3">
      <c r="A526" t="s">
        <v>195</v>
      </c>
      <c r="B526">
        <v>2022</v>
      </c>
      <c r="C526" t="s">
        <v>225</v>
      </c>
    </row>
    <row r="527" spans="1:3">
      <c r="A527" t="s">
        <v>195</v>
      </c>
      <c r="B527">
        <v>2023</v>
      </c>
      <c r="C527" t="s">
        <v>225</v>
      </c>
    </row>
    <row r="528" spans="1:3">
      <c r="A528" t="s">
        <v>195</v>
      </c>
      <c r="B528">
        <v>2024</v>
      </c>
      <c r="C528">
        <v>125</v>
      </c>
    </row>
    <row r="529" spans="1:3">
      <c r="A529" t="s">
        <v>195</v>
      </c>
      <c r="B529">
        <v>2025</v>
      </c>
      <c r="C529">
        <v>5</v>
      </c>
    </row>
    <row r="530" spans="1:3">
      <c r="A530" t="s">
        <v>196</v>
      </c>
      <c r="B530">
        <v>2015</v>
      </c>
      <c r="C530">
        <v>27</v>
      </c>
    </row>
    <row r="531" spans="1:3">
      <c r="A531" t="s">
        <v>196</v>
      </c>
      <c r="B531">
        <v>2016</v>
      </c>
      <c r="C531">
        <v>18</v>
      </c>
    </row>
    <row r="532" spans="1:3">
      <c r="A532" t="s">
        <v>196</v>
      </c>
      <c r="B532">
        <v>2017</v>
      </c>
      <c r="C532" t="s">
        <v>225</v>
      </c>
    </row>
    <row r="533" spans="1:3">
      <c r="A533" t="s">
        <v>196</v>
      </c>
      <c r="B533">
        <v>2018</v>
      </c>
      <c r="C533" t="s">
        <v>225</v>
      </c>
    </row>
    <row r="534" spans="1:3">
      <c r="A534" t="s">
        <v>196</v>
      </c>
      <c r="B534">
        <v>2019</v>
      </c>
      <c r="C534">
        <v>3</v>
      </c>
    </row>
    <row r="535" spans="1:3">
      <c r="A535" t="s">
        <v>196</v>
      </c>
      <c r="B535">
        <v>2020</v>
      </c>
      <c r="C535">
        <v>1</v>
      </c>
    </row>
    <row r="536" spans="1:3">
      <c r="A536" t="s">
        <v>196</v>
      </c>
      <c r="B536">
        <v>2021</v>
      </c>
      <c r="C536" t="s">
        <v>225</v>
      </c>
    </row>
    <row r="537" spans="1:3">
      <c r="A537" t="s">
        <v>196</v>
      </c>
      <c r="B537">
        <v>2022</v>
      </c>
      <c r="C537">
        <v>3</v>
      </c>
    </row>
    <row r="538" spans="1:3">
      <c r="A538" t="s">
        <v>196</v>
      </c>
      <c r="B538">
        <v>2023</v>
      </c>
      <c r="C538">
        <v>11</v>
      </c>
    </row>
    <row r="539" spans="1:3">
      <c r="A539" t="s">
        <v>196</v>
      </c>
      <c r="B539">
        <v>2024</v>
      </c>
      <c r="C539">
        <v>583</v>
      </c>
    </row>
    <row r="540" spans="1:3">
      <c r="A540" t="s">
        <v>196</v>
      </c>
      <c r="B540">
        <v>2025</v>
      </c>
      <c r="C540">
        <v>54</v>
      </c>
    </row>
    <row r="541" spans="1:3">
      <c r="A541" t="s">
        <v>197</v>
      </c>
      <c r="B541">
        <v>2015</v>
      </c>
      <c r="C541">
        <v>38</v>
      </c>
    </row>
    <row r="542" spans="1:3">
      <c r="A542" t="s">
        <v>197</v>
      </c>
      <c r="B542">
        <v>2016</v>
      </c>
      <c r="C542">
        <v>3</v>
      </c>
    </row>
    <row r="543" spans="1:3">
      <c r="A543" t="s">
        <v>197</v>
      </c>
      <c r="B543">
        <v>2017</v>
      </c>
      <c r="C543" t="s">
        <v>225</v>
      </c>
    </row>
    <row r="544" spans="1:3">
      <c r="A544" t="s">
        <v>197</v>
      </c>
      <c r="B544">
        <v>2018</v>
      </c>
      <c r="C544" t="s">
        <v>225</v>
      </c>
    </row>
    <row r="545" spans="1:3">
      <c r="A545" t="s">
        <v>197</v>
      </c>
      <c r="B545">
        <v>2019</v>
      </c>
      <c r="C545">
        <v>1</v>
      </c>
    </row>
    <row r="546" spans="1:3">
      <c r="A546" t="s">
        <v>197</v>
      </c>
      <c r="B546">
        <v>2020</v>
      </c>
      <c r="C546">
        <v>2</v>
      </c>
    </row>
    <row r="547" spans="1:3">
      <c r="A547" t="s">
        <v>197</v>
      </c>
      <c r="B547">
        <v>2021</v>
      </c>
      <c r="C547" t="s">
        <v>225</v>
      </c>
    </row>
    <row r="548" spans="1:3">
      <c r="A548" t="s">
        <v>197</v>
      </c>
      <c r="B548">
        <v>2022</v>
      </c>
      <c r="C548">
        <v>2</v>
      </c>
    </row>
    <row r="549" spans="1:3">
      <c r="A549" t="s">
        <v>197</v>
      </c>
      <c r="B549">
        <v>2023</v>
      </c>
      <c r="C549">
        <v>5</v>
      </c>
    </row>
    <row r="550" spans="1:3">
      <c r="A550" t="s">
        <v>197</v>
      </c>
      <c r="B550">
        <v>2024</v>
      </c>
      <c r="C550">
        <v>60</v>
      </c>
    </row>
    <row r="551" spans="1:3">
      <c r="A551" t="s">
        <v>197</v>
      </c>
      <c r="B551">
        <v>2025</v>
      </c>
      <c r="C551">
        <v>33</v>
      </c>
    </row>
    <row r="552" spans="1:3">
      <c r="A552" t="s">
        <v>198</v>
      </c>
      <c r="B552">
        <v>2015</v>
      </c>
      <c r="C552" t="s">
        <v>225</v>
      </c>
    </row>
    <row r="553" spans="1:3">
      <c r="A553" t="s">
        <v>198</v>
      </c>
      <c r="B553">
        <v>2016</v>
      </c>
      <c r="C553">
        <v>5</v>
      </c>
    </row>
    <row r="554" spans="1:3">
      <c r="A554" t="s">
        <v>198</v>
      </c>
      <c r="B554">
        <v>2017</v>
      </c>
      <c r="C554" t="s">
        <v>225</v>
      </c>
    </row>
    <row r="555" spans="1:3">
      <c r="A555" t="s">
        <v>198</v>
      </c>
      <c r="B555">
        <v>2018</v>
      </c>
      <c r="C555" t="s">
        <v>225</v>
      </c>
    </row>
    <row r="556" spans="1:3">
      <c r="A556" t="s">
        <v>198</v>
      </c>
      <c r="B556">
        <v>2019</v>
      </c>
      <c r="C556" t="s">
        <v>225</v>
      </c>
    </row>
    <row r="557" spans="1:3">
      <c r="A557" t="s">
        <v>198</v>
      </c>
      <c r="B557">
        <v>2020</v>
      </c>
      <c r="C557" t="s">
        <v>225</v>
      </c>
    </row>
    <row r="558" spans="1:3">
      <c r="A558" t="s">
        <v>198</v>
      </c>
      <c r="B558">
        <v>2021</v>
      </c>
      <c r="C558" t="s">
        <v>225</v>
      </c>
    </row>
    <row r="559" spans="1:3">
      <c r="A559" t="s">
        <v>198</v>
      </c>
      <c r="B559">
        <v>2022</v>
      </c>
      <c r="C559" t="s">
        <v>225</v>
      </c>
    </row>
    <row r="560" spans="1:3">
      <c r="A560" t="s">
        <v>198</v>
      </c>
      <c r="B560">
        <v>2023</v>
      </c>
      <c r="C560">
        <v>1</v>
      </c>
    </row>
    <row r="561" spans="1:3">
      <c r="A561" t="s">
        <v>198</v>
      </c>
      <c r="B561">
        <v>2024</v>
      </c>
      <c r="C561">
        <v>10</v>
      </c>
    </row>
    <row r="562" spans="1:3">
      <c r="A562" t="s">
        <v>198</v>
      </c>
      <c r="B562">
        <v>2025</v>
      </c>
      <c r="C562" t="s">
        <v>225</v>
      </c>
    </row>
    <row r="563" spans="1:3">
      <c r="A563" t="s">
        <v>199</v>
      </c>
      <c r="B563">
        <v>2015</v>
      </c>
      <c r="C563">
        <v>2</v>
      </c>
    </row>
    <row r="564" spans="1:3">
      <c r="A564" t="s">
        <v>199</v>
      </c>
      <c r="B564">
        <v>2016</v>
      </c>
      <c r="C564">
        <v>4</v>
      </c>
    </row>
    <row r="565" spans="1:3">
      <c r="A565" t="s">
        <v>199</v>
      </c>
      <c r="B565">
        <v>2017</v>
      </c>
      <c r="C565" t="s">
        <v>225</v>
      </c>
    </row>
    <row r="566" spans="1:3">
      <c r="A566" t="s">
        <v>199</v>
      </c>
      <c r="B566">
        <v>2018</v>
      </c>
      <c r="C566" t="s">
        <v>225</v>
      </c>
    </row>
    <row r="567" spans="1:3">
      <c r="A567" t="s">
        <v>199</v>
      </c>
      <c r="B567">
        <v>2019</v>
      </c>
      <c r="C567">
        <v>8</v>
      </c>
    </row>
    <row r="568" spans="1:3">
      <c r="A568" t="s">
        <v>199</v>
      </c>
      <c r="B568">
        <v>2020</v>
      </c>
      <c r="C568">
        <v>43</v>
      </c>
    </row>
    <row r="569" spans="1:3">
      <c r="A569" t="s">
        <v>199</v>
      </c>
      <c r="B569">
        <v>2021</v>
      </c>
      <c r="C569">
        <v>10</v>
      </c>
    </row>
    <row r="570" spans="1:3">
      <c r="A570" t="s">
        <v>199</v>
      </c>
      <c r="B570">
        <v>2022</v>
      </c>
      <c r="C570">
        <v>9</v>
      </c>
    </row>
    <row r="571" spans="1:3">
      <c r="A571" t="s">
        <v>199</v>
      </c>
      <c r="B571">
        <v>2023</v>
      </c>
      <c r="C571">
        <v>43</v>
      </c>
    </row>
    <row r="572" spans="1:3">
      <c r="A572" t="s">
        <v>199</v>
      </c>
      <c r="B572">
        <v>2024</v>
      </c>
      <c r="C572">
        <v>77</v>
      </c>
    </row>
    <row r="573" spans="1:3">
      <c r="A573" t="s">
        <v>199</v>
      </c>
      <c r="B573">
        <v>2025</v>
      </c>
      <c r="C573">
        <v>17</v>
      </c>
    </row>
    <row r="574" spans="1:3">
      <c r="A574" t="s">
        <v>200</v>
      </c>
      <c r="B574">
        <v>2015</v>
      </c>
      <c r="C574">
        <v>6</v>
      </c>
    </row>
    <row r="575" spans="1:3">
      <c r="A575" t="s">
        <v>200</v>
      </c>
      <c r="B575">
        <v>2016</v>
      </c>
      <c r="C575">
        <v>3</v>
      </c>
    </row>
    <row r="576" spans="1:3">
      <c r="A576" t="s">
        <v>200</v>
      </c>
      <c r="B576">
        <v>2017</v>
      </c>
      <c r="C576" t="s">
        <v>225</v>
      </c>
    </row>
    <row r="577" spans="1:3">
      <c r="A577" t="s">
        <v>200</v>
      </c>
      <c r="B577">
        <v>2018</v>
      </c>
      <c r="C577" t="s">
        <v>225</v>
      </c>
    </row>
    <row r="578" spans="1:3">
      <c r="A578" t="s">
        <v>200</v>
      </c>
      <c r="B578">
        <v>2019</v>
      </c>
      <c r="C578">
        <v>3</v>
      </c>
    </row>
    <row r="579" spans="1:3">
      <c r="A579" t="s">
        <v>200</v>
      </c>
      <c r="B579">
        <v>2020</v>
      </c>
      <c r="C579">
        <v>21</v>
      </c>
    </row>
    <row r="580" spans="1:3">
      <c r="A580" t="s">
        <v>200</v>
      </c>
      <c r="B580">
        <v>2021</v>
      </c>
      <c r="C580">
        <v>4</v>
      </c>
    </row>
    <row r="581" spans="1:3">
      <c r="A581" t="s">
        <v>200</v>
      </c>
      <c r="B581">
        <v>2022</v>
      </c>
      <c r="C581">
        <v>9</v>
      </c>
    </row>
    <row r="582" spans="1:3">
      <c r="A582" t="s">
        <v>200</v>
      </c>
      <c r="B582">
        <v>2023</v>
      </c>
      <c r="C582">
        <v>2</v>
      </c>
    </row>
    <row r="583" spans="1:3">
      <c r="A583" t="s">
        <v>200</v>
      </c>
      <c r="B583">
        <v>2024</v>
      </c>
      <c r="C583">
        <v>25</v>
      </c>
    </row>
    <row r="584" spans="1:3">
      <c r="A584" t="s">
        <v>200</v>
      </c>
      <c r="B584">
        <v>2025</v>
      </c>
      <c r="C584">
        <v>21</v>
      </c>
    </row>
    <row r="585" spans="1:3">
      <c r="A585" t="s">
        <v>201</v>
      </c>
      <c r="B585">
        <v>2015</v>
      </c>
      <c r="C585" t="s">
        <v>225</v>
      </c>
    </row>
    <row r="586" spans="1:3">
      <c r="A586" t="s">
        <v>201</v>
      </c>
      <c r="B586">
        <v>2016</v>
      </c>
      <c r="C586" t="s">
        <v>225</v>
      </c>
    </row>
    <row r="587" spans="1:3">
      <c r="A587" t="s">
        <v>201</v>
      </c>
      <c r="B587">
        <v>2017</v>
      </c>
      <c r="C587" t="s">
        <v>225</v>
      </c>
    </row>
    <row r="588" spans="1:3">
      <c r="A588" t="s">
        <v>201</v>
      </c>
      <c r="B588">
        <v>2018</v>
      </c>
      <c r="C588" t="s">
        <v>225</v>
      </c>
    </row>
    <row r="589" spans="1:3">
      <c r="A589" t="s">
        <v>201</v>
      </c>
      <c r="B589">
        <v>2019</v>
      </c>
      <c r="C589" t="s">
        <v>225</v>
      </c>
    </row>
    <row r="590" spans="1:3">
      <c r="A590" t="s">
        <v>201</v>
      </c>
      <c r="B590">
        <v>2020</v>
      </c>
      <c r="C590" t="s">
        <v>225</v>
      </c>
    </row>
    <row r="591" spans="1:3">
      <c r="A591" t="s">
        <v>201</v>
      </c>
      <c r="B591">
        <v>2021</v>
      </c>
      <c r="C591">
        <v>1</v>
      </c>
    </row>
    <row r="592" spans="1:3">
      <c r="A592" t="s">
        <v>201</v>
      </c>
      <c r="B592">
        <v>2022</v>
      </c>
      <c r="C592">
        <v>2</v>
      </c>
    </row>
    <row r="593" spans="1:3">
      <c r="A593" t="s">
        <v>201</v>
      </c>
      <c r="B593">
        <v>2023</v>
      </c>
      <c r="C593">
        <v>20</v>
      </c>
    </row>
    <row r="594" spans="1:3">
      <c r="A594" t="s">
        <v>201</v>
      </c>
      <c r="B594">
        <v>2024</v>
      </c>
      <c r="C594">
        <v>24</v>
      </c>
    </row>
    <row r="595" spans="1:3">
      <c r="A595" t="s">
        <v>201</v>
      </c>
      <c r="B595">
        <v>2025</v>
      </c>
      <c r="C595">
        <v>3</v>
      </c>
    </row>
    <row r="596" spans="1:3">
      <c r="A596" t="s">
        <v>202</v>
      </c>
      <c r="B596">
        <v>2015</v>
      </c>
      <c r="C596" t="s">
        <v>225</v>
      </c>
    </row>
    <row r="597" spans="1:3">
      <c r="A597" t="s">
        <v>202</v>
      </c>
      <c r="B597">
        <v>2016</v>
      </c>
      <c r="C597" t="s">
        <v>225</v>
      </c>
    </row>
    <row r="598" spans="1:3">
      <c r="A598" t="s">
        <v>202</v>
      </c>
      <c r="B598">
        <v>2017</v>
      </c>
      <c r="C598" t="s">
        <v>225</v>
      </c>
    </row>
    <row r="599" spans="1:3">
      <c r="A599" t="s">
        <v>202</v>
      </c>
      <c r="B599">
        <v>2018</v>
      </c>
      <c r="C599" t="s">
        <v>225</v>
      </c>
    </row>
    <row r="600" spans="1:3">
      <c r="A600" t="s">
        <v>202</v>
      </c>
      <c r="B600">
        <v>2019</v>
      </c>
      <c r="C600" t="s">
        <v>225</v>
      </c>
    </row>
    <row r="601" spans="1:3">
      <c r="A601" t="s">
        <v>202</v>
      </c>
      <c r="B601">
        <v>2020</v>
      </c>
      <c r="C601" t="s">
        <v>225</v>
      </c>
    </row>
    <row r="602" spans="1:3">
      <c r="A602" t="s">
        <v>202</v>
      </c>
      <c r="B602">
        <v>2021</v>
      </c>
      <c r="C602">
        <v>5</v>
      </c>
    </row>
    <row r="603" spans="1:3">
      <c r="A603" t="s">
        <v>202</v>
      </c>
      <c r="B603">
        <v>2022</v>
      </c>
      <c r="C603">
        <v>19</v>
      </c>
    </row>
    <row r="604" spans="1:3">
      <c r="A604" t="s">
        <v>202</v>
      </c>
      <c r="B604">
        <v>2023</v>
      </c>
      <c r="C604">
        <v>46</v>
      </c>
    </row>
    <row r="605" spans="1:3">
      <c r="A605" t="s">
        <v>202</v>
      </c>
      <c r="B605">
        <v>2024</v>
      </c>
      <c r="C605">
        <v>92</v>
      </c>
    </row>
    <row r="606" spans="1:3">
      <c r="A606" t="s">
        <v>202</v>
      </c>
      <c r="B606">
        <v>2025</v>
      </c>
      <c r="C606">
        <v>1</v>
      </c>
    </row>
    <row r="607" spans="1:3">
      <c r="A607" t="s">
        <v>204</v>
      </c>
      <c r="B607">
        <v>2015</v>
      </c>
      <c r="C607" t="s">
        <v>225</v>
      </c>
    </row>
    <row r="608" spans="1:3">
      <c r="A608" t="s">
        <v>204</v>
      </c>
      <c r="B608">
        <v>2016</v>
      </c>
      <c r="C608" t="s">
        <v>225</v>
      </c>
    </row>
    <row r="609" spans="1:3">
      <c r="A609" t="s">
        <v>204</v>
      </c>
      <c r="B609">
        <v>2017</v>
      </c>
      <c r="C609" t="s">
        <v>225</v>
      </c>
    </row>
    <row r="610" spans="1:3">
      <c r="A610" t="s">
        <v>204</v>
      </c>
      <c r="B610">
        <v>2018</v>
      </c>
      <c r="C610" t="s">
        <v>225</v>
      </c>
    </row>
    <row r="611" spans="1:3">
      <c r="A611" t="s">
        <v>204</v>
      </c>
      <c r="B611">
        <v>2019</v>
      </c>
      <c r="C611" t="s">
        <v>225</v>
      </c>
    </row>
    <row r="612" spans="1:3">
      <c r="A612" t="s">
        <v>204</v>
      </c>
      <c r="B612">
        <v>2020</v>
      </c>
      <c r="C612" t="s">
        <v>225</v>
      </c>
    </row>
    <row r="613" spans="1:3">
      <c r="A613" t="s">
        <v>204</v>
      </c>
      <c r="B613">
        <v>2021</v>
      </c>
      <c r="C613" t="s">
        <v>225</v>
      </c>
    </row>
    <row r="614" spans="1:3">
      <c r="A614" t="s">
        <v>204</v>
      </c>
      <c r="B614">
        <v>2022</v>
      </c>
      <c r="C614">
        <v>4</v>
      </c>
    </row>
    <row r="615" spans="1:3">
      <c r="A615" t="s">
        <v>204</v>
      </c>
      <c r="B615">
        <v>2023</v>
      </c>
      <c r="C615">
        <v>2</v>
      </c>
    </row>
    <row r="616" spans="1:3">
      <c r="A616" t="s">
        <v>204</v>
      </c>
      <c r="B616">
        <v>2024</v>
      </c>
      <c r="C616">
        <v>19</v>
      </c>
    </row>
    <row r="617" spans="1:3">
      <c r="A617" t="s">
        <v>204</v>
      </c>
      <c r="B617">
        <v>2025</v>
      </c>
      <c r="C617">
        <v>29</v>
      </c>
    </row>
    <row r="618" spans="1:3">
      <c r="A618" t="s">
        <v>205</v>
      </c>
      <c r="B618">
        <v>2015</v>
      </c>
      <c r="C618">
        <v>6</v>
      </c>
    </row>
    <row r="619" spans="1:3">
      <c r="A619" t="s">
        <v>205</v>
      </c>
      <c r="B619">
        <v>2016</v>
      </c>
      <c r="C619">
        <v>5</v>
      </c>
    </row>
    <row r="620" spans="1:3">
      <c r="A620" t="s">
        <v>205</v>
      </c>
      <c r="B620">
        <v>2017</v>
      </c>
      <c r="C620">
        <v>1</v>
      </c>
    </row>
    <row r="621" spans="1:3">
      <c r="A621" t="s">
        <v>205</v>
      </c>
      <c r="B621">
        <v>2018</v>
      </c>
      <c r="C621" t="s">
        <v>225</v>
      </c>
    </row>
    <row r="622" spans="1:3">
      <c r="A622" t="s">
        <v>205</v>
      </c>
      <c r="B622">
        <v>2019</v>
      </c>
      <c r="C622">
        <v>12</v>
      </c>
    </row>
    <row r="623" spans="1:3">
      <c r="A623" t="s">
        <v>205</v>
      </c>
      <c r="B623">
        <v>2020</v>
      </c>
      <c r="C623">
        <v>10</v>
      </c>
    </row>
    <row r="624" spans="1:3">
      <c r="A624" t="s">
        <v>205</v>
      </c>
      <c r="B624">
        <v>2021</v>
      </c>
      <c r="C624">
        <v>3</v>
      </c>
    </row>
    <row r="625" spans="1:3">
      <c r="A625" t="s">
        <v>205</v>
      </c>
      <c r="B625">
        <v>2022</v>
      </c>
      <c r="C625">
        <v>12</v>
      </c>
    </row>
    <row r="626" spans="1:3">
      <c r="A626" t="s">
        <v>205</v>
      </c>
      <c r="B626">
        <v>2023</v>
      </c>
      <c r="C626">
        <v>9</v>
      </c>
    </row>
    <row r="627" spans="1:3">
      <c r="A627" t="s">
        <v>205</v>
      </c>
      <c r="B627">
        <v>2024</v>
      </c>
      <c r="C627">
        <v>5</v>
      </c>
    </row>
    <row r="628" spans="1:3">
      <c r="A628" t="s">
        <v>205</v>
      </c>
      <c r="B628">
        <v>2025</v>
      </c>
      <c r="C628">
        <v>1</v>
      </c>
    </row>
    <row r="629" spans="1:3">
      <c r="A629" t="s">
        <v>206</v>
      </c>
      <c r="B629">
        <v>2015</v>
      </c>
      <c r="C629">
        <v>3</v>
      </c>
    </row>
    <row r="630" spans="1:3">
      <c r="A630" t="s">
        <v>206</v>
      </c>
      <c r="B630">
        <v>2016</v>
      </c>
      <c r="C630">
        <v>1</v>
      </c>
    </row>
    <row r="631" spans="1:3">
      <c r="A631" t="s">
        <v>206</v>
      </c>
      <c r="B631">
        <v>2017</v>
      </c>
      <c r="C631">
        <v>1</v>
      </c>
    </row>
    <row r="632" spans="1:3">
      <c r="A632" t="s">
        <v>206</v>
      </c>
      <c r="B632">
        <v>2018</v>
      </c>
      <c r="C632">
        <v>1</v>
      </c>
    </row>
    <row r="633" spans="1:3">
      <c r="A633" t="s">
        <v>206</v>
      </c>
      <c r="B633">
        <v>2019</v>
      </c>
      <c r="C633" t="s">
        <v>225</v>
      </c>
    </row>
    <row r="634" spans="1:3">
      <c r="A634" t="s">
        <v>206</v>
      </c>
      <c r="B634">
        <v>2020</v>
      </c>
      <c r="C634" t="s">
        <v>225</v>
      </c>
    </row>
    <row r="635" spans="1:3">
      <c r="A635" t="s">
        <v>206</v>
      </c>
      <c r="B635">
        <v>2021</v>
      </c>
      <c r="C635" t="s">
        <v>225</v>
      </c>
    </row>
    <row r="636" spans="1:3">
      <c r="A636" t="s">
        <v>206</v>
      </c>
      <c r="B636">
        <v>2022</v>
      </c>
      <c r="C636">
        <v>3</v>
      </c>
    </row>
    <row r="637" spans="1:3">
      <c r="A637" t="s">
        <v>206</v>
      </c>
      <c r="B637">
        <v>2023</v>
      </c>
      <c r="C637">
        <v>2</v>
      </c>
    </row>
    <row r="638" spans="1:3">
      <c r="A638" t="s">
        <v>206</v>
      </c>
      <c r="B638">
        <v>2024</v>
      </c>
      <c r="C638">
        <v>6</v>
      </c>
    </row>
    <row r="639" spans="1:3">
      <c r="A639" t="s">
        <v>206</v>
      </c>
      <c r="B639">
        <v>2025</v>
      </c>
      <c r="C639">
        <v>2</v>
      </c>
    </row>
    <row r="640" spans="1:3">
      <c r="A640" t="s">
        <v>207</v>
      </c>
      <c r="B640">
        <v>2015</v>
      </c>
      <c r="C640">
        <v>5</v>
      </c>
    </row>
    <row r="641" spans="1:3">
      <c r="A641" t="s">
        <v>207</v>
      </c>
      <c r="B641">
        <v>2016</v>
      </c>
      <c r="C641">
        <v>8</v>
      </c>
    </row>
    <row r="642" spans="1:3">
      <c r="A642" t="s">
        <v>207</v>
      </c>
      <c r="B642">
        <v>2017</v>
      </c>
      <c r="C642">
        <v>1</v>
      </c>
    </row>
    <row r="643" spans="1:3">
      <c r="A643" t="s">
        <v>207</v>
      </c>
      <c r="B643">
        <v>2018</v>
      </c>
      <c r="C643">
        <v>1</v>
      </c>
    </row>
    <row r="644" spans="1:3">
      <c r="A644" t="s">
        <v>207</v>
      </c>
      <c r="B644">
        <v>2019</v>
      </c>
      <c r="C644">
        <v>8</v>
      </c>
    </row>
    <row r="645" spans="1:3">
      <c r="A645" t="s">
        <v>207</v>
      </c>
      <c r="B645">
        <v>2020</v>
      </c>
      <c r="C645">
        <v>1</v>
      </c>
    </row>
    <row r="646" spans="1:3">
      <c r="A646" t="s">
        <v>207</v>
      </c>
      <c r="B646">
        <v>2021</v>
      </c>
      <c r="C646">
        <v>5</v>
      </c>
    </row>
    <row r="647" spans="1:3">
      <c r="A647" t="s">
        <v>207</v>
      </c>
      <c r="B647">
        <v>2022</v>
      </c>
      <c r="C647">
        <v>13</v>
      </c>
    </row>
    <row r="648" spans="1:3">
      <c r="A648" t="s">
        <v>207</v>
      </c>
      <c r="B648">
        <v>2023</v>
      </c>
      <c r="C648" t="s">
        <v>225</v>
      </c>
    </row>
    <row r="649" spans="1:3">
      <c r="A649" t="s">
        <v>207</v>
      </c>
      <c r="B649">
        <v>2024</v>
      </c>
      <c r="C649">
        <v>62</v>
      </c>
    </row>
    <row r="650" spans="1:3">
      <c r="A650" t="s">
        <v>207</v>
      </c>
      <c r="B650">
        <v>2025</v>
      </c>
      <c r="C650">
        <v>5</v>
      </c>
    </row>
    <row r="651" spans="1:3">
      <c r="A651" t="s">
        <v>208</v>
      </c>
      <c r="B651">
        <v>2015</v>
      </c>
      <c r="C651">
        <v>5</v>
      </c>
    </row>
    <row r="652" spans="1:3">
      <c r="A652" t="s">
        <v>208</v>
      </c>
      <c r="B652">
        <v>2016</v>
      </c>
      <c r="C652">
        <v>2</v>
      </c>
    </row>
    <row r="653" spans="1:3">
      <c r="A653" t="s">
        <v>208</v>
      </c>
      <c r="B653">
        <v>2017</v>
      </c>
      <c r="C653" t="s">
        <v>225</v>
      </c>
    </row>
    <row r="654" spans="1:3">
      <c r="A654" t="s">
        <v>208</v>
      </c>
      <c r="B654">
        <v>2018</v>
      </c>
      <c r="C654">
        <v>1</v>
      </c>
    </row>
    <row r="655" spans="1:3">
      <c r="A655" t="s">
        <v>208</v>
      </c>
      <c r="B655">
        <v>2019</v>
      </c>
      <c r="C655">
        <v>2</v>
      </c>
    </row>
    <row r="656" spans="1:3">
      <c r="A656" t="s">
        <v>208</v>
      </c>
      <c r="B656">
        <v>2020</v>
      </c>
      <c r="C656" t="s">
        <v>225</v>
      </c>
    </row>
    <row r="657" spans="1:3">
      <c r="A657" t="s">
        <v>208</v>
      </c>
      <c r="B657">
        <v>2021</v>
      </c>
      <c r="C657">
        <v>2</v>
      </c>
    </row>
    <row r="658" spans="1:3">
      <c r="A658" t="s">
        <v>208</v>
      </c>
      <c r="B658">
        <v>2022</v>
      </c>
      <c r="C658">
        <v>8</v>
      </c>
    </row>
    <row r="659" spans="1:3">
      <c r="A659" t="s">
        <v>208</v>
      </c>
      <c r="B659">
        <v>2023</v>
      </c>
      <c r="C659">
        <v>2</v>
      </c>
    </row>
    <row r="660" spans="1:3">
      <c r="A660" t="s">
        <v>208</v>
      </c>
      <c r="B660">
        <v>2024</v>
      </c>
      <c r="C660">
        <v>4</v>
      </c>
    </row>
    <row r="661" spans="1:3">
      <c r="A661" t="s">
        <v>208</v>
      </c>
      <c r="B661">
        <v>2025</v>
      </c>
      <c r="C661">
        <v>8</v>
      </c>
    </row>
    <row r="662" spans="1:3">
      <c r="A662" t="s">
        <v>209</v>
      </c>
      <c r="B662">
        <v>2015</v>
      </c>
      <c r="C662">
        <v>55</v>
      </c>
    </row>
    <row r="663" spans="1:3">
      <c r="A663" t="s">
        <v>209</v>
      </c>
      <c r="B663">
        <v>2016</v>
      </c>
      <c r="C663">
        <v>31</v>
      </c>
    </row>
    <row r="664" spans="1:3">
      <c r="A664" t="s">
        <v>209</v>
      </c>
      <c r="B664">
        <v>2017</v>
      </c>
      <c r="C664">
        <v>35</v>
      </c>
    </row>
    <row r="665" spans="1:3">
      <c r="A665" t="s">
        <v>209</v>
      </c>
      <c r="B665">
        <v>2018</v>
      </c>
      <c r="C665">
        <v>42</v>
      </c>
    </row>
    <row r="666" spans="1:3">
      <c r="A666" t="s">
        <v>209</v>
      </c>
      <c r="B666">
        <v>2019</v>
      </c>
      <c r="C666">
        <v>33</v>
      </c>
    </row>
    <row r="667" spans="1:3">
      <c r="A667" t="s">
        <v>209</v>
      </c>
      <c r="B667">
        <v>2020</v>
      </c>
      <c r="C667">
        <v>6</v>
      </c>
    </row>
    <row r="668" spans="1:3">
      <c r="A668" t="s">
        <v>209</v>
      </c>
      <c r="B668">
        <v>2021</v>
      </c>
      <c r="C668">
        <v>14</v>
      </c>
    </row>
    <row r="669" spans="1:3">
      <c r="A669" t="s">
        <v>209</v>
      </c>
      <c r="B669">
        <v>2022</v>
      </c>
      <c r="C669">
        <v>82</v>
      </c>
    </row>
    <row r="670" spans="1:3">
      <c r="A670" t="s">
        <v>209</v>
      </c>
      <c r="B670">
        <v>2023</v>
      </c>
      <c r="C670">
        <v>15</v>
      </c>
    </row>
    <row r="671" spans="1:3">
      <c r="A671" t="s">
        <v>209</v>
      </c>
      <c r="B671">
        <v>2024</v>
      </c>
      <c r="C671">
        <v>110</v>
      </c>
    </row>
    <row r="672" spans="1:3">
      <c r="A672" t="s">
        <v>209</v>
      </c>
      <c r="B672">
        <v>2025</v>
      </c>
      <c r="C672">
        <v>48</v>
      </c>
    </row>
    <row r="673" spans="1:3">
      <c r="A673" t="s">
        <v>210</v>
      </c>
      <c r="B673">
        <v>2015</v>
      </c>
      <c r="C673">
        <v>32</v>
      </c>
    </row>
    <row r="674" spans="1:3">
      <c r="A674" t="s">
        <v>210</v>
      </c>
      <c r="B674">
        <v>2016</v>
      </c>
      <c r="C674">
        <v>32</v>
      </c>
    </row>
    <row r="675" spans="1:3">
      <c r="A675" t="s">
        <v>210</v>
      </c>
      <c r="B675">
        <v>2017</v>
      </c>
      <c r="C675">
        <v>23</v>
      </c>
    </row>
    <row r="676" spans="1:3">
      <c r="A676" t="s">
        <v>210</v>
      </c>
      <c r="B676">
        <v>2018</v>
      </c>
      <c r="C676">
        <v>3</v>
      </c>
    </row>
    <row r="677" spans="1:3">
      <c r="A677" t="s">
        <v>210</v>
      </c>
      <c r="B677">
        <v>2019</v>
      </c>
      <c r="C677">
        <v>66</v>
      </c>
    </row>
    <row r="678" spans="1:3">
      <c r="A678" t="s">
        <v>210</v>
      </c>
      <c r="B678">
        <v>2020</v>
      </c>
      <c r="C678">
        <v>50</v>
      </c>
    </row>
    <row r="679" spans="1:3">
      <c r="A679" t="s">
        <v>210</v>
      </c>
      <c r="B679">
        <v>2021</v>
      </c>
      <c r="C679">
        <v>12</v>
      </c>
    </row>
    <row r="680" spans="1:3">
      <c r="A680" t="s">
        <v>210</v>
      </c>
      <c r="B680">
        <v>2022</v>
      </c>
      <c r="C680">
        <v>16</v>
      </c>
    </row>
    <row r="681" spans="1:3">
      <c r="A681" t="s">
        <v>210</v>
      </c>
      <c r="B681">
        <v>2023</v>
      </c>
      <c r="C681">
        <v>20</v>
      </c>
    </row>
    <row r="682" spans="1:3">
      <c r="A682" t="s">
        <v>210</v>
      </c>
      <c r="B682">
        <v>2024</v>
      </c>
      <c r="C682">
        <v>460</v>
      </c>
    </row>
    <row r="683" spans="1:3">
      <c r="A683" t="s">
        <v>210</v>
      </c>
      <c r="B683">
        <v>2025</v>
      </c>
      <c r="C683">
        <v>1</v>
      </c>
    </row>
    <row r="688" spans="1:3">
      <c r="A688" t="s">
        <v>259</v>
      </c>
    </row>
    <row r="689" spans="1:13">
      <c r="A689" t="s">
        <v>260</v>
      </c>
    </row>
    <row r="690" spans="1:13">
      <c r="A690" t="s">
        <v>261</v>
      </c>
    </row>
    <row r="691" spans="1:13">
      <c r="A691" t="s">
        <v>289</v>
      </c>
    </row>
    <row r="692" spans="1:13">
      <c r="A692" t="s">
        <v>262</v>
      </c>
    </row>
    <row r="693" spans="1:13">
      <c r="A693" t="s">
        <v>263</v>
      </c>
      <c r="B693">
        <v>2015</v>
      </c>
      <c r="C693">
        <v>2016</v>
      </c>
      <c r="D693">
        <v>2017</v>
      </c>
      <c r="E693">
        <v>2018</v>
      </c>
      <c r="F693">
        <v>2019</v>
      </c>
      <c r="G693">
        <v>2020</v>
      </c>
      <c r="H693">
        <v>2021</v>
      </c>
      <c r="I693">
        <v>2022</v>
      </c>
      <c r="J693">
        <v>2023</v>
      </c>
      <c r="K693">
        <v>2024</v>
      </c>
      <c r="L693">
        <v>2025</v>
      </c>
      <c r="M693" t="s">
        <v>211</v>
      </c>
    </row>
    <row r="694" spans="1:13">
      <c r="A694" t="s">
        <v>146</v>
      </c>
      <c r="B694">
        <v>2</v>
      </c>
      <c r="C694">
        <v>1</v>
      </c>
      <c r="D694" t="s">
        <v>225</v>
      </c>
      <c r="E694">
        <v>2</v>
      </c>
      <c r="F694" t="s">
        <v>225</v>
      </c>
      <c r="G694">
        <v>2</v>
      </c>
      <c r="H694" t="s">
        <v>225</v>
      </c>
      <c r="I694">
        <v>3</v>
      </c>
      <c r="J694">
        <v>4</v>
      </c>
      <c r="K694">
        <v>1</v>
      </c>
      <c r="L694" t="s">
        <v>225</v>
      </c>
      <c r="M694">
        <v>15</v>
      </c>
    </row>
    <row r="695" spans="1:13">
      <c r="A695" t="s">
        <v>147</v>
      </c>
      <c r="B695">
        <v>3</v>
      </c>
      <c r="C695">
        <v>1</v>
      </c>
      <c r="D695">
        <v>1</v>
      </c>
      <c r="E695" t="s">
        <v>225</v>
      </c>
      <c r="F695" t="s">
        <v>225</v>
      </c>
      <c r="G695">
        <v>1</v>
      </c>
      <c r="H695">
        <v>6</v>
      </c>
      <c r="I695">
        <v>4</v>
      </c>
      <c r="J695">
        <v>3</v>
      </c>
      <c r="K695">
        <v>1</v>
      </c>
      <c r="L695">
        <v>1</v>
      </c>
      <c r="M695">
        <v>21</v>
      </c>
    </row>
    <row r="696" spans="1:13">
      <c r="A696" t="s">
        <v>148</v>
      </c>
      <c r="B696" t="s">
        <v>225</v>
      </c>
      <c r="C696" t="s">
        <v>225</v>
      </c>
      <c r="D696" t="s">
        <v>225</v>
      </c>
      <c r="E696" t="s">
        <v>225</v>
      </c>
      <c r="F696">
        <v>1</v>
      </c>
      <c r="G696">
        <v>1</v>
      </c>
      <c r="H696">
        <v>1</v>
      </c>
      <c r="I696">
        <v>1</v>
      </c>
      <c r="J696" t="s">
        <v>225</v>
      </c>
      <c r="K696" t="s">
        <v>225</v>
      </c>
      <c r="L696">
        <v>1</v>
      </c>
      <c r="M696">
        <v>5</v>
      </c>
    </row>
    <row r="697" spans="1:13">
      <c r="A697" t="s">
        <v>150</v>
      </c>
      <c r="B697">
        <v>2</v>
      </c>
      <c r="C697" t="s">
        <v>225</v>
      </c>
      <c r="D697" t="s">
        <v>225</v>
      </c>
      <c r="E697">
        <v>1</v>
      </c>
      <c r="F697" t="s">
        <v>225</v>
      </c>
      <c r="G697" t="s">
        <v>225</v>
      </c>
      <c r="H697">
        <v>1</v>
      </c>
      <c r="I697" t="s">
        <v>225</v>
      </c>
      <c r="J697" t="s">
        <v>225</v>
      </c>
      <c r="K697">
        <v>4</v>
      </c>
      <c r="L697">
        <v>4</v>
      </c>
      <c r="M697">
        <v>12</v>
      </c>
    </row>
    <row r="698" spans="1:13">
      <c r="A698" t="s">
        <v>151</v>
      </c>
      <c r="B698">
        <v>2</v>
      </c>
      <c r="C698" t="s">
        <v>225</v>
      </c>
      <c r="D698" t="s">
        <v>225</v>
      </c>
      <c r="E698" t="s">
        <v>225</v>
      </c>
      <c r="F698">
        <v>1</v>
      </c>
      <c r="G698" t="s">
        <v>225</v>
      </c>
      <c r="H698" t="s">
        <v>225</v>
      </c>
      <c r="I698" t="s">
        <v>225</v>
      </c>
      <c r="J698" t="s">
        <v>225</v>
      </c>
      <c r="K698">
        <v>9</v>
      </c>
      <c r="L698" t="s">
        <v>225</v>
      </c>
      <c r="M698">
        <v>12</v>
      </c>
    </row>
    <row r="699" spans="1:13">
      <c r="A699" t="s">
        <v>152</v>
      </c>
      <c r="B699">
        <v>10</v>
      </c>
      <c r="C699">
        <v>2</v>
      </c>
      <c r="D699">
        <v>1</v>
      </c>
      <c r="E699">
        <v>1</v>
      </c>
      <c r="F699">
        <v>1</v>
      </c>
      <c r="G699">
        <v>3</v>
      </c>
      <c r="H699" t="s">
        <v>225</v>
      </c>
      <c r="I699">
        <v>7</v>
      </c>
      <c r="J699">
        <v>5</v>
      </c>
      <c r="K699">
        <v>6</v>
      </c>
      <c r="L699">
        <v>4</v>
      </c>
      <c r="M699">
        <v>40</v>
      </c>
    </row>
    <row r="700" spans="1:13">
      <c r="A700" t="s">
        <v>153</v>
      </c>
      <c r="B700">
        <v>2</v>
      </c>
      <c r="C700">
        <v>1</v>
      </c>
      <c r="D700" t="s">
        <v>225</v>
      </c>
      <c r="E700" t="s">
        <v>225</v>
      </c>
      <c r="F700">
        <v>3</v>
      </c>
      <c r="G700" t="s">
        <v>225</v>
      </c>
      <c r="H700" t="s">
        <v>225</v>
      </c>
      <c r="I700">
        <v>12</v>
      </c>
      <c r="J700" t="s">
        <v>225</v>
      </c>
      <c r="K700">
        <v>8</v>
      </c>
      <c r="L700">
        <v>3</v>
      </c>
      <c r="M700">
        <v>29</v>
      </c>
    </row>
    <row r="701" spans="1:13">
      <c r="A701" t="s">
        <v>154</v>
      </c>
      <c r="B701">
        <v>40</v>
      </c>
      <c r="C701">
        <v>15</v>
      </c>
      <c r="D701">
        <v>22</v>
      </c>
      <c r="E701">
        <v>5</v>
      </c>
      <c r="F701">
        <v>7</v>
      </c>
      <c r="G701">
        <v>6</v>
      </c>
      <c r="H701">
        <v>7</v>
      </c>
      <c r="I701">
        <v>8</v>
      </c>
      <c r="J701">
        <v>4</v>
      </c>
      <c r="K701">
        <v>3</v>
      </c>
      <c r="L701">
        <v>1</v>
      </c>
      <c r="M701">
        <v>118</v>
      </c>
    </row>
    <row r="702" spans="1:13">
      <c r="A702" t="s">
        <v>155</v>
      </c>
      <c r="B702">
        <v>9</v>
      </c>
      <c r="C702">
        <v>8</v>
      </c>
      <c r="D702">
        <v>10</v>
      </c>
      <c r="E702">
        <v>33</v>
      </c>
      <c r="F702">
        <v>10</v>
      </c>
      <c r="G702">
        <v>7</v>
      </c>
      <c r="H702" t="s">
        <v>225</v>
      </c>
      <c r="I702">
        <v>14</v>
      </c>
      <c r="J702">
        <v>3</v>
      </c>
      <c r="K702">
        <v>2</v>
      </c>
      <c r="L702">
        <v>5</v>
      </c>
      <c r="M702">
        <v>101</v>
      </c>
    </row>
    <row r="703" spans="1:13">
      <c r="A703" t="s">
        <v>156</v>
      </c>
      <c r="B703" t="s">
        <v>225</v>
      </c>
      <c r="C703" t="s">
        <v>225</v>
      </c>
      <c r="D703">
        <v>3</v>
      </c>
      <c r="E703">
        <v>7</v>
      </c>
      <c r="F703">
        <v>1</v>
      </c>
      <c r="G703" t="s">
        <v>225</v>
      </c>
      <c r="H703">
        <v>1</v>
      </c>
      <c r="I703">
        <v>1</v>
      </c>
      <c r="J703" t="s">
        <v>225</v>
      </c>
      <c r="K703">
        <v>3</v>
      </c>
      <c r="L703">
        <v>1</v>
      </c>
      <c r="M703">
        <v>17</v>
      </c>
    </row>
    <row r="704" spans="1:13">
      <c r="A704" t="s">
        <v>157</v>
      </c>
      <c r="B704">
        <v>4</v>
      </c>
      <c r="C704">
        <v>1</v>
      </c>
      <c r="D704">
        <v>2</v>
      </c>
      <c r="E704">
        <v>1</v>
      </c>
      <c r="F704">
        <v>5</v>
      </c>
      <c r="G704">
        <v>3</v>
      </c>
      <c r="H704">
        <v>2</v>
      </c>
      <c r="I704">
        <v>2</v>
      </c>
      <c r="J704">
        <v>2</v>
      </c>
      <c r="K704">
        <v>5</v>
      </c>
      <c r="L704">
        <v>6</v>
      </c>
      <c r="M704">
        <v>33</v>
      </c>
    </row>
    <row r="705" spans="1:13">
      <c r="A705" t="s">
        <v>158</v>
      </c>
      <c r="B705">
        <v>2</v>
      </c>
      <c r="C705" t="s">
        <v>225</v>
      </c>
      <c r="D705" t="s">
        <v>225</v>
      </c>
      <c r="E705">
        <v>1</v>
      </c>
      <c r="F705">
        <v>1</v>
      </c>
      <c r="G705" t="s">
        <v>225</v>
      </c>
      <c r="H705" t="s">
        <v>225</v>
      </c>
      <c r="I705" t="s">
        <v>225</v>
      </c>
      <c r="J705" t="s">
        <v>225</v>
      </c>
      <c r="K705">
        <v>1</v>
      </c>
      <c r="L705" t="s">
        <v>225</v>
      </c>
      <c r="M705">
        <v>5</v>
      </c>
    </row>
    <row r="706" spans="1:13">
      <c r="A706" t="s">
        <v>160</v>
      </c>
      <c r="B706" t="s">
        <v>225</v>
      </c>
      <c r="C706" t="s">
        <v>225</v>
      </c>
      <c r="D706" t="s">
        <v>225</v>
      </c>
      <c r="E706" t="s">
        <v>225</v>
      </c>
      <c r="F706" t="s">
        <v>225</v>
      </c>
      <c r="G706" t="s">
        <v>225</v>
      </c>
      <c r="H706" t="s">
        <v>225</v>
      </c>
      <c r="I706" t="s">
        <v>225</v>
      </c>
      <c r="J706">
        <v>1</v>
      </c>
      <c r="K706">
        <v>1</v>
      </c>
      <c r="L706">
        <v>1</v>
      </c>
      <c r="M706">
        <v>3</v>
      </c>
    </row>
    <row r="707" spans="1:13">
      <c r="A707" t="s">
        <v>161</v>
      </c>
      <c r="B707">
        <v>30</v>
      </c>
      <c r="C707">
        <v>28</v>
      </c>
      <c r="D707">
        <v>9</v>
      </c>
      <c r="E707">
        <v>2</v>
      </c>
      <c r="F707">
        <v>7</v>
      </c>
      <c r="G707" t="s">
        <v>225</v>
      </c>
      <c r="H707">
        <v>6</v>
      </c>
      <c r="I707" t="s">
        <v>225</v>
      </c>
      <c r="J707">
        <v>2</v>
      </c>
      <c r="K707">
        <v>3</v>
      </c>
      <c r="L707">
        <v>6</v>
      </c>
      <c r="M707">
        <v>93</v>
      </c>
    </row>
    <row r="708" spans="1:13">
      <c r="A708" t="s">
        <v>162</v>
      </c>
      <c r="B708">
        <v>3</v>
      </c>
      <c r="C708">
        <v>5</v>
      </c>
      <c r="D708">
        <v>1</v>
      </c>
      <c r="E708">
        <v>1</v>
      </c>
      <c r="F708">
        <v>2</v>
      </c>
      <c r="G708" t="s">
        <v>225</v>
      </c>
      <c r="H708">
        <v>5</v>
      </c>
      <c r="I708">
        <v>4</v>
      </c>
      <c r="J708">
        <v>1</v>
      </c>
      <c r="K708">
        <v>9</v>
      </c>
      <c r="L708" t="s">
        <v>225</v>
      </c>
      <c r="M708">
        <v>31</v>
      </c>
    </row>
    <row r="709" spans="1:13">
      <c r="A709" t="s">
        <v>163</v>
      </c>
      <c r="B709">
        <v>2</v>
      </c>
      <c r="C709">
        <v>1</v>
      </c>
      <c r="D709" t="s">
        <v>225</v>
      </c>
      <c r="E709" t="s">
        <v>225</v>
      </c>
      <c r="F709">
        <v>5</v>
      </c>
      <c r="G709" t="s">
        <v>225</v>
      </c>
      <c r="H709" t="s">
        <v>225</v>
      </c>
      <c r="I709">
        <v>6</v>
      </c>
      <c r="J709">
        <v>5</v>
      </c>
      <c r="K709">
        <v>5</v>
      </c>
      <c r="L709">
        <v>1</v>
      </c>
      <c r="M709">
        <v>25</v>
      </c>
    </row>
    <row r="710" spans="1:13">
      <c r="A710" t="s">
        <v>164</v>
      </c>
      <c r="B710">
        <v>4</v>
      </c>
      <c r="C710" t="s">
        <v>225</v>
      </c>
      <c r="D710" t="s">
        <v>225</v>
      </c>
      <c r="E710" t="s">
        <v>225</v>
      </c>
      <c r="F710">
        <v>15</v>
      </c>
      <c r="G710" t="s">
        <v>225</v>
      </c>
      <c r="H710">
        <v>1</v>
      </c>
      <c r="I710">
        <v>3</v>
      </c>
      <c r="J710">
        <v>9</v>
      </c>
      <c r="K710">
        <v>12</v>
      </c>
      <c r="L710">
        <v>1</v>
      </c>
      <c r="M710">
        <v>45</v>
      </c>
    </row>
    <row r="711" spans="1:13">
      <c r="A711" t="s">
        <v>165</v>
      </c>
      <c r="B711">
        <v>4</v>
      </c>
      <c r="C711" t="s">
        <v>225</v>
      </c>
      <c r="D711">
        <v>1</v>
      </c>
      <c r="E711" t="s">
        <v>225</v>
      </c>
      <c r="F711">
        <v>6</v>
      </c>
      <c r="G711">
        <v>3</v>
      </c>
      <c r="H711">
        <v>2</v>
      </c>
      <c r="I711">
        <v>4</v>
      </c>
      <c r="J711">
        <v>12</v>
      </c>
      <c r="K711">
        <v>9</v>
      </c>
      <c r="L711">
        <v>5</v>
      </c>
      <c r="M711">
        <v>46</v>
      </c>
    </row>
    <row r="712" spans="1:13">
      <c r="A712" t="s">
        <v>166</v>
      </c>
      <c r="B712">
        <v>5</v>
      </c>
      <c r="C712">
        <v>72</v>
      </c>
      <c r="D712">
        <v>3</v>
      </c>
      <c r="E712" t="s">
        <v>225</v>
      </c>
      <c r="F712">
        <v>45</v>
      </c>
      <c r="G712">
        <v>2</v>
      </c>
      <c r="H712" t="s">
        <v>225</v>
      </c>
      <c r="I712">
        <v>2</v>
      </c>
      <c r="J712">
        <v>14</v>
      </c>
      <c r="K712">
        <v>196</v>
      </c>
      <c r="L712">
        <v>3</v>
      </c>
      <c r="M712">
        <v>342</v>
      </c>
    </row>
    <row r="713" spans="1:13">
      <c r="A713" t="s">
        <v>167</v>
      </c>
      <c r="B713">
        <v>1</v>
      </c>
      <c r="C713">
        <v>1</v>
      </c>
      <c r="D713">
        <v>1</v>
      </c>
      <c r="E713" t="s">
        <v>225</v>
      </c>
      <c r="F713">
        <v>14</v>
      </c>
      <c r="G713" t="s">
        <v>225</v>
      </c>
      <c r="H713">
        <v>1</v>
      </c>
      <c r="I713">
        <v>1</v>
      </c>
      <c r="J713">
        <v>5</v>
      </c>
      <c r="K713">
        <v>22</v>
      </c>
      <c r="L713">
        <v>1</v>
      </c>
      <c r="M713">
        <v>47</v>
      </c>
    </row>
    <row r="714" spans="1:13">
      <c r="A714" t="s">
        <v>168</v>
      </c>
      <c r="B714">
        <v>2</v>
      </c>
      <c r="C714">
        <v>12</v>
      </c>
      <c r="D714">
        <v>2</v>
      </c>
      <c r="E714">
        <v>1</v>
      </c>
      <c r="F714">
        <v>6</v>
      </c>
      <c r="G714" t="s">
        <v>225</v>
      </c>
      <c r="H714" t="s">
        <v>225</v>
      </c>
      <c r="I714" t="s">
        <v>225</v>
      </c>
      <c r="J714">
        <v>2</v>
      </c>
      <c r="K714">
        <v>46</v>
      </c>
      <c r="L714" t="s">
        <v>225</v>
      </c>
      <c r="M714">
        <v>71</v>
      </c>
    </row>
    <row r="715" spans="1:13">
      <c r="A715" t="s">
        <v>169</v>
      </c>
      <c r="B715">
        <v>1</v>
      </c>
      <c r="C715">
        <v>58</v>
      </c>
      <c r="D715">
        <v>1</v>
      </c>
      <c r="E715" t="s">
        <v>225</v>
      </c>
      <c r="F715">
        <v>17</v>
      </c>
      <c r="G715" t="s">
        <v>225</v>
      </c>
      <c r="H715" t="s">
        <v>225</v>
      </c>
      <c r="I715">
        <v>2</v>
      </c>
      <c r="J715">
        <v>2</v>
      </c>
      <c r="K715">
        <v>26</v>
      </c>
      <c r="L715">
        <v>7</v>
      </c>
      <c r="M715">
        <v>114</v>
      </c>
    </row>
    <row r="716" spans="1:13">
      <c r="A716" t="s">
        <v>170</v>
      </c>
      <c r="B716" t="s">
        <v>225</v>
      </c>
      <c r="C716">
        <v>1</v>
      </c>
      <c r="D716" t="s">
        <v>225</v>
      </c>
      <c r="E716">
        <v>1</v>
      </c>
      <c r="F716" t="s">
        <v>225</v>
      </c>
      <c r="G716" t="s">
        <v>225</v>
      </c>
      <c r="H716">
        <v>1</v>
      </c>
      <c r="I716">
        <v>2</v>
      </c>
      <c r="J716">
        <v>2</v>
      </c>
      <c r="K716">
        <v>7</v>
      </c>
      <c r="L716" t="s">
        <v>225</v>
      </c>
      <c r="M716">
        <v>14</v>
      </c>
    </row>
    <row r="717" spans="1:13">
      <c r="A717" t="s">
        <v>171</v>
      </c>
      <c r="B717">
        <v>9</v>
      </c>
      <c r="C717">
        <v>2</v>
      </c>
      <c r="D717">
        <v>1</v>
      </c>
      <c r="E717" t="s">
        <v>225</v>
      </c>
      <c r="F717">
        <v>19</v>
      </c>
      <c r="G717" t="s">
        <v>225</v>
      </c>
      <c r="H717" t="s">
        <v>225</v>
      </c>
      <c r="I717">
        <v>6</v>
      </c>
      <c r="J717">
        <v>19</v>
      </c>
      <c r="K717">
        <v>23</v>
      </c>
      <c r="L717">
        <v>39</v>
      </c>
      <c r="M717">
        <v>118</v>
      </c>
    </row>
    <row r="718" spans="1:13">
      <c r="A718" t="s">
        <v>172</v>
      </c>
      <c r="B718">
        <v>2</v>
      </c>
      <c r="C718" t="s">
        <v>225</v>
      </c>
      <c r="D718">
        <v>1</v>
      </c>
      <c r="E718">
        <v>3</v>
      </c>
      <c r="F718">
        <v>10</v>
      </c>
      <c r="G718" t="s">
        <v>225</v>
      </c>
      <c r="H718" t="s">
        <v>225</v>
      </c>
      <c r="I718" t="s">
        <v>225</v>
      </c>
      <c r="J718">
        <v>8</v>
      </c>
      <c r="K718">
        <v>2</v>
      </c>
      <c r="L718" t="s">
        <v>225</v>
      </c>
      <c r="M718">
        <v>26</v>
      </c>
    </row>
    <row r="719" spans="1:13">
      <c r="A719" t="s">
        <v>173</v>
      </c>
      <c r="B719">
        <v>5</v>
      </c>
      <c r="C719">
        <v>1</v>
      </c>
      <c r="D719">
        <v>1</v>
      </c>
      <c r="E719">
        <v>1</v>
      </c>
      <c r="F719">
        <v>2</v>
      </c>
      <c r="G719" t="s">
        <v>225</v>
      </c>
      <c r="H719" t="s">
        <v>225</v>
      </c>
      <c r="I719" t="s">
        <v>225</v>
      </c>
      <c r="J719">
        <v>11</v>
      </c>
      <c r="K719">
        <v>2</v>
      </c>
      <c r="L719" t="s">
        <v>225</v>
      </c>
      <c r="M719">
        <v>23</v>
      </c>
    </row>
    <row r="720" spans="1:13">
      <c r="A720" t="s">
        <v>174</v>
      </c>
      <c r="B720" t="s">
        <v>225</v>
      </c>
      <c r="C720" t="s">
        <v>225</v>
      </c>
      <c r="D720" t="s">
        <v>225</v>
      </c>
      <c r="E720" t="s">
        <v>225</v>
      </c>
      <c r="F720" t="s">
        <v>225</v>
      </c>
      <c r="G720" t="s">
        <v>225</v>
      </c>
      <c r="H720" t="s">
        <v>225</v>
      </c>
      <c r="I720" t="s">
        <v>225</v>
      </c>
      <c r="J720" t="s">
        <v>225</v>
      </c>
      <c r="K720">
        <v>1</v>
      </c>
      <c r="L720" t="s">
        <v>225</v>
      </c>
      <c r="M720">
        <v>1</v>
      </c>
    </row>
    <row r="721" spans="1:13">
      <c r="A721" t="s">
        <v>175</v>
      </c>
      <c r="B721">
        <v>7</v>
      </c>
      <c r="C721">
        <v>3</v>
      </c>
      <c r="D721" t="s">
        <v>225</v>
      </c>
      <c r="E721" t="s">
        <v>225</v>
      </c>
      <c r="F721" t="s">
        <v>225</v>
      </c>
      <c r="G721" t="s">
        <v>225</v>
      </c>
      <c r="H721" t="s">
        <v>225</v>
      </c>
      <c r="I721" t="s">
        <v>225</v>
      </c>
      <c r="J721">
        <v>2</v>
      </c>
      <c r="K721">
        <v>5</v>
      </c>
      <c r="L721">
        <v>1</v>
      </c>
      <c r="M721">
        <v>18</v>
      </c>
    </row>
    <row r="722" spans="1:13">
      <c r="A722" t="s">
        <v>176</v>
      </c>
      <c r="B722">
        <v>1</v>
      </c>
      <c r="C722">
        <v>3</v>
      </c>
      <c r="D722">
        <v>1</v>
      </c>
      <c r="E722">
        <v>3</v>
      </c>
      <c r="F722" t="s">
        <v>225</v>
      </c>
      <c r="G722" t="s">
        <v>225</v>
      </c>
      <c r="H722" t="s">
        <v>225</v>
      </c>
      <c r="I722">
        <v>1</v>
      </c>
      <c r="J722">
        <v>3</v>
      </c>
      <c r="K722">
        <v>14</v>
      </c>
      <c r="L722">
        <v>3</v>
      </c>
      <c r="M722">
        <v>29</v>
      </c>
    </row>
    <row r="723" spans="1:13">
      <c r="A723" t="s">
        <v>177</v>
      </c>
      <c r="B723" t="s">
        <v>225</v>
      </c>
      <c r="C723" t="s">
        <v>225</v>
      </c>
      <c r="D723" t="s">
        <v>225</v>
      </c>
      <c r="E723" t="s">
        <v>225</v>
      </c>
      <c r="F723" t="s">
        <v>225</v>
      </c>
      <c r="G723" t="s">
        <v>225</v>
      </c>
      <c r="H723" t="s">
        <v>225</v>
      </c>
      <c r="I723" t="s">
        <v>225</v>
      </c>
      <c r="J723">
        <v>1</v>
      </c>
      <c r="K723">
        <v>3</v>
      </c>
      <c r="L723">
        <v>2</v>
      </c>
      <c r="M723">
        <v>6</v>
      </c>
    </row>
    <row r="724" spans="1:13">
      <c r="A724" t="s">
        <v>178</v>
      </c>
      <c r="B724" t="s">
        <v>225</v>
      </c>
      <c r="C724" t="s">
        <v>225</v>
      </c>
      <c r="D724" t="s">
        <v>225</v>
      </c>
      <c r="E724" t="s">
        <v>225</v>
      </c>
      <c r="F724" t="s">
        <v>225</v>
      </c>
      <c r="G724" t="s">
        <v>225</v>
      </c>
      <c r="H724" t="s">
        <v>225</v>
      </c>
      <c r="I724" t="s">
        <v>225</v>
      </c>
      <c r="J724" t="s">
        <v>225</v>
      </c>
      <c r="K724">
        <v>6</v>
      </c>
      <c r="L724">
        <v>1</v>
      </c>
      <c r="M724">
        <v>7</v>
      </c>
    </row>
    <row r="725" spans="1:13">
      <c r="A725" t="s">
        <v>179</v>
      </c>
      <c r="B725">
        <v>4</v>
      </c>
      <c r="C725">
        <v>6</v>
      </c>
      <c r="D725" t="s">
        <v>225</v>
      </c>
      <c r="E725" t="s">
        <v>225</v>
      </c>
      <c r="F725" t="s">
        <v>225</v>
      </c>
      <c r="G725" t="s">
        <v>225</v>
      </c>
      <c r="H725">
        <v>1</v>
      </c>
      <c r="I725">
        <v>4</v>
      </c>
      <c r="J725">
        <v>12</v>
      </c>
      <c r="K725">
        <v>26</v>
      </c>
      <c r="L725">
        <v>5</v>
      </c>
      <c r="M725">
        <v>58</v>
      </c>
    </row>
    <row r="726" spans="1:13">
      <c r="A726" t="s">
        <v>180</v>
      </c>
      <c r="B726" t="s">
        <v>225</v>
      </c>
      <c r="C726" t="s">
        <v>225</v>
      </c>
      <c r="D726" t="s">
        <v>225</v>
      </c>
      <c r="E726">
        <v>1</v>
      </c>
      <c r="F726" t="s">
        <v>225</v>
      </c>
      <c r="G726" t="s">
        <v>225</v>
      </c>
      <c r="H726" t="s">
        <v>225</v>
      </c>
      <c r="I726">
        <v>1</v>
      </c>
      <c r="J726">
        <v>1</v>
      </c>
      <c r="K726">
        <v>1</v>
      </c>
      <c r="L726">
        <v>2</v>
      </c>
      <c r="M726">
        <v>6</v>
      </c>
    </row>
    <row r="727" spans="1:13">
      <c r="A727" t="s">
        <v>181</v>
      </c>
      <c r="B727" t="s">
        <v>225</v>
      </c>
      <c r="C727" t="s">
        <v>225</v>
      </c>
      <c r="D727" t="s">
        <v>225</v>
      </c>
      <c r="E727" t="s">
        <v>225</v>
      </c>
      <c r="F727" t="s">
        <v>225</v>
      </c>
      <c r="G727" t="s">
        <v>225</v>
      </c>
      <c r="H727" t="s">
        <v>225</v>
      </c>
      <c r="I727">
        <v>1</v>
      </c>
      <c r="J727" t="s">
        <v>225</v>
      </c>
      <c r="K727">
        <v>1</v>
      </c>
      <c r="L727" t="s">
        <v>225</v>
      </c>
      <c r="M727">
        <v>2</v>
      </c>
    </row>
    <row r="728" spans="1:13">
      <c r="A728" t="s">
        <v>182</v>
      </c>
      <c r="B728">
        <v>27</v>
      </c>
      <c r="C728" t="s">
        <v>225</v>
      </c>
      <c r="D728" t="s">
        <v>225</v>
      </c>
      <c r="E728">
        <v>1</v>
      </c>
      <c r="F728">
        <v>9</v>
      </c>
      <c r="G728" t="s">
        <v>225</v>
      </c>
      <c r="H728">
        <v>1</v>
      </c>
      <c r="I728">
        <v>3</v>
      </c>
      <c r="J728">
        <v>4</v>
      </c>
      <c r="K728">
        <v>100</v>
      </c>
      <c r="L728">
        <v>42</v>
      </c>
      <c r="M728">
        <v>187</v>
      </c>
    </row>
    <row r="729" spans="1:13">
      <c r="A729" t="s">
        <v>183</v>
      </c>
      <c r="B729" t="s">
        <v>225</v>
      </c>
      <c r="C729" t="s">
        <v>225</v>
      </c>
      <c r="D729" t="s">
        <v>225</v>
      </c>
      <c r="E729" t="s">
        <v>225</v>
      </c>
      <c r="F729" t="s">
        <v>225</v>
      </c>
      <c r="G729" t="s">
        <v>225</v>
      </c>
      <c r="H729" t="s">
        <v>225</v>
      </c>
      <c r="I729" t="s">
        <v>225</v>
      </c>
      <c r="J729" t="s">
        <v>225</v>
      </c>
      <c r="K729">
        <v>5</v>
      </c>
      <c r="L729">
        <v>4</v>
      </c>
      <c r="M729">
        <v>9</v>
      </c>
    </row>
    <row r="730" spans="1:13">
      <c r="A730" t="s">
        <v>184</v>
      </c>
      <c r="B730">
        <v>10</v>
      </c>
      <c r="C730">
        <v>1</v>
      </c>
      <c r="D730" t="s">
        <v>225</v>
      </c>
      <c r="E730">
        <v>1</v>
      </c>
      <c r="F730">
        <v>1</v>
      </c>
      <c r="G730" t="s">
        <v>225</v>
      </c>
      <c r="H730" t="s">
        <v>225</v>
      </c>
      <c r="I730">
        <v>3</v>
      </c>
      <c r="J730">
        <v>2</v>
      </c>
      <c r="K730">
        <v>109</v>
      </c>
      <c r="L730">
        <v>1</v>
      </c>
      <c r="M730">
        <v>128</v>
      </c>
    </row>
    <row r="731" spans="1:13">
      <c r="A731" t="s">
        <v>185</v>
      </c>
      <c r="B731">
        <v>3</v>
      </c>
      <c r="C731" t="s">
        <v>225</v>
      </c>
      <c r="D731" t="s">
        <v>225</v>
      </c>
      <c r="E731" t="s">
        <v>225</v>
      </c>
      <c r="F731">
        <v>1</v>
      </c>
      <c r="G731" t="s">
        <v>225</v>
      </c>
      <c r="H731" t="s">
        <v>225</v>
      </c>
      <c r="I731" t="s">
        <v>225</v>
      </c>
      <c r="J731">
        <v>1</v>
      </c>
      <c r="K731">
        <v>19</v>
      </c>
      <c r="L731">
        <v>9</v>
      </c>
      <c r="M731">
        <v>33</v>
      </c>
    </row>
    <row r="732" spans="1:13">
      <c r="A732" t="s">
        <v>186</v>
      </c>
      <c r="B732" t="s">
        <v>225</v>
      </c>
      <c r="C732" t="s">
        <v>225</v>
      </c>
      <c r="D732" t="s">
        <v>225</v>
      </c>
      <c r="E732" t="s">
        <v>225</v>
      </c>
      <c r="F732">
        <v>1</v>
      </c>
      <c r="G732" t="s">
        <v>225</v>
      </c>
      <c r="H732" t="s">
        <v>225</v>
      </c>
      <c r="I732" t="s">
        <v>225</v>
      </c>
      <c r="J732" t="s">
        <v>225</v>
      </c>
      <c r="K732">
        <v>10</v>
      </c>
      <c r="L732" t="s">
        <v>225</v>
      </c>
      <c r="M732">
        <v>11</v>
      </c>
    </row>
    <row r="733" spans="1:13">
      <c r="A733" t="s">
        <v>187</v>
      </c>
      <c r="B733">
        <v>1</v>
      </c>
      <c r="C733" t="s">
        <v>225</v>
      </c>
      <c r="D733" t="s">
        <v>225</v>
      </c>
      <c r="E733" t="s">
        <v>225</v>
      </c>
      <c r="F733" t="s">
        <v>225</v>
      </c>
      <c r="G733" t="s">
        <v>225</v>
      </c>
      <c r="H733" t="s">
        <v>225</v>
      </c>
      <c r="I733" t="s">
        <v>225</v>
      </c>
      <c r="J733" t="s">
        <v>225</v>
      </c>
      <c r="K733">
        <v>27</v>
      </c>
      <c r="L733" t="s">
        <v>225</v>
      </c>
      <c r="M733">
        <v>28</v>
      </c>
    </row>
    <row r="734" spans="1:13">
      <c r="A734" t="s">
        <v>188</v>
      </c>
      <c r="B734">
        <v>3</v>
      </c>
      <c r="C734">
        <v>5</v>
      </c>
      <c r="D734" t="s">
        <v>225</v>
      </c>
      <c r="E734" t="s">
        <v>225</v>
      </c>
      <c r="F734" t="s">
        <v>225</v>
      </c>
      <c r="G734">
        <v>1</v>
      </c>
      <c r="H734">
        <v>1</v>
      </c>
      <c r="I734" t="s">
        <v>225</v>
      </c>
      <c r="J734" t="s">
        <v>225</v>
      </c>
      <c r="K734">
        <v>17</v>
      </c>
      <c r="L734">
        <v>17</v>
      </c>
      <c r="M734">
        <v>44</v>
      </c>
    </row>
    <row r="735" spans="1:13">
      <c r="A735" t="s">
        <v>189</v>
      </c>
      <c r="B735">
        <v>3</v>
      </c>
      <c r="C735">
        <v>4</v>
      </c>
      <c r="D735" t="s">
        <v>225</v>
      </c>
      <c r="E735" t="s">
        <v>225</v>
      </c>
      <c r="F735">
        <v>3</v>
      </c>
      <c r="G735" t="s">
        <v>225</v>
      </c>
      <c r="H735">
        <v>1</v>
      </c>
      <c r="I735">
        <v>1</v>
      </c>
      <c r="J735">
        <v>3</v>
      </c>
      <c r="K735">
        <v>22</v>
      </c>
      <c r="L735">
        <v>9</v>
      </c>
      <c r="M735">
        <v>46</v>
      </c>
    </row>
    <row r="736" spans="1:13">
      <c r="A736" t="s">
        <v>190</v>
      </c>
      <c r="B736">
        <v>3</v>
      </c>
      <c r="C736">
        <v>9</v>
      </c>
      <c r="D736" t="s">
        <v>225</v>
      </c>
      <c r="E736" t="s">
        <v>225</v>
      </c>
      <c r="F736">
        <v>4</v>
      </c>
      <c r="G736">
        <v>10</v>
      </c>
      <c r="H736">
        <v>1</v>
      </c>
      <c r="I736">
        <v>2</v>
      </c>
      <c r="J736">
        <v>10</v>
      </c>
      <c r="K736">
        <v>32</v>
      </c>
      <c r="L736">
        <v>24</v>
      </c>
      <c r="M736">
        <v>95</v>
      </c>
    </row>
    <row r="737" spans="1:13">
      <c r="A737" t="s">
        <v>191</v>
      </c>
      <c r="B737">
        <v>3</v>
      </c>
      <c r="C737" t="s">
        <v>225</v>
      </c>
      <c r="D737" t="s">
        <v>225</v>
      </c>
      <c r="E737" t="s">
        <v>225</v>
      </c>
      <c r="F737">
        <v>1</v>
      </c>
      <c r="G737" t="s">
        <v>225</v>
      </c>
      <c r="H737" t="s">
        <v>225</v>
      </c>
      <c r="I737">
        <v>1</v>
      </c>
      <c r="J737" t="s">
        <v>225</v>
      </c>
      <c r="K737">
        <v>17</v>
      </c>
      <c r="L737">
        <v>2</v>
      </c>
      <c r="M737">
        <v>24</v>
      </c>
    </row>
    <row r="738" spans="1:13">
      <c r="A738" t="s">
        <v>192</v>
      </c>
      <c r="B738">
        <v>8</v>
      </c>
      <c r="C738">
        <v>2</v>
      </c>
      <c r="D738" t="s">
        <v>225</v>
      </c>
      <c r="E738" t="s">
        <v>225</v>
      </c>
      <c r="F738">
        <v>3</v>
      </c>
      <c r="G738" t="s">
        <v>225</v>
      </c>
      <c r="H738">
        <v>7</v>
      </c>
      <c r="I738" t="s">
        <v>225</v>
      </c>
      <c r="J738" t="s">
        <v>225</v>
      </c>
      <c r="K738">
        <v>16</v>
      </c>
      <c r="L738">
        <v>10</v>
      </c>
      <c r="M738">
        <v>46</v>
      </c>
    </row>
    <row r="739" spans="1:13">
      <c r="A739" t="s">
        <v>193</v>
      </c>
      <c r="B739">
        <v>3</v>
      </c>
      <c r="C739" t="s">
        <v>225</v>
      </c>
      <c r="D739" t="s">
        <v>225</v>
      </c>
      <c r="E739" t="s">
        <v>225</v>
      </c>
      <c r="F739" t="s">
        <v>225</v>
      </c>
      <c r="G739" t="s">
        <v>225</v>
      </c>
      <c r="H739" t="s">
        <v>225</v>
      </c>
      <c r="I739" t="s">
        <v>225</v>
      </c>
      <c r="J739" t="s">
        <v>225</v>
      </c>
      <c r="K739">
        <v>22</v>
      </c>
      <c r="L739">
        <v>4</v>
      </c>
      <c r="M739">
        <v>29</v>
      </c>
    </row>
    <row r="740" spans="1:13">
      <c r="A740" t="s">
        <v>194</v>
      </c>
      <c r="B740">
        <v>23</v>
      </c>
      <c r="C740">
        <v>2</v>
      </c>
      <c r="D740">
        <v>2</v>
      </c>
      <c r="E740">
        <v>1</v>
      </c>
      <c r="F740">
        <v>38</v>
      </c>
      <c r="G740">
        <v>8</v>
      </c>
      <c r="H740">
        <v>14</v>
      </c>
      <c r="I740">
        <v>40</v>
      </c>
      <c r="J740">
        <v>8</v>
      </c>
      <c r="K740">
        <v>42</v>
      </c>
      <c r="L740">
        <v>90</v>
      </c>
      <c r="M740">
        <v>268</v>
      </c>
    </row>
    <row r="741" spans="1:13">
      <c r="A741" t="s">
        <v>195</v>
      </c>
      <c r="B741">
        <v>9</v>
      </c>
      <c r="C741">
        <v>1</v>
      </c>
      <c r="D741" t="s">
        <v>225</v>
      </c>
      <c r="E741" t="s">
        <v>225</v>
      </c>
      <c r="F741">
        <v>4</v>
      </c>
      <c r="G741" t="s">
        <v>225</v>
      </c>
      <c r="H741">
        <v>1</v>
      </c>
      <c r="I741" t="s">
        <v>225</v>
      </c>
      <c r="J741" t="s">
        <v>225</v>
      </c>
      <c r="K741">
        <v>125</v>
      </c>
      <c r="L741">
        <v>5</v>
      </c>
      <c r="M741">
        <v>145</v>
      </c>
    </row>
    <row r="742" spans="1:13">
      <c r="A742" t="s">
        <v>196</v>
      </c>
      <c r="B742">
        <v>27</v>
      </c>
      <c r="C742">
        <v>18</v>
      </c>
      <c r="D742" t="s">
        <v>225</v>
      </c>
      <c r="E742" t="s">
        <v>225</v>
      </c>
      <c r="F742">
        <v>3</v>
      </c>
      <c r="G742">
        <v>1</v>
      </c>
      <c r="H742" t="s">
        <v>225</v>
      </c>
      <c r="I742">
        <v>3</v>
      </c>
      <c r="J742">
        <v>11</v>
      </c>
      <c r="K742">
        <v>583</v>
      </c>
      <c r="L742">
        <v>54</v>
      </c>
      <c r="M742">
        <v>700</v>
      </c>
    </row>
    <row r="743" spans="1:13">
      <c r="A743" t="s">
        <v>197</v>
      </c>
      <c r="B743">
        <v>38</v>
      </c>
      <c r="C743">
        <v>3</v>
      </c>
      <c r="D743" t="s">
        <v>225</v>
      </c>
      <c r="E743" t="s">
        <v>225</v>
      </c>
      <c r="F743">
        <v>1</v>
      </c>
      <c r="G743">
        <v>2</v>
      </c>
      <c r="H743" t="s">
        <v>225</v>
      </c>
      <c r="I743">
        <v>2</v>
      </c>
      <c r="J743">
        <v>5</v>
      </c>
      <c r="K743">
        <v>60</v>
      </c>
      <c r="L743">
        <v>33</v>
      </c>
      <c r="M743">
        <v>144</v>
      </c>
    </row>
    <row r="744" spans="1:13">
      <c r="A744" t="s">
        <v>198</v>
      </c>
      <c r="B744" t="s">
        <v>225</v>
      </c>
      <c r="C744">
        <v>5</v>
      </c>
      <c r="D744" t="s">
        <v>225</v>
      </c>
      <c r="E744" t="s">
        <v>225</v>
      </c>
      <c r="F744" t="s">
        <v>225</v>
      </c>
      <c r="G744" t="s">
        <v>225</v>
      </c>
      <c r="H744" t="s">
        <v>225</v>
      </c>
      <c r="I744" t="s">
        <v>225</v>
      </c>
      <c r="J744">
        <v>1</v>
      </c>
      <c r="K744">
        <v>10</v>
      </c>
      <c r="L744" t="s">
        <v>225</v>
      </c>
      <c r="M744">
        <v>16</v>
      </c>
    </row>
    <row r="745" spans="1:13">
      <c r="A745" t="s">
        <v>199</v>
      </c>
      <c r="B745">
        <v>2</v>
      </c>
      <c r="C745">
        <v>4</v>
      </c>
      <c r="D745" t="s">
        <v>225</v>
      </c>
      <c r="E745" t="s">
        <v>225</v>
      </c>
      <c r="F745">
        <v>8</v>
      </c>
      <c r="G745">
        <v>43</v>
      </c>
      <c r="H745">
        <v>10</v>
      </c>
      <c r="I745">
        <v>9</v>
      </c>
      <c r="J745">
        <v>43</v>
      </c>
      <c r="K745">
        <v>77</v>
      </c>
      <c r="L745">
        <v>17</v>
      </c>
      <c r="M745">
        <v>213</v>
      </c>
    </row>
    <row r="746" spans="1:13">
      <c r="A746" t="s">
        <v>200</v>
      </c>
      <c r="B746">
        <v>6</v>
      </c>
      <c r="C746">
        <v>3</v>
      </c>
      <c r="D746" t="s">
        <v>225</v>
      </c>
      <c r="E746" t="s">
        <v>225</v>
      </c>
      <c r="F746">
        <v>3</v>
      </c>
      <c r="G746">
        <v>21</v>
      </c>
      <c r="H746">
        <v>4</v>
      </c>
      <c r="I746">
        <v>9</v>
      </c>
      <c r="J746">
        <v>2</v>
      </c>
      <c r="K746">
        <v>25</v>
      </c>
      <c r="L746">
        <v>21</v>
      </c>
      <c r="M746">
        <v>94</v>
      </c>
    </row>
    <row r="747" spans="1:13">
      <c r="A747" t="s">
        <v>201</v>
      </c>
      <c r="B747" t="s">
        <v>225</v>
      </c>
      <c r="C747" t="s">
        <v>225</v>
      </c>
      <c r="D747" t="s">
        <v>225</v>
      </c>
      <c r="E747" t="s">
        <v>225</v>
      </c>
      <c r="F747" t="s">
        <v>225</v>
      </c>
      <c r="G747" t="s">
        <v>225</v>
      </c>
      <c r="H747">
        <v>1</v>
      </c>
      <c r="I747">
        <v>2</v>
      </c>
      <c r="J747">
        <v>20</v>
      </c>
      <c r="K747">
        <v>24</v>
      </c>
      <c r="L747">
        <v>3</v>
      </c>
      <c r="M747">
        <v>50</v>
      </c>
    </row>
    <row r="748" spans="1:13">
      <c r="A748" t="s">
        <v>202</v>
      </c>
      <c r="B748" t="s">
        <v>225</v>
      </c>
      <c r="C748" t="s">
        <v>225</v>
      </c>
      <c r="D748" t="s">
        <v>225</v>
      </c>
      <c r="E748" t="s">
        <v>225</v>
      </c>
      <c r="F748" t="s">
        <v>225</v>
      </c>
      <c r="G748" t="s">
        <v>225</v>
      </c>
      <c r="H748">
        <v>5</v>
      </c>
      <c r="I748">
        <v>19</v>
      </c>
      <c r="J748">
        <v>46</v>
      </c>
      <c r="K748">
        <v>92</v>
      </c>
      <c r="L748">
        <v>1</v>
      </c>
      <c r="M748">
        <v>163</v>
      </c>
    </row>
    <row r="749" spans="1:13">
      <c r="A749" t="s">
        <v>204</v>
      </c>
      <c r="B749" t="s">
        <v>225</v>
      </c>
      <c r="C749" t="s">
        <v>225</v>
      </c>
      <c r="D749" t="s">
        <v>225</v>
      </c>
      <c r="E749" t="s">
        <v>225</v>
      </c>
      <c r="F749" t="s">
        <v>225</v>
      </c>
      <c r="G749" t="s">
        <v>225</v>
      </c>
      <c r="H749" t="s">
        <v>225</v>
      </c>
      <c r="I749">
        <v>4</v>
      </c>
      <c r="J749">
        <v>2</v>
      </c>
      <c r="K749">
        <v>19</v>
      </c>
      <c r="L749">
        <v>29</v>
      </c>
      <c r="M749">
        <v>54</v>
      </c>
    </row>
    <row r="750" spans="1:13">
      <c r="A750" t="s">
        <v>205</v>
      </c>
      <c r="B750">
        <v>6</v>
      </c>
      <c r="C750">
        <v>5</v>
      </c>
      <c r="D750">
        <v>1</v>
      </c>
      <c r="E750" t="s">
        <v>225</v>
      </c>
      <c r="F750">
        <v>12</v>
      </c>
      <c r="G750">
        <v>10</v>
      </c>
      <c r="H750">
        <v>3</v>
      </c>
      <c r="I750">
        <v>12</v>
      </c>
      <c r="J750">
        <v>9</v>
      </c>
      <c r="K750">
        <v>5</v>
      </c>
      <c r="L750">
        <v>1</v>
      </c>
      <c r="M750">
        <v>64</v>
      </c>
    </row>
    <row r="751" spans="1:13">
      <c r="A751" t="s">
        <v>206</v>
      </c>
      <c r="B751">
        <v>3</v>
      </c>
      <c r="C751">
        <v>1</v>
      </c>
      <c r="D751">
        <v>1</v>
      </c>
      <c r="E751">
        <v>1</v>
      </c>
      <c r="F751" t="s">
        <v>225</v>
      </c>
      <c r="G751" t="s">
        <v>225</v>
      </c>
      <c r="H751" t="s">
        <v>225</v>
      </c>
      <c r="I751">
        <v>3</v>
      </c>
      <c r="J751">
        <v>2</v>
      </c>
      <c r="K751">
        <v>6</v>
      </c>
      <c r="L751">
        <v>2</v>
      </c>
      <c r="M751">
        <v>19</v>
      </c>
    </row>
    <row r="752" spans="1:13">
      <c r="A752" t="s">
        <v>207</v>
      </c>
      <c r="B752">
        <v>5</v>
      </c>
      <c r="C752">
        <v>8</v>
      </c>
      <c r="D752">
        <v>1</v>
      </c>
      <c r="E752">
        <v>1</v>
      </c>
      <c r="F752">
        <v>8</v>
      </c>
      <c r="G752">
        <v>1</v>
      </c>
      <c r="H752">
        <v>5</v>
      </c>
      <c r="I752">
        <v>13</v>
      </c>
      <c r="J752" t="s">
        <v>225</v>
      </c>
      <c r="K752">
        <v>62</v>
      </c>
      <c r="L752">
        <v>5</v>
      </c>
      <c r="M752">
        <v>109</v>
      </c>
    </row>
    <row r="753" spans="1:13">
      <c r="A753" t="s">
        <v>208</v>
      </c>
      <c r="B753">
        <v>5</v>
      </c>
      <c r="C753">
        <v>2</v>
      </c>
      <c r="D753" t="s">
        <v>225</v>
      </c>
      <c r="E753">
        <v>1</v>
      </c>
      <c r="F753">
        <v>2</v>
      </c>
      <c r="G753" t="s">
        <v>225</v>
      </c>
      <c r="H753">
        <v>2</v>
      </c>
      <c r="I753">
        <v>8</v>
      </c>
      <c r="J753">
        <v>2</v>
      </c>
      <c r="K753">
        <v>4</v>
      </c>
      <c r="L753">
        <v>8</v>
      </c>
      <c r="M753">
        <v>34</v>
      </c>
    </row>
    <row r="754" spans="1:13">
      <c r="A754" t="s">
        <v>209</v>
      </c>
      <c r="B754">
        <v>55</v>
      </c>
      <c r="C754">
        <v>31</v>
      </c>
      <c r="D754">
        <v>35</v>
      </c>
      <c r="E754">
        <v>42</v>
      </c>
      <c r="F754">
        <v>33</v>
      </c>
      <c r="G754">
        <v>6</v>
      </c>
      <c r="H754">
        <v>14</v>
      </c>
      <c r="I754">
        <v>82</v>
      </c>
      <c r="J754">
        <v>15</v>
      </c>
      <c r="K754">
        <v>110</v>
      </c>
      <c r="L754">
        <v>48</v>
      </c>
      <c r="M754">
        <v>471</v>
      </c>
    </row>
    <row r="755" spans="1:13">
      <c r="A755" t="s">
        <v>210</v>
      </c>
      <c r="B755">
        <v>32</v>
      </c>
      <c r="C755">
        <v>32</v>
      </c>
      <c r="D755">
        <v>23</v>
      </c>
      <c r="E755">
        <v>3</v>
      </c>
      <c r="F755">
        <v>66</v>
      </c>
      <c r="G755">
        <v>50</v>
      </c>
      <c r="H755">
        <v>12</v>
      </c>
      <c r="I755">
        <v>16</v>
      </c>
      <c r="J755">
        <v>20</v>
      </c>
      <c r="K755">
        <v>460</v>
      </c>
      <c r="L755">
        <v>1</v>
      </c>
      <c r="M755">
        <v>715</v>
      </c>
    </row>
    <row r="756" spans="1:13">
      <c r="A756" t="s">
        <v>211</v>
      </c>
      <c r="B756">
        <v>431</v>
      </c>
      <c r="C756">
        <v>358</v>
      </c>
      <c r="D756">
        <v>124</v>
      </c>
      <c r="E756">
        <v>115</v>
      </c>
      <c r="F756">
        <v>379</v>
      </c>
      <c r="G756">
        <v>181</v>
      </c>
      <c r="H756">
        <v>117</v>
      </c>
      <c r="I756">
        <v>321</v>
      </c>
      <c r="J756">
        <v>339</v>
      </c>
      <c r="K756">
        <v>2563</v>
      </c>
      <c r="L756">
        <v>544</v>
      </c>
      <c r="M756">
        <v>5472</v>
      </c>
    </row>
    <row r="757" spans="1:13">
      <c r="A757" t="s">
        <v>264</v>
      </c>
    </row>
    <row r="758" spans="1:13">
      <c r="A758" t="s">
        <v>265</v>
      </c>
    </row>
    <row r="759" spans="1:13">
      <c r="A759" t="s">
        <v>219</v>
      </c>
    </row>
    <row r="760" spans="1:13">
      <c r="A760" t="s">
        <v>266</v>
      </c>
    </row>
    <row r="761" spans="1:13">
      <c r="A761" t="s">
        <v>267</v>
      </c>
    </row>
    <row r="762" spans="1:13">
      <c r="A762" t="s">
        <v>268</v>
      </c>
    </row>
    <row r="763" spans="1:13">
      <c r="A763" t="s">
        <v>269</v>
      </c>
    </row>
    <row r="764" spans="1:13">
      <c r="A764" t="s">
        <v>270</v>
      </c>
    </row>
    <row r="765" spans="1:13">
      <c r="A765" t="s">
        <v>271</v>
      </c>
    </row>
    <row r="766" spans="1:13">
      <c r="A766" t="s">
        <v>272</v>
      </c>
    </row>
    <row r="767" spans="1:13">
      <c r="A767" t="s">
        <v>273</v>
      </c>
    </row>
    <row r="768" spans="1:13">
      <c r="A768" t="s">
        <v>274</v>
      </c>
    </row>
    <row r="769" spans="1:1">
      <c r="A769" t="s">
        <v>275</v>
      </c>
    </row>
    <row r="770" spans="1:1">
      <c r="A770" t="s">
        <v>276</v>
      </c>
    </row>
    <row r="771" spans="1:1">
      <c r="A771" t="s">
        <v>277</v>
      </c>
    </row>
    <row r="772" spans="1:1">
      <c r="A772" t="s">
        <v>278</v>
      </c>
    </row>
    <row r="773" spans="1:1">
      <c r="A773" t="s">
        <v>279</v>
      </c>
    </row>
    <row r="774" spans="1:1">
      <c r="A774" t="s">
        <v>280</v>
      </c>
    </row>
    <row r="775" spans="1:1">
      <c r="A775" t="s">
        <v>281</v>
      </c>
    </row>
    <row r="776" spans="1:1">
      <c r="A776" t="s">
        <v>282</v>
      </c>
    </row>
    <row r="777" spans="1:1">
      <c r="A777" t="s">
        <v>283</v>
      </c>
    </row>
    <row r="778" spans="1:1">
      <c r="A778" t="s">
        <v>284</v>
      </c>
    </row>
    <row r="779" spans="1:1">
      <c r="A779" t="s">
        <v>285</v>
      </c>
    </row>
    <row r="780" spans="1:1">
      <c r="A780" t="s">
        <v>286</v>
      </c>
    </row>
    <row r="781" spans="1:1">
      <c r="A781" t="s">
        <v>287</v>
      </c>
    </row>
    <row r="782" spans="1:1">
      <c r="A782" t="s">
        <v>288</v>
      </c>
    </row>
    <row r="783" spans="1:1">
      <c r="A783" t="s">
        <v>219</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or_x00e7_adeTrabalho xmlns="772dbc93-0ee0-4c85-a7d3-8905024b9897" xsi:nil="true"/>
    <SharedWithUsers xmlns="946f1bfd-9fda-48cb-8073-c7cda01f3b75">
      <UserInfo>
        <DisplayName/>
        <AccountId xsi:nil="true"/>
        <AccountType/>
      </UserInfo>
    </SharedWithUsers>
    <lcf76f155ced4ddcb4097134ff3c332f xmlns="772dbc93-0ee0-4c85-a7d3-8905024b989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2448C881D1ABF439DB331CD01F0E321" ma:contentTypeVersion="19" ma:contentTypeDescription="Crie um novo documento." ma:contentTypeScope="" ma:versionID="ec1d75e349d497c16172db7db03ad378">
  <xsd:schema xmlns:xsd="http://www.w3.org/2001/XMLSchema" xmlns:xs="http://www.w3.org/2001/XMLSchema" xmlns:p="http://schemas.microsoft.com/office/2006/metadata/properties" xmlns:ns2="772dbc93-0ee0-4c85-a7d3-8905024b9897" xmlns:ns3="946f1bfd-9fda-48cb-8073-c7cda01f3b75" targetNamespace="http://schemas.microsoft.com/office/2006/metadata/properties" ma:root="true" ma:fieldsID="3d8bfb9adf407173efc64531c0ec84ed" ns2:_="" ns3:_="">
    <xsd:import namespace="772dbc93-0ee0-4c85-a7d3-8905024b9897"/>
    <xsd:import namespace="946f1bfd-9fda-48cb-8073-c7cda01f3b7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lcf76f155ced4ddcb4097134ff3c332f" minOccurs="0"/>
                <xsd:element ref="ns2:MediaServiceObjectDetectorVersions" minOccurs="0"/>
                <xsd:element ref="ns2:For_x00e7_adeTrabalho"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2dbc93-0ee0-4c85-a7d3-8905024b98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Marcações de imagem" ma:readOnly="false" ma:fieldId="{5cf76f15-5ced-4ddc-b409-7134ff3c332f}" ma:taxonomyMulti="true" ma:sspId="143de60c-575b-4c62-9f62-591ff79d3e1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For_x00e7_adeTrabalho" ma:index="23" nillable="true" ma:displayName="Força de Trabalho" ma:format="Dropdown" ma:internalName="For_x00e7_adeTrabalho">
      <xsd:simpleType>
        <xsd:restriction base="dms:Lookup"/>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6f1bfd-9fda-48cb-8073-c7cda01f3b75" elementFormDefault="qualified">
    <xsd:import namespace="http://schemas.microsoft.com/office/2006/documentManagement/types"/>
    <xsd:import namespace="http://schemas.microsoft.com/office/infopath/2007/PartnerControls"/>
    <xsd:element name="SharedWithUsers" ma:index="1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31C464B-ABC7-4D51-98E5-42550CC8E071}">
  <ds:schemaRefs>
    <ds:schemaRef ds:uri="http://schemas.microsoft.com/sharepoint/v3/contenttype/forms"/>
  </ds:schemaRefs>
</ds:datastoreItem>
</file>

<file path=customXml/itemProps2.xml><?xml version="1.0" encoding="utf-8"?>
<ds:datastoreItem xmlns:ds="http://schemas.openxmlformats.org/officeDocument/2006/customXml" ds:itemID="{49CB3761-1404-4D24-B78D-A18F0E9226E8}">
  <ds:schemaRefs>
    <ds:schemaRef ds:uri="http://www.w3.org/XML/1998/namespace"/>
    <ds:schemaRef ds:uri="946f1bfd-9fda-48cb-8073-c7cda01f3b75"/>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772dbc93-0ee0-4c85-a7d3-8905024b9897"/>
    <ds:schemaRef ds:uri="http://purl.org/dc/terms/"/>
  </ds:schemaRefs>
</ds:datastoreItem>
</file>

<file path=customXml/itemProps3.xml><?xml version="1.0" encoding="utf-8"?>
<ds:datastoreItem xmlns:ds="http://schemas.openxmlformats.org/officeDocument/2006/customXml" ds:itemID="{81276E13-9AF6-4D92-9311-478F9E394F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2dbc93-0ee0-4c85-a7d3-8905024b9897"/>
    <ds:schemaRef ds:uri="946f1bfd-9fda-48cb-8073-c7cda01f3b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14</vt:i4>
      </vt:variant>
      <vt:variant>
        <vt:lpstr>Intervalos Nomeados</vt:lpstr>
      </vt:variant>
      <vt:variant>
        <vt:i4>19</vt:i4>
      </vt:variant>
    </vt:vector>
  </HeadingPairs>
  <TitlesOfParts>
    <vt:vector size="33" baseType="lpstr">
      <vt:lpstr>base</vt:lpstr>
      <vt:lpstr>srag</vt:lpstr>
      <vt:lpstr>fesp</vt:lpstr>
      <vt:lpstr>ft_medicos_clinicos</vt:lpstr>
      <vt:lpstr>ft_enfermeiros</vt:lpstr>
      <vt:lpstr>ft_equipes_acs</vt:lpstr>
      <vt:lpstr>ci_leitos_internacao</vt:lpstr>
      <vt:lpstr>ci_pa_clinico</vt:lpstr>
      <vt:lpstr>ci_hospitais_internacao</vt:lpstr>
      <vt:lpstr>aps_equipes_esf</vt:lpstr>
      <vt:lpstr>aps_equipes_ap1</vt:lpstr>
      <vt:lpstr>aps_equipes_ap2</vt:lpstr>
      <vt:lpstr>casos</vt:lpstr>
      <vt:lpstr>obitos</vt:lpstr>
      <vt:lpstr>aps_equipes_esf!cnes_cnv_equipebr132935186_212_98_254</vt:lpstr>
      <vt:lpstr>aps_equipes_esf!cnes_cnv_equipebr133552186_212_98_254</vt:lpstr>
      <vt:lpstr>aps_equipes_ap1!cnes_cnv_equipebr141509186_212_98_254</vt:lpstr>
      <vt:lpstr>ft_equipes_acs!cnes_cnv_equipebr142024186_212_98_254</vt:lpstr>
      <vt:lpstr>ci_pa_clinico!cnes_cnv_servc2br190248186_212_98_254</vt:lpstr>
      <vt:lpstr>ci_pa_clinico!deepseek_csv_20260103_403e55</vt:lpstr>
      <vt:lpstr>ci_leitos_internacao!deepseek_csv_20260103_47bacb</vt:lpstr>
      <vt:lpstr>ci_hospitais_internacao!deepseek_csv_20260103_6c6bf3</vt:lpstr>
      <vt:lpstr>aps_equipes_esf!deepseek_csv_20260104_20d45e</vt:lpstr>
      <vt:lpstr>ft_enfermeiros!deepseek_csv_20260104_4f976d</vt:lpstr>
      <vt:lpstr>aps_equipes_ap2!deepseek_csv_20260104_5c32f5</vt:lpstr>
      <vt:lpstr>aps_equipes_esf!deepseek_csv_20260104_79b2e0</vt:lpstr>
      <vt:lpstr>ft_medicos_clinicos!deepseek_csv_20260104_df6ff8</vt:lpstr>
      <vt:lpstr>aps_equipes_ap1!deepseek_csv_20260104_efcd65</vt:lpstr>
      <vt:lpstr>ft_equipes_acs!deepseek_csv_20260104_f19835</vt:lpstr>
      <vt:lpstr>casos!deepseek_csv_20260105_5d445e</vt:lpstr>
      <vt:lpstr>obitos!deepseek_csv_20260105_fcc3b6</vt:lpstr>
      <vt:lpstr>casos!sinannet_cnv_denguebbr213106186_212_98_254</vt:lpstr>
      <vt:lpstr>obitos!sinannet_cnv_denguebbr213744186_212_98_254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Alessandro Jatoba</cp:lastModifiedBy>
  <cp:revision/>
  <dcterms:created xsi:type="dcterms:W3CDTF">2025-12-27T21:24:41Z</dcterms:created>
  <dcterms:modified xsi:type="dcterms:W3CDTF">2026-05-01T18:51:28Z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0x01010042448C881D1ABF439DB331CD01F0E321</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