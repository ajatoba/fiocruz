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/>
  <mc:AlternateContent xmlns:mc="http://schemas.openxmlformats.org/markup-compatibility/2006">
    <mc:Choice Requires="x15">
      <x15ac:absPath xmlns:x15ac="http://schemas.microsoft.com/office/spreadsheetml/2010/11/ac" url="/Users/alessandrojatoba/Downloads/"/>
    </mc:Choice>
  </mc:AlternateContent>
  <xr:revisionPtr revIDLastSave="0" documentId="13_ncr:1_{2D976D00-2567-5A49-A1A1-D847DC9ABFDD}" xr6:coauthVersionLast="47" xr6:coauthVersionMax="47" xr10:uidLastSave="{00000000-0000-0000-0000-000000000000}"/>
  <bookViews>
    <workbookView xWindow="34380" yWindow="620" windowWidth="34400" windowHeight="28180" firstSheet="2" activeTab="2" xr2:uid="{1A3EED76-0BA3-4F12-9608-66A62CFBE2DA}"/>
  </bookViews>
  <sheets>
    <sheet name="2024" sheetId="2" r:id="rId1"/>
    <sheet name="2022" sheetId="4" r:id="rId2"/>
    <sheet name="CANCER_MAMA" sheetId="12" r:id="rId3"/>
    <sheet name="Planilha1" sheetId="13" r:id="rId4"/>
    <sheet name="Planilha2" sheetId="14" r:id="rId5"/>
    <sheet name="Planilha3" sheetId="15" r:id="rId6"/>
    <sheet name="Planilha4" sheetId="1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5" i="13" l="1"/>
  <c r="G15" i="13"/>
  <c r="F15" i="13"/>
  <c r="E15" i="13"/>
  <c r="D15" i="13"/>
  <c r="C15" i="13"/>
  <c r="B15" i="13"/>
  <c r="A15" i="13"/>
</calcChain>
</file>

<file path=xl/sharedStrings.xml><?xml version="1.0" encoding="utf-8"?>
<sst xmlns="http://schemas.openxmlformats.org/spreadsheetml/2006/main" count="271" uniqueCount="97">
  <si>
    <t>Mamografo com Comando Simples</t>
  </si>
  <si>
    <t>Mamografo com Estereotaxia</t>
  </si>
  <si>
    <t>MAMOGRAFO COMPUTADORIZADO</t>
  </si>
  <si>
    <t>Existentes</t>
  </si>
  <si>
    <t>Existentes SUS</t>
  </si>
  <si>
    <t>Mamógrafos</t>
  </si>
  <si>
    <t>Em uso</t>
  </si>
  <si>
    <t>Em uso SUS</t>
  </si>
  <si>
    <t>Rio de Janeiro</t>
  </si>
  <si>
    <t>Total</t>
  </si>
  <si>
    <t>Mamografia SIA*</t>
  </si>
  <si>
    <t>Mamografia bilateral para rastreamento SIA**</t>
  </si>
  <si>
    <r>
      <t xml:space="preserve">(quantidade apresentada por </t>
    </r>
    <r>
      <rPr>
        <b/>
        <sz val="9"/>
        <color theme="5" tint="-0.249977111117893"/>
        <rFont val="Calibri"/>
        <family val="2"/>
      </rPr>
      <t>local de residência</t>
    </r>
    <r>
      <rPr>
        <sz val="9"/>
        <color theme="1"/>
        <rFont val="Calibri"/>
        <family val="2"/>
      </rPr>
      <t>, ano processamento, 0204030030)</t>
    </r>
  </si>
  <si>
    <r>
      <t xml:space="preserve">(valor apresentado por </t>
    </r>
    <r>
      <rPr>
        <b/>
        <sz val="9"/>
        <color theme="5" tint="-0.249977111117893"/>
        <rFont val="Calibri"/>
        <family val="2"/>
      </rPr>
      <t>local de residência</t>
    </r>
    <r>
      <rPr>
        <sz val="9"/>
        <color theme="1"/>
        <rFont val="Calibri"/>
        <family val="2"/>
      </rPr>
      <t>, ano processamento, 0204030030)</t>
    </r>
  </si>
  <si>
    <r>
      <t xml:space="preserve">(quantidade apresentada por </t>
    </r>
    <r>
      <rPr>
        <b/>
        <sz val="9"/>
        <color theme="5" tint="-0.249977111117893"/>
        <rFont val="Calibri"/>
        <family val="2"/>
      </rPr>
      <t>local de residência</t>
    </r>
    <r>
      <rPr>
        <sz val="9"/>
        <color theme="1"/>
        <rFont val="Calibri"/>
        <family val="2"/>
      </rPr>
      <t xml:space="preserve"> 0204030188)</t>
    </r>
  </si>
  <si>
    <r>
      <t xml:space="preserve">(valor apresentado por </t>
    </r>
    <r>
      <rPr>
        <b/>
        <sz val="9"/>
        <color theme="5" tint="-0.249977111117893"/>
        <rFont val="Calibri"/>
        <family val="2"/>
      </rPr>
      <t xml:space="preserve">local de residência </t>
    </r>
    <r>
      <rPr>
        <sz val="9"/>
        <color theme="1"/>
        <rFont val="Calibri"/>
        <family val="2"/>
      </rPr>
      <t>0204030188)</t>
    </r>
  </si>
  <si>
    <t>Citopatológico (SISCAN)</t>
  </si>
  <si>
    <r>
      <t xml:space="preserve"> (feminino, por </t>
    </r>
    <r>
      <rPr>
        <sz val="9"/>
        <color theme="5" tint="-0.249977111117893"/>
        <rFont val="Calibri"/>
        <family val="2"/>
      </rPr>
      <t>local de residência</t>
    </r>
    <r>
      <rPr>
        <sz val="9"/>
        <color theme="1"/>
        <rFont val="Calibri"/>
        <family val="2"/>
      </rPr>
      <t>, por competência)</t>
    </r>
  </si>
  <si>
    <t>Histopatológico (SISCAN)</t>
  </si>
  <si>
    <r>
      <t xml:space="preserve">(feminino, por </t>
    </r>
    <r>
      <rPr>
        <sz val="9"/>
        <color theme="5" tint="-0.249977111117893"/>
        <rFont val="Calibri"/>
        <family val="2"/>
      </rPr>
      <t>local de residência</t>
    </r>
    <r>
      <rPr>
        <sz val="9"/>
        <color theme="1"/>
        <rFont val="Calibri"/>
        <family val="2"/>
      </rPr>
      <t>, por competência)</t>
    </r>
  </si>
  <si>
    <t>Mastectomia (SIH)</t>
  </si>
  <si>
    <t>Reconstrução mama (SIH)</t>
  </si>
  <si>
    <r>
      <t xml:space="preserve">(internações, por competência, por </t>
    </r>
    <r>
      <rPr>
        <sz val="9"/>
        <color theme="5" tint="-0.249977111117893"/>
        <rFont val="Calibri"/>
        <family val="2"/>
      </rPr>
      <t>local de residência</t>
    </r>
    <r>
      <rPr>
        <sz val="9"/>
        <color theme="1"/>
        <rFont val="Calibri"/>
        <family val="2"/>
      </rPr>
      <t>)
0410010057 MASTECTOMIA RADICAL C/ LINFADENECTOMIA
0410010065 MASTECTOMIA SIMPLES
0416120024 MASTECTOMIA RADICAL COM LINFADENECTOMIA AXILAR EM ONCOLOGIA
0416120032 MASTECTOMIA SIMPLES EM ONCOLOGIA</t>
    </r>
  </si>
  <si>
    <r>
      <t>(internações, por competência, por</t>
    </r>
    <r>
      <rPr>
        <sz val="9"/>
        <color theme="5" tint="-0.249977111117893"/>
        <rFont val="Calibri"/>
        <family val="2"/>
      </rPr>
      <t xml:space="preserve"> local de residência</t>
    </r>
    <r>
      <rPr>
        <sz val="9"/>
        <color theme="1"/>
        <rFont val="Calibri"/>
        <family val="2"/>
      </rPr>
      <t xml:space="preserve">)
0410010090 PLASTICA MAMARIA RECONSTRUTIVA POS MASTECTOMIA C/ IMPLANTE DE PROTESE
0410010219 RECONSTRUCAO MAMARIA POS-MASTECTOMIA TOTAL
</t>
    </r>
  </si>
  <si>
    <t>_</t>
  </si>
  <si>
    <t>CNES - Recursos Humanos - Ocupações - segundo CBO 2002 - Rio de Janeiro</t>
  </si>
  <si>
    <t>Atende ao SUS por Ocupações em geral e Ano/mês compet.</t>
  </si>
  <si>
    <t>Município: 330455 RIO DE JANEIRO</t>
  </si>
  <si>
    <t>Ocupações em geral: Farmacêutico, Farmacêutico Bioquímico, Médico anatomopatologista, Médico citopatologista, Biólogo, BioMédico</t>
  </si>
  <si>
    <t>Período:Jul/2015, Jul/2016, Jul/2017, Jul/2018, Jul/2019, Jul/2020, Jul/2021, Jul/2022, Jul/2023, Jul/2024, Jul/2025</t>
  </si>
  <si>
    <t>Ocupações em geral</t>
  </si>
  <si>
    <t>2015/Jul</t>
  </si>
  <si>
    <t>2016/Jul</t>
  </si>
  <si>
    <t>2017/Jul</t>
  </si>
  <si>
    <t>2018/Jul</t>
  </si>
  <si>
    <t>2019/Jul</t>
  </si>
  <si>
    <t>2020/Jul</t>
  </si>
  <si>
    <t>2021/Jul</t>
  </si>
  <si>
    <t>2022/Jul</t>
  </si>
  <si>
    <t>2023/Jul</t>
  </si>
  <si>
    <t>2024/Jul</t>
  </si>
  <si>
    <t>2025/Jul</t>
  </si>
  <si>
    <t>PESSOAL DE SAÚDE - NÍVEL SUPERIOR</t>
  </si>
  <si>
    <t xml:space="preserve"> BIOQUÍMICO/FARMACÊUTICO</t>
  </si>
  <si>
    <t>Farmacêutico</t>
  </si>
  <si>
    <t xml:space="preserve"> OUTRAS ESPECIALIDADES MÉDICAS</t>
  </si>
  <si>
    <t>Médico anatomopatologista</t>
  </si>
  <si>
    <t>Médico citopatologista</t>
  </si>
  <si>
    <t xml:space="preserve"> OUTRAS OCUPAÇÕES DE NÍVEL SUPERIOR RELAC À SAÚDE</t>
  </si>
  <si>
    <t>Biólogo</t>
  </si>
  <si>
    <t>BioMédico</t>
  </si>
  <si>
    <t xml:space="preserve"> Fonte: Ministério da Saúde - Cadastro Nacional dos Estabelecimentos de Saúde do Brasil - CNES</t>
  </si>
  <si>
    <t xml:space="preserve"> Nota:</t>
  </si>
  <si>
    <t xml:space="preserve"> - Os dados relativos ao Cadastro Nacional de Estabelecimentos de Saúde (CNES) exibidos no TABNET referem-se aos registros constantes no Banco de Dados Nacional do CNES com status ATIVO.</t>
  </si>
  <si>
    <t xml:space="preserve"> - A partir do processamento de junho de 2012, houve mudança na classificação da natureza e esfera dos estabelecimentos. Com isso, temos que:</t>
  </si>
  <si>
    <t xml:space="preserve"> </t>
  </si>
  <si>
    <t xml:space="preserve"> Até maio de 2012 estas informações estão disponíveis como "Natureza" e "Esfera Administrativa".</t>
  </si>
  <si>
    <t xml:space="preserve"> De junho de 2012 a outubro de 2015, estão disponíveis tanto como "Natureza" e "Esfera Administrativa", como "Natureza Jurídica" e "Esfera Jurídica".</t>
  </si>
  <si>
    <t xml:space="preserve"> A partir de novembro de 2015, estão disponíveis como "Natureza Jurídica" e "Esfera Jurídica".</t>
  </si>
  <si>
    <t>Ocupações em geral: Médico anatomopatologista, Médico citopatologista</t>
  </si>
  <si>
    <t>Ocupações em geral: Médico Ginecologista Obstetra, Médico em radiologia e diagnóstico por imagem, Médico mastologista, Médico residente</t>
  </si>
  <si>
    <t xml:space="preserve"> GINECO OBSTETRA</t>
  </si>
  <si>
    <t>Médico Ginecologista Obstetra</t>
  </si>
  <si>
    <t xml:space="preserve"> RADIOLOGISTA</t>
  </si>
  <si>
    <t>Médico em radiologia e diagnóstico por imagem</t>
  </si>
  <si>
    <t>Médico mastologista</t>
  </si>
  <si>
    <t>Médico residente</t>
  </si>
  <si>
    <t>São Gonçalo</t>
  </si>
  <si>
    <t>Duque de Caxias</t>
  </si>
  <si>
    <t>Nova Iguaçu</t>
  </si>
  <si>
    <t>Campos</t>
  </si>
  <si>
    <t>Belford Roxo</t>
  </si>
  <si>
    <t>Niteroi</t>
  </si>
  <si>
    <t>mamografia_mais_de_60</t>
  </si>
  <si>
    <t>estabelecimentos_anatomopatologicos</t>
  </si>
  <si>
    <t>estabelecimentos_citopatologicos</t>
  </si>
  <si>
    <t>citopatologico_mais_de_60</t>
  </si>
  <si>
    <t>histopatologico_mais_de_60</t>
  </si>
  <si>
    <t>mamografos_existentes</t>
  </si>
  <si>
    <t>mamografos_em_uso</t>
  </si>
  <si>
    <t>ano</t>
  </si>
  <si>
    <t>tratamento_ate_30_dias</t>
  </si>
  <si>
    <t>mamografia_ate_30_dias</t>
  </si>
  <si>
    <t>citopatologico_ate_30_dias</t>
  </si>
  <si>
    <t>histopatologico_ate_30_dias</t>
  </si>
  <si>
    <t>municipio</t>
  </si>
  <si>
    <t>tratamento_mais_de_60</t>
  </si>
  <si>
    <t>profissionais_citopatologico</t>
  </si>
  <si>
    <t>profissionais_anatomopatologico</t>
  </si>
  <si>
    <t>profissionais_mamografia</t>
  </si>
  <si>
    <t>tratamento_31_60_dias</t>
  </si>
  <si>
    <t>mamografia_31_60_dias</t>
  </si>
  <si>
    <t>citopatologico_31_60_dias</t>
  </si>
  <si>
    <t>histopatologico_31_60_dias</t>
  </si>
  <si>
    <t>populacao_feminina_residente</t>
  </si>
  <si>
    <t>estabelecimentos_mamografia</t>
  </si>
  <si>
    <t>estabelecimentos_mamografia_por_telemedicina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</si>
</sst>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7.5"/>
      <color rgb="FF003366"/>
      <name val="Verdana"/>
      <family val="2"/>
    </font>
    <font>
      <u/>
      <sz val="11"/>
      <color theme="10"/>
      <name val="Aptos Narrow"/>
      <family val="2"/>
      <scheme val="minor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sz val="9"/>
      <color theme="5" tint="-0.249977111117893"/>
      <name val="Calibri"/>
      <family val="2"/>
    </font>
    <font>
      <sz val="9"/>
      <color theme="5" tint="-0.249977111117893"/>
      <name val="Calibri"/>
      <family val="2"/>
    </font>
    <font>
      <sz val="9"/>
      <color theme="1"/>
      <name val="Aptos Narrow"/>
      <family val="2"/>
      <scheme val="minor"/>
    </font>
    <font>
      <b/>
      <sz val="8"/>
      <color theme="1"/>
      <name val="Calibri"/>
      <family val="2"/>
    </font>
    <font>
      <sz val="8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0" fillId="0" borderId="2" xfId="0" applyBorder="1"/>
    <xf numFmtId="0" fontId="0" fillId="0" borderId="3" xfId="0" applyBorder="1"/>
    <xf numFmtId="0" fontId="3" fillId="3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4" fontId="4" fillId="0" borderId="0" xfId="0" applyNumberFormat="1" applyFont="1"/>
    <xf numFmtId="0" fontId="4" fillId="0" borderId="0" xfId="0" applyFont="1"/>
    <xf numFmtId="3" fontId="4" fillId="0" borderId="0" xfId="0" applyNumberFormat="1" applyFont="1"/>
    <xf numFmtId="0" fontId="4" fillId="0" borderId="0" xfId="0" applyFont="1" applyAlignment="1">
      <alignment vertical="center" wrapText="1"/>
    </xf>
    <xf numFmtId="0" fontId="7" fillId="0" borderId="0" xfId="0" applyFont="1"/>
    <xf numFmtId="0" fontId="9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3" fontId="9" fillId="0" borderId="0" xfId="0" applyNumberFormat="1" applyFont="1"/>
    <xf numFmtId="0" fontId="8" fillId="0" borderId="0" xfId="0" applyFont="1"/>
    <xf numFmtId="0" fontId="9" fillId="0" borderId="4" xfId="0" applyFont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 vertical="center"/>
    </xf>
    <xf numFmtId="1" fontId="8" fillId="0" borderId="0" xfId="0" applyNumberFormat="1" applyFont="1"/>
    <xf numFmtId="1" fontId="8" fillId="0" borderId="0" xfId="0" applyNumberFormat="1" applyFont="1" applyAlignment="1">
      <alignment horizontal="right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nes2.datasus.gov.br/Mod_Ind_Equipamentos_Listar.asp?VCod_Equip=17&amp;VTipo_Equip=1%20&amp;VListar=1&amp;VEstado=33&amp;VMun=330455&amp;VComp=202407" TargetMode="External"/><Relationship Id="rId2" Type="http://schemas.openxmlformats.org/officeDocument/2006/relationships/hyperlink" Target="https://cnes2.datasus.gov.br/Mod_Ind_Equipamentos_Listar.asp?VCod_Equip=03&amp;VTipo_Equip=1%20&amp;VListar=1&amp;VEstado=33&amp;VMun=330455&amp;VComp=202407" TargetMode="External"/><Relationship Id="rId1" Type="http://schemas.openxmlformats.org/officeDocument/2006/relationships/hyperlink" Target="https://cnes2.datasus.gov.br/Mod_Ind_Equipamentos_Listar.asp?VCod_Equip=02&amp;VTipo_Equip=1%20&amp;VListar=1&amp;VEstado=33&amp;VMun=330455&amp;VComp=202407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cnes2.datasus.gov.br/Mod_Ind_Equipamentos_Listar.asp?VCod_Equip=17&amp;VTipo_Equip=1%20&amp;VListar=1&amp;VEstado=33&amp;VMun=330455&amp;VComp=202207" TargetMode="External"/><Relationship Id="rId2" Type="http://schemas.openxmlformats.org/officeDocument/2006/relationships/hyperlink" Target="https://cnes2.datasus.gov.br/Mod_Ind_Equipamentos_Listar.asp?VCod_Equip=03&amp;VTipo_Equip=1%20&amp;VListar=1&amp;VEstado=33&amp;VMun=330455&amp;VComp=202207" TargetMode="External"/><Relationship Id="rId1" Type="http://schemas.openxmlformats.org/officeDocument/2006/relationships/hyperlink" Target="https://cnes2.datasus.gov.br/Mod_Ind_Equipamentos_Listar.asp?VCod_Equip=02&amp;VTipo_Equip=1%20&amp;VListar=1&amp;VEstado=33&amp;VMun=330455&amp;VComp=202207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F164F-F540-4F32-BE1C-DF7D92B74EF1}">
  <dimension ref="A1:F4"/>
  <sheetViews>
    <sheetView workbookViewId="0">
      <selection activeCell="F4" sqref="B2:F4"/>
    </sheetView>
  </sheetViews>
  <sheetFormatPr baseColWidth="10" defaultColWidth="8.83203125" defaultRowHeight="15" x14ac:dyDescent="0.2"/>
  <cols>
    <col min="2" max="3" width="16.5" customWidth="1"/>
    <col min="4" max="4" width="14.6640625" customWidth="1"/>
    <col min="5" max="5" width="14.5" customWidth="1"/>
    <col min="6" max="6" width="13.6640625" customWidth="1"/>
  </cols>
  <sheetData>
    <row r="1" spans="1:6" x14ac:dyDescent="0.2">
      <c r="B1" s="4" t="s">
        <v>5</v>
      </c>
      <c r="C1" s="4" t="s">
        <v>3</v>
      </c>
      <c r="D1" s="4" t="s">
        <v>6</v>
      </c>
      <c r="E1" s="4" t="s">
        <v>4</v>
      </c>
      <c r="F1" s="5" t="s">
        <v>7</v>
      </c>
    </row>
    <row r="2" spans="1:6" ht="32" x14ac:dyDescent="0.2">
      <c r="A2" s="1">
        <v>2</v>
      </c>
      <c r="B2" s="2" t="s">
        <v>0</v>
      </c>
      <c r="C2" s="3">
        <v>130</v>
      </c>
      <c r="D2" s="3">
        <v>123</v>
      </c>
      <c r="E2" s="3">
        <v>9</v>
      </c>
      <c r="F2" s="3">
        <v>9</v>
      </c>
    </row>
    <row r="3" spans="1:6" ht="32" x14ac:dyDescent="0.2">
      <c r="A3" s="1">
        <v>3</v>
      </c>
      <c r="B3" s="2" t="s">
        <v>1</v>
      </c>
      <c r="C3" s="3">
        <v>30</v>
      </c>
      <c r="D3" s="3">
        <v>29</v>
      </c>
      <c r="E3" s="3">
        <v>14</v>
      </c>
      <c r="F3" s="3">
        <v>13</v>
      </c>
    </row>
    <row r="4" spans="1:6" ht="48" x14ac:dyDescent="0.2">
      <c r="A4" s="1">
        <v>17</v>
      </c>
      <c r="B4" s="2" t="s">
        <v>2</v>
      </c>
      <c r="C4" s="3">
        <v>84</v>
      </c>
      <c r="D4" s="3">
        <v>79</v>
      </c>
      <c r="E4" s="3">
        <v>18</v>
      </c>
      <c r="F4" s="3">
        <v>16</v>
      </c>
    </row>
  </sheetData>
  <hyperlinks>
    <hyperlink ref="B2" r:id="rId1" display="https://cnes2.datasus.gov.br/Mod_Ind_Equipamentos_Listar.asp?VCod_Equip=02&amp;VTipo_Equip=1%20&amp;VListar=1&amp;VEstado=33&amp;VMun=330455&amp;VComp=202407" xr:uid="{7A45B1CB-4706-4B7D-80AE-1742BCA72E2F}"/>
    <hyperlink ref="B3" r:id="rId2" display="https://cnes2.datasus.gov.br/Mod_Ind_Equipamentos_Listar.asp?VCod_Equip=03&amp;VTipo_Equip=1%20&amp;VListar=1&amp;VEstado=33&amp;VMun=330455&amp;VComp=202407" xr:uid="{FF25D50A-48AE-474C-BEE9-5026B3BC9B27}"/>
    <hyperlink ref="B4" r:id="rId3" display="https://cnes2.datasus.gov.br/Mod_Ind_Equipamentos_Listar.asp?VCod_Equip=17&amp;VTipo_Equip=1%20&amp;VListar=1&amp;VEstado=33&amp;VMun=330455&amp;VComp=202407" xr:uid="{915B9B9E-9C5D-4EC2-AC61-53FEF60017F1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FFA2A-1DA0-4C65-AD60-DB1E5744D2C7}">
  <dimension ref="A1:F4"/>
  <sheetViews>
    <sheetView workbookViewId="0">
      <selection activeCell="G4" sqref="A1:G4"/>
    </sheetView>
  </sheetViews>
  <sheetFormatPr baseColWidth="10" defaultColWidth="8.83203125" defaultRowHeight="15" x14ac:dyDescent="0.2"/>
  <sheetData>
    <row r="1" spans="1:6" x14ac:dyDescent="0.2">
      <c r="B1" s="4" t="s">
        <v>5</v>
      </c>
      <c r="C1" s="4" t="s">
        <v>3</v>
      </c>
      <c r="D1" s="4" t="s">
        <v>6</v>
      </c>
      <c r="E1" s="4" t="s">
        <v>4</v>
      </c>
      <c r="F1" s="5" t="s">
        <v>7</v>
      </c>
    </row>
    <row r="2" spans="1:6" ht="64" x14ac:dyDescent="0.2">
      <c r="A2" s="1">
        <v>2</v>
      </c>
      <c r="B2" s="2" t="s">
        <v>0</v>
      </c>
      <c r="C2" s="3">
        <v>125</v>
      </c>
      <c r="D2" s="3">
        <v>119</v>
      </c>
      <c r="E2" s="3">
        <v>19</v>
      </c>
      <c r="F2" s="3">
        <v>19</v>
      </c>
    </row>
    <row r="3" spans="1:6" ht="64" x14ac:dyDescent="0.2">
      <c r="A3" s="1">
        <v>3</v>
      </c>
      <c r="B3" s="2" t="s">
        <v>1</v>
      </c>
      <c r="C3" s="3">
        <v>30</v>
      </c>
      <c r="D3" s="3">
        <v>26</v>
      </c>
      <c r="E3" s="3">
        <v>17</v>
      </c>
      <c r="F3" s="3">
        <v>13</v>
      </c>
    </row>
    <row r="4" spans="1:6" ht="80" x14ac:dyDescent="0.2">
      <c r="A4" s="1">
        <v>17</v>
      </c>
      <c r="B4" s="2" t="s">
        <v>2</v>
      </c>
      <c r="C4" s="3">
        <v>82</v>
      </c>
      <c r="D4" s="3">
        <v>76</v>
      </c>
      <c r="E4" s="3">
        <v>11</v>
      </c>
      <c r="F4" s="3">
        <v>10</v>
      </c>
    </row>
  </sheetData>
  <hyperlinks>
    <hyperlink ref="B2" r:id="rId1" display="https://cnes2.datasus.gov.br/Mod_Ind_Equipamentos_Listar.asp?VCod_Equip=02&amp;VTipo_Equip=1%20&amp;VListar=1&amp;VEstado=33&amp;VMun=330455&amp;VComp=202207" xr:uid="{970537F1-30E7-48F4-8ECC-19E75C388971}"/>
    <hyperlink ref="B3" r:id="rId2" display="https://cnes2.datasus.gov.br/Mod_Ind_Equipamentos_Listar.asp?VCod_Equip=03&amp;VTipo_Equip=1%20&amp;VListar=1&amp;VEstado=33&amp;VMun=330455&amp;VComp=202207" xr:uid="{E5418E83-003C-4C0B-B649-3773494863D1}"/>
    <hyperlink ref="B4" r:id="rId3" display="https://cnes2.datasus.gov.br/Mod_Ind_Equipamentos_Listar.asp?VCod_Equip=17&amp;VTipo_Equip=1%20&amp;VListar=1&amp;VEstado=33&amp;VMun=330455&amp;VComp=202207" xr:uid="{70F24A53-A781-43AA-BE22-5F9BD6A4A99B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7F887-9FCB-4051-9CDF-E572BB71B3A7}">
  <dimension ref="A1:X113"/>
  <sheetViews>
    <sheetView tabSelected="1" topLeftCell="A15" zoomScale="199" zoomScaleNormal="199" workbookViewId="0">
      <pane xSplit="1" topLeftCell="V1" activePane="topRight" state="frozen"/>
      <selection pane="topRight" activeCell="AC62" sqref="AC62"/>
    </sheetView>
  </sheetViews>
  <sheetFormatPr baseColWidth="10" defaultColWidth="8.6640625" defaultRowHeight="11" x14ac:dyDescent="0.15"/>
  <cols>
    <col min="1" max="1" width="8.83203125" style="19" bestFit="1" customWidth="1"/>
    <col min="2" max="2" width="13.5" style="26" customWidth="1"/>
    <col min="3" max="4" width="13.5" style="21" customWidth="1"/>
    <col min="5" max="5" width="16.5" style="21" customWidth="1"/>
    <col min="6" max="6" width="17.5" style="21" customWidth="1"/>
    <col min="7" max="7" width="17.5" style="19" bestFit="1" customWidth="1"/>
    <col min="8" max="8" width="17" style="19" customWidth="1"/>
    <col min="9" max="9" width="8.5" style="19" bestFit="1" customWidth="1"/>
    <col min="10" max="10" width="8.6640625" style="19" bestFit="1" customWidth="1"/>
    <col min="11" max="11" width="12.1640625" style="19" customWidth="1"/>
    <col min="12" max="12" width="7.83203125" style="19" bestFit="1" customWidth="1"/>
    <col min="13" max="13" width="8.1640625" style="19" bestFit="1" customWidth="1"/>
    <col min="14" max="15" width="7.83203125" style="19" bestFit="1" customWidth="1"/>
    <col min="16" max="16" width="8.1640625" style="19" bestFit="1" customWidth="1"/>
    <col min="17" max="17" width="7.83203125" style="19" bestFit="1" customWidth="1"/>
    <col min="18" max="20" width="8.6640625" style="19"/>
    <col min="21" max="21" width="14.33203125" style="19" customWidth="1"/>
    <col min="22" max="22" width="26.1640625" style="19" customWidth="1"/>
    <col min="23" max="23" width="27.5" style="19" customWidth="1"/>
    <col min="24" max="24" width="25.6640625" style="19" customWidth="1"/>
    <col min="25" max="16384" width="8.6640625" style="19"/>
  </cols>
  <sheetData>
    <row r="1" spans="1:24" ht="36" x14ac:dyDescent="0.15">
      <c r="A1" s="16" t="s">
        <v>85</v>
      </c>
      <c r="B1" s="25" t="s">
        <v>80</v>
      </c>
      <c r="C1" s="15" t="s">
        <v>95</v>
      </c>
      <c r="D1" s="15" t="s">
        <v>96</v>
      </c>
      <c r="E1" s="15" t="s">
        <v>74</v>
      </c>
      <c r="F1" s="15" t="s">
        <v>75</v>
      </c>
      <c r="G1" s="17" t="s">
        <v>78</v>
      </c>
      <c r="H1" s="17" t="s">
        <v>79</v>
      </c>
      <c r="I1" s="22" t="s">
        <v>81</v>
      </c>
      <c r="J1" s="22" t="s">
        <v>90</v>
      </c>
      <c r="K1" s="22" t="s">
        <v>86</v>
      </c>
      <c r="L1" s="22" t="s">
        <v>82</v>
      </c>
      <c r="M1" s="22" t="s">
        <v>91</v>
      </c>
      <c r="N1" s="22" t="s">
        <v>73</v>
      </c>
      <c r="O1" s="22" t="s">
        <v>83</v>
      </c>
      <c r="P1" s="22" t="s">
        <v>92</v>
      </c>
      <c r="Q1" s="22" t="s">
        <v>76</v>
      </c>
      <c r="R1" s="22" t="s">
        <v>84</v>
      </c>
      <c r="S1" s="22" t="s">
        <v>93</v>
      </c>
      <c r="T1" s="22" t="s">
        <v>77</v>
      </c>
      <c r="U1" s="14" t="s">
        <v>94</v>
      </c>
      <c r="V1" s="20" t="s">
        <v>87</v>
      </c>
      <c r="W1" s="19" t="s">
        <v>88</v>
      </c>
      <c r="X1" s="19" t="s">
        <v>89</v>
      </c>
    </row>
    <row r="2" spans="1:24" x14ac:dyDescent="0.15">
      <c r="A2" s="19" t="s">
        <v>8</v>
      </c>
      <c r="B2" s="26">
        <v>2010</v>
      </c>
      <c r="C2" s="18"/>
      <c r="D2" s="18"/>
      <c r="E2" s="19">
        <v>73</v>
      </c>
      <c r="F2" s="19">
        <v>99</v>
      </c>
      <c r="G2" s="18"/>
      <c r="H2" s="18"/>
      <c r="U2" s="20">
        <v>3515642</v>
      </c>
      <c r="V2" s="19">
        <v>1240</v>
      </c>
      <c r="W2" s="19">
        <v>157</v>
      </c>
      <c r="X2" s="19">
        <v>1247</v>
      </c>
    </row>
    <row r="3" spans="1:24" x14ac:dyDescent="0.15">
      <c r="A3" s="19" t="s">
        <v>8</v>
      </c>
      <c r="B3" s="26">
        <v>2011</v>
      </c>
      <c r="C3" s="18"/>
      <c r="D3" s="18"/>
      <c r="E3" s="18"/>
      <c r="F3" s="19"/>
      <c r="G3" s="18"/>
      <c r="H3" s="18"/>
      <c r="U3" s="20">
        <v>3524260</v>
      </c>
      <c r="V3" s="19">
        <v>1443</v>
      </c>
      <c r="W3" s="19">
        <v>151</v>
      </c>
      <c r="X3" s="19">
        <v>1301</v>
      </c>
    </row>
    <row r="4" spans="1:24" x14ac:dyDescent="0.15">
      <c r="A4" s="19" t="s">
        <v>8</v>
      </c>
      <c r="B4" s="26">
        <v>2012</v>
      </c>
      <c r="C4" s="19">
        <v>28</v>
      </c>
      <c r="D4" s="19">
        <v>2</v>
      </c>
      <c r="E4" s="19">
        <v>87</v>
      </c>
      <c r="F4" s="19">
        <v>108</v>
      </c>
      <c r="G4" s="19">
        <v>264</v>
      </c>
      <c r="H4" s="19">
        <v>261</v>
      </c>
      <c r="U4" s="20">
        <v>3536282</v>
      </c>
      <c r="V4" s="19">
        <v>1600</v>
      </c>
      <c r="W4" s="19">
        <v>148</v>
      </c>
      <c r="X4" s="19">
        <v>1216</v>
      </c>
    </row>
    <row r="5" spans="1:24" x14ac:dyDescent="0.15">
      <c r="A5" s="19" t="s">
        <v>8</v>
      </c>
      <c r="B5" s="26">
        <v>2013</v>
      </c>
      <c r="C5" s="19">
        <v>41</v>
      </c>
      <c r="D5" s="19">
        <v>3</v>
      </c>
      <c r="E5" s="19">
        <v>87</v>
      </c>
      <c r="F5" s="19">
        <v>110</v>
      </c>
      <c r="G5" s="19">
        <v>267</v>
      </c>
      <c r="H5" s="19">
        <v>262</v>
      </c>
      <c r="I5" s="19">
        <v>528</v>
      </c>
      <c r="J5" s="19">
        <v>294</v>
      </c>
      <c r="K5" s="19">
        <v>928</v>
      </c>
      <c r="U5" s="20">
        <v>3549697</v>
      </c>
      <c r="V5" s="19">
        <v>1417</v>
      </c>
      <c r="W5" s="19">
        <v>155</v>
      </c>
      <c r="X5" s="19">
        <v>1187</v>
      </c>
    </row>
    <row r="6" spans="1:24" x14ac:dyDescent="0.15">
      <c r="A6" s="19" t="s">
        <v>8</v>
      </c>
      <c r="B6" s="26">
        <v>2014</v>
      </c>
      <c r="C6" s="19">
        <v>51</v>
      </c>
      <c r="D6" s="19">
        <v>2</v>
      </c>
      <c r="E6" s="19">
        <v>83</v>
      </c>
      <c r="F6" s="19">
        <v>107</v>
      </c>
      <c r="G6" s="19">
        <v>263</v>
      </c>
      <c r="H6" s="19">
        <v>259</v>
      </c>
      <c r="I6" s="19">
        <v>342</v>
      </c>
      <c r="J6" s="19">
        <v>289</v>
      </c>
      <c r="K6" s="19">
        <v>1281</v>
      </c>
      <c r="L6" s="19">
        <v>13</v>
      </c>
      <c r="M6" s="19">
        <v>65</v>
      </c>
      <c r="N6" s="19">
        <v>36</v>
      </c>
      <c r="O6" s="19">
        <v>9</v>
      </c>
      <c r="P6" s="19">
        <v>0</v>
      </c>
      <c r="Q6" s="19">
        <v>0</v>
      </c>
      <c r="R6" s="19">
        <v>59</v>
      </c>
      <c r="S6" s="19">
        <v>15</v>
      </c>
      <c r="T6" s="19">
        <v>17</v>
      </c>
      <c r="U6" s="20">
        <v>3563090</v>
      </c>
      <c r="V6" s="19">
        <v>1496</v>
      </c>
      <c r="W6" s="19">
        <v>131</v>
      </c>
      <c r="X6" s="19">
        <v>1080</v>
      </c>
    </row>
    <row r="7" spans="1:24" x14ac:dyDescent="0.15">
      <c r="A7" s="19" t="s">
        <v>8</v>
      </c>
      <c r="B7" s="26">
        <v>2015</v>
      </c>
      <c r="C7" s="19">
        <v>60</v>
      </c>
      <c r="D7" s="19">
        <v>1</v>
      </c>
      <c r="E7" s="19">
        <v>68</v>
      </c>
      <c r="F7" s="19">
        <v>80</v>
      </c>
      <c r="G7" s="19">
        <v>201</v>
      </c>
      <c r="H7" s="19">
        <v>196</v>
      </c>
      <c r="I7" s="19">
        <v>368</v>
      </c>
      <c r="J7" s="19">
        <v>284</v>
      </c>
      <c r="K7" s="19">
        <v>1393</v>
      </c>
      <c r="L7" s="19">
        <v>5</v>
      </c>
      <c r="M7" s="19">
        <v>1</v>
      </c>
      <c r="N7" s="19">
        <v>9</v>
      </c>
      <c r="O7" s="19">
        <v>6</v>
      </c>
      <c r="P7" s="19">
        <v>0</v>
      </c>
      <c r="Q7" s="19">
        <v>0</v>
      </c>
      <c r="R7" s="19">
        <v>62</v>
      </c>
      <c r="S7" s="19">
        <v>9</v>
      </c>
      <c r="T7" s="19">
        <v>5</v>
      </c>
      <c r="U7" s="20">
        <v>3575781</v>
      </c>
      <c r="V7" s="19">
        <v>1528</v>
      </c>
      <c r="W7" s="19">
        <v>126</v>
      </c>
      <c r="X7" s="19">
        <v>1127</v>
      </c>
    </row>
    <row r="8" spans="1:24" x14ac:dyDescent="0.15">
      <c r="A8" s="19" t="s">
        <v>8</v>
      </c>
      <c r="B8" s="26">
        <v>2016</v>
      </c>
      <c r="C8" s="19">
        <v>61</v>
      </c>
      <c r="D8" s="19">
        <v>1</v>
      </c>
      <c r="E8" s="19">
        <v>64</v>
      </c>
      <c r="F8" s="19">
        <v>77</v>
      </c>
      <c r="G8" s="19">
        <v>207</v>
      </c>
      <c r="H8" s="19">
        <v>201</v>
      </c>
      <c r="I8" s="19">
        <v>409</v>
      </c>
      <c r="J8" s="19">
        <v>262</v>
      </c>
      <c r="K8" s="19">
        <v>1414</v>
      </c>
      <c r="O8" s="19">
        <v>9</v>
      </c>
      <c r="P8" s="19">
        <v>1</v>
      </c>
      <c r="Q8" s="19">
        <v>0</v>
      </c>
      <c r="R8" s="19">
        <v>94</v>
      </c>
      <c r="S8" s="19">
        <v>8</v>
      </c>
      <c r="T8" s="19">
        <v>3</v>
      </c>
      <c r="U8" s="20">
        <v>3585488</v>
      </c>
      <c r="V8" s="19">
        <v>1573</v>
      </c>
      <c r="W8" s="19">
        <v>138</v>
      </c>
      <c r="X8" s="19">
        <v>1170</v>
      </c>
    </row>
    <row r="9" spans="1:24" x14ac:dyDescent="0.15">
      <c r="A9" s="19" t="s">
        <v>8</v>
      </c>
      <c r="B9" s="26">
        <v>2017</v>
      </c>
      <c r="C9" s="19">
        <v>67</v>
      </c>
      <c r="D9" s="19">
        <v>2</v>
      </c>
      <c r="E9" s="19">
        <v>67</v>
      </c>
      <c r="F9" s="19">
        <v>87</v>
      </c>
      <c r="G9" s="19">
        <v>212</v>
      </c>
      <c r="H9" s="19">
        <v>207</v>
      </c>
      <c r="I9" s="19">
        <v>470</v>
      </c>
      <c r="J9" s="19">
        <v>228</v>
      </c>
      <c r="K9" s="19">
        <v>1333</v>
      </c>
      <c r="O9" s="19">
        <v>2</v>
      </c>
      <c r="P9" s="19">
        <v>0</v>
      </c>
      <c r="Q9" s="19">
        <v>0</v>
      </c>
      <c r="R9" s="19">
        <v>112</v>
      </c>
      <c r="S9" s="19">
        <v>6</v>
      </c>
      <c r="T9" s="19">
        <v>4</v>
      </c>
      <c r="U9" s="20">
        <v>3592032</v>
      </c>
      <c r="V9" s="19">
        <v>1681</v>
      </c>
      <c r="W9" s="19">
        <v>139</v>
      </c>
      <c r="X9" s="19">
        <v>1147</v>
      </c>
    </row>
    <row r="10" spans="1:24" x14ac:dyDescent="0.15">
      <c r="A10" s="19" t="s">
        <v>8</v>
      </c>
      <c r="B10" s="26">
        <v>2018</v>
      </c>
      <c r="C10" s="19">
        <v>84</v>
      </c>
      <c r="D10" s="19">
        <v>1</v>
      </c>
      <c r="E10" s="19">
        <v>67</v>
      </c>
      <c r="F10" s="19">
        <v>85</v>
      </c>
      <c r="G10" s="19">
        <v>226</v>
      </c>
      <c r="H10" s="19">
        <v>213</v>
      </c>
      <c r="I10" s="19">
        <v>580</v>
      </c>
      <c r="J10" s="19">
        <v>333</v>
      </c>
      <c r="K10" s="19">
        <v>1582</v>
      </c>
      <c r="R10" s="19">
        <v>84</v>
      </c>
      <c r="S10" s="19">
        <v>3</v>
      </c>
      <c r="T10" s="19">
        <v>2</v>
      </c>
      <c r="U10" s="20">
        <v>3596667</v>
      </c>
      <c r="V10" s="19">
        <v>1677</v>
      </c>
      <c r="W10" s="19">
        <v>120</v>
      </c>
      <c r="X10" s="19">
        <v>1062</v>
      </c>
    </row>
    <row r="11" spans="1:24" x14ac:dyDescent="0.15">
      <c r="A11" s="19" t="s">
        <v>8</v>
      </c>
      <c r="B11" s="26">
        <v>2019</v>
      </c>
      <c r="C11" s="19">
        <v>104</v>
      </c>
      <c r="D11" s="19">
        <v>1</v>
      </c>
      <c r="E11" s="19">
        <v>62</v>
      </c>
      <c r="F11" s="19">
        <v>85</v>
      </c>
      <c r="G11" s="19">
        <v>241</v>
      </c>
      <c r="H11" s="19">
        <v>223</v>
      </c>
      <c r="I11" s="19">
        <v>625</v>
      </c>
      <c r="J11" s="19">
        <v>371</v>
      </c>
      <c r="K11" s="19">
        <v>1276</v>
      </c>
      <c r="R11" s="19">
        <v>58</v>
      </c>
      <c r="S11" s="19">
        <v>4</v>
      </c>
      <c r="T11" s="19">
        <v>26</v>
      </c>
      <c r="U11" s="20">
        <v>3600315</v>
      </c>
      <c r="V11" s="19">
        <v>1753</v>
      </c>
      <c r="W11" s="19">
        <v>129</v>
      </c>
      <c r="X11" s="19">
        <v>1048</v>
      </c>
    </row>
    <row r="12" spans="1:24" x14ac:dyDescent="0.15">
      <c r="A12" s="19" t="s">
        <v>8</v>
      </c>
      <c r="B12" s="26">
        <v>2020</v>
      </c>
      <c r="C12" s="19">
        <v>93</v>
      </c>
      <c r="D12" s="19">
        <v>1</v>
      </c>
      <c r="E12" s="19">
        <v>44</v>
      </c>
      <c r="F12" s="19">
        <v>62</v>
      </c>
      <c r="G12" s="19">
        <v>199</v>
      </c>
      <c r="H12" s="19">
        <v>184</v>
      </c>
      <c r="I12" s="19">
        <v>448</v>
      </c>
      <c r="J12" s="19">
        <v>411</v>
      </c>
      <c r="K12" s="19">
        <v>1145</v>
      </c>
      <c r="O12" s="19">
        <v>2</v>
      </c>
      <c r="P12" s="19">
        <v>0</v>
      </c>
      <c r="Q12" s="19">
        <v>0</v>
      </c>
      <c r="R12" s="19">
        <v>72</v>
      </c>
      <c r="S12" s="19">
        <v>7</v>
      </c>
      <c r="T12" s="19">
        <v>1</v>
      </c>
      <c r="U12" s="20">
        <v>3600366</v>
      </c>
      <c r="V12" s="19">
        <v>1855</v>
      </c>
      <c r="W12" s="19">
        <v>114</v>
      </c>
      <c r="X12" s="19">
        <v>1019</v>
      </c>
    </row>
    <row r="13" spans="1:24" x14ac:dyDescent="0.15">
      <c r="A13" s="19" t="s">
        <v>8</v>
      </c>
      <c r="B13" s="26">
        <v>2021</v>
      </c>
      <c r="C13" s="19">
        <v>94</v>
      </c>
      <c r="D13" s="19">
        <v>1</v>
      </c>
      <c r="E13" s="19">
        <v>52</v>
      </c>
      <c r="F13" s="19">
        <v>66</v>
      </c>
      <c r="G13" s="19">
        <v>221</v>
      </c>
      <c r="H13" s="19">
        <v>208</v>
      </c>
      <c r="I13" s="19">
        <v>495</v>
      </c>
      <c r="J13" s="19">
        <v>412</v>
      </c>
      <c r="K13" s="19">
        <v>1336</v>
      </c>
      <c r="L13" s="19">
        <v>2045</v>
      </c>
      <c r="M13" s="19">
        <v>974</v>
      </c>
      <c r="N13" s="19">
        <v>62</v>
      </c>
      <c r="O13" s="19">
        <v>3</v>
      </c>
      <c r="P13" s="19">
        <v>0</v>
      </c>
      <c r="Q13" s="19">
        <v>0</v>
      </c>
      <c r="R13" s="19">
        <v>105</v>
      </c>
      <c r="S13" s="19">
        <v>13</v>
      </c>
      <c r="T13" s="19">
        <v>9</v>
      </c>
      <c r="U13" s="20">
        <v>3594191</v>
      </c>
      <c r="V13" s="19">
        <v>1834</v>
      </c>
      <c r="W13" s="19">
        <v>98</v>
      </c>
      <c r="X13" s="19">
        <v>883</v>
      </c>
    </row>
    <row r="14" spans="1:24" x14ac:dyDescent="0.15">
      <c r="A14" s="19" t="s">
        <v>8</v>
      </c>
      <c r="B14" s="26">
        <v>2022</v>
      </c>
      <c r="C14" s="19">
        <v>96</v>
      </c>
      <c r="D14" s="19">
        <v>2</v>
      </c>
      <c r="E14" s="19">
        <v>52</v>
      </c>
      <c r="F14" s="19">
        <v>66</v>
      </c>
      <c r="G14" s="19">
        <v>237</v>
      </c>
      <c r="H14" s="19">
        <v>221</v>
      </c>
      <c r="I14" s="19">
        <v>311</v>
      </c>
      <c r="J14" s="19">
        <v>288</v>
      </c>
      <c r="K14" s="19">
        <v>1313</v>
      </c>
      <c r="L14" s="19">
        <v>10920</v>
      </c>
      <c r="M14" s="19">
        <v>12522</v>
      </c>
      <c r="N14" s="19">
        <v>13661</v>
      </c>
      <c r="O14" s="19">
        <v>1</v>
      </c>
      <c r="P14" s="19">
        <v>0</v>
      </c>
      <c r="Q14" s="19">
        <v>0</v>
      </c>
      <c r="R14" s="19">
        <v>129</v>
      </c>
      <c r="S14" s="19">
        <v>4</v>
      </c>
      <c r="T14" s="19">
        <v>1</v>
      </c>
      <c r="U14" s="20">
        <v>3586955</v>
      </c>
      <c r="V14" s="19">
        <v>1938</v>
      </c>
      <c r="W14" s="19">
        <v>94</v>
      </c>
      <c r="X14" s="19">
        <v>876</v>
      </c>
    </row>
    <row r="15" spans="1:24" x14ac:dyDescent="0.15">
      <c r="A15" s="19" t="s">
        <v>8</v>
      </c>
      <c r="B15" s="26">
        <v>2023</v>
      </c>
      <c r="C15" s="19">
        <v>100</v>
      </c>
      <c r="D15" s="19">
        <v>2</v>
      </c>
      <c r="E15" s="19">
        <v>56</v>
      </c>
      <c r="F15" s="19">
        <v>75</v>
      </c>
      <c r="G15" s="19">
        <v>238</v>
      </c>
      <c r="H15" s="19">
        <v>224</v>
      </c>
      <c r="I15" s="19">
        <v>350</v>
      </c>
      <c r="J15" s="19">
        <v>245</v>
      </c>
      <c r="K15" s="19">
        <v>1342</v>
      </c>
      <c r="L15" s="19">
        <v>22199</v>
      </c>
      <c r="M15" s="19">
        <v>32191</v>
      </c>
      <c r="N15" s="19">
        <v>39630</v>
      </c>
      <c r="O15" s="19">
        <v>5</v>
      </c>
      <c r="P15" s="19">
        <v>5</v>
      </c>
      <c r="Q15" s="19">
        <v>7</v>
      </c>
      <c r="R15" s="19">
        <v>281</v>
      </c>
      <c r="S15" s="19">
        <v>36</v>
      </c>
      <c r="T15" s="19">
        <v>87</v>
      </c>
      <c r="U15" s="20">
        <v>3583125</v>
      </c>
      <c r="V15" s="19">
        <v>1881</v>
      </c>
      <c r="W15" s="19">
        <v>89</v>
      </c>
      <c r="X15" s="19">
        <v>877</v>
      </c>
    </row>
    <row r="16" spans="1:24" x14ac:dyDescent="0.15">
      <c r="A16" s="19" t="s">
        <v>8</v>
      </c>
      <c r="B16" s="26">
        <v>2024</v>
      </c>
      <c r="C16" s="19">
        <v>104</v>
      </c>
      <c r="D16" s="19">
        <v>4</v>
      </c>
      <c r="E16" s="19">
        <v>57</v>
      </c>
      <c r="F16" s="19">
        <v>80</v>
      </c>
      <c r="G16" s="19">
        <v>244</v>
      </c>
      <c r="H16" s="19">
        <v>231</v>
      </c>
      <c r="I16" s="19">
        <v>249</v>
      </c>
      <c r="J16" s="19">
        <v>234</v>
      </c>
      <c r="K16" s="19">
        <v>1550</v>
      </c>
      <c r="L16" s="19">
        <v>20198</v>
      </c>
      <c r="M16" s="19">
        <v>42450</v>
      </c>
      <c r="N16" s="19">
        <v>40505</v>
      </c>
      <c r="O16" s="19">
        <v>3</v>
      </c>
      <c r="P16" s="19">
        <v>3</v>
      </c>
      <c r="Q16" s="19">
        <v>0</v>
      </c>
      <c r="R16" s="19">
        <v>1922</v>
      </c>
      <c r="S16" s="19">
        <v>483</v>
      </c>
      <c r="T16" s="19">
        <v>151</v>
      </c>
      <c r="U16" s="20">
        <v>3580277</v>
      </c>
      <c r="V16" s="19">
        <v>2030</v>
      </c>
      <c r="W16" s="19">
        <v>78</v>
      </c>
      <c r="X16" s="19">
        <v>863</v>
      </c>
    </row>
    <row r="17" spans="1:24" x14ac:dyDescent="0.15">
      <c r="A17" s="19" t="s">
        <v>8</v>
      </c>
      <c r="B17" s="26">
        <v>2025</v>
      </c>
      <c r="C17" s="19">
        <v>107</v>
      </c>
      <c r="D17" s="19">
        <v>5</v>
      </c>
      <c r="E17" s="19">
        <v>57</v>
      </c>
      <c r="F17" s="19">
        <v>84</v>
      </c>
      <c r="G17" s="19">
        <v>253</v>
      </c>
      <c r="H17" s="19">
        <v>237</v>
      </c>
      <c r="I17" s="19">
        <v>87</v>
      </c>
      <c r="J17" s="19">
        <v>75</v>
      </c>
      <c r="K17" s="19">
        <v>1097</v>
      </c>
      <c r="L17" s="19">
        <v>17955</v>
      </c>
      <c r="M17" s="19">
        <v>21858</v>
      </c>
      <c r="N17" s="19">
        <v>32531</v>
      </c>
      <c r="O17" s="19">
        <v>6</v>
      </c>
      <c r="P17" s="19">
        <v>10</v>
      </c>
      <c r="Q17" s="19">
        <v>98</v>
      </c>
      <c r="R17" s="19">
        <v>1093</v>
      </c>
      <c r="S17" s="19">
        <v>545</v>
      </c>
      <c r="T17" s="19">
        <v>105</v>
      </c>
      <c r="U17" s="20">
        <v>3580655</v>
      </c>
      <c r="V17" s="19">
        <v>2175</v>
      </c>
      <c r="W17" s="19">
        <v>68</v>
      </c>
      <c r="X17" s="19">
        <v>808</v>
      </c>
    </row>
    <row r="18" spans="1:24" x14ac:dyDescent="0.15">
      <c r="A18" s="19" t="s">
        <v>67</v>
      </c>
      <c r="B18" s="27">
        <v>2010</v>
      </c>
      <c r="C18" s="18"/>
      <c r="D18" s="18"/>
      <c r="E18" s="19">
        <v>13</v>
      </c>
      <c r="F18" s="19">
        <v>31</v>
      </c>
      <c r="G18" s="18"/>
      <c r="H18" s="18"/>
      <c r="U18" s="20">
        <v>551462</v>
      </c>
      <c r="V18" s="19">
        <v>74</v>
      </c>
      <c r="W18" s="19">
        <v>3</v>
      </c>
      <c r="X18" s="19">
        <v>40</v>
      </c>
    </row>
    <row r="19" spans="1:24" x14ac:dyDescent="0.15">
      <c r="A19" s="19" t="s">
        <v>67</v>
      </c>
      <c r="B19" s="27">
        <v>2011</v>
      </c>
      <c r="C19" s="18"/>
      <c r="D19" s="18"/>
      <c r="E19" s="18"/>
      <c r="F19" s="19"/>
      <c r="G19" s="18"/>
      <c r="H19" s="18"/>
      <c r="U19" s="20">
        <v>550616</v>
      </c>
      <c r="V19" s="19">
        <v>71</v>
      </c>
      <c r="W19" s="19">
        <v>4</v>
      </c>
      <c r="X19" s="19">
        <v>43</v>
      </c>
    </row>
    <row r="20" spans="1:24" x14ac:dyDescent="0.15">
      <c r="A20" s="19" t="s">
        <v>67</v>
      </c>
      <c r="B20" s="27">
        <v>2012</v>
      </c>
      <c r="C20" s="19">
        <v>8</v>
      </c>
      <c r="D20" s="18"/>
      <c r="E20" s="19">
        <v>12</v>
      </c>
      <c r="F20" s="19">
        <v>36</v>
      </c>
      <c r="G20" s="19">
        <v>21</v>
      </c>
      <c r="H20" s="19">
        <v>21</v>
      </c>
      <c r="U20" s="20">
        <v>548668</v>
      </c>
      <c r="V20" s="19">
        <v>79</v>
      </c>
      <c r="W20" s="19">
        <v>1</v>
      </c>
      <c r="X20" s="19">
        <v>31</v>
      </c>
    </row>
    <row r="21" spans="1:24" x14ac:dyDescent="0.15">
      <c r="A21" s="19" t="s">
        <v>67</v>
      </c>
      <c r="B21" s="27">
        <v>2013</v>
      </c>
      <c r="C21" s="19">
        <v>8</v>
      </c>
      <c r="D21" s="18"/>
      <c r="E21" s="19">
        <v>12</v>
      </c>
      <c r="F21" s="19">
        <v>37</v>
      </c>
      <c r="G21" s="19">
        <v>23</v>
      </c>
      <c r="H21" s="19">
        <v>23</v>
      </c>
      <c r="U21" s="20">
        <v>546182</v>
      </c>
      <c r="V21" s="19">
        <v>74</v>
      </c>
      <c r="W21" s="19">
        <v>1</v>
      </c>
      <c r="X21" s="19">
        <v>30</v>
      </c>
    </row>
    <row r="22" spans="1:24" x14ac:dyDescent="0.15">
      <c r="A22" s="19" t="s">
        <v>67</v>
      </c>
      <c r="B22" s="27">
        <v>2014</v>
      </c>
      <c r="C22" s="19">
        <v>8</v>
      </c>
      <c r="D22" s="18"/>
      <c r="E22" s="19">
        <v>11</v>
      </c>
      <c r="F22" s="19">
        <v>37</v>
      </c>
      <c r="G22" s="19">
        <v>24</v>
      </c>
      <c r="H22" s="19">
        <v>24</v>
      </c>
      <c r="L22" s="19">
        <v>224</v>
      </c>
      <c r="M22" s="19">
        <v>1185</v>
      </c>
      <c r="N22" s="19">
        <v>2319</v>
      </c>
      <c r="U22" s="20">
        <v>543740</v>
      </c>
      <c r="V22" s="19">
        <v>75</v>
      </c>
      <c r="W22" s="19">
        <v>1</v>
      </c>
      <c r="X22" s="19">
        <v>28</v>
      </c>
    </row>
    <row r="23" spans="1:24" x14ac:dyDescent="0.15">
      <c r="A23" s="19" t="s">
        <v>67</v>
      </c>
      <c r="B23" s="26">
        <v>2015</v>
      </c>
      <c r="C23" s="19">
        <v>9</v>
      </c>
      <c r="D23" s="18"/>
      <c r="E23" s="19">
        <v>11</v>
      </c>
      <c r="F23" s="19">
        <v>37</v>
      </c>
      <c r="G23" s="19">
        <v>27</v>
      </c>
      <c r="H23" s="19">
        <v>27</v>
      </c>
      <c r="L23" s="19">
        <v>322</v>
      </c>
      <c r="M23" s="19">
        <v>1897</v>
      </c>
      <c r="N23" s="19">
        <v>3176</v>
      </c>
      <c r="U23" s="20">
        <v>541319</v>
      </c>
      <c r="V23" s="19">
        <v>68</v>
      </c>
      <c r="W23" s="19">
        <v>3</v>
      </c>
      <c r="X23" s="19">
        <v>38</v>
      </c>
    </row>
    <row r="24" spans="1:24" x14ac:dyDescent="0.15">
      <c r="A24" s="19" t="s">
        <v>67</v>
      </c>
      <c r="B24" s="26">
        <v>2016</v>
      </c>
      <c r="C24" s="19">
        <v>10</v>
      </c>
      <c r="D24" s="18"/>
      <c r="E24" s="19">
        <v>9</v>
      </c>
      <c r="F24" s="19">
        <v>37</v>
      </c>
      <c r="G24" s="19">
        <v>30</v>
      </c>
      <c r="H24" s="19">
        <v>30</v>
      </c>
      <c r="L24" s="19">
        <v>626</v>
      </c>
      <c r="M24" s="19">
        <v>2838</v>
      </c>
      <c r="N24" s="19">
        <v>2358</v>
      </c>
      <c r="U24" s="20">
        <v>538527</v>
      </c>
      <c r="V24" s="19">
        <v>75</v>
      </c>
      <c r="W24" s="19">
        <v>2</v>
      </c>
      <c r="X24" s="19">
        <v>27</v>
      </c>
    </row>
    <row r="25" spans="1:24" x14ac:dyDescent="0.15">
      <c r="A25" s="19" t="s">
        <v>67</v>
      </c>
      <c r="B25" s="26">
        <v>2017</v>
      </c>
      <c r="C25" s="19">
        <v>11</v>
      </c>
      <c r="D25" s="18"/>
      <c r="E25" s="19">
        <v>8</v>
      </c>
      <c r="F25" s="19">
        <v>37</v>
      </c>
      <c r="G25" s="19">
        <v>28</v>
      </c>
      <c r="H25" s="19">
        <v>28</v>
      </c>
      <c r="L25" s="19">
        <v>1611</v>
      </c>
      <c r="M25" s="19">
        <v>367</v>
      </c>
      <c r="N25" s="19">
        <v>12</v>
      </c>
      <c r="U25" s="20">
        <v>535342</v>
      </c>
      <c r="V25" s="19">
        <v>72</v>
      </c>
      <c r="W25" s="19">
        <v>2</v>
      </c>
      <c r="X25" s="19">
        <v>38</v>
      </c>
    </row>
    <row r="26" spans="1:24" x14ac:dyDescent="0.15">
      <c r="A26" s="19" t="s">
        <v>67</v>
      </c>
      <c r="B26" s="26">
        <v>2018</v>
      </c>
      <c r="C26" s="19">
        <v>13</v>
      </c>
      <c r="D26" s="18"/>
      <c r="E26" s="19">
        <v>6</v>
      </c>
      <c r="F26" s="19">
        <v>38</v>
      </c>
      <c r="G26" s="19">
        <v>31</v>
      </c>
      <c r="H26" s="19">
        <v>31</v>
      </c>
      <c r="L26" s="19">
        <v>3975</v>
      </c>
      <c r="M26" s="19">
        <v>66</v>
      </c>
      <c r="N26" s="19">
        <v>1826</v>
      </c>
      <c r="U26" s="20">
        <v>531965</v>
      </c>
      <c r="V26" s="19">
        <v>84</v>
      </c>
      <c r="W26" s="19">
        <v>2</v>
      </c>
      <c r="X26" s="19">
        <v>43</v>
      </c>
    </row>
    <row r="27" spans="1:24" x14ac:dyDescent="0.15">
      <c r="A27" s="19" t="s">
        <v>67</v>
      </c>
      <c r="B27" s="26">
        <v>2019</v>
      </c>
      <c r="C27" s="19">
        <v>13</v>
      </c>
      <c r="D27" s="18"/>
      <c r="E27" s="19">
        <v>8</v>
      </c>
      <c r="F27" s="19">
        <v>39</v>
      </c>
      <c r="G27" s="19">
        <v>30</v>
      </c>
      <c r="H27" s="19">
        <v>29</v>
      </c>
      <c r="L27" s="19">
        <v>9182</v>
      </c>
      <c r="M27" s="19">
        <v>147</v>
      </c>
      <c r="N27" s="19">
        <v>4598</v>
      </c>
      <c r="U27" s="20">
        <v>528556</v>
      </c>
      <c r="V27" s="19">
        <v>79</v>
      </c>
      <c r="W27" s="19">
        <v>1</v>
      </c>
      <c r="X27" s="19">
        <v>39</v>
      </c>
    </row>
    <row r="28" spans="1:24" x14ac:dyDescent="0.15">
      <c r="A28" s="19" t="s">
        <v>67</v>
      </c>
      <c r="B28" s="26">
        <v>2020</v>
      </c>
      <c r="C28" s="19">
        <v>12</v>
      </c>
      <c r="D28" s="18"/>
      <c r="E28" s="19">
        <v>7</v>
      </c>
      <c r="F28" s="19">
        <v>38</v>
      </c>
      <c r="G28" s="19">
        <v>28</v>
      </c>
      <c r="H28" s="19">
        <v>27</v>
      </c>
      <c r="L28" s="19">
        <v>6978</v>
      </c>
      <c r="M28" s="19">
        <v>283</v>
      </c>
      <c r="N28" s="19">
        <v>3190</v>
      </c>
      <c r="U28" s="20">
        <v>524809</v>
      </c>
      <c r="V28" s="19">
        <v>91</v>
      </c>
      <c r="W28" s="19">
        <v>1</v>
      </c>
      <c r="X28" s="19">
        <v>39</v>
      </c>
    </row>
    <row r="29" spans="1:24" x14ac:dyDescent="0.15">
      <c r="A29" s="19" t="s">
        <v>67</v>
      </c>
      <c r="B29" s="26">
        <v>2021</v>
      </c>
      <c r="C29" s="19">
        <v>9</v>
      </c>
      <c r="D29" s="18"/>
      <c r="E29" s="19">
        <v>5</v>
      </c>
      <c r="F29" s="19">
        <v>34</v>
      </c>
      <c r="G29" s="19">
        <v>27</v>
      </c>
      <c r="H29" s="19">
        <v>27</v>
      </c>
      <c r="L29" s="19">
        <v>3364</v>
      </c>
      <c r="M29" s="19">
        <v>1269</v>
      </c>
      <c r="N29" s="19">
        <v>972</v>
      </c>
      <c r="U29" s="20">
        <v>520249</v>
      </c>
      <c r="V29" s="19">
        <v>96</v>
      </c>
      <c r="W29" s="19">
        <v>1</v>
      </c>
      <c r="X29" s="19">
        <v>30</v>
      </c>
    </row>
    <row r="30" spans="1:24" ht="15" x14ac:dyDescent="0.2">
      <c r="A30" s="19" t="s">
        <v>67</v>
      </c>
      <c r="B30" s="26">
        <v>2022</v>
      </c>
      <c r="C30" s="19">
        <v>12</v>
      </c>
      <c r="D30">
        <v>1</v>
      </c>
      <c r="E30" s="19">
        <v>6</v>
      </c>
      <c r="F30" s="19">
        <v>34</v>
      </c>
      <c r="G30" s="19">
        <v>25</v>
      </c>
      <c r="H30" s="19">
        <v>24</v>
      </c>
      <c r="L30" s="19">
        <v>15321</v>
      </c>
      <c r="M30" s="19">
        <v>1280</v>
      </c>
      <c r="N30" s="19">
        <v>638</v>
      </c>
      <c r="U30" s="20">
        <v>515418</v>
      </c>
      <c r="V30" s="19">
        <v>103</v>
      </c>
      <c r="W30" s="19">
        <v>1</v>
      </c>
      <c r="X30" s="19">
        <v>20</v>
      </c>
    </row>
    <row r="31" spans="1:24" ht="15" x14ac:dyDescent="0.2">
      <c r="A31" s="19" t="s">
        <v>67</v>
      </c>
      <c r="B31" s="26">
        <v>2023</v>
      </c>
      <c r="C31" s="19">
        <v>12</v>
      </c>
      <c r="D31">
        <v>2</v>
      </c>
      <c r="E31" s="19">
        <v>8</v>
      </c>
      <c r="F31" s="19">
        <v>29</v>
      </c>
      <c r="G31" s="19">
        <v>22</v>
      </c>
      <c r="H31" s="19">
        <v>21</v>
      </c>
      <c r="L31" s="19">
        <v>11727</v>
      </c>
      <c r="M31" s="19">
        <v>5063</v>
      </c>
      <c r="N31" s="19">
        <v>3304</v>
      </c>
      <c r="U31" s="20">
        <v>510745</v>
      </c>
      <c r="V31" s="19">
        <v>116</v>
      </c>
      <c r="W31" s="19">
        <v>1</v>
      </c>
      <c r="X31" s="19">
        <v>23</v>
      </c>
    </row>
    <row r="32" spans="1:24" ht="15" x14ac:dyDescent="0.2">
      <c r="A32" s="19" t="s">
        <v>67</v>
      </c>
      <c r="B32" s="26">
        <v>2024</v>
      </c>
      <c r="C32" s="19">
        <v>12</v>
      </c>
      <c r="D32">
        <v>3</v>
      </c>
      <c r="E32" s="19">
        <v>9</v>
      </c>
      <c r="F32" s="19">
        <v>25</v>
      </c>
      <c r="G32" s="19">
        <v>23</v>
      </c>
      <c r="H32" s="19">
        <v>23</v>
      </c>
      <c r="L32" s="19">
        <v>9122</v>
      </c>
      <c r="M32" s="19">
        <v>5654</v>
      </c>
      <c r="N32" s="19">
        <v>2470</v>
      </c>
      <c r="U32" s="20">
        <v>506119</v>
      </c>
      <c r="V32" s="19">
        <v>133</v>
      </c>
      <c r="W32" s="19">
        <v>1</v>
      </c>
      <c r="X32" s="19">
        <v>32</v>
      </c>
    </row>
    <row r="33" spans="1:24" ht="15" x14ac:dyDescent="0.2">
      <c r="A33" s="19" t="s">
        <v>67</v>
      </c>
      <c r="B33" s="26">
        <v>2025</v>
      </c>
      <c r="C33" s="19">
        <v>9</v>
      </c>
      <c r="D33">
        <v>4</v>
      </c>
      <c r="E33" s="19">
        <v>7</v>
      </c>
      <c r="F33" s="19">
        <v>23</v>
      </c>
      <c r="G33" s="19">
        <v>34</v>
      </c>
      <c r="H33" s="19">
        <v>33</v>
      </c>
      <c r="L33" s="19">
        <v>5761</v>
      </c>
      <c r="M33" s="19">
        <v>4761</v>
      </c>
      <c r="N33" s="19">
        <v>1686</v>
      </c>
      <c r="R33" s="19">
        <v>23</v>
      </c>
      <c r="S33" s="19">
        <v>179</v>
      </c>
      <c r="U33" s="20">
        <v>505967</v>
      </c>
      <c r="V33" s="19">
        <v>141</v>
      </c>
      <c r="W33" s="19">
        <v>1</v>
      </c>
      <c r="X33" s="19">
        <v>47</v>
      </c>
    </row>
    <row r="34" spans="1:24" x14ac:dyDescent="0.15">
      <c r="A34" s="19" t="s">
        <v>68</v>
      </c>
      <c r="B34" s="27">
        <v>2010</v>
      </c>
      <c r="C34" s="18"/>
      <c r="D34" s="18"/>
      <c r="E34" s="19">
        <v>7</v>
      </c>
      <c r="F34" s="19">
        <v>10</v>
      </c>
      <c r="G34" s="18"/>
      <c r="H34" s="18"/>
      <c r="U34" s="20">
        <v>465048</v>
      </c>
      <c r="V34" s="19">
        <v>84</v>
      </c>
      <c r="W34" s="19">
        <v>9</v>
      </c>
      <c r="X34" s="19">
        <v>178</v>
      </c>
    </row>
    <row r="35" spans="1:24" x14ac:dyDescent="0.15">
      <c r="A35" s="19" t="s">
        <v>68</v>
      </c>
      <c r="B35" s="27">
        <v>2011</v>
      </c>
      <c r="C35" s="18"/>
      <c r="D35" s="18"/>
      <c r="E35" s="18"/>
      <c r="F35" s="19"/>
      <c r="G35" s="18"/>
      <c r="H35" s="18"/>
      <c r="U35" s="20">
        <v>465201</v>
      </c>
      <c r="V35" s="19">
        <v>84</v>
      </c>
      <c r="W35" s="19">
        <v>9</v>
      </c>
      <c r="X35" s="19">
        <v>190</v>
      </c>
    </row>
    <row r="36" spans="1:24" x14ac:dyDescent="0.15">
      <c r="A36" s="19" t="s">
        <v>68</v>
      </c>
      <c r="B36" s="27">
        <v>2012</v>
      </c>
      <c r="C36" s="19">
        <v>5</v>
      </c>
      <c r="D36" s="18"/>
      <c r="E36" s="19">
        <v>6</v>
      </c>
      <c r="F36" s="19">
        <v>11</v>
      </c>
      <c r="G36" s="19">
        <v>11</v>
      </c>
      <c r="H36" s="19">
        <v>9</v>
      </c>
      <c r="U36" s="20">
        <v>465173</v>
      </c>
      <c r="V36" s="19">
        <v>94</v>
      </c>
      <c r="W36" s="19">
        <v>5</v>
      </c>
      <c r="X36" s="19">
        <v>169</v>
      </c>
    </row>
    <row r="37" spans="1:24" x14ac:dyDescent="0.15">
      <c r="A37" s="19" t="s">
        <v>68</v>
      </c>
      <c r="B37" s="27">
        <v>2013</v>
      </c>
      <c r="C37" s="19">
        <v>5</v>
      </c>
      <c r="D37" s="18"/>
      <c r="E37" s="19">
        <v>7</v>
      </c>
      <c r="F37" s="19">
        <v>11</v>
      </c>
      <c r="G37" s="19">
        <v>10</v>
      </c>
      <c r="H37" s="19">
        <v>8</v>
      </c>
      <c r="U37" s="20">
        <v>465087</v>
      </c>
      <c r="V37" s="19">
        <v>69</v>
      </c>
      <c r="W37" s="19">
        <v>2</v>
      </c>
      <c r="X37" s="19">
        <v>146</v>
      </c>
    </row>
    <row r="38" spans="1:24" x14ac:dyDescent="0.15">
      <c r="A38" s="19" t="s">
        <v>68</v>
      </c>
      <c r="B38" s="27">
        <v>2014</v>
      </c>
      <c r="C38" s="19">
        <v>6</v>
      </c>
      <c r="D38" s="18"/>
      <c r="E38" s="19">
        <v>6</v>
      </c>
      <c r="F38" s="19">
        <v>10</v>
      </c>
      <c r="G38" s="19">
        <v>12</v>
      </c>
      <c r="H38" s="19">
        <v>10</v>
      </c>
      <c r="U38" s="20">
        <v>465103</v>
      </c>
      <c r="V38" s="19">
        <v>79</v>
      </c>
      <c r="W38" s="19">
        <v>1</v>
      </c>
      <c r="X38" s="19">
        <v>168</v>
      </c>
    </row>
    <row r="39" spans="1:24" x14ac:dyDescent="0.15">
      <c r="A39" s="19" t="s">
        <v>68</v>
      </c>
      <c r="B39" s="26">
        <v>2015</v>
      </c>
      <c r="C39" s="19">
        <v>6</v>
      </c>
      <c r="D39" s="18"/>
      <c r="E39" s="19">
        <v>7</v>
      </c>
      <c r="F39" s="19">
        <v>10</v>
      </c>
      <c r="G39" s="19">
        <v>12</v>
      </c>
      <c r="H39" s="19">
        <v>10</v>
      </c>
      <c r="K39" s="19">
        <v>1</v>
      </c>
      <c r="U39" s="20">
        <v>465159</v>
      </c>
      <c r="V39" s="19">
        <v>110</v>
      </c>
      <c r="W39" s="19">
        <v>1</v>
      </c>
      <c r="X39" s="19">
        <v>163</v>
      </c>
    </row>
    <row r="40" spans="1:24" x14ac:dyDescent="0.15">
      <c r="A40" s="19" t="s">
        <v>68</v>
      </c>
      <c r="B40" s="26">
        <v>2016</v>
      </c>
      <c r="C40" s="19">
        <v>6</v>
      </c>
      <c r="D40" s="18"/>
      <c r="E40" s="19">
        <v>7</v>
      </c>
      <c r="F40" s="19">
        <v>11</v>
      </c>
      <c r="G40" s="19">
        <v>11</v>
      </c>
      <c r="H40" s="19">
        <v>9</v>
      </c>
      <c r="U40" s="20">
        <v>464849</v>
      </c>
      <c r="V40" s="19">
        <v>103</v>
      </c>
      <c r="W40" s="19">
        <v>0</v>
      </c>
      <c r="X40" s="19">
        <v>165</v>
      </c>
    </row>
    <row r="41" spans="1:24" ht="15" x14ac:dyDescent="0.2">
      <c r="A41" s="19" t="s">
        <v>68</v>
      </c>
      <c r="B41" s="26">
        <v>2017</v>
      </c>
      <c r="C41" s="19">
        <v>7</v>
      </c>
      <c r="D41">
        <v>1</v>
      </c>
      <c r="E41" s="19">
        <v>6</v>
      </c>
      <c r="F41" s="19">
        <v>12</v>
      </c>
      <c r="G41" s="19">
        <v>15</v>
      </c>
      <c r="H41" s="19">
        <v>12</v>
      </c>
      <c r="U41" s="20">
        <v>464128</v>
      </c>
      <c r="V41" s="19">
        <v>102</v>
      </c>
      <c r="W41" s="19">
        <v>0</v>
      </c>
      <c r="X41" s="19">
        <v>174</v>
      </c>
    </row>
    <row r="42" spans="1:24" ht="15" x14ac:dyDescent="0.2">
      <c r="A42" s="19" t="s">
        <v>68</v>
      </c>
      <c r="B42" s="26">
        <v>2018</v>
      </c>
      <c r="C42" s="19">
        <v>10</v>
      </c>
      <c r="D42">
        <v>1</v>
      </c>
      <c r="E42" s="19">
        <v>6</v>
      </c>
      <c r="F42" s="19">
        <v>12</v>
      </c>
      <c r="G42" s="19">
        <v>16</v>
      </c>
      <c r="H42" s="19">
        <v>14</v>
      </c>
      <c r="U42" s="20">
        <v>463208</v>
      </c>
      <c r="V42" s="19">
        <v>102</v>
      </c>
      <c r="W42" s="19">
        <v>0</v>
      </c>
      <c r="X42" s="19">
        <v>165</v>
      </c>
    </row>
    <row r="43" spans="1:24" ht="15" x14ac:dyDescent="0.2">
      <c r="A43" s="19" t="s">
        <v>68</v>
      </c>
      <c r="B43" s="26">
        <v>2019</v>
      </c>
      <c r="C43" s="19">
        <v>8</v>
      </c>
      <c r="D43">
        <v>1</v>
      </c>
      <c r="E43" s="19">
        <v>6</v>
      </c>
      <c r="F43" s="19">
        <v>12</v>
      </c>
      <c r="G43" s="19">
        <v>15</v>
      </c>
      <c r="H43" s="19">
        <v>13</v>
      </c>
      <c r="L43" s="19">
        <v>9</v>
      </c>
      <c r="M43" s="19">
        <v>300</v>
      </c>
      <c r="N43" s="19">
        <v>510</v>
      </c>
      <c r="U43" s="20">
        <v>462202</v>
      </c>
      <c r="V43" s="19">
        <v>107</v>
      </c>
      <c r="W43" s="19">
        <v>0</v>
      </c>
      <c r="X43" s="19">
        <v>184</v>
      </c>
    </row>
    <row r="44" spans="1:24" ht="15" x14ac:dyDescent="0.2">
      <c r="A44" s="19" t="s">
        <v>68</v>
      </c>
      <c r="B44" s="26">
        <v>2020</v>
      </c>
      <c r="C44" s="19">
        <v>6</v>
      </c>
      <c r="D44">
        <v>1</v>
      </c>
      <c r="E44" s="19">
        <v>6</v>
      </c>
      <c r="F44" s="19">
        <v>10</v>
      </c>
      <c r="G44" s="19">
        <v>10</v>
      </c>
      <c r="H44" s="19">
        <v>9</v>
      </c>
      <c r="L44" s="19">
        <v>0</v>
      </c>
      <c r="M44" s="19">
        <v>0</v>
      </c>
      <c r="N44" s="19">
        <v>2735</v>
      </c>
      <c r="U44" s="20">
        <v>460883</v>
      </c>
      <c r="V44" s="19">
        <v>104</v>
      </c>
      <c r="W44" s="19">
        <v>1</v>
      </c>
      <c r="X44" s="19">
        <v>207</v>
      </c>
    </row>
    <row r="45" spans="1:24" ht="15" x14ac:dyDescent="0.2">
      <c r="A45" s="19" t="s">
        <v>68</v>
      </c>
      <c r="B45" s="26">
        <v>2021</v>
      </c>
      <c r="C45" s="19">
        <v>7</v>
      </c>
      <c r="D45">
        <v>1</v>
      </c>
      <c r="E45" s="19">
        <v>5</v>
      </c>
      <c r="F45" s="19">
        <v>11</v>
      </c>
      <c r="G45" s="19">
        <v>12</v>
      </c>
      <c r="H45" s="19">
        <v>11</v>
      </c>
      <c r="L45" s="19">
        <v>0</v>
      </c>
      <c r="M45" s="19">
        <v>0</v>
      </c>
      <c r="N45" s="19">
        <v>6559</v>
      </c>
      <c r="U45" s="20">
        <v>458840</v>
      </c>
      <c r="V45" s="19">
        <v>122</v>
      </c>
      <c r="W45" s="19">
        <v>1</v>
      </c>
      <c r="X45" s="19">
        <v>196</v>
      </c>
    </row>
    <row r="46" spans="1:24" x14ac:dyDescent="0.15">
      <c r="A46" s="19" t="s">
        <v>68</v>
      </c>
      <c r="B46" s="26">
        <v>2022</v>
      </c>
      <c r="C46" s="19">
        <v>8</v>
      </c>
      <c r="D46" s="18"/>
      <c r="E46" s="19">
        <v>5</v>
      </c>
      <c r="F46" s="19">
        <v>12</v>
      </c>
      <c r="G46" s="19">
        <v>12</v>
      </c>
      <c r="H46" s="19">
        <v>12</v>
      </c>
      <c r="L46" s="19">
        <v>15</v>
      </c>
      <c r="M46" s="19">
        <v>233</v>
      </c>
      <c r="N46" s="19">
        <v>6318</v>
      </c>
      <c r="U46" s="20">
        <v>456430</v>
      </c>
      <c r="V46" s="19">
        <v>137</v>
      </c>
      <c r="W46" s="19">
        <v>1</v>
      </c>
      <c r="X46" s="19">
        <v>238</v>
      </c>
    </row>
    <row r="47" spans="1:24" x14ac:dyDescent="0.15">
      <c r="A47" s="19" t="s">
        <v>68</v>
      </c>
      <c r="B47" s="26">
        <v>2023</v>
      </c>
      <c r="C47" s="19">
        <v>10</v>
      </c>
      <c r="D47" s="19">
        <v>1</v>
      </c>
      <c r="E47" s="19">
        <v>4</v>
      </c>
      <c r="F47" s="19">
        <v>11</v>
      </c>
      <c r="G47" s="19">
        <v>13</v>
      </c>
      <c r="H47" s="19">
        <v>13</v>
      </c>
      <c r="L47" s="19">
        <v>4437</v>
      </c>
      <c r="M47" s="19">
        <v>5026</v>
      </c>
      <c r="N47" s="19">
        <v>2505</v>
      </c>
      <c r="U47" s="20">
        <v>454038</v>
      </c>
      <c r="V47" s="19">
        <v>155</v>
      </c>
      <c r="W47" s="19">
        <v>1</v>
      </c>
      <c r="X47" s="19">
        <v>225</v>
      </c>
    </row>
    <row r="48" spans="1:24" x14ac:dyDescent="0.15">
      <c r="A48" s="19" t="s">
        <v>68</v>
      </c>
      <c r="B48" s="26">
        <v>2024</v>
      </c>
      <c r="C48" s="19">
        <v>9</v>
      </c>
      <c r="D48" s="18"/>
      <c r="E48" s="19">
        <v>5</v>
      </c>
      <c r="F48" s="19">
        <v>10</v>
      </c>
      <c r="G48" s="19">
        <v>12</v>
      </c>
      <c r="H48" s="19">
        <v>11</v>
      </c>
      <c r="K48" s="19">
        <v>1</v>
      </c>
      <c r="L48" s="19">
        <v>752</v>
      </c>
      <c r="M48" s="19">
        <v>2542</v>
      </c>
      <c r="N48" s="19">
        <v>7093</v>
      </c>
      <c r="U48" s="20">
        <v>451688</v>
      </c>
      <c r="V48" s="19">
        <v>140</v>
      </c>
      <c r="W48" s="19">
        <v>4</v>
      </c>
      <c r="X48" s="19">
        <v>262</v>
      </c>
    </row>
    <row r="49" spans="1:24" x14ac:dyDescent="0.15">
      <c r="A49" s="19" t="s">
        <v>68</v>
      </c>
      <c r="B49" s="26">
        <v>2025</v>
      </c>
      <c r="C49" s="19">
        <v>9</v>
      </c>
      <c r="D49" s="18"/>
      <c r="E49" s="19">
        <v>5</v>
      </c>
      <c r="F49" s="19">
        <v>9</v>
      </c>
      <c r="G49" s="19">
        <v>14</v>
      </c>
      <c r="H49" s="19">
        <v>12</v>
      </c>
      <c r="L49" s="19">
        <v>822</v>
      </c>
      <c r="M49" s="19">
        <v>2035</v>
      </c>
      <c r="N49" s="19">
        <v>2724</v>
      </c>
      <c r="U49" s="20">
        <v>451712</v>
      </c>
      <c r="V49" s="19">
        <v>141</v>
      </c>
      <c r="W49" s="19">
        <v>4</v>
      </c>
      <c r="X49" s="19">
        <v>240</v>
      </c>
    </row>
    <row r="50" spans="1:24" x14ac:dyDescent="0.15">
      <c r="A50" s="19" t="s">
        <v>69</v>
      </c>
      <c r="B50" s="27">
        <v>2010</v>
      </c>
      <c r="C50" s="18"/>
      <c r="D50" s="18"/>
      <c r="E50" s="19">
        <v>11</v>
      </c>
      <c r="F50" s="19">
        <v>22</v>
      </c>
      <c r="G50" s="18"/>
      <c r="H50" s="18"/>
      <c r="U50" s="20">
        <v>425757</v>
      </c>
      <c r="V50" s="19">
        <v>41</v>
      </c>
      <c r="W50" s="19">
        <v>3</v>
      </c>
      <c r="X50" s="19">
        <v>98</v>
      </c>
    </row>
    <row r="51" spans="1:24" x14ac:dyDescent="0.15">
      <c r="A51" s="19" t="s">
        <v>69</v>
      </c>
      <c r="B51" s="27">
        <v>2011</v>
      </c>
      <c r="C51" s="18"/>
      <c r="D51" s="18"/>
      <c r="E51" s="18"/>
      <c r="F51" s="19"/>
      <c r="G51" s="18"/>
      <c r="H51" s="18"/>
      <c r="U51" s="20">
        <v>426679</v>
      </c>
      <c r="V51" s="19">
        <v>52</v>
      </c>
      <c r="W51" s="19">
        <v>8</v>
      </c>
      <c r="X51" s="19">
        <v>100</v>
      </c>
    </row>
    <row r="52" spans="1:24" x14ac:dyDescent="0.15">
      <c r="A52" s="19" t="s">
        <v>69</v>
      </c>
      <c r="B52" s="27">
        <v>2012</v>
      </c>
      <c r="C52" s="19">
        <v>3</v>
      </c>
      <c r="D52" s="18"/>
      <c r="E52" s="19">
        <v>10</v>
      </c>
      <c r="F52" s="19">
        <v>22</v>
      </c>
      <c r="G52" s="19">
        <v>17</v>
      </c>
      <c r="H52" s="19">
        <v>16</v>
      </c>
      <c r="U52" s="20">
        <v>428279</v>
      </c>
      <c r="V52" s="19">
        <v>65</v>
      </c>
      <c r="W52" s="19">
        <v>4</v>
      </c>
      <c r="X52" s="19">
        <v>94</v>
      </c>
    </row>
    <row r="53" spans="1:24" x14ac:dyDescent="0.15">
      <c r="A53" s="19" t="s">
        <v>69</v>
      </c>
      <c r="B53" s="27">
        <v>2013</v>
      </c>
      <c r="C53" s="19">
        <v>4</v>
      </c>
      <c r="D53" s="18"/>
      <c r="E53" s="19">
        <v>9</v>
      </c>
      <c r="F53" s="19">
        <v>21</v>
      </c>
      <c r="G53" s="19">
        <v>17</v>
      </c>
      <c r="H53" s="19">
        <v>16</v>
      </c>
      <c r="I53" s="19">
        <v>3</v>
      </c>
      <c r="J53" s="19">
        <v>1</v>
      </c>
      <c r="K53" s="19">
        <v>6</v>
      </c>
      <c r="U53" s="20">
        <v>430209</v>
      </c>
      <c r="V53" s="19">
        <v>81</v>
      </c>
      <c r="W53" s="19">
        <v>4</v>
      </c>
      <c r="X53" s="19">
        <v>77</v>
      </c>
    </row>
    <row r="54" spans="1:24" x14ac:dyDescent="0.15">
      <c r="A54" s="19" t="s">
        <v>69</v>
      </c>
      <c r="B54" s="27">
        <v>2014</v>
      </c>
      <c r="C54" s="19">
        <v>5</v>
      </c>
      <c r="D54" s="18"/>
      <c r="E54" s="19">
        <v>10</v>
      </c>
      <c r="F54" s="19">
        <v>24</v>
      </c>
      <c r="G54" s="19">
        <v>18</v>
      </c>
      <c r="H54" s="19">
        <v>17</v>
      </c>
      <c r="I54" s="19">
        <v>2</v>
      </c>
      <c r="J54" s="19">
        <v>0</v>
      </c>
      <c r="K54" s="19">
        <v>55</v>
      </c>
      <c r="L54" s="19">
        <v>9262</v>
      </c>
      <c r="M54" s="19">
        <v>192</v>
      </c>
      <c r="N54" s="19">
        <v>10</v>
      </c>
      <c r="U54" s="20">
        <v>432194</v>
      </c>
      <c r="V54" s="19">
        <v>90</v>
      </c>
      <c r="W54" s="19">
        <v>3</v>
      </c>
      <c r="X54" s="19">
        <v>96</v>
      </c>
    </row>
    <row r="55" spans="1:24" x14ac:dyDescent="0.15">
      <c r="A55" s="19" t="s">
        <v>69</v>
      </c>
      <c r="B55" s="26">
        <v>2015</v>
      </c>
      <c r="C55" s="19">
        <v>5</v>
      </c>
      <c r="D55" s="18"/>
      <c r="E55" s="19">
        <v>10</v>
      </c>
      <c r="F55" s="19">
        <v>25</v>
      </c>
      <c r="G55" s="19">
        <v>18</v>
      </c>
      <c r="H55" s="19">
        <v>17</v>
      </c>
      <c r="I55" s="19">
        <v>0</v>
      </c>
      <c r="J55" s="19">
        <v>0</v>
      </c>
      <c r="K55" s="19">
        <v>53</v>
      </c>
      <c r="L55" s="19">
        <v>7453</v>
      </c>
      <c r="M55" s="19">
        <v>222</v>
      </c>
      <c r="N55" s="19">
        <v>16</v>
      </c>
      <c r="U55" s="20">
        <v>434204</v>
      </c>
      <c r="V55" s="19">
        <v>100</v>
      </c>
      <c r="W55" s="19">
        <v>2</v>
      </c>
      <c r="X55" s="19">
        <v>82</v>
      </c>
    </row>
    <row r="56" spans="1:24" x14ac:dyDescent="0.15">
      <c r="A56" s="19" t="s">
        <v>69</v>
      </c>
      <c r="B56" s="26">
        <v>2016</v>
      </c>
      <c r="C56" s="19">
        <v>5</v>
      </c>
      <c r="D56" s="18"/>
      <c r="E56" s="19">
        <v>10</v>
      </c>
      <c r="F56" s="19">
        <v>24</v>
      </c>
      <c r="G56" s="19">
        <v>16</v>
      </c>
      <c r="H56" s="19">
        <v>15</v>
      </c>
      <c r="I56" s="19">
        <v>5</v>
      </c>
      <c r="J56" s="19">
        <v>2</v>
      </c>
      <c r="K56" s="19">
        <v>53</v>
      </c>
      <c r="L56" s="19">
        <v>9612</v>
      </c>
      <c r="M56" s="19">
        <v>171</v>
      </c>
      <c r="N56" s="19">
        <v>18</v>
      </c>
      <c r="U56" s="20">
        <v>435883</v>
      </c>
      <c r="V56" s="19">
        <v>88</v>
      </c>
      <c r="W56" s="19">
        <v>0</v>
      </c>
      <c r="X56" s="19">
        <v>84</v>
      </c>
    </row>
    <row r="57" spans="1:24" x14ac:dyDescent="0.15">
      <c r="A57" s="19" t="s">
        <v>69</v>
      </c>
      <c r="B57" s="26">
        <v>2017</v>
      </c>
      <c r="C57" s="19">
        <v>5</v>
      </c>
      <c r="D57" s="18"/>
      <c r="E57" s="19">
        <v>10</v>
      </c>
      <c r="F57" s="19">
        <v>24</v>
      </c>
      <c r="G57" s="19">
        <v>16</v>
      </c>
      <c r="H57" s="19">
        <v>15</v>
      </c>
      <c r="I57" s="19">
        <v>2</v>
      </c>
      <c r="J57" s="19">
        <v>2</v>
      </c>
      <c r="K57" s="19">
        <v>34</v>
      </c>
      <c r="L57" s="19">
        <v>7592</v>
      </c>
      <c r="M57" s="19">
        <v>238</v>
      </c>
      <c r="N57" s="19">
        <v>13</v>
      </c>
      <c r="U57" s="20">
        <v>437176</v>
      </c>
      <c r="V57" s="19">
        <v>82</v>
      </c>
      <c r="W57" s="19">
        <v>0</v>
      </c>
      <c r="X57" s="19">
        <v>71</v>
      </c>
    </row>
    <row r="58" spans="1:24" x14ac:dyDescent="0.15">
      <c r="A58" s="19" t="s">
        <v>69</v>
      </c>
      <c r="B58" s="26">
        <v>2018</v>
      </c>
      <c r="C58" s="19">
        <v>7</v>
      </c>
      <c r="D58" s="18"/>
      <c r="E58" s="19">
        <v>9</v>
      </c>
      <c r="F58" s="19">
        <v>23</v>
      </c>
      <c r="G58" s="19">
        <v>18</v>
      </c>
      <c r="H58" s="19">
        <v>17</v>
      </c>
      <c r="I58" s="19">
        <v>8</v>
      </c>
      <c r="J58" s="19">
        <v>0</v>
      </c>
      <c r="K58" s="19">
        <v>50</v>
      </c>
      <c r="L58" s="19">
        <v>5646</v>
      </c>
      <c r="M58" s="19">
        <v>1287</v>
      </c>
      <c r="N58" s="19">
        <v>409</v>
      </c>
      <c r="U58" s="20">
        <v>438271</v>
      </c>
      <c r="V58" s="19">
        <v>69</v>
      </c>
      <c r="W58" s="19">
        <v>0</v>
      </c>
      <c r="X58" s="19">
        <v>71</v>
      </c>
    </row>
    <row r="59" spans="1:24" x14ac:dyDescent="0.15">
      <c r="A59" s="19" t="s">
        <v>69</v>
      </c>
      <c r="B59" s="26">
        <v>2019</v>
      </c>
      <c r="C59" s="19">
        <v>7</v>
      </c>
      <c r="D59" s="18"/>
      <c r="E59" s="19">
        <v>8</v>
      </c>
      <c r="F59" s="19">
        <v>22</v>
      </c>
      <c r="G59" s="19">
        <v>25</v>
      </c>
      <c r="H59" s="19">
        <v>24</v>
      </c>
      <c r="I59" s="19">
        <v>7</v>
      </c>
      <c r="J59" s="19">
        <v>1</v>
      </c>
      <c r="K59" s="19">
        <v>45</v>
      </c>
      <c r="L59" s="19">
        <v>8109</v>
      </c>
      <c r="M59" s="19">
        <v>2587</v>
      </c>
      <c r="N59" s="19">
        <v>403</v>
      </c>
      <c r="U59" s="20">
        <v>439289</v>
      </c>
      <c r="V59" s="19">
        <v>75</v>
      </c>
      <c r="W59" s="19">
        <v>0</v>
      </c>
      <c r="X59" s="19">
        <v>65</v>
      </c>
    </row>
    <row r="60" spans="1:24" x14ac:dyDescent="0.15">
      <c r="A60" s="19" t="s">
        <v>69</v>
      </c>
      <c r="B60" s="26">
        <v>2020</v>
      </c>
      <c r="C60" s="19">
        <v>8</v>
      </c>
      <c r="D60" s="18"/>
      <c r="E60" s="19">
        <v>8</v>
      </c>
      <c r="F60" s="19">
        <v>21</v>
      </c>
      <c r="G60" s="19">
        <v>26</v>
      </c>
      <c r="H60" s="19">
        <v>24</v>
      </c>
      <c r="I60" s="19">
        <v>4</v>
      </c>
      <c r="J60" s="19">
        <v>0</v>
      </c>
      <c r="K60" s="19">
        <v>36</v>
      </c>
      <c r="L60" s="19">
        <v>6107</v>
      </c>
      <c r="M60" s="19">
        <v>967</v>
      </c>
      <c r="N60" s="19">
        <v>79</v>
      </c>
      <c r="U60" s="20">
        <v>440007</v>
      </c>
      <c r="V60" s="19">
        <v>83</v>
      </c>
      <c r="W60" s="19">
        <v>0</v>
      </c>
      <c r="X60" s="19">
        <v>74</v>
      </c>
    </row>
    <row r="61" spans="1:24" x14ac:dyDescent="0.15">
      <c r="A61" s="19" t="s">
        <v>69</v>
      </c>
      <c r="B61" s="26">
        <v>2021</v>
      </c>
      <c r="C61" s="19">
        <v>10</v>
      </c>
      <c r="D61" s="18"/>
      <c r="E61" s="19">
        <v>8</v>
      </c>
      <c r="F61" s="19">
        <v>20</v>
      </c>
      <c r="G61" s="19">
        <v>28</v>
      </c>
      <c r="H61" s="19">
        <v>26</v>
      </c>
      <c r="I61" s="19">
        <v>5</v>
      </c>
      <c r="J61" s="19">
        <v>4</v>
      </c>
      <c r="K61" s="19">
        <v>59</v>
      </c>
      <c r="L61" s="19">
        <v>3399</v>
      </c>
      <c r="M61" s="19">
        <v>1315</v>
      </c>
      <c r="N61" s="19">
        <v>1734</v>
      </c>
      <c r="U61" s="20">
        <v>440053</v>
      </c>
      <c r="V61" s="19">
        <v>105</v>
      </c>
      <c r="W61" s="19">
        <v>0</v>
      </c>
      <c r="X61" s="19">
        <v>68</v>
      </c>
    </row>
    <row r="62" spans="1:24" x14ac:dyDescent="0.15">
      <c r="A62" s="19" t="s">
        <v>69</v>
      </c>
      <c r="B62" s="26">
        <v>2022</v>
      </c>
      <c r="C62" s="19">
        <v>9</v>
      </c>
      <c r="D62" s="18"/>
      <c r="E62" s="19">
        <v>10</v>
      </c>
      <c r="F62" s="19">
        <v>20</v>
      </c>
      <c r="G62" s="19">
        <v>22</v>
      </c>
      <c r="H62" s="19">
        <v>20</v>
      </c>
      <c r="I62" s="19">
        <v>7</v>
      </c>
      <c r="J62" s="19">
        <v>0</v>
      </c>
      <c r="K62" s="19">
        <v>61</v>
      </c>
      <c r="L62" s="19">
        <v>2108</v>
      </c>
      <c r="M62" s="19">
        <v>3673</v>
      </c>
      <c r="N62" s="19">
        <v>2912</v>
      </c>
      <c r="U62" s="20">
        <v>439785</v>
      </c>
      <c r="V62" s="19">
        <v>111</v>
      </c>
      <c r="W62" s="19">
        <v>0</v>
      </c>
      <c r="X62" s="19">
        <v>61</v>
      </c>
    </row>
    <row r="63" spans="1:24" x14ac:dyDescent="0.15">
      <c r="A63" s="19" t="s">
        <v>69</v>
      </c>
      <c r="B63" s="26">
        <v>2023</v>
      </c>
      <c r="C63" s="19">
        <v>10</v>
      </c>
      <c r="D63" s="18"/>
      <c r="E63" s="19">
        <v>9</v>
      </c>
      <c r="F63" s="19">
        <v>17</v>
      </c>
      <c r="G63" s="19">
        <v>23</v>
      </c>
      <c r="H63" s="19">
        <v>21</v>
      </c>
      <c r="I63" s="19">
        <v>26</v>
      </c>
      <c r="J63" s="19">
        <v>5</v>
      </c>
      <c r="K63" s="19">
        <v>121</v>
      </c>
      <c r="L63" s="19">
        <v>3932</v>
      </c>
      <c r="M63" s="19">
        <v>2649</v>
      </c>
      <c r="N63" s="19">
        <v>3750</v>
      </c>
      <c r="U63" s="20">
        <v>439605</v>
      </c>
      <c r="V63" s="19">
        <v>106</v>
      </c>
      <c r="W63" s="19">
        <v>1</v>
      </c>
      <c r="X63" s="19">
        <v>86</v>
      </c>
    </row>
    <row r="64" spans="1:24" x14ac:dyDescent="0.15">
      <c r="A64" s="19" t="s">
        <v>69</v>
      </c>
      <c r="B64" s="26">
        <v>2024</v>
      </c>
      <c r="C64" s="19">
        <v>10</v>
      </c>
      <c r="D64" s="18"/>
      <c r="E64" s="19">
        <v>9</v>
      </c>
      <c r="F64" s="19">
        <v>17</v>
      </c>
      <c r="G64" s="19">
        <v>26</v>
      </c>
      <c r="H64" s="19">
        <v>24</v>
      </c>
      <c r="I64" s="19">
        <v>18</v>
      </c>
      <c r="J64" s="19">
        <v>3</v>
      </c>
      <c r="K64" s="19">
        <v>86</v>
      </c>
      <c r="L64" s="19">
        <v>7570</v>
      </c>
      <c r="M64" s="19">
        <v>8068</v>
      </c>
      <c r="N64" s="19">
        <v>1752</v>
      </c>
      <c r="U64" s="20">
        <v>439376</v>
      </c>
      <c r="V64" s="19">
        <v>110</v>
      </c>
      <c r="W64" s="19">
        <v>1</v>
      </c>
      <c r="X64" s="19">
        <v>104</v>
      </c>
    </row>
    <row r="65" spans="1:24" x14ac:dyDescent="0.15">
      <c r="A65" s="19" t="s">
        <v>69</v>
      </c>
      <c r="B65" s="26">
        <v>2025</v>
      </c>
      <c r="C65" s="19">
        <v>10</v>
      </c>
      <c r="D65" s="18"/>
      <c r="E65" s="19">
        <v>8</v>
      </c>
      <c r="F65" s="19">
        <v>18</v>
      </c>
      <c r="G65" s="19">
        <v>28</v>
      </c>
      <c r="H65" s="19">
        <v>27</v>
      </c>
      <c r="I65" s="19">
        <v>4</v>
      </c>
      <c r="J65" s="19">
        <v>0</v>
      </c>
      <c r="K65" s="19">
        <v>0</v>
      </c>
      <c r="L65" s="19">
        <v>5932</v>
      </c>
      <c r="M65" s="19">
        <v>2504</v>
      </c>
      <c r="N65" s="19">
        <v>356</v>
      </c>
      <c r="U65" s="20">
        <v>439467</v>
      </c>
      <c r="V65" s="19">
        <v>115</v>
      </c>
      <c r="W65" s="19">
        <v>1</v>
      </c>
      <c r="X65" s="19">
        <v>91</v>
      </c>
    </row>
    <row r="66" spans="1:24" x14ac:dyDescent="0.15">
      <c r="A66" s="19" t="s">
        <v>70</v>
      </c>
      <c r="B66" s="27">
        <v>2010</v>
      </c>
      <c r="C66" s="18"/>
      <c r="D66" s="19">
        <v>5</v>
      </c>
      <c r="E66" s="19">
        <v>9</v>
      </c>
      <c r="F66" s="19">
        <v>11</v>
      </c>
      <c r="G66" s="18"/>
      <c r="H66" s="18"/>
      <c r="U66" s="20">
        <v>246190</v>
      </c>
      <c r="V66" s="19">
        <v>87</v>
      </c>
      <c r="W66" s="19">
        <v>6</v>
      </c>
      <c r="X66" s="19">
        <v>120</v>
      </c>
    </row>
    <row r="67" spans="1:24" x14ac:dyDescent="0.15">
      <c r="A67" s="19" t="s">
        <v>70</v>
      </c>
      <c r="B67" s="27">
        <v>2011</v>
      </c>
      <c r="C67" s="18"/>
      <c r="D67" s="19">
        <v>5</v>
      </c>
      <c r="E67" s="18"/>
      <c r="F67" s="19"/>
      <c r="G67" s="18"/>
      <c r="H67" s="18"/>
      <c r="U67" s="20">
        <v>248112</v>
      </c>
      <c r="V67" s="19">
        <v>94</v>
      </c>
      <c r="W67" s="19">
        <v>6</v>
      </c>
      <c r="X67" s="19">
        <v>117</v>
      </c>
    </row>
    <row r="68" spans="1:24" x14ac:dyDescent="0.15">
      <c r="A68" s="19" t="s">
        <v>70</v>
      </c>
      <c r="B68" s="27">
        <v>2012</v>
      </c>
      <c r="C68" s="19">
        <v>8</v>
      </c>
      <c r="D68" s="19">
        <v>5</v>
      </c>
      <c r="E68" s="19">
        <v>9</v>
      </c>
      <c r="F68" s="19">
        <v>11</v>
      </c>
      <c r="G68" s="19">
        <v>17</v>
      </c>
      <c r="H68" s="19">
        <v>17</v>
      </c>
      <c r="U68" s="20">
        <v>250216</v>
      </c>
      <c r="V68" s="19">
        <v>95</v>
      </c>
      <c r="W68" s="19">
        <v>5</v>
      </c>
      <c r="X68" s="19">
        <v>106</v>
      </c>
    </row>
    <row r="69" spans="1:24" x14ac:dyDescent="0.15">
      <c r="A69" s="19" t="s">
        <v>70</v>
      </c>
      <c r="B69" s="27">
        <v>2013</v>
      </c>
      <c r="C69" s="19">
        <v>9</v>
      </c>
      <c r="D69" s="19">
        <v>5</v>
      </c>
      <c r="E69" s="19">
        <v>9</v>
      </c>
      <c r="F69" s="19">
        <v>11</v>
      </c>
      <c r="G69" s="19">
        <v>18</v>
      </c>
      <c r="H69" s="19">
        <v>18</v>
      </c>
      <c r="I69" s="19">
        <v>34</v>
      </c>
      <c r="J69" s="19">
        <v>41</v>
      </c>
      <c r="K69" s="19">
        <v>67</v>
      </c>
      <c r="U69" s="20">
        <v>252401</v>
      </c>
      <c r="V69" s="19">
        <v>83</v>
      </c>
      <c r="W69" s="19">
        <v>6</v>
      </c>
      <c r="X69" s="19">
        <v>108</v>
      </c>
    </row>
    <row r="70" spans="1:24" x14ac:dyDescent="0.15">
      <c r="A70" s="19" t="s">
        <v>70</v>
      </c>
      <c r="B70" s="27">
        <v>2014</v>
      </c>
      <c r="C70" s="19">
        <v>9</v>
      </c>
      <c r="D70" s="19">
        <v>5</v>
      </c>
      <c r="E70" s="19">
        <v>9</v>
      </c>
      <c r="F70" s="19">
        <v>11</v>
      </c>
      <c r="G70" s="19">
        <v>18</v>
      </c>
      <c r="H70" s="19">
        <v>18</v>
      </c>
      <c r="I70" s="19">
        <v>30</v>
      </c>
      <c r="J70" s="19">
        <v>20</v>
      </c>
      <c r="K70" s="19">
        <v>102</v>
      </c>
      <c r="L70" s="19">
        <v>315</v>
      </c>
      <c r="M70" s="19">
        <v>448</v>
      </c>
      <c r="N70" s="19">
        <v>409</v>
      </c>
      <c r="U70" s="20">
        <v>254639</v>
      </c>
      <c r="V70" s="19">
        <v>82</v>
      </c>
      <c r="W70" s="19">
        <v>5</v>
      </c>
      <c r="X70" s="19">
        <v>111</v>
      </c>
    </row>
    <row r="71" spans="1:24" x14ac:dyDescent="0.15">
      <c r="A71" s="19" t="s">
        <v>70</v>
      </c>
      <c r="B71" s="26">
        <v>2015</v>
      </c>
      <c r="C71" s="19">
        <v>9</v>
      </c>
      <c r="D71" s="19">
        <v>5</v>
      </c>
      <c r="E71" s="19">
        <v>9</v>
      </c>
      <c r="F71" s="19">
        <v>12</v>
      </c>
      <c r="G71" s="19">
        <v>18</v>
      </c>
      <c r="H71" s="19">
        <v>17</v>
      </c>
      <c r="I71" s="19">
        <v>36</v>
      </c>
      <c r="J71" s="19">
        <v>22</v>
      </c>
      <c r="K71" s="19">
        <v>107</v>
      </c>
      <c r="U71" s="20">
        <v>256889</v>
      </c>
      <c r="V71" s="19">
        <v>94</v>
      </c>
      <c r="W71" s="19">
        <v>5</v>
      </c>
      <c r="X71" s="19">
        <v>122</v>
      </c>
    </row>
    <row r="72" spans="1:24" x14ac:dyDescent="0.15">
      <c r="A72" s="19" t="s">
        <v>70</v>
      </c>
      <c r="B72" s="26">
        <v>2016</v>
      </c>
      <c r="C72" s="19">
        <v>9</v>
      </c>
      <c r="D72" s="19">
        <v>5</v>
      </c>
      <c r="E72" s="19">
        <v>10</v>
      </c>
      <c r="F72" s="19">
        <v>12</v>
      </c>
      <c r="G72" s="19">
        <v>18</v>
      </c>
      <c r="H72" s="19">
        <v>18</v>
      </c>
      <c r="I72" s="19">
        <v>22</v>
      </c>
      <c r="J72" s="19">
        <v>23</v>
      </c>
      <c r="K72" s="19">
        <v>108</v>
      </c>
      <c r="U72" s="20">
        <v>258944</v>
      </c>
      <c r="V72" s="19">
        <v>108</v>
      </c>
      <c r="W72" s="19">
        <v>5</v>
      </c>
      <c r="X72" s="19">
        <v>115</v>
      </c>
    </row>
    <row r="73" spans="1:24" x14ac:dyDescent="0.15">
      <c r="A73" s="19" t="s">
        <v>70</v>
      </c>
      <c r="B73" s="26">
        <v>2017</v>
      </c>
      <c r="C73" s="19">
        <v>9</v>
      </c>
      <c r="D73" s="19">
        <v>5</v>
      </c>
      <c r="E73" s="19">
        <v>10</v>
      </c>
      <c r="F73" s="19">
        <v>12</v>
      </c>
      <c r="G73" s="19">
        <v>16</v>
      </c>
      <c r="H73" s="19">
        <v>16</v>
      </c>
      <c r="I73" s="19">
        <v>23</v>
      </c>
      <c r="J73" s="19">
        <v>39</v>
      </c>
      <c r="K73" s="19">
        <v>156</v>
      </c>
      <c r="U73" s="20">
        <v>260773</v>
      </c>
      <c r="V73" s="19">
        <v>118</v>
      </c>
      <c r="W73" s="19">
        <v>4</v>
      </c>
      <c r="X73" s="19">
        <v>125</v>
      </c>
    </row>
    <row r="74" spans="1:24" x14ac:dyDescent="0.15">
      <c r="A74" s="19" t="s">
        <v>70</v>
      </c>
      <c r="B74" s="26">
        <v>2018</v>
      </c>
      <c r="C74" s="19">
        <v>9</v>
      </c>
      <c r="D74" s="19">
        <v>5</v>
      </c>
      <c r="E74" s="19">
        <v>10</v>
      </c>
      <c r="F74" s="19">
        <v>14</v>
      </c>
      <c r="G74" s="19">
        <v>17</v>
      </c>
      <c r="H74" s="19">
        <v>17</v>
      </c>
      <c r="I74" s="19">
        <v>36</v>
      </c>
      <c r="J74" s="19">
        <v>25</v>
      </c>
      <c r="K74" s="19">
        <v>129</v>
      </c>
      <c r="U74" s="20">
        <v>262512</v>
      </c>
      <c r="V74" s="19">
        <v>119</v>
      </c>
      <c r="W74" s="19">
        <v>4</v>
      </c>
      <c r="X74" s="19">
        <v>131</v>
      </c>
    </row>
    <row r="75" spans="1:24" x14ac:dyDescent="0.15">
      <c r="A75" s="19" t="s">
        <v>70</v>
      </c>
      <c r="B75" s="26">
        <v>2019</v>
      </c>
      <c r="C75" s="19">
        <v>9</v>
      </c>
      <c r="D75" s="19">
        <v>5</v>
      </c>
      <c r="E75" s="19">
        <v>9</v>
      </c>
      <c r="F75" s="19">
        <v>12</v>
      </c>
      <c r="G75" s="19">
        <v>19</v>
      </c>
      <c r="H75" s="19">
        <v>19</v>
      </c>
      <c r="I75" s="19">
        <v>32</v>
      </c>
      <c r="J75" s="19">
        <v>24</v>
      </c>
      <c r="K75" s="19">
        <v>158</v>
      </c>
      <c r="L75" s="19">
        <v>141</v>
      </c>
      <c r="M75" s="19">
        <v>69</v>
      </c>
      <c r="N75" s="19">
        <v>74</v>
      </c>
      <c r="O75" s="19">
        <v>0</v>
      </c>
      <c r="P75" s="19">
        <v>2</v>
      </c>
      <c r="Q75" s="19">
        <v>0</v>
      </c>
      <c r="R75" s="19">
        <v>2</v>
      </c>
      <c r="S75" s="19">
        <v>1</v>
      </c>
      <c r="T75" s="19">
        <v>17</v>
      </c>
      <c r="U75" s="20">
        <v>264201</v>
      </c>
      <c r="V75" s="19">
        <v>120</v>
      </c>
      <c r="W75" s="19">
        <v>4</v>
      </c>
      <c r="X75" s="19">
        <v>132</v>
      </c>
    </row>
    <row r="76" spans="1:24" x14ac:dyDescent="0.15">
      <c r="A76" s="19" t="s">
        <v>70</v>
      </c>
      <c r="B76" s="26">
        <v>2020</v>
      </c>
      <c r="C76" s="19">
        <v>10</v>
      </c>
      <c r="D76" s="19">
        <v>5</v>
      </c>
      <c r="E76" s="19">
        <v>9</v>
      </c>
      <c r="F76" s="19">
        <v>12</v>
      </c>
      <c r="G76" s="19">
        <v>21</v>
      </c>
      <c r="H76" s="19">
        <v>21</v>
      </c>
      <c r="I76" s="19">
        <v>27</v>
      </c>
      <c r="J76" s="19">
        <v>18</v>
      </c>
      <c r="K76" s="19">
        <v>137</v>
      </c>
      <c r="L76" s="19">
        <v>986</v>
      </c>
      <c r="M76" s="19">
        <v>291</v>
      </c>
      <c r="N76" s="19">
        <v>1522</v>
      </c>
      <c r="O76" s="19">
        <v>12</v>
      </c>
      <c r="P76" s="19">
        <v>1</v>
      </c>
      <c r="Q76" s="19">
        <v>0</v>
      </c>
      <c r="R76" s="19">
        <v>2</v>
      </c>
      <c r="S76" s="19">
        <v>11</v>
      </c>
      <c r="T76" s="19">
        <v>29</v>
      </c>
      <c r="U76" s="20">
        <v>265676</v>
      </c>
      <c r="V76" s="19">
        <v>115</v>
      </c>
      <c r="W76" s="19">
        <v>3</v>
      </c>
      <c r="X76" s="19">
        <v>123</v>
      </c>
    </row>
    <row r="77" spans="1:24" x14ac:dyDescent="0.15">
      <c r="A77" s="19" t="s">
        <v>70</v>
      </c>
      <c r="B77" s="26">
        <v>2021</v>
      </c>
      <c r="C77" s="19">
        <v>9</v>
      </c>
      <c r="D77" s="19">
        <v>5</v>
      </c>
      <c r="E77" s="19">
        <v>9</v>
      </c>
      <c r="F77" s="19">
        <v>12</v>
      </c>
      <c r="G77" s="19">
        <v>20</v>
      </c>
      <c r="H77" s="19">
        <v>20</v>
      </c>
      <c r="I77" s="19">
        <v>30</v>
      </c>
      <c r="J77" s="19">
        <v>43</v>
      </c>
      <c r="K77" s="19">
        <v>141</v>
      </c>
      <c r="L77" s="19">
        <v>6901</v>
      </c>
      <c r="M77" s="19">
        <v>780</v>
      </c>
      <c r="N77" s="19">
        <v>1142</v>
      </c>
      <c r="O77" s="19">
        <v>18</v>
      </c>
      <c r="P77" s="19">
        <v>10</v>
      </c>
      <c r="Q77" s="19">
        <v>5</v>
      </c>
      <c r="R77" s="19">
        <v>103</v>
      </c>
      <c r="S77" s="19">
        <v>124</v>
      </c>
      <c r="T77" s="19">
        <v>85</v>
      </c>
      <c r="U77" s="20">
        <v>266747</v>
      </c>
      <c r="V77" s="19">
        <v>122</v>
      </c>
      <c r="W77" s="19">
        <v>4</v>
      </c>
      <c r="X77" s="19">
        <v>110</v>
      </c>
    </row>
    <row r="78" spans="1:24" x14ac:dyDescent="0.15">
      <c r="A78" s="19" t="s">
        <v>70</v>
      </c>
      <c r="B78" s="26">
        <v>2022</v>
      </c>
      <c r="C78" s="19">
        <v>10</v>
      </c>
      <c r="D78" s="19">
        <v>5</v>
      </c>
      <c r="E78" s="19">
        <v>9</v>
      </c>
      <c r="F78" s="19">
        <v>11</v>
      </c>
      <c r="G78" s="19">
        <v>18</v>
      </c>
      <c r="H78" s="19">
        <v>18</v>
      </c>
      <c r="I78" s="19">
        <v>43</v>
      </c>
      <c r="J78" s="19">
        <v>25</v>
      </c>
      <c r="K78" s="19">
        <v>165</v>
      </c>
      <c r="L78" s="19">
        <v>10931</v>
      </c>
      <c r="M78" s="19">
        <v>1046</v>
      </c>
      <c r="N78" s="19">
        <v>1221</v>
      </c>
      <c r="O78" s="19">
        <v>18</v>
      </c>
      <c r="P78" s="19">
        <v>8</v>
      </c>
      <c r="Q78" s="19">
        <v>4</v>
      </c>
      <c r="R78" s="19">
        <v>230</v>
      </c>
      <c r="S78" s="19">
        <v>168</v>
      </c>
      <c r="T78" s="19">
        <v>13</v>
      </c>
      <c r="U78" s="20">
        <v>267683</v>
      </c>
      <c r="V78" s="19">
        <v>131</v>
      </c>
      <c r="W78" s="19">
        <v>5</v>
      </c>
      <c r="X78" s="19">
        <v>103</v>
      </c>
    </row>
    <row r="79" spans="1:24" x14ac:dyDescent="0.15">
      <c r="A79" s="19" t="s">
        <v>70</v>
      </c>
      <c r="B79" s="26">
        <v>2023</v>
      </c>
      <c r="C79" s="19">
        <v>11</v>
      </c>
      <c r="D79" s="19">
        <v>5</v>
      </c>
      <c r="E79" s="19">
        <v>9</v>
      </c>
      <c r="F79" s="19">
        <v>11</v>
      </c>
      <c r="G79" s="19">
        <v>19</v>
      </c>
      <c r="H79" s="19">
        <v>19</v>
      </c>
      <c r="I79" s="19">
        <v>42</v>
      </c>
      <c r="J79" s="19">
        <v>30</v>
      </c>
      <c r="K79" s="19">
        <v>198</v>
      </c>
      <c r="L79" s="19">
        <v>9686</v>
      </c>
      <c r="M79" s="19">
        <v>472</v>
      </c>
      <c r="N79" s="19">
        <v>650</v>
      </c>
      <c r="O79" s="19">
        <v>11</v>
      </c>
      <c r="P79" s="19">
        <v>21</v>
      </c>
      <c r="Q79" s="19">
        <v>4</v>
      </c>
      <c r="R79" s="19">
        <v>223</v>
      </c>
      <c r="S79" s="19">
        <v>138</v>
      </c>
      <c r="T79" s="19">
        <v>18</v>
      </c>
      <c r="U79" s="20">
        <v>268771</v>
      </c>
      <c r="V79" s="19">
        <v>140</v>
      </c>
      <c r="W79" s="19">
        <v>5</v>
      </c>
      <c r="X79" s="19">
        <v>108</v>
      </c>
    </row>
    <row r="80" spans="1:24" x14ac:dyDescent="0.15">
      <c r="A80" s="19" t="s">
        <v>70</v>
      </c>
      <c r="B80" s="26">
        <v>2024</v>
      </c>
      <c r="C80" s="19">
        <v>11</v>
      </c>
      <c r="D80" s="19">
        <v>5</v>
      </c>
      <c r="E80" s="19">
        <v>9</v>
      </c>
      <c r="F80" s="19">
        <v>11</v>
      </c>
      <c r="G80" s="19">
        <v>19</v>
      </c>
      <c r="H80" s="19">
        <v>19</v>
      </c>
      <c r="I80" s="19">
        <v>19</v>
      </c>
      <c r="J80" s="19">
        <v>30</v>
      </c>
      <c r="K80" s="19">
        <v>214</v>
      </c>
      <c r="L80" s="19">
        <v>6915</v>
      </c>
      <c r="M80" s="19">
        <v>1513</v>
      </c>
      <c r="N80" s="19">
        <v>2029</v>
      </c>
      <c r="O80" s="19">
        <v>15</v>
      </c>
      <c r="P80" s="19">
        <v>16</v>
      </c>
      <c r="Q80" s="19">
        <v>1</v>
      </c>
      <c r="R80" s="19">
        <v>103</v>
      </c>
      <c r="S80" s="19">
        <v>265</v>
      </c>
      <c r="T80" s="19">
        <v>84</v>
      </c>
      <c r="U80" s="20">
        <v>269810</v>
      </c>
      <c r="V80" s="19">
        <v>148</v>
      </c>
      <c r="W80" s="19">
        <v>5</v>
      </c>
      <c r="X80" s="19">
        <v>108</v>
      </c>
    </row>
    <row r="81" spans="1:24" x14ac:dyDescent="0.15">
      <c r="A81" s="19" t="s">
        <v>70</v>
      </c>
      <c r="B81" s="26">
        <v>2025</v>
      </c>
      <c r="C81" s="19">
        <v>11</v>
      </c>
      <c r="D81" s="19">
        <v>5</v>
      </c>
      <c r="E81" s="19">
        <v>10</v>
      </c>
      <c r="F81" s="19">
        <v>12</v>
      </c>
      <c r="G81" s="19">
        <v>19</v>
      </c>
      <c r="H81" s="19">
        <v>19</v>
      </c>
      <c r="I81" s="19">
        <v>10</v>
      </c>
      <c r="J81" s="19">
        <v>26</v>
      </c>
      <c r="K81" s="19">
        <v>145</v>
      </c>
      <c r="L81" s="19">
        <v>2323</v>
      </c>
      <c r="M81" s="19">
        <v>1022</v>
      </c>
      <c r="N81" s="19">
        <v>3304</v>
      </c>
      <c r="O81" s="19">
        <v>11</v>
      </c>
      <c r="P81" s="19">
        <v>25</v>
      </c>
      <c r="Q81" s="19">
        <v>5</v>
      </c>
      <c r="R81" s="19">
        <v>50</v>
      </c>
      <c r="S81" s="19">
        <v>252</v>
      </c>
      <c r="T81" s="19">
        <v>74</v>
      </c>
      <c r="U81" s="20">
        <v>269934</v>
      </c>
      <c r="V81" s="19">
        <v>146</v>
      </c>
      <c r="W81" s="19">
        <v>6</v>
      </c>
      <c r="X81" s="19">
        <v>116</v>
      </c>
    </row>
    <row r="82" spans="1:24" x14ac:dyDescent="0.15">
      <c r="A82" s="19" t="s">
        <v>71</v>
      </c>
      <c r="B82" s="27">
        <v>2010</v>
      </c>
      <c r="C82" s="18"/>
      <c r="D82" s="18"/>
      <c r="E82" s="19">
        <v>2</v>
      </c>
      <c r="F82" s="19">
        <v>4</v>
      </c>
      <c r="G82" s="18"/>
      <c r="H82" s="18"/>
      <c r="U82" s="20">
        <v>258270</v>
      </c>
      <c r="V82" s="19">
        <v>48</v>
      </c>
      <c r="W82" s="19">
        <v>4</v>
      </c>
      <c r="X82" s="19">
        <v>40</v>
      </c>
    </row>
    <row r="83" spans="1:24" x14ac:dyDescent="0.15">
      <c r="A83" s="19" t="s">
        <v>71</v>
      </c>
      <c r="B83" s="27">
        <v>2011</v>
      </c>
      <c r="C83" s="18"/>
      <c r="D83" s="18"/>
      <c r="E83" s="18"/>
      <c r="F83" s="19"/>
      <c r="G83" s="18"/>
      <c r="H83" s="18"/>
      <c r="U83" s="20">
        <v>259186</v>
      </c>
      <c r="V83" s="19">
        <v>51</v>
      </c>
      <c r="W83" s="19">
        <v>4</v>
      </c>
      <c r="X83" s="19">
        <v>30</v>
      </c>
    </row>
    <row r="84" spans="1:24" x14ac:dyDescent="0.15">
      <c r="A84" s="19" t="s">
        <v>71</v>
      </c>
      <c r="B84" s="27">
        <v>2012</v>
      </c>
      <c r="C84" s="19">
        <v>2</v>
      </c>
      <c r="D84" s="18"/>
      <c r="E84" s="19">
        <v>2</v>
      </c>
      <c r="F84" s="19">
        <v>4</v>
      </c>
      <c r="G84" s="19">
        <v>2</v>
      </c>
      <c r="H84" s="19">
        <v>2</v>
      </c>
      <c r="U84" s="20">
        <v>260393</v>
      </c>
      <c r="V84" s="19">
        <v>55</v>
      </c>
      <c r="W84" s="19">
        <v>4</v>
      </c>
      <c r="X84" s="19">
        <v>31</v>
      </c>
    </row>
    <row r="85" spans="1:24" x14ac:dyDescent="0.15">
      <c r="A85" s="19" t="s">
        <v>71</v>
      </c>
      <c r="B85" s="27">
        <v>2013</v>
      </c>
      <c r="C85" s="19">
        <v>2</v>
      </c>
      <c r="D85" s="18"/>
      <c r="E85" s="19">
        <v>2</v>
      </c>
      <c r="F85" s="19">
        <v>4</v>
      </c>
      <c r="G85" s="19">
        <v>2</v>
      </c>
      <c r="H85" s="19">
        <v>2</v>
      </c>
      <c r="U85" s="20">
        <v>261723</v>
      </c>
      <c r="V85" s="19">
        <v>43</v>
      </c>
      <c r="W85" s="19">
        <v>4</v>
      </c>
      <c r="X85" s="19">
        <v>25</v>
      </c>
    </row>
    <row r="86" spans="1:24" x14ac:dyDescent="0.15">
      <c r="A86" s="19" t="s">
        <v>71</v>
      </c>
      <c r="B86" s="27">
        <v>2014</v>
      </c>
      <c r="C86" s="19">
        <v>2</v>
      </c>
      <c r="D86" s="18"/>
      <c r="E86" s="19">
        <v>2</v>
      </c>
      <c r="F86" s="19">
        <v>5</v>
      </c>
      <c r="G86" s="19">
        <v>4</v>
      </c>
      <c r="H86" s="19">
        <v>4</v>
      </c>
      <c r="U86" s="20">
        <v>263093</v>
      </c>
      <c r="V86" s="19">
        <v>52</v>
      </c>
      <c r="W86" s="19">
        <v>3</v>
      </c>
      <c r="X86" s="19">
        <v>29</v>
      </c>
    </row>
    <row r="87" spans="1:24" x14ac:dyDescent="0.15">
      <c r="A87" s="19" t="s">
        <v>71</v>
      </c>
      <c r="B87" s="26">
        <v>2015</v>
      </c>
      <c r="C87" s="19">
        <v>3</v>
      </c>
      <c r="D87" s="18"/>
      <c r="E87" s="19">
        <v>2</v>
      </c>
      <c r="F87" s="19">
        <v>5</v>
      </c>
      <c r="G87" s="19">
        <v>6</v>
      </c>
      <c r="H87" s="19">
        <v>6</v>
      </c>
      <c r="U87" s="20">
        <v>264492</v>
      </c>
      <c r="V87" s="19">
        <v>57</v>
      </c>
      <c r="W87" s="19">
        <v>2</v>
      </c>
      <c r="X87" s="19">
        <v>32</v>
      </c>
    </row>
    <row r="88" spans="1:24" x14ac:dyDescent="0.15">
      <c r="A88" s="19" t="s">
        <v>71</v>
      </c>
      <c r="B88" s="26">
        <v>2016</v>
      </c>
      <c r="C88" s="19">
        <v>4</v>
      </c>
      <c r="D88" s="18"/>
      <c r="E88" s="19">
        <v>3</v>
      </c>
      <c r="F88" s="19">
        <v>5</v>
      </c>
      <c r="G88" s="19">
        <v>6</v>
      </c>
      <c r="H88" s="19">
        <v>6</v>
      </c>
      <c r="U88" s="20">
        <v>265663</v>
      </c>
      <c r="V88" s="19">
        <v>72</v>
      </c>
      <c r="W88" s="19">
        <v>2</v>
      </c>
      <c r="X88" s="19">
        <v>36</v>
      </c>
    </row>
    <row r="89" spans="1:24" x14ac:dyDescent="0.15">
      <c r="A89" s="19" t="s">
        <v>71</v>
      </c>
      <c r="B89" s="26">
        <v>2017</v>
      </c>
      <c r="C89" s="19">
        <v>4</v>
      </c>
      <c r="D89" s="18"/>
      <c r="E89" s="19">
        <v>3</v>
      </c>
      <c r="F89" s="19">
        <v>4</v>
      </c>
      <c r="G89" s="19">
        <v>6</v>
      </c>
      <c r="H89" s="19">
        <v>6</v>
      </c>
      <c r="U89" s="20">
        <v>266568</v>
      </c>
      <c r="V89" s="19">
        <v>41</v>
      </c>
      <c r="W89" s="19">
        <v>1</v>
      </c>
      <c r="X89" s="19">
        <v>34</v>
      </c>
    </row>
    <row r="90" spans="1:24" x14ac:dyDescent="0.15">
      <c r="A90" s="19" t="s">
        <v>71</v>
      </c>
      <c r="B90" s="26">
        <v>2018</v>
      </c>
      <c r="C90" s="19">
        <v>6</v>
      </c>
      <c r="D90" s="18"/>
      <c r="E90" s="19">
        <v>3</v>
      </c>
      <c r="F90" s="19">
        <v>6</v>
      </c>
      <c r="G90" s="19">
        <v>6</v>
      </c>
      <c r="H90" s="19">
        <v>6</v>
      </c>
      <c r="U90" s="20">
        <v>267318</v>
      </c>
      <c r="V90" s="19">
        <v>38</v>
      </c>
      <c r="W90" s="19">
        <v>1</v>
      </c>
      <c r="X90" s="19">
        <v>30</v>
      </c>
    </row>
    <row r="91" spans="1:24" x14ac:dyDescent="0.15">
      <c r="A91" s="19" t="s">
        <v>71</v>
      </c>
      <c r="B91" s="26">
        <v>2019</v>
      </c>
      <c r="C91" s="19">
        <v>6</v>
      </c>
      <c r="D91" s="18"/>
      <c r="E91" s="19">
        <v>3</v>
      </c>
      <c r="F91" s="19">
        <v>6</v>
      </c>
      <c r="G91" s="19">
        <v>6</v>
      </c>
      <c r="H91" s="19">
        <v>6</v>
      </c>
      <c r="L91" s="19">
        <v>92</v>
      </c>
      <c r="M91" s="19">
        <v>810</v>
      </c>
      <c r="N91" s="19">
        <v>478</v>
      </c>
      <c r="U91" s="20">
        <v>267971</v>
      </c>
      <c r="V91" s="19">
        <v>29</v>
      </c>
      <c r="W91" s="19">
        <v>1</v>
      </c>
      <c r="X91" s="19">
        <v>26</v>
      </c>
    </row>
    <row r="92" spans="1:24" x14ac:dyDescent="0.15">
      <c r="A92" s="19" t="s">
        <v>71</v>
      </c>
      <c r="B92" s="26">
        <v>2020</v>
      </c>
      <c r="C92" s="19">
        <v>8</v>
      </c>
      <c r="D92" s="18"/>
      <c r="E92" s="19">
        <v>3</v>
      </c>
      <c r="F92" s="19">
        <v>6</v>
      </c>
      <c r="G92" s="19">
        <v>9</v>
      </c>
      <c r="H92" s="19">
        <v>9</v>
      </c>
      <c r="L92" s="19">
        <v>69</v>
      </c>
      <c r="M92" s="19">
        <v>277</v>
      </c>
      <c r="N92" s="19">
        <v>1462</v>
      </c>
      <c r="U92" s="20">
        <v>268441</v>
      </c>
      <c r="V92" s="19">
        <v>40</v>
      </c>
      <c r="W92" s="19">
        <v>1</v>
      </c>
      <c r="X92" s="19">
        <v>39</v>
      </c>
    </row>
    <row r="93" spans="1:24" x14ac:dyDescent="0.15">
      <c r="A93" s="19" t="s">
        <v>71</v>
      </c>
      <c r="B93" s="26">
        <v>2021</v>
      </c>
      <c r="C93" s="19">
        <v>12</v>
      </c>
      <c r="D93" s="18"/>
      <c r="E93" s="19">
        <v>1</v>
      </c>
      <c r="F93" s="19">
        <v>6</v>
      </c>
      <c r="G93" s="19">
        <v>15</v>
      </c>
      <c r="H93" s="19">
        <v>15</v>
      </c>
      <c r="L93" s="19">
        <v>5509</v>
      </c>
      <c r="M93" s="19">
        <v>12</v>
      </c>
      <c r="N93" s="19">
        <v>131</v>
      </c>
      <c r="U93" s="20">
        <v>268509</v>
      </c>
      <c r="V93" s="19">
        <v>45</v>
      </c>
      <c r="W93" s="19">
        <v>0</v>
      </c>
      <c r="X93" s="19">
        <v>43</v>
      </c>
    </row>
    <row r="94" spans="1:24" x14ac:dyDescent="0.15">
      <c r="A94" s="19" t="s">
        <v>71</v>
      </c>
      <c r="B94" s="26">
        <v>2022</v>
      </c>
      <c r="C94" s="19">
        <v>16</v>
      </c>
      <c r="D94" s="19">
        <v>1</v>
      </c>
      <c r="E94" s="19">
        <v>1</v>
      </c>
      <c r="F94" s="19">
        <v>6</v>
      </c>
      <c r="G94" s="19">
        <v>17</v>
      </c>
      <c r="H94" s="19">
        <v>17</v>
      </c>
      <c r="L94" s="19">
        <v>6356</v>
      </c>
      <c r="M94" s="19">
        <v>646</v>
      </c>
      <c r="N94" s="19">
        <v>203</v>
      </c>
      <c r="U94" s="20">
        <v>268394</v>
      </c>
      <c r="V94" s="19">
        <v>49</v>
      </c>
      <c r="W94" s="19">
        <v>0</v>
      </c>
      <c r="X94" s="19">
        <v>43</v>
      </c>
    </row>
    <row r="95" spans="1:24" x14ac:dyDescent="0.15">
      <c r="A95" s="19" t="s">
        <v>71</v>
      </c>
      <c r="B95" s="26">
        <v>2023</v>
      </c>
      <c r="C95" s="19">
        <v>17</v>
      </c>
      <c r="D95" s="19">
        <v>1</v>
      </c>
      <c r="E95" s="19">
        <v>1</v>
      </c>
      <c r="F95" s="19">
        <v>5</v>
      </c>
      <c r="G95" s="19">
        <v>20</v>
      </c>
      <c r="H95" s="19">
        <v>20</v>
      </c>
      <c r="L95" s="19">
        <v>1431</v>
      </c>
      <c r="M95" s="19">
        <v>353</v>
      </c>
      <c r="N95" s="19">
        <v>938</v>
      </c>
      <c r="U95" s="20">
        <v>268309</v>
      </c>
      <c r="V95" s="19">
        <v>48</v>
      </c>
      <c r="W95" s="19">
        <v>0</v>
      </c>
      <c r="X95" s="19">
        <v>41</v>
      </c>
    </row>
    <row r="96" spans="1:24" x14ac:dyDescent="0.15">
      <c r="A96" s="19" t="s">
        <v>71</v>
      </c>
      <c r="B96" s="26">
        <v>2024</v>
      </c>
      <c r="C96" s="19">
        <v>17</v>
      </c>
      <c r="D96" s="19">
        <v>1</v>
      </c>
      <c r="E96" s="19">
        <v>1</v>
      </c>
      <c r="F96" s="19">
        <v>4</v>
      </c>
      <c r="G96" s="19">
        <v>33</v>
      </c>
      <c r="H96" s="19">
        <v>33</v>
      </c>
      <c r="L96" s="19">
        <v>621</v>
      </c>
      <c r="M96" s="19">
        <v>727</v>
      </c>
      <c r="N96" s="19">
        <v>786</v>
      </c>
      <c r="U96" s="20">
        <v>268367</v>
      </c>
      <c r="V96" s="19">
        <v>53</v>
      </c>
      <c r="W96" s="19">
        <v>0</v>
      </c>
      <c r="X96" s="19">
        <v>42</v>
      </c>
    </row>
    <row r="97" spans="1:24" x14ac:dyDescent="0.15">
      <c r="A97" s="19" t="s">
        <v>71</v>
      </c>
      <c r="B97" s="26">
        <v>2025</v>
      </c>
      <c r="C97" s="19">
        <v>18</v>
      </c>
      <c r="D97" s="19">
        <v>1</v>
      </c>
      <c r="E97" s="19">
        <v>2</v>
      </c>
      <c r="F97" s="19">
        <v>4</v>
      </c>
      <c r="G97" s="19">
        <v>30</v>
      </c>
      <c r="H97" s="19">
        <v>30</v>
      </c>
      <c r="L97" s="19">
        <v>653</v>
      </c>
      <c r="M97" s="19">
        <v>429</v>
      </c>
      <c r="N97" s="19">
        <v>56</v>
      </c>
      <c r="U97" s="20">
        <v>268425</v>
      </c>
      <c r="V97" s="19">
        <v>54</v>
      </c>
      <c r="W97" s="19">
        <v>1</v>
      </c>
      <c r="X97" s="19">
        <v>27</v>
      </c>
    </row>
    <row r="98" spans="1:24" x14ac:dyDescent="0.15">
      <c r="A98" s="19" t="s">
        <v>72</v>
      </c>
      <c r="B98" s="27">
        <v>2010</v>
      </c>
      <c r="C98" s="18"/>
      <c r="D98" s="18"/>
      <c r="E98" s="19">
        <v>21</v>
      </c>
      <c r="F98" s="19">
        <v>28</v>
      </c>
      <c r="G98" s="18"/>
      <c r="H98" s="18"/>
      <c r="U98" s="20">
        <v>272073</v>
      </c>
      <c r="V98" s="19">
        <v>136</v>
      </c>
      <c r="W98" s="19">
        <v>13</v>
      </c>
      <c r="X98" s="19">
        <v>160</v>
      </c>
    </row>
    <row r="99" spans="1:24" x14ac:dyDescent="0.15">
      <c r="A99" s="19" t="s">
        <v>72</v>
      </c>
      <c r="B99" s="27">
        <v>2011</v>
      </c>
      <c r="C99" s="18"/>
      <c r="D99" s="18"/>
      <c r="E99" s="18"/>
      <c r="F99" s="19"/>
      <c r="G99" s="18"/>
      <c r="H99" s="18"/>
      <c r="U99" s="20">
        <v>272696</v>
      </c>
      <c r="V99" s="19">
        <v>126</v>
      </c>
      <c r="W99" s="19">
        <v>11</v>
      </c>
      <c r="X99" s="19">
        <v>145</v>
      </c>
    </row>
    <row r="100" spans="1:24" x14ac:dyDescent="0.15">
      <c r="A100" s="19" t="s">
        <v>72</v>
      </c>
      <c r="B100" s="27">
        <v>2012</v>
      </c>
      <c r="C100" s="19">
        <v>4</v>
      </c>
      <c r="D100" s="19">
        <v>2</v>
      </c>
      <c r="E100" s="19">
        <v>19</v>
      </c>
      <c r="F100" s="19">
        <v>30</v>
      </c>
      <c r="G100" s="19">
        <v>31</v>
      </c>
      <c r="H100" s="19">
        <v>29</v>
      </c>
      <c r="U100" s="20">
        <v>273547</v>
      </c>
      <c r="V100" s="19">
        <v>142</v>
      </c>
      <c r="W100" s="19">
        <v>13</v>
      </c>
      <c r="X100" s="19">
        <v>153</v>
      </c>
    </row>
    <row r="101" spans="1:24" x14ac:dyDescent="0.15">
      <c r="A101" s="19" t="s">
        <v>72</v>
      </c>
      <c r="B101" s="27">
        <v>2013</v>
      </c>
      <c r="C101" s="19">
        <v>4</v>
      </c>
      <c r="D101" s="19">
        <v>2</v>
      </c>
      <c r="E101" s="19">
        <v>21</v>
      </c>
      <c r="F101" s="19">
        <v>30</v>
      </c>
      <c r="G101" s="19">
        <v>32</v>
      </c>
      <c r="H101" s="19">
        <v>30</v>
      </c>
      <c r="I101" s="19">
        <v>41</v>
      </c>
      <c r="J101" s="19">
        <v>21</v>
      </c>
      <c r="K101" s="19">
        <v>33</v>
      </c>
      <c r="U101" s="20">
        <v>274553</v>
      </c>
      <c r="V101" s="19">
        <v>134</v>
      </c>
      <c r="W101" s="19">
        <v>11</v>
      </c>
      <c r="X101" s="19">
        <v>161</v>
      </c>
    </row>
    <row r="102" spans="1:24" x14ac:dyDescent="0.15">
      <c r="A102" s="19" t="s">
        <v>72</v>
      </c>
      <c r="B102" s="27">
        <v>2014</v>
      </c>
      <c r="C102" s="19">
        <v>4</v>
      </c>
      <c r="D102" s="19">
        <v>2</v>
      </c>
      <c r="E102" s="19">
        <v>21</v>
      </c>
      <c r="F102" s="19">
        <v>30</v>
      </c>
      <c r="G102" s="19">
        <v>33</v>
      </c>
      <c r="H102" s="19">
        <v>31</v>
      </c>
      <c r="I102" s="19">
        <v>34</v>
      </c>
      <c r="J102" s="19">
        <v>14</v>
      </c>
      <c r="K102" s="19">
        <v>62</v>
      </c>
      <c r="U102" s="20">
        <v>275586</v>
      </c>
      <c r="V102" s="19">
        <v>129</v>
      </c>
      <c r="W102" s="19">
        <v>14</v>
      </c>
      <c r="X102" s="19">
        <v>165</v>
      </c>
    </row>
    <row r="103" spans="1:24" ht="14.25" customHeight="1" x14ac:dyDescent="0.15">
      <c r="A103" s="19" t="s">
        <v>72</v>
      </c>
      <c r="B103" s="26">
        <v>2015</v>
      </c>
      <c r="C103" s="19">
        <v>4</v>
      </c>
      <c r="D103" s="19">
        <v>2</v>
      </c>
      <c r="E103" s="19">
        <v>19</v>
      </c>
      <c r="F103" s="19">
        <v>30</v>
      </c>
      <c r="G103" s="19">
        <v>31</v>
      </c>
      <c r="H103" s="19">
        <v>29</v>
      </c>
      <c r="I103" s="19">
        <v>15</v>
      </c>
      <c r="J103" s="19">
        <v>19</v>
      </c>
      <c r="K103" s="19">
        <v>63</v>
      </c>
      <c r="U103" s="20">
        <v>276580</v>
      </c>
      <c r="V103" s="19">
        <v>135</v>
      </c>
      <c r="W103" s="19">
        <v>11</v>
      </c>
      <c r="X103" s="19">
        <v>173</v>
      </c>
    </row>
    <row r="104" spans="1:24" ht="14.25" customHeight="1" x14ac:dyDescent="0.15">
      <c r="A104" s="19" t="s">
        <v>72</v>
      </c>
      <c r="B104" s="26">
        <v>2016</v>
      </c>
      <c r="C104" s="19">
        <v>4</v>
      </c>
      <c r="D104" s="19">
        <v>2</v>
      </c>
      <c r="E104" s="19">
        <v>20</v>
      </c>
      <c r="F104" s="19">
        <v>30</v>
      </c>
      <c r="G104" s="19">
        <v>27</v>
      </c>
      <c r="H104" s="19">
        <v>26</v>
      </c>
      <c r="I104" s="19">
        <v>18</v>
      </c>
      <c r="J104" s="19">
        <v>7</v>
      </c>
      <c r="K104" s="19">
        <v>38</v>
      </c>
      <c r="U104" s="20">
        <v>277382</v>
      </c>
      <c r="V104" s="19">
        <v>144</v>
      </c>
      <c r="W104" s="19">
        <v>11</v>
      </c>
      <c r="X104" s="19">
        <v>166</v>
      </c>
    </row>
    <row r="105" spans="1:24" x14ac:dyDescent="0.15">
      <c r="A105" s="19" t="s">
        <v>72</v>
      </c>
      <c r="B105" s="26">
        <v>2017</v>
      </c>
      <c r="C105" s="19">
        <v>4</v>
      </c>
      <c r="D105" s="19">
        <v>2</v>
      </c>
      <c r="E105" s="19">
        <v>16</v>
      </c>
      <c r="F105" s="19">
        <v>25</v>
      </c>
      <c r="G105" s="19">
        <v>31</v>
      </c>
      <c r="H105" s="19">
        <v>29</v>
      </c>
      <c r="I105" s="19">
        <v>26</v>
      </c>
      <c r="J105" s="19">
        <v>27</v>
      </c>
      <c r="K105" s="19">
        <v>69</v>
      </c>
      <c r="U105" s="20">
        <v>277965</v>
      </c>
      <c r="V105" s="19">
        <v>163</v>
      </c>
      <c r="W105" s="19">
        <v>9</v>
      </c>
      <c r="X105" s="19">
        <v>155</v>
      </c>
    </row>
    <row r="106" spans="1:24" x14ac:dyDescent="0.15">
      <c r="A106" s="19" t="s">
        <v>72</v>
      </c>
      <c r="B106" s="26">
        <v>2018</v>
      </c>
      <c r="C106" s="19">
        <v>4</v>
      </c>
      <c r="D106" s="19">
        <v>2</v>
      </c>
      <c r="E106" s="19">
        <v>18</v>
      </c>
      <c r="F106" s="19">
        <v>28</v>
      </c>
      <c r="G106" s="19">
        <v>23</v>
      </c>
      <c r="H106" s="19">
        <v>21</v>
      </c>
      <c r="I106" s="19">
        <v>39</v>
      </c>
      <c r="J106" s="19">
        <v>28</v>
      </c>
      <c r="K106" s="19">
        <v>82</v>
      </c>
      <c r="U106" s="20">
        <v>278480</v>
      </c>
      <c r="V106" s="19">
        <v>176</v>
      </c>
      <c r="W106" s="19">
        <v>10</v>
      </c>
      <c r="X106" s="19">
        <v>157</v>
      </c>
    </row>
    <row r="107" spans="1:24" x14ac:dyDescent="0.15">
      <c r="A107" s="19" t="s">
        <v>72</v>
      </c>
      <c r="B107" s="26">
        <v>2019</v>
      </c>
      <c r="C107" s="19">
        <v>6</v>
      </c>
      <c r="D107" s="19">
        <v>1</v>
      </c>
      <c r="E107" s="19">
        <v>17</v>
      </c>
      <c r="F107" s="19">
        <v>28</v>
      </c>
      <c r="I107" s="19">
        <v>46</v>
      </c>
      <c r="J107" s="19">
        <v>35</v>
      </c>
      <c r="K107" s="19">
        <v>91</v>
      </c>
      <c r="U107" s="20">
        <v>278960</v>
      </c>
      <c r="V107" s="19">
        <v>181</v>
      </c>
      <c r="W107" s="19">
        <v>11</v>
      </c>
      <c r="X107" s="19">
        <v>155</v>
      </c>
    </row>
    <row r="108" spans="1:24" x14ac:dyDescent="0.15">
      <c r="A108" s="19" t="s">
        <v>72</v>
      </c>
      <c r="B108" s="26">
        <v>2020</v>
      </c>
      <c r="C108" s="19">
        <v>6</v>
      </c>
      <c r="D108" s="19">
        <v>1</v>
      </c>
      <c r="E108" s="19">
        <v>9</v>
      </c>
      <c r="F108" s="19">
        <v>13</v>
      </c>
      <c r="G108" s="19">
        <v>12</v>
      </c>
      <c r="H108" s="19">
        <v>10</v>
      </c>
      <c r="I108" s="19">
        <v>24</v>
      </c>
      <c r="J108" s="19">
        <v>23</v>
      </c>
      <c r="K108" s="19">
        <v>74</v>
      </c>
      <c r="U108" s="20">
        <v>279176</v>
      </c>
      <c r="V108" s="19">
        <v>205</v>
      </c>
      <c r="W108" s="19">
        <v>12</v>
      </c>
      <c r="X108" s="19">
        <v>170</v>
      </c>
    </row>
    <row r="109" spans="1:24" x14ac:dyDescent="0.15">
      <c r="A109" s="19" t="s">
        <v>72</v>
      </c>
      <c r="B109" s="26">
        <v>2021</v>
      </c>
      <c r="C109" s="19">
        <v>10</v>
      </c>
      <c r="D109" s="19">
        <v>2</v>
      </c>
      <c r="E109" s="19">
        <v>10</v>
      </c>
      <c r="F109" s="19">
        <v>14</v>
      </c>
      <c r="G109" s="19">
        <v>13</v>
      </c>
      <c r="H109" s="19">
        <v>11</v>
      </c>
      <c r="I109" s="19">
        <v>31</v>
      </c>
      <c r="J109" s="19">
        <v>26</v>
      </c>
      <c r="K109" s="19">
        <v>97</v>
      </c>
      <c r="L109" s="19">
        <v>29</v>
      </c>
      <c r="M109" s="19">
        <v>165</v>
      </c>
      <c r="N109" s="19">
        <v>231</v>
      </c>
      <c r="O109" s="19">
        <v>0</v>
      </c>
      <c r="P109" s="19">
        <v>2</v>
      </c>
      <c r="Q109" s="19">
        <v>1</v>
      </c>
      <c r="U109" s="20">
        <v>278865</v>
      </c>
      <c r="V109" s="19">
        <v>228</v>
      </c>
      <c r="W109" s="19">
        <v>10</v>
      </c>
      <c r="X109" s="19">
        <v>159</v>
      </c>
    </row>
    <row r="110" spans="1:24" x14ac:dyDescent="0.15">
      <c r="A110" s="19" t="s">
        <v>72</v>
      </c>
      <c r="B110" s="26">
        <v>2022</v>
      </c>
      <c r="C110" s="19">
        <v>11</v>
      </c>
      <c r="D110" s="19">
        <v>2</v>
      </c>
      <c r="E110" s="19">
        <v>11</v>
      </c>
      <c r="F110" s="19">
        <v>14</v>
      </c>
      <c r="G110" s="19">
        <v>12</v>
      </c>
      <c r="H110" s="19">
        <v>10</v>
      </c>
      <c r="I110" s="19">
        <v>22</v>
      </c>
      <c r="J110" s="19">
        <v>28</v>
      </c>
      <c r="K110" s="19">
        <v>89</v>
      </c>
      <c r="L110" s="19">
        <v>1012</v>
      </c>
      <c r="M110" s="19">
        <v>1140</v>
      </c>
      <c r="N110" s="19">
        <v>2447</v>
      </c>
      <c r="O110" s="19">
        <v>3</v>
      </c>
      <c r="P110" s="19">
        <v>9</v>
      </c>
      <c r="Q110" s="19">
        <v>4</v>
      </c>
      <c r="R110" s="19">
        <v>10</v>
      </c>
      <c r="T110" s="19">
        <v>3</v>
      </c>
      <c r="U110" s="20">
        <v>278431</v>
      </c>
      <c r="V110" s="19">
        <v>230</v>
      </c>
      <c r="W110" s="19">
        <v>11</v>
      </c>
      <c r="X110" s="19">
        <v>150</v>
      </c>
    </row>
    <row r="111" spans="1:24" x14ac:dyDescent="0.15">
      <c r="A111" s="19" t="s">
        <v>72</v>
      </c>
      <c r="B111" s="26">
        <v>2023</v>
      </c>
      <c r="C111" s="19">
        <v>12</v>
      </c>
      <c r="D111" s="19">
        <v>3</v>
      </c>
      <c r="E111" s="19">
        <v>11</v>
      </c>
      <c r="F111" s="19">
        <v>15</v>
      </c>
      <c r="G111" s="19">
        <v>11</v>
      </c>
      <c r="H111" s="19">
        <v>10</v>
      </c>
      <c r="I111" s="19">
        <v>36</v>
      </c>
      <c r="J111" s="19">
        <v>30</v>
      </c>
      <c r="K111" s="19">
        <v>213</v>
      </c>
      <c r="L111" s="19">
        <v>2579</v>
      </c>
      <c r="M111" s="19">
        <v>2260</v>
      </c>
      <c r="N111" s="19">
        <v>3863</v>
      </c>
      <c r="O111" s="19">
        <v>2</v>
      </c>
      <c r="P111" s="19">
        <v>22</v>
      </c>
      <c r="Q111" s="19">
        <v>20</v>
      </c>
      <c r="S111" s="19">
        <v>29</v>
      </c>
      <c r="T111" s="19">
        <v>211</v>
      </c>
      <c r="U111" s="20">
        <v>278204</v>
      </c>
      <c r="V111" s="19">
        <v>223</v>
      </c>
      <c r="W111" s="19">
        <v>10</v>
      </c>
      <c r="X111" s="19">
        <v>149</v>
      </c>
    </row>
    <row r="112" spans="1:24" x14ac:dyDescent="0.15">
      <c r="A112" s="19" t="s">
        <v>72</v>
      </c>
      <c r="B112" s="26">
        <v>2024</v>
      </c>
      <c r="C112" s="19">
        <v>11</v>
      </c>
      <c r="D112" s="19">
        <v>3</v>
      </c>
      <c r="E112" s="19">
        <v>12</v>
      </c>
      <c r="F112" s="19">
        <v>15</v>
      </c>
      <c r="G112" s="19">
        <v>11</v>
      </c>
      <c r="H112" s="19">
        <v>10</v>
      </c>
      <c r="I112" s="19">
        <v>22</v>
      </c>
      <c r="J112" s="19">
        <v>28</v>
      </c>
      <c r="K112" s="19">
        <v>329</v>
      </c>
      <c r="L112" s="19">
        <v>989</v>
      </c>
      <c r="M112" s="19">
        <v>1424</v>
      </c>
      <c r="N112" s="19">
        <v>3187</v>
      </c>
      <c r="O112" s="19">
        <v>3</v>
      </c>
      <c r="P112" s="19">
        <v>25</v>
      </c>
      <c r="Q112" s="19">
        <v>6</v>
      </c>
      <c r="U112" s="20">
        <v>278069</v>
      </c>
      <c r="V112" s="19">
        <v>231</v>
      </c>
      <c r="W112" s="19">
        <v>9</v>
      </c>
      <c r="X112" s="19">
        <v>144</v>
      </c>
    </row>
    <row r="113" spans="1:24" x14ac:dyDescent="0.15">
      <c r="A113" s="19" t="s">
        <v>72</v>
      </c>
      <c r="B113" s="26">
        <v>2025</v>
      </c>
      <c r="C113" s="19">
        <v>12</v>
      </c>
      <c r="D113" s="19">
        <v>3</v>
      </c>
      <c r="E113" s="19">
        <v>12</v>
      </c>
      <c r="F113" s="19">
        <v>16</v>
      </c>
      <c r="G113" s="19">
        <v>11</v>
      </c>
      <c r="H113" s="19">
        <v>9</v>
      </c>
      <c r="I113" s="19">
        <v>19</v>
      </c>
      <c r="J113" s="19">
        <v>17</v>
      </c>
      <c r="K113" s="19">
        <v>217</v>
      </c>
      <c r="L113" s="19">
        <v>762</v>
      </c>
      <c r="M113" s="19">
        <v>833</v>
      </c>
      <c r="N113" s="19">
        <v>3486</v>
      </c>
      <c r="O113" s="19">
        <v>5</v>
      </c>
      <c r="P113" s="19">
        <v>14</v>
      </c>
      <c r="Q113" s="19">
        <v>3</v>
      </c>
      <c r="R113" s="19" t="s">
        <v>24</v>
      </c>
      <c r="S113" s="19" t="s">
        <v>24</v>
      </c>
      <c r="T113" s="19" t="s">
        <v>24</v>
      </c>
      <c r="U113" s="20">
        <v>278102</v>
      </c>
      <c r="V113" s="19">
        <v>249</v>
      </c>
      <c r="W113" s="19">
        <v>11</v>
      </c>
      <c r="X113" s="19">
        <v>157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DF7FF-189B-4EBA-BF77-A915D102BE2D}">
  <dimension ref="A1:AA16"/>
  <sheetViews>
    <sheetView topLeftCell="E1" workbookViewId="0">
      <selection activeCell="I1" sqref="I1"/>
    </sheetView>
  </sheetViews>
  <sheetFormatPr baseColWidth="10" defaultColWidth="8.83203125" defaultRowHeight="15" x14ac:dyDescent="0.2"/>
  <cols>
    <col min="1" max="4" width="21.6640625" style="10" customWidth="1"/>
    <col min="5" max="5" width="41.5" style="13" customWidth="1"/>
    <col min="6" max="6" width="30.1640625" style="13" customWidth="1"/>
    <col min="7" max="7" width="21.1640625" style="10" customWidth="1"/>
    <col min="8" max="8" width="20" style="10" customWidth="1"/>
    <col min="9" max="9" width="18.83203125" style="10" customWidth="1"/>
    <col min="10" max="10" width="8.6640625" style="10" customWidth="1"/>
    <col min="11" max="11" width="13.6640625" style="10" customWidth="1"/>
    <col min="12" max="12" width="12.1640625" style="10" customWidth="1"/>
    <col min="13" max="13" width="14.33203125" style="10" customWidth="1"/>
    <col min="14" max="14" width="13" style="10" customWidth="1"/>
    <col min="15" max="16" width="13.83203125" style="10" customWidth="1"/>
    <col min="17" max="17" width="14.33203125" style="10" customWidth="1"/>
    <col min="18" max="18" width="13.83203125" style="10" customWidth="1"/>
    <col min="19" max="19" width="13.5" style="10" customWidth="1"/>
    <col min="20" max="20" width="14.1640625" style="10" customWidth="1"/>
    <col min="21" max="21" width="13.83203125" style="10" customWidth="1"/>
    <col min="22" max="22" width="13.1640625" style="10" customWidth="1"/>
    <col min="23" max="23" width="13.83203125" style="10" customWidth="1"/>
    <col min="24" max="24" width="15" style="10" customWidth="1"/>
    <col min="25" max="25" width="12.6640625" style="10" customWidth="1"/>
    <col min="26" max="27" width="9.1640625" style="10"/>
  </cols>
  <sheetData>
    <row r="1" spans="1:8" x14ac:dyDescent="0.2">
      <c r="A1" s="23" t="s">
        <v>10</v>
      </c>
      <c r="B1" s="24"/>
      <c r="C1" s="23" t="s">
        <v>11</v>
      </c>
      <c r="D1" s="24"/>
      <c r="E1" s="6" t="s">
        <v>20</v>
      </c>
      <c r="F1" s="6" t="s">
        <v>21</v>
      </c>
      <c r="G1" s="6" t="s">
        <v>16</v>
      </c>
      <c r="H1" s="6" t="s">
        <v>18</v>
      </c>
    </row>
    <row r="2" spans="1:8" ht="104" x14ac:dyDescent="0.2">
      <c r="A2" s="7" t="s">
        <v>12</v>
      </c>
      <c r="B2" s="7" t="s">
        <v>13</v>
      </c>
      <c r="C2" s="7" t="s">
        <v>14</v>
      </c>
      <c r="D2" s="7" t="s">
        <v>15</v>
      </c>
      <c r="E2" s="12" t="s">
        <v>22</v>
      </c>
      <c r="F2" s="12" t="s">
        <v>23</v>
      </c>
      <c r="G2" s="12" t="s">
        <v>17</v>
      </c>
      <c r="H2" s="12" t="s">
        <v>19</v>
      </c>
    </row>
    <row r="3" spans="1:8" x14ac:dyDescent="0.2">
      <c r="A3" s="8"/>
      <c r="B3" s="9"/>
      <c r="C3" s="8"/>
      <c r="D3" s="8"/>
    </row>
    <row r="4" spans="1:8" x14ac:dyDescent="0.2">
      <c r="A4" s="10">
        <v>19246</v>
      </c>
      <c r="B4" s="9">
        <v>433035</v>
      </c>
      <c r="C4" s="10">
        <v>85272</v>
      </c>
      <c r="D4" s="9">
        <v>3837240</v>
      </c>
      <c r="E4" s="10">
        <v>641</v>
      </c>
      <c r="F4" s="10">
        <v>153</v>
      </c>
      <c r="G4" s="10">
        <v>6</v>
      </c>
      <c r="H4" s="10">
        <v>62</v>
      </c>
    </row>
    <row r="5" spans="1:8" x14ac:dyDescent="0.2">
      <c r="A5" s="10">
        <v>21302</v>
      </c>
      <c r="B5" s="9">
        <v>479295</v>
      </c>
      <c r="C5" s="10">
        <v>90391</v>
      </c>
      <c r="D5" s="9">
        <v>4067620</v>
      </c>
      <c r="E5" s="10">
        <v>692</v>
      </c>
      <c r="F5" s="10">
        <v>137</v>
      </c>
      <c r="G5" s="10">
        <v>11</v>
      </c>
      <c r="H5" s="10">
        <v>72</v>
      </c>
    </row>
    <row r="6" spans="1:8" x14ac:dyDescent="0.2">
      <c r="A6" s="10">
        <v>18628</v>
      </c>
      <c r="B6" s="9">
        <v>419130</v>
      </c>
      <c r="C6" s="10">
        <v>84931</v>
      </c>
      <c r="D6" s="9">
        <v>3822056.6</v>
      </c>
      <c r="E6" s="10">
        <v>585</v>
      </c>
      <c r="F6" s="10">
        <v>159</v>
      </c>
      <c r="G6" s="10">
        <v>9</v>
      </c>
      <c r="H6" s="10">
        <v>87</v>
      </c>
    </row>
    <row r="7" spans="1:8" x14ac:dyDescent="0.2">
      <c r="A7" s="10">
        <v>20979</v>
      </c>
      <c r="B7" s="9">
        <v>472027.5</v>
      </c>
      <c r="C7" s="10">
        <v>86695</v>
      </c>
      <c r="D7" s="9">
        <v>3902365.55</v>
      </c>
      <c r="E7" s="10">
        <v>638</v>
      </c>
      <c r="F7" s="10">
        <v>145</v>
      </c>
      <c r="G7" s="10">
        <v>4</v>
      </c>
      <c r="H7" s="10">
        <v>79</v>
      </c>
    </row>
    <row r="8" spans="1:8" x14ac:dyDescent="0.2">
      <c r="A8" s="10">
        <v>20283</v>
      </c>
      <c r="B8" s="9">
        <v>456367.5</v>
      </c>
      <c r="C8" s="10">
        <v>70874</v>
      </c>
      <c r="D8" s="9">
        <v>3190285.4</v>
      </c>
      <c r="E8" s="10">
        <v>664</v>
      </c>
      <c r="F8" s="10">
        <v>104</v>
      </c>
      <c r="G8" s="10">
        <v>9</v>
      </c>
      <c r="H8" s="10">
        <v>69</v>
      </c>
    </row>
    <row r="9" spans="1:8" x14ac:dyDescent="0.2">
      <c r="A9" s="10">
        <v>12527</v>
      </c>
      <c r="B9" s="9">
        <v>281857.5</v>
      </c>
      <c r="C9" s="10">
        <v>36818</v>
      </c>
      <c r="D9" s="9">
        <v>1657603</v>
      </c>
      <c r="E9" s="10">
        <v>575</v>
      </c>
      <c r="F9" s="10">
        <v>47</v>
      </c>
      <c r="G9" s="10">
        <v>3</v>
      </c>
      <c r="H9" s="10">
        <v>59</v>
      </c>
    </row>
    <row r="10" spans="1:8" x14ac:dyDescent="0.2">
      <c r="A10" s="10">
        <v>16711</v>
      </c>
      <c r="B10" s="9">
        <v>375997.5</v>
      </c>
      <c r="C10" s="10">
        <v>53946</v>
      </c>
      <c r="D10" s="9">
        <v>2430731.2999999998</v>
      </c>
      <c r="E10" s="10">
        <v>474</v>
      </c>
      <c r="F10" s="10">
        <v>50</v>
      </c>
      <c r="G10" s="10">
        <v>8</v>
      </c>
      <c r="H10" s="10">
        <v>93</v>
      </c>
    </row>
    <row r="11" spans="1:8" x14ac:dyDescent="0.2">
      <c r="A11" s="10">
        <v>18033</v>
      </c>
      <c r="B11" s="9">
        <v>405742.5</v>
      </c>
      <c r="C11" s="10">
        <v>66100</v>
      </c>
      <c r="D11" s="9">
        <v>2978088.8</v>
      </c>
      <c r="E11" s="10">
        <v>461</v>
      </c>
      <c r="F11" s="10">
        <v>62</v>
      </c>
      <c r="G11" s="10">
        <v>10</v>
      </c>
      <c r="H11" s="10">
        <v>111</v>
      </c>
    </row>
    <row r="12" spans="1:8" x14ac:dyDescent="0.2">
      <c r="A12" s="10">
        <v>14343</v>
      </c>
      <c r="B12" s="9">
        <v>322717.5</v>
      </c>
      <c r="C12" s="10">
        <v>83954</v>
      </c>
      <c r="D12" s="9">
        <v>3782497.2</v>
      </c>
      <c r="E12" s="10">
        <v>352</v>
      </c>
      <c r="F12" s="10">
        <v>55</v>
      </c>
      <c r="G12" s="10">
        <v>24</v>
      </c>
      <c r="H12" s="10">
        <v>355</v>
      </c>
    </row>
    <row r="13" spans="1:8" x14ac:dyDescent="0.2">
      <c r="A13" s="10">
        <v>17408</v>
      </c>
      <c r="B13" s="9">
        <v>391680</v>
      </c>
      <c r="C13" s="10">
        <v>92876</v>
      </c>
      <c r="D13" s="9">
        <v>4187416.6</v>
      </c>
      <c r="E13" s="10">
        <v>358</v>
      </c>
      <c r="F13" s="10">
        <v>57</v>
      </c>
      <c r="G13" s="10">
        <v>14</v>
      </c>
      <c r="H13" s="10">
        <v>2556</v>
      </c>
    </row>
    <row r="14" spans="1:8" x14ac:dyDescent="0.2">
      <c r="A14" s="10">
        <v>16236</v>
      </c>
      <c r="B14" s="9">
        <v>365310</v>
      </c>
      <c r="C14" s="10">
        <v>54213</v>
      </c>
      <c r="D14" s="9">
        <v>2445195.66</v>
      </c>
      <c r="E14" s="10">
        <v>302</v>
      </c>
      <c r="F14" s="10">
        <v>52</v>
      </c>
      <c r="G14" s="10">
        <v>120</v>
      </c>
      <c r="H14" s="10">
        <v>1515</v>
      </c>
    </row>
    <row r="15" spans="1:8" x14ac:dyDescent="0.2">
      <c r="A15" s="11">
        <f t="shared" ref="A15:H15" si="0">SUM(A4:A14)</f>
        <v>195696</v>
      </c>
      <c r="B15" s="9">
        <f t="shared" si="0"/>
        <v>4403160</v>
      </c>
      <c r="C15" s="10">
        <f t="shared" si="0"/>
        <v>806070</v>
      </c>
      <c r="D15" s="9">
        <f t="shared" si="0"/>
        <v>36301100.109999999</v>
      </c>
      <c r="E15" s="10">
        <f t="shared" si="0"/>
        <v>5742</v>
      </c>
      <c r="F15" s="10">
        <f t="shared" si="0"/>
        <v>1021</v>
      </c>
      <c r="G15" s="10">
        <f t="shared" si="0"/>
        <v>218</v>
      </c>
      <c r="H15" s="10">
        <f t="shared" si="0"/>
        <v>5058</v>
      </c>
    </row>
    <row r="16" spans="1:8" x14ac:dyDescent="0.2">
      <c r="A16" s="9"/>
      <c r="B16" s="9"/>
      <c r="C16" s="9"/>
      <c r="D16" s="9"/>
    </row>
  </sheetData>
  <mergeCells count="2">
    <mergeCell ref="A1:B1"/>
    <mergeCell ref="C1:D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614F2-DA77-4912-A508-97FB532AAB1F}">
  <dimension ref="A1:L25"/>
  <sheetViews>
    <sheetView workbookViewId="0">
      <selection activeCell="L16" sqref="L16"/>
    </sheetView>
  </sheetViews>
  <sheetFormatPr baseColWidth="10" defaultColWidth="8.83203125" defaultRowHeight="15" x14ac:dyDescent="0.2"/>
  <sheetData>
    <row r="1" spans="1:12" x14ac:dyDescent="0.2">
      <c r="A1" t="s">
        <v>25</v>
      </c>
    </row>
    <row r="2" spans="1:12" x14ac:dyDescent="0.2">
      <c r="A2" t="s">
        <v>26</v>
      </c>
    </row>
    <row r="3" spans="1:12" x14ac:dyDescent="0.2">
      <c r="A3" t="s">
        <v>27</v>
      </c>
    </row>
    <row r="4" spans="1:12" x14ac:dyDescent="0.2">
      <c r="A4" t="s">
        <v>28</v>
      </c>
    </row>
    <row r="5" spans="1:12" x14ac:dyDescent="0.2">
      <c r="A5" t="s">
        <v>29</v>
      </c>
    </row>
    <row r="6" spans="1:12" x14ac:dyDescent="0.2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38</v>
      </c>
      <c r="J6" t="s">
        <v>39</v>
      </c>
      <c r="K6" t="s">
        <v>40</v>
      </c>
      <c r="L6" t="s">
        <v>41</v>
      </c>
    </row>
    <row r="7" spans="1:12" x14ac:dyDescent="0.2">
      <c r="A7" t="s">
        <v>42</v>
      </c>
      <c r="B7">
        <v>1898</v>
      </c>
      <c r="C7">
        <v>1927</v>
      </c>
      <c r="D7">
        <v>2029</v>
      </c>
      <c r="E7">
        <v>2042</v>
      </c>
      <c r="F7">
        <v>2126</v>
      </c>
      <c r="G7">
        <v>2265</v>
      </c>
      <c r="H7">
        <v>2262</v>
      </c>
      <c r="I7">
        <v>2366</v>
      </c>
      <c r="J7">
        <v>2320</v>
      </c>
      <c r="K7">
        <v>2552</v>
      </c>
      <c r="L7">
        <v>2775</v>
      </c>
    </row>
    <row r="8" spans="1:12" x14ac:dyDescent="0.2">
      <c r="A8" t="s">
        <v>43</v>
      </c>
      <c r="B8">
        <v>1238</v>
      </c>
      <c r="C8">
        <v>1241</v>
      </c>
      <c r="D8">
        <v>1350</v>
      </c>
      <c r="E8">
        <v>1387</v>
      </c>
      <c r="F8">
        <v>1429</v>
      </c>
      <c r="G8">
        <v>1580</v>
      </c>
      <c r="H8">
        <v>1536</v>
      </c>
      <c r="I8">
        <v>1585</v>
      </c>
      <c r="J8">
        <v>1545</v>
      </c>
      <c r="K8">
        <v>1715</v>
      </c>
      <c r="L8">
        <v>1893</v>
      </c>
    </row>
    <row r="9" spans="1:12" x14ac:dyDescent="0.2">
      <c r="A9" t="s">
        <v>44</v>
      </c>
      <c r="B9">
        <v>1238</v>
      </c>
      <c r="C9">
        <v>1241</v>
      </c>
      <c r="D9">
        <v>1350</v>
      </c>
      <c r="E9">
        <v>1387</v>
      </c>
      <c r="F9">
        <v>1429</v>
      </c>
      <c r="G9">
        <v>1580</v>
      </c>
      <c r="H9">
        <v>1536</v>
      </c>
      <c r="I9">
        <v>1585</v>
      </c>
      <c r="J9">
        <v>1545</v>
      </c>
      <c r="K9">
        <v>1715</v>
      </c>
      <c r="L9">
        <v>1893</v>
      </c>
    </row>
    <row r="10" spans="1:12" x14ac:dyDescent="0.2">
      <c r="A10" t="s">
        <v>45</v>
      </c>
      <c r="B10">
        <v>195</v>
      </c>
      <c r="C10">
        <v>214</v>
      </c>
      <c r="D10">
        <v>208</v>
      </c>
      <c r="E10">
        <v>185</v>
      </c>
      <c r="F10">
        <v>190</v>
      </c>
      <c r="G10">
        <v>161</v>
      </c>
      <c r="H10">
        <v>155</v>
      </c>
      <c r="I10">
        <v>152</v>
      </c>
      <c r="J10">
        <v>141</v>
      </c>
      <c r="K10">
        <v>127</v>
      </c>
      <c r="L10">
        <v>131</v>
      </c>
    </row>
    <row r="11" spans="1:12" x14ac:dyDescent="0.2">
      <c r="A11" t="s">
        <v>46</v>
      </c>
      <c r="B11">
        <v>178</v>
      </c>
      <c r="C11">
        <v>193</v>
      </c>
      <c r="D11">
        <v>190</v>
      </c>
      <c r="E11">
        <v>168</v>
      </c>
      <c r="F11">
        <v>170</v>
      </c>
      <c r="G11">
        <v>143</v>
      </c>
      <c r="H11">
        <v>138</v>
      </c>
      <c r="I11">
        <v>135</v>
      </c>
      <c r="J11">
        <v>125</v>
      </c>
      <c r="K11">
        <v>113</v>
      </c>
      <c r="L11">
        <v>117</v>
      </c>
    </row>
    <row r="12" spans="1:12" x14ac:dyDescent="0.2">
      <c r="A12" t="s">
        <v>47</v>
      </c>
      <c r="B12">
        <v>17</v>
      </c>
      <c r="C12">
        <v>21</v>
      </c>
      <c r="D12">
        <v>18</v>
      </c>
      <c r="E12">
        <v>17</v>
      </c>
      <c r="F12">
        <v>20</v>
      </c>
      <c r="G12">
        <v>18</v>
      </c>
      <c r="H12">
        <v>17</v>
      </c>
      <c r="I12">
        <v>17</v>
      </c>
      <c r="J12">
        <v>16</v>
      </c>
      <c r="K12">
        <v>14</v>
      </c>
      <c r="L12">
        <v>14</v>
      </c>
    </row>
    <row r="13" spans="1:12" x14ac:dyDescent="0.2">
      <c r="A13" t="s">
        <v>48</v>
      </c>
      <c r="B13">
        <v>465</v>
      </c>
      <c r="C13">
        <v>472</v>
      </c>
      <c r="D13">
        <v>471</v>
      </c>
      <c r="E13">
        <v>470</v>
      </c>
      <c r="F13">
        <v>507</v>
      </c>
      <c r="G13">
        <v>524</v>
      </c>
      <c r="H13">
        <v>571</v>
      </c>
      <c r="I13">
        <v>629</v>
      </c>
      <c r="J13">
        <v>634</v>
      </c>
      <c r="K13">
        <v>710</v>
      </c>
      <c r="L13">
        <v>751</v>
      </c>
    </row>
    <row r="14" spans="1:12" x14ac:dyDescent="0.2">
      <c r="A14" t="s">
        <v>49</v>
      </c>
      <c r="B14">
        <v>410</v>
      </c>
      <c r="C14">
        <v>409</v>
      </c>
      <c r="D14">
        <v>393</v>
      </c>
      <c r="E14">
        <v>384</v>
      </c>
      <c r="F14">
        <v>407</v>
      </c>
      <c r="G14">
        <v>416</v>
      </c>
      <c r="H14">
        <v>428</v>
      </c>
      <c r="I14">
        <v>475</v>
      </c>
      <c r="J14">
        <v>466</v>
      </c>
      <c r="K14">
        <v>506</v>
      </c>
      <c r="L14">
        <v>523</v>
      </c>
    </row>
    <row r="15" spans="1:12" x14ac:dyDescent="0.2">
      <c r="A15" t="s">
        <v>50</v>
      </c>
      <c r="B15">
        <v>55</v>
      </c>
      <c r="C15">
        <v>63</v>
      </c>
      <c r="D15">
        <v>78</v>
      </c>
      <c r="E15">
        <v>86</v>
      </c>
      <c r="F15">
        <v>100</v>
      </c>
      <c r="G15">
        <v>108</v>
      </c>
      <c r="H15">
        <v>143</v>
      </c>
      <c r="I15">
        <v>154</v>
      </c>
      <c r="J15">
        <v>168</v>
      </c>
      <c r="K15">
        <v>204</v>
      </c>
      <c r="L15">
        <v>228</v>
      </c>
    </row>
    <row r="16" spans="1:12" x14ac:dyDescent="0.2">
      <c r="A16" t="s">
        <v>9</v>
      </c>
      <c r="B16">
        <v>1898</v>
      </c>
      <c r="C16">
        <v>1927</v>
      </c>
      <c r="D16">
        <v>2029</v>
      </c>
      <c r="E16">
        <v>2042</v>
      </c>
      <c r="F16">
        <v>2126</v>
      </c>
      <c r="G16">
        <v>2265</v>
      </c>
      <c r="H16">
        <v>2262</v>
      </c>
      <c r="I16">
        <v>2366</v>
      </c>
      <c r="J16">
        <v>2320</v>
      </c>
      <c r="K16">
        <v>2552</v>
      </c>
      <c r="L16">
        <v>2775</v>
      </c>
    </row>
    <row r="17" spans="1:1" x14ac:dyDescent="0.2">
      <c r="A17" t="s">
        <v>51</v>
      </c>
    </row>
    <row r="18" spans="1:1" x14ac:dyDescent="0.2">
      <c r="A18" t="s">
        <v>52</v>
      </c>
    </row>
    <row r="19" spans="1:1" x14ac:dyDescent="0.2">
      <c r="A19" t="s">
        <v>53</v>
      </c>
    </row>
    <row r="20" spans="1:1" x14ac:dyDescent="0.2">
      <c r="A20" t="s">
        <v>54</v>
      </c>
    </row>
    <row r="21" spans="1:1" x14ac:dyDescent="0.2">
      <c r="A21" t="s">
        <v>55</v>
      </c>
    </row>
    <row r="22" spans="1:1" x14ac:dyDescent="0.2">
      <c r="A22" t="s">
        <v>56</v>
      </c>
    </row>
    <row r="23" spans="1:1" x14ac:dyDescent="0.2">
      <c r="A23" t="s">
        <v>57</v>
      </c>
    </row>
    <row r="24" spans="1:1" x14ac:dyDescent="0.2">
      <c r="A24" t="s">
        <v>58</v>
      </c>
    </row>
    <row r="25" spans="1:1" x14ac:dyDescent="0.2">
      <c r="A25" t="s">
        <v>55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4171D-FB62-4B15-91F1-128FD2A2283F}">
  <dimension ref="A1:L20"/>
  <sheetViews>
    <sheetView workbookViewId="0">
      <selection activeCell="L11" sqref="B11:L11"/>
    </sheetView>
  </sheetViews>
  <sheetFormatPr baseColWidth="10" defaultColWidth="8.83203125" defaultRowHeight="15" x14ac:dyDescent="0.2"/>
  <sheetData>
    <row r="1" spans="1:12" x14ac:dyDescent="0.2">
      <c r="A1" t="s">
        <v>25</v>
      </c>
    </row>
    <row r="2" spans="1:12" x14ac:dyDescent="0.2">
      <c r="A2" t="s">
        <v>26</v>
      </c>
    </row>
    <row r="3" spans="1:12" x14ac:dyDescent="0.2">
      <c r="A3" t="s">
        <v>27</v>
      </c>
    </row>
    <row r="4" spans="1:12" x14ac:dyDescent="0.2">
      <c r="A4" t="s">
        <v>59</v>
      </c>
    </row>
    <row r="5" spans="1:12" x14ac:dyDescent="0.2">
      <c r="A5" t="s">
        <v>29</v>
      </c>
    </row>
    <row r="6" spans="1:12" x14ac:dyDescent="0.2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38</v>
      </c>
      <c r="J6" t="s">
        <v>39</v>
      </c>
      <c r="K6" t="s">
        <v>40</v>
      </c>
      <c r="L6" t="s">
        <v>41</v>
      </c>
    </row>
    <row r="7" spans="1:12" x14ac:dyDescent="0.2">
      <c r="A7" t="s">
        <v>42</v>
      </c>
      <c r="B7">
        <v>195</v>
      </c>
      <c r="C7">
        <v>214</v>
      </c>
      <c r="D7">
        <v>208</v>
      </c>
      <c r="E7">
        <v>185</v>
      </c>
      <c r="F7">
        <v>190</v>
      </c>
      <c r="G7">
        <v>161</v>
      </c>
      <c r="H7">
        <v>155</v>
      </c>
      <c r="I7">
        <v>152</v>
      </c>
      <c r="J7">
        <v>141</v>
      </c>
      <c r="K7">
        <v>127</v>
      </c>
      <c r="L7">
        <v>131</v>
      </c>
    </row>
    <row r="8" spans="1:12" x14ac:dyDescent="0.2">
      <c r="A8" t="s">
        <v>45</v>
      </c>
      <c r="B8">
        <v>195</v>
      </c>
      <c r="C8">
        <v>214</v>
      </c>
      <c r="D8">
        <v>208</v>
      </c>
      <c r="E8">
        <v>185</v>
      </c>
      <c r="F8">
        <v>190</v>
      </c>
      <c r="G8">
        <v>161</v>
      </c>
      <c r="H8">
        <v>155</v>
      </c>
      <c r="I8">
        <v>152</v>
      </c>
      <c r="J8">
        <v>141</v>
      </c>
      <c r="K8">
        <v>127</v>
      </c>
      <c r="L8">
        <v>131</v>
      </c>
    </row>
    <row r="9" spans="1:12" x14ac:dyDescent="0.2">
      <c r="A9" t="s">
        <v>46</v>
      </c>
      <c r="B9">
        <v>178</v>
      </c>
      <c r="C9">
        <v>193</v>
      </c>
      <c r="D9">
        <v>190</v>
      </c>
      <c r="E9">
        <v>168</v>
      </c>
      <c r="F9">
        <v>170</v>
      </c>
      <c r="G9">
        <v>143</v>
      </c>
      <c r="H9">
        <v>138</v>
      </c>
      <c r="I9">
        <v>135</v>
      </c>
      <c r="J9">
        <v>125</v>
      </c>
      <c r="K9">
        <v>113</v>
      </c>
      <c r="L9">
        <v>117</v>
      </c>
    </row>
    <row r="10" spans="1:12" x14ac:dyDescent="0.2">
      <c r="A10" t="s">
        <v>47</v>
      </c>
      <c r="B10">
        <v>17</v>
      </c>
      <c r="C10">
        <v>21</v>
      </c>
      <c r="D10">
        <v>18</v>
      </c>
      <c r="E10">
        <v>17</v>
      </c>
      <c r="F10">
        <v>20</v>
      </c>
      <c r="G10">
        <v>18</v>
      </c>
      <c r="H10">
        <v>17</v>
      </c>
      <c r="I10">
        <v>17</v>
      </c>
      <c r="J10">
        <v>16</v>
      </c>
      <c r="K10">
        <v>14</v>
      </c>
      <c r="L10">
        <v>14</v>
      </c>
    </row>
    <row r="11" spans="1:12" x14ac:dyDescent="0.2">
      <c r="A11" t="s">
        <v>9</v>
      </c>
      <c r="B11">
        <v>195</v>
      </c>
      <c r="C11">
        <v>214</v>
      </c>
      <c r="D11">
        <v>208</v>
      </c>
      <c r="E11">
        <v>185</v>
      </c>
      <c r="F11">
        <v>190</v>
      </c>
      <c r="G11">
        <v>161</v>
      </c>
      <c r="H11">
        <v>155</v>
      </c>
      <c r="I11">
        <v>152</v>
      </c>
      <c r="J11">
        <v>141</v>
      </c>
      <c r="K11">
        <v>127</v>
      </c>
      <c r="L11">
        <v>131</v>
      </c>
    </row>
    <row r="12" spans="1:12" x14ac:dyDescent="0.2">
      <c r="A12" t="s">
        <v>51</v>
      </c>
    </row>
    <row r="13" spans="1:12" x14ac:dyDescent="0.2">
      <c r="A13" t="s">
        <v>52</v>
      </c>
    </row>
    <row r="14" spans="1:12" x14ac:dyDescent="0.2">
      <c r="A14" t="s">
        <v>53</v>
      </c>
    </row>
    <row r="15" spans="1:12" x14ac:dyDescent="0.2">
      <c r="A15" t="s">
        <v>54</v>
      </c>
    </row>
    <row r="16" spans="1:12" x14ac:dyDescent="0.2">
      <c r="A16" t="s">
        <v>55</v>
      </c>
    </row>
    <row r="17" spans="1:1" x14ac:dyDescent="0.2">
      <c r="A17" t="s">
        <v>56</v>
      </c>
    </row>
    <row r="18" spans="1:1" x14ac:dyDescent="0.2">
      <c r="A18" t="s">
        <v>57</v>
      </c>
    </row>
    <row r="19" spans="1:1" x14ac:dyDescent="0.2">
      <c r="A19" t="s">
        <v>58</v>
      </c>
    </row>
    <row r="20" spans="1:1" x14ac:dyDescent="0.2">
      <c r="A20" t="s">
        <v>55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35A14-9B43-47C9-A2D7-D6E983808ACE}">
  <dimension ref="A1:L24"/>
  <sheetViews>
    <sheetView workbookViewId="0">
      <selection activeCell="B15" sqref="B15:L15"/>
    </sheetView>
  </sheetViews>
  <sheetFormatPr baseColWidth="10" defaultColWidth="8.83203125" defaultRowHeight="15" x14ac:dyDescent="0.2"/>
  <sheetData>
    <row r="1" spans="1:12" x14ac:dyDescent="0.2">
      <c r="A1" t="s">
        <v>25</v>
      </c>
    </row>
    <row r="2" spans="1:12" x14ac:dyDescent="0.2">
      <c r="A2" t="s">
        <v>26</v>
      </c>
    </row>
    <row r="3" spans="1:12" x14ac:dyDescent="0.2">
      <c r="A3" t="s">
        <v>27</v>
      </c>
    </row>
    <row r="4" spans="1:12" x14ac:dyDescent="0.2">
      <c r="A4" t="s">
        <v>60</v>
      </c>
    </row>
    <row r="5" spans="1:12" x14ac:dyDescent="0.2">
      <c r="A5" t="s">
        <v>29</v>
      </c>
    </row>
    <row r="6" spans="1:12" x14ac:dyDescent="0.2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38</v>
      </c>
      <c r="J6" t="s">
        <v>39</v>
      </c>
      <c r="K6" t="s">
        <v>40</v>
      </c>
      <c r="L6" t="s">
        <v>41</v>
      </c>
    </row>
    <row r="7" spans="1:12" x14ac:dyDescent="0.2">
      <c r="A7" t="s">
        <v>42</v>
      </c>
      <c r="B7">
        <v>5013</v>
      </c>
      <c r="C7">
        <v>5261</v>
      </c>
      <c r="D7">
        <v>5417</v>
      </c>
      <c r="E7">
        <v>5109</v>
      </c>
      <c r="F7">
        <v>4974</v>
      </c>
      <c r="G7">
        <v>5075</v>
      </c>
      <c r="H7">
        <v>5393</v>
      </c>
      <c r="I7">
        <v>5511</v>
      </c>
      <c r="J7">
        <v>5980</v>
      </c>
      <c r="K7">
        <v>6567</v>
      </c>
      <c r="L7">
        <v>7460</v>
      </c>
    </row>
    <row r="8" spans="1:12" x14ac:dyDescent="0.2">
      <c r="A8" t="s">
        <v>61</v>
      </c>
      <c r="B8">
        <v>1358</v>
      </c>
      <c r="C8">
        <v>1376</v>
      </c>
      <c r="D8">
        <v>1419</v>
      </c>
      <c r="E8">
        <v>1310</v>
      </c>
      <c r="F8">
        <v>1306</v>
      </c>
      <c r="G8">
        <v>1284</v>
      </c>
      <c r="H8">
        <v>1174</v>
      </c>
      <c r="I8">
        <v>1241</v>
      </c>
      <c r="J8">
        <v>1368</v>
      </c>
      <c r="K8">
        <v>1499</v>
      </c>
      <c r="L8">
        <v>1454</v>
      </c>
    </row>
    <row r="9" spans="1:12" x14ac:dyDescent="0.2">
      <c r="A9" t="s">
        <v>62</v>
      </c>
      <c r="B9">
        <v>1358</v>
      </c>
      <c r="C9">
        <v>1376</v>
      </c>
      <c r="D9">
        <v>1419</v>
      </c>
      <c r="E9">
        <v>1310</v>
      </c>
      <c r="F9">
        <v>1306</v>
      </c>
      <c r="G9">
        <v>1284</v>
      </c>
      <c r="H9">
        <v>1174</v>
      </c>
      <c r="I9">
        <v>1241</v>
      </c>
      <c r="J9">
        <v>1368</v>
      </c>
      <c r="K9">
        <v>1499</v>
      </c>
      <c r="L9">
        <v>1454</v>
      </c>
    </row>
    <row r="10" spans="1:12" x14ac:dyDescent="0.2">
      <c r="A10" t="s">
        <v>63</v>
      </c>
      <c r="B10">
        <v>960</v>
      </c>
      <c r="C10">
        <v>952</v>
      </c>
      <c r="D10">
        <v>967</v>
      </c>
      <c r="E10">
        <v>1028</v>
      </c>
      <c r="F10">
        <v>1062</v>
      </c>
      <c r="G10">
        <v>1008</v>
      </c>
      <c r="H10">
        <v>1072</v>
      </c>
      <c r="I10">
        <v>1149</v>
      </c>
      <c r="J10">
        <v>1174</v>
      </c>
      <c r="K10">
        <v>1355</v>
      </c>
      <c r="L10">
        <v>1375</v>
      </c>
    </row>
    <row r="11" spans="1:12" x14ac:dyDescent="0.2">
      <c r="A11" t="s">
        <v>64</v>
      </c>
      <c r="B11">
        <v>960</v>
      </c>
      <c r="C11">
        <v>952</v>
      </c>
      <c r="D11">
        <v>967</v>
      </c>
      <c r="E11">
        <v>1028</v>
      </c>
      <c r="F11">
        <v>1062</v>
      </c>
      <c r="G11">
        <v>1008</v>
      </c>
      <c r="H11">
        <v>1072</v>
      </c>
      <c r="I11">
        <v>1149</v>
      </c>
      <c r="J11">
        <v>1174</v>
      </c>
      <c r="K11">
        <v>1355</v>
      </c>
      <c r="L11">
        <v>1375</v>
      </c>
    </row>
    <row r="12" spans="1:12" x14ac:dyDescent="0.2">
      <c r="A12" t="s">
        <v>45</v>
      </c>
      <c r="B12">
        <v>2695</v>
      </c>
      <c r="C12">
        <v>2933</v>
      </c>
      <c r="D12">
        <v>3031</v>
      </c>
      <c r="E12">
        <v>2771</v>
      </c>
      <c r="F12">
        <v>2606</v>
      </c>
      <c r="G12">
        <v>2783</v>
      </c>
      <c r="H12">
        <v>3147</v>
      </c>
      <c r="I12">
        <v>3121</v>
      </c>
      <c r="J12">
        <v>3438</v>
      </c>
      <c r="K12">
        <v>3713</v>
      </c>
      <c r="L12">
        <v>4631</v>
      </c>
    </row>
    <row r="13" spans="1:12" x14ac:dyDescent="0.2">
      <c r="A13" t="s">
        <v>65</v>
      </c>
      <c r="B13">
        <v>76</v>
      </c>
      <c r="C13">
        <v>72</v>
      </c>
      <c r="D13">
        <v>67</v>
      </c>
      <c r="E13">
        <v>57</v>
      </c>
      <c r="F13">
        <v>57</v>
      </c>
      <c r="G13">
        <v>55</v>
      </c>
      <c r="H13">
        <v>58</v>
      </c>
      <c r="I13">
        <v>62</v>
      </c>
      <c r="J13">
        <v>62</v>
      </c>
      <c r="K13">
        <v>69</v>
      </c>
      <c r="L13">
        <v>78</v>
      </c>
    </row>
    <row r="14" spans="1:12" x14ac:dyDescent="0.2">
      <c r="A14" t="s">
        <v>66</v>
      </c>
      <c r="B14">
        <v>2619</v>
      </c>
      <c r="C14">
        <v>2861</v>
      </c>
      <c r="D14">
        <v>2964</v>
      </c>
      <c r="E14">
        <v>2714</v>
      </c>
      <c r="F14">
        <v>2549</v>
      </c>
      <c r="G14">
        <v>2728</v>
      </c>
      <c r="H14">
        <v>3089</v>
      </c>
      <c r="I14">
        <v>3059</v>
      </c>
      <c r="J14">
        <v>3376</v>
      </c>
      <c r="K14">
        <v>3644</v>
      </c>
      <c r="L14">
        <v>4553</v>
      </c>
    </row>
    <row r="15" spans="1:12" x14ac:dyDescent="0.2">
      <c r="A15" t="s">
        <v>9</v>
      </c>
      <c r="B15">
        <v>5013</v>
      </c>
      <c r="C15">
        <v>5261</v>
      </c>
      <c r="D15">
        <v>5417</v>
      </c>
      <c r="E15">
        <v>5109</v>
      </c>
      <c r="F15">
        <v>4974</v>
      </c>
      <c r="G15">
        <v>5075</v>
      </c>
      <c r="H15">
        <v>5393</v>
      </c>
      <c r="I15">
        <v>5511</v>
      </c>
      <c r="J15">
        <v>5980</v>
      </c>
      <c r="K15">
        <v>6567</v>
      </c>
      <c r="L15">
        <v>7460</v>
      </c>
    </row>
    <row r="16" spans="1:12" x14ac:dyDescent="0.2">
      <c r="A16" t="s">
        <v>51</v>
      </c>
    </row>
    <row r="17" spans="1:1" x14ac:dyDescent="0.2">
      <c r="A17" t="s">
        <v>52</v>
      </c>
    </row>
    <row r="18" spans="1:1" x14ac:dyDescent="0.2">
      <c r="A18" t="s">
        <v>53</v>
      </c>
    </row>
    <row r="19" spans="1:1" x14ac:dyDescent="0.2">
      <c r="A19" t="s">
        <v>54</v>
      </c>
    </row>
    <row r="20" spans="1:1" x14ac:dyDescent="0.2">
      <c r="A20" t="s">
        <v>55</v>
      </c>
    </row>
    <row r="21" spans="1:1" x14ac:dyDescent="0.2">
      <c r="A21" t="s">
        <v>56</v>
      </c>
    </row>
    <row r="22" spans="1:1" x14ac:dyDescent="0.2">
      <c r="A22" t="s">
        <v>57</v>
      </c>
    </row>
    <row r="23" spans="1:1" x14ac:dyDescent="0.2">
      <c r="A23" t="s">
        <v>58</v>
      </c>
    </row>
    <row r="24" spans="1:1" x14ac:dyDescent="0.2">
      <c r="A24" t="s">
        <v>55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2024</vt:lpstr>
      <vt:lpstr>2022</vt:lpstr>
      <vt:lpstr>CANCER_MAMA</vt:lpstr>
      <vt:lpstr>Planilha1</vt:lpstr>
      <vt:lpstr>Planilha2</vt:lpstr>
      <vt:lpstr>Planilha3</vt:lpstr>
      <vt:lpstr>Planilha4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Patrícia Passos Simões</dc:creator>
  <cp:lastModifiedBy>Alessandro Jatoba</cp:lastModifiedBy>
  <dcterms:created xsi:type="dcterms:W3CDTF">2025-11-17T12:45:22Z</dcterms:created>
  <dcterms:modified xsi:type="dcterms:W3CDTF">2025-12-02T22:44:04Z</dcterms:modified>
</cp:coreProperties>
</file>