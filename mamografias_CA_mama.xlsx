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https://fiocruzbr-my.sharepoint.com/personal/alessandro_jatoba_fiocruz_br/Documents/Livro 2/"/>
    </mc:Choice>
  </mc:AlternateContent>
  <xr:revisionPtr revIDLastSave="154" documentId="13_ncr:1_{29158766-2F8B-4E06-A254-6E7BC628017A}" xr6:coauthVersionLast="47" xr6:coauthVersionMax="47" xr10:uidLastSave="{405F404B-8F7C-CE42-9AD3-AAEBE15D2EFA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 de dados" sheetId="17" r:id="rId4"/>
    <sheet name="Planilha" sheetId="16" r:id="rId5"/>
    <sheet name="Planilha1" sheetId="13" r:id="rId6"/>
    <sheet name="Planilha2" sheetId="14" r:id="rId7"/>
    <sheet name="Planilha3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<sst xmlns="http://schemas.openxmlformats.org/spreadsheetml/2006/main" count="362" uniqueCount="222">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</sst>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41" t="s">
        <v>80</v>
      </c>
      <c r="C1" s="43"/>
      <c r="D1" s="41" t="s">
        <v>85</v>
      </c>
      <c r="E1" s="43"/>
      <c r="F1" s="47" t="s">
        <v>83</v>
      </c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8" t="s">
        <v>84</v>
      </c>
      <c r="S1" s="48"/>
      <c r="T1" s="48"/>
      <c r="U1" s="48"/>
      <c r="V1" s="52" t="s">
        <v>34</v>
      </c>
      <c r="W1" s="53"/>
      <c r="X1" s="41" t="s">
        <v>35</v>
      </c>
      <c r="Y1" s="43"/>
      <c r="Z1" s="15" t="s">
        <v>53</v>
      </c>
      <c r="AA1" s="50" t="s">
        <v>87</v>
      </c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44" t="s">
        <v>88</v>
      </c>
      <c r="AR1" s="45"/>
      <c r="AS1" s="45"/>
      <c r="AT1" s="45"/>
      <c r="AU1" s="45"/>
      <c r="AV1" s="45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41" t="s">
        <v>71</v>
      </c>
      <c r="BC1" s="42"/>
      <c r="BD1" s="42"/>
      <c r="BE1" s="42"/>
      <c r="BF1" s="42"/>
      <c r="BG1" s="42"/>
      <c r="BH1" s="43"/>
      <c r="BI1" s="41" t="s">
        <v>89</v>
      </c>
      <c r="BJ1" s="42"/>
      <c r="BK1" s="43"/>
      <c r="BL1" s="41" t="s">
        <v>90</v>
      </c>
      <c r="BM1" s="42"/>
      <c r="BN1" s="43"/>
      <c r="BO1" s="41" t="s">
        <v>91</v>
      </c>
      <c r="BP1" s="42"/>
      <c r="BQ1" s="43"/>
      <c r="BR1" s="41" t="s">
        <v>92</v>
      </c>
      <c r="BS1" s="42"/>
      <c r="BT1" s="43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46" t="s">
        <v>9</v>
      </c>
      <c r="G2" s="46"/>
      <c r="H2" s="46"/>
      <c r="I2" s="46"/>
      <c r="J2" s="46" t="s">
        <v>10</v>
      </c>
      <c r="K2" s="46"/>
      <c r="L2" s="46"/>
      <c r="M2" s="46"/>
      <c r="N2" s="46" t="s">
        <v>11</v>
      </c>
      <c r="O2" s="46"/>
      <c r="P2" s="46"/>
      <c r="Q2" s="46"/>
      <c r="R2" s="49" t="s">
        <v>52</v>
      </c>
      <c r="S2" s="49"/>
      <c r="T2" s="49"/>
      <c r="U2" s="49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F2:I2"/>
    <mergeCell ref="F1:Q1"/>
    <mergeCell ref="R1:U1"/>
    <mergeCell ref="R2:U2"/>
    <mergeCell ref="AA1:AP1"/>
    <mergeCell ref="J2:M2"/>
    <mergeCell ref="N2:Q2"/>
    <mergeCell ref="V1:W1"/>
    <mergeCell ref="X1:Y1"/>
    <mergeCell ref="BL1:BN1"/>
    <mergeCell ref="BO1:BQ1"/>
    <mergeCell ref="BR1:BT1"/>
    <mergeCell ref="B1:C1"/>
    <mergeCell ref="D1:E1"/>
    <mergeCell ref="BB1:BH1"/>
    <mergeCell ref="BI1:BK1"/>
    <mergeCell ref="AQ1:A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tabSelected="1" zoomScale="190" zoomScaleNormal="190" workbookViewId="0">
      <selection activeCell="A11" sqref="A11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63"/>
    <col min="39" max="39" width="10.83203125" style="63"/>
    <col min="41" max="41" width="10.83203125" style="63"/>
    <col min="58" max="63" width="10.83203125" style="63"/>
  </cols>
  <sheetData>
    <row r="1" spans="1:71" s="58" customFormat="1" ht="48" x14ac:dyDescent="0.2">
      <c r="A1" s="56" t="s">
        <v>215</v>
      </c>
      <c r="B1" s="57" t="s">
        <v>203</v>
      </c>
      <c r="C1" s="57" t="s">
        <v>204</v>
      </c>
      <c r="D1" s="57" t="s">
        <v>205</v>
      </c>
      <c r="E1" s="57" t="s">
        <v>206</v>
      </c>
      <c r="F1" s="57" t="s">
        <v>207</v>
      </c>
      <c r="G1" s="57" t="s">
        <v>208</v>
      </c>
      <c r="H1" s="57" t="s">
        <v>209</v>
      </c>
      <c r="I1" s="57" t="s">
        <v>210</v>
      </c>
      <c r="J1" s="57" t="s">
        <v>211</v>
      </c>
      <c r="K1" s="57" t="s">
        <v>212</v>
      </c>
      <c r="L1" s="57" t="s">
        <v>213</v>
      </c>
      <c r="M1" s="57" t="s">
        <v>214</v>
      </c>
      <c r="N1" s="58" t="s">
        <v>151</v>
      </c>
      <c r="O1" s="58" t="s">
        <v>152</v>
      </c>
      <c r="P1" s="58" t="s">
        <v>153</v>
      </c>
      <c r="Q1" s="58" t="s">
        <v>154</v>
      </c>
      <c r="R1" s="57" t="s">
        <v>156</v>
      </c>
      <c r="S1" s="57" t="s">
        <v>157</v>
      </c>
      <c r="T1" s="57" t="s">
        <v>158</v>
      </c>
      <c r="U1" s="57" t="s">
        <v>155</v>
      </c>
      <c r="V1" s="57" t="s">
        <v>159</v>
      </c>
      <c r="W1" s="57" t="s">
        <v>160</v>
      </c>
      <c r="X1" s="57" t="s">
        <v>161</v>
      </c>
      <c r="Y1" s="57" t="s">
        <v>162</v>
      </c>
      <c r="Z1" s="57" t="s">
        <v>163</v>
      </c>
      <c r="AA1" s="57" t="s">
        <v>164</v>
      </c>
      <c r="AB1" s="57" t="s">
        <v>165</v>
      </c>
      <c r="AC1" s="57" t="s">
        <v>166</v>
      </c>
      <c r="AD1" s="59" t="s">
        <v>167</v>
      </c>
      <c r="AE1" s="59" t="s">
        <v>168</v>
      </c>
      <c r="AF1" s="59" t="s">
        <v>169</v>
      </c>
      <c r="AG1" s="59" t="s">
        <v>170</v>
      </c>
      <c r="AH1" s="58" t="s">
        <v>216</v>
      </c>
      <c r="AI1" s="58" t="s">
        <v>217</v>
      </c>
      <c r="AJ1" s="58" t="s">
        <v>218</v>
      </c>
      <c r="AK1" s="60" t="s">
        <v>171</v>
      </c>
      <c r="AL1" s="57" t="s">
        <v>172</v>
      </c>
      <c r="AM1" s="60" t="s">
        <v>173</v>
      </c>
      <c r="AN1" s="57" t="s">
        <v>174</v>
      </c>
      <c r="AO1" s="60" t="s">
        <v>220</v>
      </c>
      <c r="AP1" s="57" t="s">
        <v>175</v>
      </c>
      <c r="AQ1" s="57" t="s">
        <v>176</v>
      </c>
      <c r="AR1" s="57" t="s">
        <v>177</v>
      </c>
      <c r="AS1" s="57" t="s">
        <v>178</v>
      </c>
      <c r="AT1" s="57" t="s">
        <v>179</v>
      </c>
      <c r="AU1" s="57" t="s">
        <v>180</v>
      </c>
      <c r="AV1" s="57" t="s">
        <v>181</v>
      </c>
      <c r="AW1" s="57" t="s">
        <v>182</v>
      </c>
      <c r="AX1" s="57" t="s">
        <v>183</v>
      </c>
      <c r="AY1" s="57" t="s">
        <v>184</v>
      </c>
      <c r="AZ1" s="57" t="s">
        <v>185</v>
      </c>
      <c r="BA1" s="57" t="s">
        <v>186</v>
      </c>
      <c r="BB1" s="57" t="s">
        <v>187</v>
      </c>
      <c r="BC1" s="57" t="s">
        <v>188</v>
      </c>
      <c r="BD1" s="57" t="s">
        <v>189</v>
      </c>
      <c r="BE1" s="57" t="s">
        <v>190</v>
      </c>
      <c r="BF1" s="60" t="s">
        <v>193</v>
      </c>
      <c r="BG1" s="60" t="s">
        <v>192</v>
      </c>
      <c r="BH1" s="60" t="s">
        <v>221</v>
      </c>
      <c r="BI1" s="60" t="s">
        <v>191</v>
      </c>
      <c r="BJ1" s="60" t="s">
        <v>194</v>
      </c>
      <c r="BK1" s="60" t="s">
        <v>195</v>
      </c>
      <c r="BL1" s="57" t="s">
        <v>196</v>
      </c>
      <c r="BM1" s="57" t="s">
        <v>197</v>
      </c>
      <c r="BN1" s="57" t="s">
        <v>198</v>
      </c>
      <c r="BO1" s="57" t="s">
        <v>199</v>
      </c>
      <c r="BP1" s="57" t="s">
        <v>200</v>
      </c>
      <c r="BQ1" s="57" t="s">
        <v>201</v>
      </c>
      <c r="BR1" s="57" t="s">
        <v>202</v>
      </c>
      <c r="BS1" s="57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61">
        <v>19388</v>
      </c>
      <c r="AL2" s="27">
        <v>436230</v>
      </c>
      <c r="AM2" s="61">
        <v>88145</v>
      </c>
      <c r="AN2" s="27">
        <v>3966525</v>
      </c>
      <c r="AO2" s="61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61">
        <v>6</v>
      </c>
      <c r="BG2" s="61">
        <v>76</v>
      </c>
      <c r="BH2" s="61">
        <f>BG2+BF2+AM2</f>
        <v>88227</v>
      </c>
      <c r="BI2" s="61">
        <v>1009</v>
      </c>
      <c r="BJ2" s="61">
        <v>238</v>
      </c>
      <c r="BK2" s="61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61">
        <v>21218</v>
      </c>
      <c r="AL3" s="27">
        <v>477405</v>
      </c>
      <c r="AM3" s="61">
        <v>91272</v>
      </c>
      <c r="AN3" s="27">
        <v>4107240</v>
      </c>
      <c r="AO3" s="64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61">
        <v>10</v>
      </c>
      <c r="BG3" s="61">
        <v>105</v>
      </c>
      <c r="BH3" s="61">
        <f>BG3+BF3+AM3</f>
        <v>91387</v>
      </c>
      <c r="BI3" s="61">
        <v>1047</v>
      </c>
      <c r="BJ3" s="61">
        <v>211</v>
      </c>
      <c r="BK3" s="61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61">
        <v>18653</v>
      </c>
      <c r="AL4" s="27">
        <v>419692.5</v>
      </c>
      <c r="AM4" s="61">
        <v>88839</v>
      </c>
      <c r="AN4" s="27">
        <v>3997755</v>
      </c>
      <c r="AO4" s="64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61">
        <v>2</v>
      </c>
      <c r="BG4" s="61">
        <v>122</v>
      </c>
      <c r="BH4" s="61">
        <f t="shared" ref="BH3:BH12" si="1">BG4+BF4+AM4</f>
        <v>88963</v>
      </c>
      <c r="BI4" s="61">
        <v>997</v>
      </c>
      <c r="BJ4" s="61">
        <v>263</v>
      </c>
      <c r="BK4" s="61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61">
        <v>21249</v>
      </c>
      <c r="AL5" s="27">
        <v>478102.5</v>
      </c>
      <c r="AM5" s="61">
        <v>93730</v>
      </c>
      <c r="AN5" s="27">
        <v>4217850</v>
      </c>
      <c r="AO5" s="64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61">
        <v>0</v>
      </c>
      <c r="BG5" s="61">
        <v>89</v>
      </c>
      <c r="BH5" s="61">
        <f t="shared" si="1"/>
        <v>93819</v>
      </c>
      <c r="BI5" s="61">
        <v>1019</v>
      </c>
      <c r="BJ5" s="61">
        <v>238</v>
      </c>
      <c r="BK5" s="61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61">
        <v>19989</v>
      </c>
      <c r="AL6" s="27">
        <v>449752.5</v>
      </c>
      <c r="AM6" s="61">
        <v>78686</v>
      </c>
      <c r="AN6" s="27">
        <v>3540870</v>
      </c>
      <c r="AO6" s="64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61">
        <v>0</v>
      </c>
      <c r="BG6" s="61">
        <v>88</v>
      </c>
      <c r="BH6" s="61">
        <f t="shared" si="1"/>
        <v>78774</v>
      </c>
      <c r="BI6" s="61">
        <v>1078</v>
      </c>
      <c r="BJ6" s="61">
        <v>168</v>
      </c>
      <c r="BK6" s="61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61">
        <v>12503</v>
      </c>
      <c r="AL7" s="27">
        <v>281317.5</v>
      </c>
      <c r="AM7" s="61">
        <v>37292</v>
      </c>
      <c r="AN7" s="27">
        <v>1678140</v>
      </c>
      <c r="AO7" s="64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61">
        <v>2</v>
      </c>
      <c r="BG7" s="61">
        <v>80</v>
      </c>
      <c r="BH7" s="61">
        <f t="shared" si="1"/>
        <v>37374</v>
      </c>
      <c r="BI7" s="61">
        <v>861</v>
      </c>
      <c r="BJ7" s="61">
        <v>82</v>
      </c>
      <c r="BK7" s="61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61">
        <v>16757</v>
      </c>
      <c r="AL8" s="27">
        <v>377032.5</v>
      </c>
      <c r="AM8" s="61">
        <v>61057</v>
      </c>
      <c r="AN8" s="27">
        <v>2747565</v>
      </c>
      <c r="AO8" s="64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61">
        <v>3</v>
      </c>
      <c r="BG8" s="61">
        <v>127</v>
      </c>
      <c r="BH8" s="61">
        <f t="shared" si="1"/>
        <v>61187</v>
      </c>
      <c r="BI8" s="61">
        <v>758</v>
      </c>
      <c r="BJ8" s="61">
        <v>87</v>
      </c>
      <c r="BK8" s="61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61">
        <v>18134</v>
      </c>
      <c r="AL9" s="27">
        <v>408015</v>
      </c>
      <c r="AM9" s="61">
        <v>65905</v>
      </c>
      <c r="AN9" s="27">
        <v>2965725</v>
      </c>
      <c r="AO9" s="64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61">
        <v>1</v>
      </c>
      <c r="BG9" s="61">
        <v>134</v>
      </c>
      <c r="BH9" s="61">
        <f t="shared" si="1"/>
        <v>66040</v>
      </c>
      <c r="BI9" s="61">
        <v>696</v>
      </c>
      <c r="BJ9" s="61">
        <v>109</v>
      </c>
      <c r="BK9" s="61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61">
        <v>14726</v>
      </c>
      <c r="AL10" s="27">
        <v>331335</v>
      </c>
      <c r="AM10" s="61">
        <v>89966</v>
      </c>
      <c r="AN10" s="27">
        <v>4048470</v>
      </c>
      <c r="AO10" s="64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61">
        <v>17</v>
      </c>
      <c r="BG10" s="61">
        <v>404</v>
      </c>
      <c r="BH10" s="61">
        <f t="shared" si="1"/>
        <v>90387</v>
      </c>
      <c r="BI10" s="61">
        <v>533</v>
      </c>
      <c r="BJ10" s="61">
        <v>93</v>
      </c>
      <c r="BK10" s="61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61">
        <v>17180</v>
      </c>
      <c r="AL11" s="27">
        <v>386550</v>
      </c>
      <c r="AM11" s="61">
        <v>102288</v>
      </c>
      <c r="AN11" s="27">
        <v>4602960</v>
      </c>
      <c r="AO11" s="64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61">
        <v>6</v>
      </c>
      <c r="BG11" s="61">
        <v>2556</v>
      </c>
      <c r="BH11" s="61">
        <f t="shared" si="1"/>
        <v>104850</v>
      </c>
      <c r="BI11" s="61">
        <v>545</v>
      </c>
      <c r="BJ11" s="61">
        <v>107</v>
      </c>
      <c r="BK11" s="61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61">
        <v>15884</v>
      </c>
      <c r="AL12" s="27">
        <v>357390</v>
      </c>
      <c r="AM12" s="61">
        <v>62589</v>
      </c>
      <c r="AN12" s="27">
        <v>2816505</v>
      </c>
      <c r="AO12" s="64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61">
        <v>114</v>
      </c>
      <c r="BG12" s="61">
        <v>1497</v>
      </c>
      <c r="BH12" s="61">
        <f t="shared" si="1"/>
        <v>64200</v>
      </c>
      <c r="BI12" s="61">
        <v>403</v>
      </c>
      <c r="BJ12" s="61">
        <v>94</v>
      </c>
      <c r="BK12" s="62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61"/>
      <c r="AM13" s="61"/>
      <c r="AN13" s="27"/>
      <c r="AO13" s="61"/>
      <c r="BF13" s="61"/>
      <c r="BG13" s="61"/>
      <c r="BH13" s="61"/>
      <c r="BI13" s="61"/>
      <c r="BJ13" s="61"/>
      <c r="BK13" s="61"/>
      <c r="BS13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54" t="s">
        <v>34</v>
      </c>
      <c r="B1" s="55"/>
      <c r="C1" s="54" t="s">
        <v>35</v>
      </c>
      <c r="D1" s="55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2024</vt:lpstr>
      <vt:lpstr>2022</vt:lpstr>
      <vt:lpstr>CANCER MAMA</vt:lpstr>
      <vt:lpstr>Base de dados</vt:lpstr>
      <vt:lpstr>Planilha</vt:lpstr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2025-11-19T22:30:46Z</dcterms:modified>
</cp:coreProperties>
</file>