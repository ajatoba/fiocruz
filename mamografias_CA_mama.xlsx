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D67B8128-BD7F-2346-83E8-F7C17B6D9CF9}" xr6:coauthVersionLast="47" xr6:coauthVersionMax="47" xr10:uidLastSave="{00000000-0000-0000-0000-000000000000}"/>
  <bookViews>
    <workbookView xWindow="34380" yWindow="620" windowWidth="34400" windowHeight="28180" firstSheet="2" activeTab="2" xr2:uid="{1A3EED76-0BA3-4F12-9608-66A62CFBE2DA}"/>
  </bookViews>
  <sheets>
    <sheet name="2024" sheetId="2" r:id="rId1"/>
    <sheet name="2022" sheetId="4" r:id="rId2"/>
    <sheet name="cancer_de_mama" sheetId="1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2" i="17"/>
  <c r="AG11" i="17"/>
  <c r="AF11" i="17"/>
  <c r="AE11" i="17"/>
  <c r="AD11" i="17"/>
  <c r="AG10" i="17"/>
  <c r="AF10" i="17"/>
  <c r="AE10" i="17"/>
  <c r="AD10" i="17"/>
  <c r="AG9" i="17"/>
  <c r="AF9" i="17"/>
  <c r="AE9" i="17"/>
  <c r="AD9" i="17"/>
  <c r="AG8" i="17"/>
  <c r="AF8" i="17"/>
  <c r="AE8" i="17"/>
  <c r="AD8" i="17"/>
  <c r="AG7" i="17"/>
  <c r="AF7" i="17"/>
  <c r="AE7" i="17"/>
  <c r="AD7" i="17"/>
  <c r="AG6" i="17"/>
  <c r="AF6" i="17"/>
  <c r="AE6" i="17"/>
  <c r="AD6" i="17"/>
  <c r="AG5" i="17"/>
  <c r="AF5" i="17"/>
  <c r="AE5" i="17"/>
  <c r="AD5" i="17"/>
  <c r="AG4" i="17"/>
  <c r="AF4" i="17"/>
  <c r="AE4" i="17"/>
  <c r="AD4" i="17"/>
  <c r="AG3" i="17"/>
  <c r="AF3" i="17"/>
  <c r="AE3" i="17"/>
  <c r="AD3" i="17"/>
  <c r="AG2" i="17"/>
  <c r="AF2" i="17"/>
  <c r="AE2" i="17"/>
  <c r="AD2" i="17"/>
</calcChain>
</file>

<file path=xl/sharedStrings.xml><?xml version="1.0" encoding="utf-8"?>
<sst xmlns="http://schemas.openxmlformats.org/spreadsheetml/2006/main" count="87" uniqueCount="79">
  <si>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</si>
  <si>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</si>
  <si>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</si>
  <si>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</si>
  <si>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</si>
  <si>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</si>
  <si>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</si>
  <si>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</si>
  <si>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pc_estabelecimentos_MAMOGRAFIA</t>
  </si>
  <si>
    <t>pc_estabelecimentos_MAMOGRAFIA_POR_TELEMEDICINA</t>
  </si>
  <si>
    <t>pc_estabelecimentos_anatomopatológicos</t>
  </si>
  <si>
    <t>pc_estabelecimentos_citopatológicos</t>
  </si>
  <si>
    <t>r_mamografos_simples_em_uso_SUS</t>
  </si>
  <si>
    <t>r_mamografos_simples_existentes</t>
  </si>
  <si>
    <t>r_mamografos_simples_em_uso</t>
  </si>
  <si>
    <t>r_mamografos_simples_existentes_SUS</t>
  </si>
  <si>
    <t>r_mamografos_estereotaxia_existentes</t>
  </si>
  <si>
    <t>r_mamografos_estereotaxia_em_uso</t>
  </si>
  <si>
    <t>r_mamografos_estereotaxia_existentes_SUS</t>
  </si>
  <si>
    <t>r_mamografos_estereotaxia_em_uso_SUS</t>
  </si>
  <si>
    <t>r_mamografos_computadorizados_existentes</t>
  </si>
  <si>
    <t>r_mamografos_computadorizados_em_uso</t>
  </si>
  <si>
    <t>r_mamografos_computadorizados_existentes_SUS</t>
  </si>
  <si>
    <t>r_mamografos_computadorizados_em_uso_SUS</t>
  </si>
  <si>
    <t>r_mamografos_totais_existentes</t>
  </si>
  <si>
    <t>r_mamografos_totais_em_uso</t>
  </si>
  <si>
    <t>r_mamografos_totais_existentes_SUS</t>
  </si>
  <si>
    <t>r_mamografos_totais_em_uso_SUS</t>
  </si>
  <si>
    <t>s_mamografias_qtd</t>
  </si>
  <si>
    <t>s_mamografias_valor</t>
  </si>
  <si>
    <t>s_mamografias_bilaterais_qtd</t>
  </si>
  <si>
    <t>s_mamografias_bilaterais_valor</t>
  </si>
  <si>
    <t>s_mamografias_ate_ 9_anos</t>
  </si>
  <si>
    <t>s_mamografias_entre_10_a_14_anos</t>
  </si>
  <si>
    <t>s_mamografias_entre_15_a_19_anos</t>
  </si>
  <si>
    <t>s_mamografias_entre_20_a_24_anos</t>
  </si>
  <si>
    <t>s_mamografias_entre_25_a_29_anos</t>
  </si>
  <si>
    <t>s_mamografias_entre_30_a_34_anos</t>
  </si>
  <si>
    <t>s_mamografias_entre_35_a_39_anos</t>
  </si>
  <si>
    <t>s_mamografias_entre_40_a_44_anos</t>
  </si>
  <si>
    <t>s_mamografias_entre_45_a_49_anos</t>
  </si>
  <si>
    <t>s_mamografias_entre_50_a_54_anos</t>
  </si>
  <si>
    <t>s_mamografias_entre_55_a_59_anos</t>
  </si>
  <si>
    <t>s_mamografias_entre_60_a_64_anos</t>
  </si>
  <si>
    <t>s_mamografias_entre_65_a_69_anos</t>
  </si>
  <si>
    <t>s_mamografias_entre_70_a_74_anos</t>
  </si>
  <si>
    <t>s_mamografias_entre_75_a_79_anos</t>
  </si>
  <si>
    <t>s_mamografias_acima_de_79_anos</t>
  </si>
  <si>
    <t>s_mastectomias</t>
  </si>
  <si>
    <t>s_histopatologicos</t>
  </si>
  <si>
    <t>s_citopatologicos</t>
  </si>
  <si>
    <t xml:space="preserve">s_reconstrucoes_mama
</t>
  </si>
  <si>
    <t>s_obitos_totais</t>
  </si>
  <si>
    <t>s_obitos_entre_20_a_29_anos</t>
  </si>
  <si>
    <t>s_obitos_entre_30_a_39_anos</t>
  </si>
  <si>
    <t>s_obitos_entre_40_a_49_anos</t>
  </si>
  <si>
    <t>s_obitos_entre_50_a_59_anos</t>
  </si>
  <si>
    <t>s_obitos_entre_60_a_69_anos</t>
  </si>
  <si>
    <t>s_obitos_entre_70_a_79_anos</t>
  </si>
  <si>
    <t>s_obitos_80_anos_e_mais</t>
  </si>
  <si>
    <t>t_tempo_ate_inicio_tratamento_ate_30_dias</t>
  </si>
  <si>
    <t>t_tempo_ate_inicio_tratamento_31-60_dias</t>
  </si>
  <si>
    <t>t_tempo_ate_inicio_tratamento_mais_de_60_dias</t>
  </si>
  <si>
    <t>t_tempo_mamografia_ate_30_dias</t>
  </si>
  <si>
    <t>t_tempo_mamografia_31-60_dias</t>
  </si>
  <si>
    <t>t_tempo_mamografia_mais_de_60_dias</t>
  </si>
  <si>
    <t>t_tempo_citopatologico_ate_30_dias</t>
  </si>
  <si>
    <t>t_tempo_citopatologico_31-60_dias</t>
  </si>
  <si>
    <t>t_tempo_citopatologico_mais_de_60_dias</t>
  </si>
  <si>
    <t>t_tempo_histopatologico_ate_30_dias</t>
  </si>
  <si>
    <t>t_tempo_histopatologico_31-60_dias</t>
  </si>
  <si>
    <t>t_tempo_histopatologico_mais_de_60_dias</t>
  </si>
  <si>
    <t>ano</t>
  </si>
  <si>
    <t>r_profissionais_citopatologico</t>
  </si>
  <si>
    <t>r_profissionais_anatomopatologico</t>
  </si>
  <si>
    <t>r_profissionais_mamografia</t>
  </si>
  <si>
    <t>populacao_ feminina</t>
  </si>
  <si>
    <t>s_total_mamografias_qtd_por_faixa_etaria</t>
  </si>
  <si>
    <t>s_exames_rastreio_totais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</si>
</sst>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  <font>
      <sz val="8"/>
      <color rgb="FFFF0000"/>
      <name val="Calibri"/>
      <family val="2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EEEEEE"/>
      </right>
      <top/>
      <bottom style="medium">
        <color rgb="FFEEEEE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4" fillId="0" borderId="0" xfId="0" applyFont="1"/>
    <xf numFmtId="3" fontId="4" fillId="0" borderId="0" xfId="0" applyNumberFormat="1" applyFont="1"/>
    <xf numFmtId="0" fontId="3" fillId="0" borderId="0" xfId="0" applyFont="1"/>
    <xf numFmtId="4" fontId="4" fillId="0" borderId="0" xfId="0" applyNumberFormat="1" applyFont="1"/>
    <xf numFmtId="0" fontId="5" fillId="0" borderId="0" xfId="0" applyFont="1"/>
    <xf numFmtId="3" fontId="5" fillId="0" borderId="0" xfId="0" applyNumberFormat="1" applyFont="1"/>
    <xf numFmtId="0" fontId="3" fillId="0" borderId="0" xfId="0" applyFont="1" applyAlignment="1">
      <alignment horizontal="center"/>
    </xf>
    <xf numFmtId="0" fontId="5" fillId="3" borderId="7" xfId="0" applyFont="1" applyFill="1" applyBorder="1" applyAlignment="1">
      <alignment horizontal="right" vertical="center"/>
    </xf>
    <xf numFmtId="0" fontId="5" fillId="4" borderId="7" xfId="0" applyFont="1" applyFill="1" applyBorder="1" applyAlignment="1">
      <alignment horizontal="right" vertical="center"/>
    </xf>
    <xf numFmtId="3" fontId="5" fillId="4" borderId="7" xfId="0" applyNumberFormat="1" applyFont="1" applyFill="1" applyBorder="1" applyAlignment="1">
      <alignment horizontal="right" vertical="center"/>
    </xf>
    <xf numFmtId="3" fontId="5" fillId="3" borderId="7" xfId="0" applyNumberFormat="1" applyFont="1" applyFill="1" applyBorder="1" applyAlignment="1">
      <alignment horizontal="right" vertical="center"/>
    </xf>
    <xf numFmtId="0" fontId="3" fillId="0" borderId="5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6" fillId="0" borderId="4" xfId="0" applyFont="1" applyBorder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3" fontId="6" fillId="0" borderId="0" xfId="0" applyNumberFormat="1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5095-FDBA-2A4A-8C4D-A3D9CBF7441D}">
  <dimension ref="A1:BS12"/>
  <sheetViews>
    <sheetView tabSelected="1" zoomScale="190" zoomScaleNormal="190" workbookViewId="0">
      <selection activeCell="A12" sqref="A12:XFD12"/>
    </sheetView>
  </sheetViews>
  <sheetFormatPr baseColWidth="10" defaultRowHeight="15" x14ac:dyDescent="0.2"/>
  <cols>
    <col min="1" max="1" width="3.5" bestFit="1" customWidth="1"/>
    <col min="33" max="33" width="20" customWidth="1"/>
    <col min="37" max="37" width="10.83203125" style="23"/>
    <col min="39" max="39" width="10.83203125" style="23"/>
    <col min="41" max="41" width="10.83203125" style="23"/>
    <col min="58" max="63" width="10.83203125" style="23"/>
  </cols>
  <sheetData>
    <row r="1" spans="1:71" s="19" customFormat="1" ht="48" x14ac:dyDescent="0.2">
      <c r="A1" s="17" t="s">
        <v>72</v>
      </c>
      <c r="B1" s="18" t="s">
        <v>60</v>
      </c>
      <c r="C1" s="18" t="s">
        <v>61</v>
      </c>
      <c r="D1" s="18" t="s">
        <v>62</v>
      </c>
      <c r="E1" s="18" t="s">
        <v>63</v>
      </c>
      <c r="F1" s="18" t="s">
        <v>64</v>
      </c>
      <c r="G1" s="18" t="s">
        <v>65</v>
      </c>
      <c r="H1" s="18" t="s">
        <v>66</v>
      </c>
      <c r="I1" s="18" t="s">
        <v>67</v>
      </c>
      <c r="J1" s="18" t="s">
        <v>68</v>
      </c>
      <c r="K1" s="18" t="s">
        <v>69</v>
      </c>
      <c r="L1" s="18" t="s">
        <v>70</v>
      </c>
      <c r="M1" s="18" t="s">
        <v>71</v>
      </c>
      <c r="N1" s="19" t="s">
        <v>8</v>
      </c>
      <c r="O1" s="19" t="s">
        <v>9</v>
      </c>
      <c r="P1" s="19" t="s">
        <v>10</v>
      </c>
      <c r="Q1" s="19" t="s">
        <v>11</v>
      </c>
      <c r="R1" s="18" t="s">
        <v>13</v>
      </c>
      <c r="S1" s="18" t="s">
        <v>14</v>
      </c>
      <c r="T1" s="18" t="s">
        <v>15</v>
      </c>
      <c r="U1" s="18" t="s">
        <v>12</v>
      </c>
      <c r="V1" s="18" t="s">
        <v>16</v>
      </c>
      <c r="W1" s="18" t="s">
        <v>17</v>
      </c>
      <c r="X1" s="18" t="s">
        <v>18</v>
      </c>
      <c r="Y1" s="18" t="s">
        <v>19</v>
      </c>
      <c r="Z1" s="18" t="s">
        <v>20</v>
      </c>
      <c r="AA1" s="18" t="s">
        <v>21</v>
      </c>
      <c r="AB1" s="18" t="s">
        <v>22</v>
      </c>
      <c r="AC1" s="18" t="s">
        <v>23</v>
      </c>
      <c r="AD1" s="20" t="s">
        <v>24</v>
      </c>
      <c r="AE1" s="20" t="s">
        <v>25</v>
      </c>
      <c r="AF1" s="20" t="s">
        <v>26</v>
      </c>
      <c r="AG1" s="20" t="s">
        <v>27</v>
      </c>
      <c r="AH1" s="19" t="s">
        <v>73</v>
      </c>
      <c r="AI1" s="19" t="s">
        <v>74</v>
      </c>
      <c r="AJ1" s="19" t="s">
        <v>75</v>
      </c>
      <c r="AK1" s="21" t="s">
        <v>28</v>
      </c>
      <c r="AL1" s="18" t="s">
        <v>29</v>
      </c>
      <c r="AM1" s="21" t="s">
        <v>30</v>
      </c>
      <c r="AN1" s="18" t="s">
        <v>31</v>
      </c>
      <c r="AO1" s="21" t="s">
        <v>77</v>
      </c>
      <c r="AP1" s="18" t="s">
        <v>32</v>
      </c>
      <c r="AQ1" s="18" t="s">
        <v>33</v>
      </c>
      <c r="AR1" s="18" t="s">
        <v>34</v>
      </c>
      <c r="AS1" s="18" t="s">
        <v>35</v>
      </c>
      <c r="AT1" s="18" t="s">
        <v>36</v>
      </c>
      <c r="AU1" s="18" t="s">
        <v>37</v>
      </c>
      <c r="AV1" s="18" t="s">
        <v>38</v>
      </c>
      <c r="AW1" s="18" t="s">
        <v>39</v>
      </c>
      <c r="AX1" s="18" t="s">
        <v>40</v>
      </c>
      <c r="AY1" s="18" t="s">
        <v>41</v>
      </c>
      <c r="AZ1" s="18" t="s">
        <v>42</v>
      </c>
      <c r="BA1" s="18" t="s">
        <v>43</v>
      </c>
      <c r="BB1" s="18" t="s">
        <v>44</v>
      </c>
      <c r="BC1" s="18" t="s">
        <v>45</v>
      </c>
      <c r="BD1" s="18" t="s">
        <v>46</v>
      </c>
      <c r="BE1" s="18" t="s">
        <v>47</v>
      </c>
      <c r="BF1" s="21" t="s">
        <v>50</v>
      </c>
      <c r="BG1" s="21" t="s">
        <v>49</v>
      </c>
      <c r="BH1" s="21" t="s">
        <v>78</v>
      </c>
      <c r="BI1" s="21" t="s">
        <v>48</v>
      </c>
      <c r="BJ1" s="21" t="s">
        <v>51</v>
      </c>
      <c r="BK1" s="21" t="s">
        <v>52</v>
      </c>
      <c r="BL1" s="18" t="s">
        <v>53</v>
      </c>
      <c r="BM1" s="18" t="s">
        <v>54</v>
      </c>
      <c r="BN1" s="18" t="s">
        <v>55</v>
      </c>
      <c r="BO1" s="18" t="s">
        <v>56</v>
      </c>
      <c r="BP1" s="18" t="s">
        <v>57</v>
      </c>
      <c r="BQ1" s="18" t="s">
        <v>58</v>
      </c>
      <c r="BR1" s="18" t="s">
        <v>59</v>
      </c>
      <c r="BS1" s="18" t="s">
        <v>76</v>
      </c>
    </row>
    <row r="2" spans="1:71" s="6" customFormat="1" ht="12" thickBot="1" x14ac:dyDescent="0.2">
      <c r="A2" s="8">
        <v>2015</v>
      </c>
      <c r="B2" s="6">
        <v>366</v>
      </c>
      <c r="C2" s="6">
        <v>274</v>
      </c>
      <c r="D2" s="6">
        <v>693</v>
      </c>
      <c r="E2" s="13">
        <v>5</v>
      </c>
      <c r="F2" s="13">
        <v>1</v>
      </c>
      <c r="G2" s="13">
        <v>9</v>
      </c>
      <c r="H2" s="14">
        <v>6</v>
      </c>
      <c r="I2" s="14"/>
      <c r="J2" s="14"/>
      <c r="K2" s="14">
        <v>62</v>
      </c>
      <c r="L2" s="14">
        <v>9</v>
      </c>
      <c r="M2" s="14">
        <v>5</v>
      </c>
      <c r="N2" s="6">
        <v>60</v>
      </c>
      <c r="O2" s="8">
        <v>1</v>
      </c>
      <c r="P2" s="6">
        <v>68</v>
      </c>
      <c r="Q2" s="8">
        <v>80</v>
      </c>
      <c r="R2" s="6">
        <v>142</v>
      </c>
      <c r="S2" s="6">
        <v>138</v>
      </c>
      <c r="T2" s="6">
        <v>14</v>
      </c>
      <c r="U2" s="6">
        <v>13</v>
      </c>
      <c r="V2" s="6">
        <v>32</v>
      </c>
      <c r="W2" s="6">
        <v>31</v>
      </c>
      <c r="X2" s="6">
        <v>18</v>
      </c>
      <c r="Y2" s="6">
        <v>17</v>
      </c>
      <c r="Z2" s="6">
        <v>27</v>
      </c>
      <c r="AA2" s="6">
        <v>27</v>
      </c>
      <c r="AB2" s="6">
        <v>6</v>
      </c>
      <c r="AC2" s="6">
        <v>6</v>
      </c>
      <c r="AD2" s="6">
        <f t="shared" ref="AD2:AG11" si="0">R2+V2+Z2</f>
        <v>201</v>
      </c>
      <c r="AE2" s="6">
        <f t="shared" si="0"/>
        <v>196</v>
      </c>
      <c r="AF2" s="6">
        <f t="shared" si="0"/>
        <v>38</v>
      </c>
      <c r="AG2" s="6">
        <f t="shared" si="0"/>
        <v>36</v>
      </c>
      <c r="AH2" s="6">
        <v>1898</v>
      </c>
      <c r="AI2" s="6">
        <v>195</v>
      </c>
      <c r="AJ2" s="11">
        <v>5013</v>
      </c>
      <c r="AK2" s="22">
        <v>19388</v>
      </c>
      <c r="AL2" s="9">
        <v>436230</v>
      </c>
      <c r="AM2" s="22">
        <v>88145</v>
      </c>
      <c r="AN2" s="9">
        <v>3966525</v>
      </c>
      <c r="AO2" s="22">
        <v>853</v>
      </c>
      <c r="AP2" s="10">
        <v>0</v>
      </c>
      <c r="AQ2" s="6">
        <v>0</v>
      </c>
      <c r="AR2" s="10">
        <v>0</v>
      </c>
      <c r="AS2" s="10">
        <v>0</v>
      </c>
      <c r="AT2" s="10">
        <v>1</v>
      </c>
      <c r="AU2" s="10">
        <v>10</v>
      </c>
      <c r="AV2" s="10">
        <v>19</v>
      </c>
      <c r="AW2" s="10">
        <v>88</v>
      </c>
      <c r="AX2" s="10">
        <v>95</v>
      </c>
      <c r="AY2" s="10">
        <v>134</v>
      </c>
      <c r="AZ2" s="10">
        <v>164</v>
      </c>
      <c r="BA2" s="10">
        <v>150</v>
      </c>
      <c r="BB2" s="10">
        <v>108</v>
      </c>
      <c r="BC2" s="10">
        <v>39</v>
      </c>
      <c r="BD2" s="10">
        <v>27</v>
      </c>
      <c r="BE2" s="10">
        <v>18</v>
      </c>
      <c r="BF2" s="22">
        <v>6</v>
      </c>
      <c r="BG2" s="22">
        <v>76</v>
      </c>
      <c r="BH2" s="22">
        <f>BG2+BF2+AM2</f>
        <v>88227</v>
      </c>
      <c r="BI2" s="22">
        <v>1009</v>
      </c>
      <c r="BJ2" s="22">
        <v>238</v>
      </c>
      <c r="BK2" s="22">
        <v>960</v>
      </c>
      <c r="BL2" s="6">
        <v>9</v>
      </c>
      <c r="BM2" s="6">
        <v>52</v>
      </c>
      <c r="BN2" s="6">
        <v>117</v>
      </c>
      <c r="BO2" s="6">
        <v>195</v>
      </c>
      <c r="BP2" s="6">
        <v>210</v>
      </c>
      <c r="BQ2" s="6">
        <v>191</v>
      </c>
      <c r="BR2" s="6">
        <v>186</v>
      </c>
      <c r="BS2" s="7">
        <v>103476277</v>
      </c>
    </row>
    <row r="3" spans="1:71" s="6" customFormat="1" ht="12" thickBot="1" x14ac:dyDescent="0.2">
      <c r="A3" s="8">
        <v>2016</v>
      </c>
      <c r="B3" s="6">
        <v>410</v>
      </c>
      <c r="C3" s="6">
        <v>263</v>
      </c>
      <c r="D3" s="6">
        <v>1319</v>
      </c>
      <c r="H3" s="13">
        <v>9</v>
      </c>
      <c r="I3" s="13">
        <v>1</v>
      </c>
      <c r="J3" s="13"/>
      <c r="K3" s="13">
        <v>94</v>
      </c>
      <c r="L3" s="13">
        <v>8</v>
      </c>
      <c r="M3" s="13">
        <v>3</v>
      </c>
      <c r="N3" s="6">
        <v>61</v>
      </c>
      <c r="O3" s="8">
        <v>1</v>
      </c>
      <c r="P3" s="6">
        <v>64</v>
      </c>
      <c r="Q3" s="8">
        <v>77</v>
      </c>
      <c r="R3" s="6">
        <v>148</v>
      </c>
      <c r="S3" s="6">
        <v>143</v>
      </c>
      <c r="T3" s="6">
        <v>18</v>
      </c>
      <c r="U3" s="6">
        <v>18</v>
      </c>
      <c r="V3" s="6">
        <v>30</v>
      </c>
      <c r="W3" s="6">
        <v>29</v>
      </c>
      <c r="X3" s="6">
        <v>18</v>
      </c>
      <c r="Y3" s="6">
        <v>17</v>
      </c>
      <c r="Z3" s="6">
        <v>29</v>
      </c>
      <c r="AA3" s="6">
        <v>29</v>
      </c>
      <c r="AB3" s="6">
        <v>10</v>
      </c>
      <c r="AC3" s="6">
        <v>10</v>
      </c>
      <c r="AD3" s="6">
        <f t="shared" si="0"/>
        <v>207</v>
      </c>
      <c r="AE3" s="6">
        <f t="shared" si="0"/>
        <v>201</v>
      </c>
      <c r="AF3" s="6">
        <f t="shared" si="0"/>
        <v>46</v>
      </c>
      <c r="AG3" s="6">
        <f t="shared" si="0"/>
        <v>45</v>
      </c>
      <c r="AH3" s="6">
        <v>1927</v>
      </c>
      <c r="AI3" s="10">
        <v>214</v>
      </c>
      <c r="AJ3" s="6">
        <v>5261</v>
      </c>
      <c r="AK3" s="22">
        <v>21218</v>
      </c>
      <c r="AL3" s="9">
        <v>477405</v>
      </c>
      <c r="AM3" s="22">
        <v>91272</v>
      </c>
      <c r="AN3" s="9">
        <v>4107240</v>
      </c>
      <c r="AO3" s="24">
        <v>1314</v>
      </c>
      <c r="AP3" s="10">
        <v>1</v>
      </c>
      <c r="AQ3" s="6">
        <v>2</v>
      </c>
      <c r="AR3" s="10">
        <v>0</v>
      </c>
      <c r="AS3" s="6">
        <v>1</v>
      </c>
      <c r="AT3" s="6">
        <v>4</v>
      </c>
      <c r="AU3" s="6">
        <v>9</v>
      </c>
      <c r="AV3" s="6">
        <v>33</v>
      </c>
      <c r="AW3" s="6">
        <v>134</v>
      </c>
      <c r="AX3" s="6">
        <v>148</v>
      </c>
      <c r="AY3" s="6">
        <v>228</v>
      </c>
      <c r="AZ3" s="6">
        <v>242</v>
      </c>
      <c r="BA3" s="6">
        <v>232</v>
      </c>
      <c r="BB3" s="6">
        <v>148</v>
      </c>
      <c r="BC3" s="6">
        <v>71</v>
      </c>
      <c r="BD3" s="6">
        <v>36</v>
      </c>
      <c r="BE3" s="6">
        <v>26</v>
      </c>
      <c r="BF3" s="22">
        <v>10</v>
      </c>
      <c r="BG3" s="22">
        <v>105</v>
      </c>
      <c r="BH3" s="22">
        <f>BG3+BF3+AM3</f>
        <v>91387</v>
      </c>
      <c r="BI3" s="22">
        <v>1047</v>
      </c>
      <c r="BJ3" s="22">
        <v>211</v>
      </c>
      <c r="BK3" s="22">
        <v>955</v>
      </c>
      <c r="BL3" s="6">
        <v>5</v>
      </c>
      <c r="BM3" s="6">
        <v>41</v>
      </c>
      <c r="BN3" s="6">
        <v>111</v>
      </c>
      <c r="BO3" s="6">
        <v>211</v>
      </c>
      <c r="BP3" s="6">
        <v>214</v>
      </c>
      <c r="BQ3" s="6">
        <v>185</v>
      </c>
      <c r="BR3" s="6">
        <v>188</v>
      </c>
      <c r="BS3" s="7">
        <v>104241004</v>
      </c>
    </row>
    <row r="4" spans="1:71" s="6" customFormat="1" ht="12" thickBot="1" x14ac:dyDescent="0.2">
      <c r="A4" s="8">
        <v>2017</v>
      </c>
      <c r="B4" s="6">
        <v>474</v>
      </c>
      <c r="C4" s="6">
        <v>232</v>
      </c>
      <c r="D4" s="6">
        <v>1287</v>
      </c>
      <c r="H4" s="14">
        <v>2</v>
      </c>
      <c r="I4" s="14"/>
      <c r="J4" s="14"/>
      <c r="K4" s="14">
        <v>112</v>
      </c>
      <c r="L4" s="14">
        <v>6</v>
      </c>
      <c r="M4" s="14">
        <v>4</v>
      </c>
      <c r="N4" s="6">
        <v>67</v>
      </c>
      <c r="O4" s="8">
        <v>2</v>
      </c>
      <c r="P4" s="8">
        <v>67</v>
      </c>
      <c r="Q4" s="8">
        <v>87</v>
      </c>
      <c r="R4" s="6">
        <v>144</v>
      </c>
      <c r="S4" s="6">
        <v>140</v>
      </c>
      <c r="T4" s="6">
        <v>17</v>
      </c>
      <c r="U4" s="6">
        <v>17</v>
      </c>
      <c r="V4" s="6">
        <v>32</v>
      </c>
      <c r="W4" s="6">
        <v>31</v>
      </c>
      <c r="X4" s="6">
        <v>17</v>
      </c>
      <c r="Y4" s="6">
        <v>16</v>
      </c>
      <c r="Z4" s="6">
        <v>36</v>
      </c>
      <c r="AA4" s="6">
        <v>36</v>
      </c>
      <c r="AB4" s="6">
        <v>11</v>
      </c>
      <c r="AC4" s="6">
        <v>11</v>
      </c>
      <c r="AD4" s="6">
        <f t="shared" si="0"/>
        <v>212</v>
      </c>
      <c r="AE4" s="6">
        <f t="shared" si="0"/>
        <v>207</v>
      </c>
      <c r="AF4" s="6">
        <f t="shared" si="0"/>
        <v>45</v>
      </c>
      <c r="AG4" s="6">
        <f t="shared" si="0"/>
        <v>44</v>
      </c>
      <c r="AH4" s="6">
        <v>2029</v>
      </c>
      <c r="AI4" s="6">
        <v>208</v>
      </c>
      <c r="AJ4" s="11">
        <v>5417</v>
      </c>
      <c r="AK4" s="22">
        <v>18653</v>
      </c>
      <c r="AL4" s="9">
        <v>419692.5</v>
      </c>
      <c r="AM4" s="22">
        <v>88839</v>
      </c>
      <c r="AN4" s="9">
        <v>3997755</v>
      </c>
      <c r="AO4" s="24">
        <v>1456</v>
      </c>
      <c r="AP4" s="10">
        <v>2</v>
      </c>
      <c r="AQ4" s="6">
        <v>3</v>
      </c>
      <c r="AR4" s="10">
        <v>0</v>
      </c>
      <c r="AS4" s="6">
        <v>1</v>
      </c>
      <c r="AT4" s="6">
        <v>5</v>
      </c>
      <c r="AU4" s="6">
        <v>9</v>
      </c>
      <c r="AV4" s="6">
        <v>30</v>
      </c>
      <c r="AW4" s="6">
        <v>132</v>
      </c>
      <c r="AX4" s="6">
        <v>153</v>
      </c>
      <c r="AY4" s="6">
        <v>232</v>
      </c>
      <c r="AZ4" s="6">
        <v>271</v>
      </c>
      <c r="BA4" s="6">
        <v>262</v>
      </c>
      <c r="BB4" s="6">
        <v>210</v>
      </c>
      <c r="BC4" s="6">
        <v>80</v>
      </c>
      <c r="BD4" s="6">
        <v>46</v>
      </c>
      <c r="BE4" s="6">
        <v>23</v>
      </c>
      <c r="BF4" s="22">
        <v>2</v>
      </c>
      <c r="BG4" s="22">
        <v>122</v>
      </c>
      <c r="BH4" s="22">
        <f t="shared" ref="BH4:BH11" si="1">BG4+BF4+AM4</f>
        <v>88963</v>
      </c>
      <c r="BI4" s="22">
        <v>997</v>
      </c>
      <c r="BJ4" s="22">
        <v>263</v>
      </c>
      <c r="BK4" s="22">
        <v>1074</v>
      </c>
      <c r="BL4" s="6">
        <v>6</v>
      </c>
      <c r="BM4" s="6">
        <v>45</v>
      </c>
      <c r="BN4" s="6">
        <v>142</v>
      </c>
      <c r="BO4" s="6">
        <v>232</v>
      </c>
      <c r="BP4" s="6">
        <v>243</v>
      </c>
      <c r="BQ4" s="6">
        <v>201</v>
      </c>
      <c r="BR4" s="6">
        <v>205</v>
      </c>
      <c r="BS4" s="7">
        <v>104943736</v>
      </c>
    </row>
    <row r="5" spans="1:71" s="6" customFormat="1" ht="12" thickBot="1" x14ac:dyDescent="0.2">
      <c r="A5" s="8">
        <v>2018</v>
      </c>
      <c r="B5" s="6">
        <v>586</v>
      </c>
      <c r="C5" s="6">
        <v>336</v>
      </c>
      <c r="D5" s="6">
        <v>1555</v>
      </c>
      <c r="K5" s="13">
        <v>84</v>
      </c>
      <c r="L5" s="13">
        <v>3</v>
      </c>
      <c r="M5" s="13">
        <v>2</v>
      </c>
      <c r="N5" s="6">
        <v>84</v>
      </c>
      <c r="O5" s="8">
        <v>1</v>
      </c>
      <c r="P5" s="8">
        <v>67</v>
      </c>
      <c r="Q5" s="8">
        <v>85</v>
      </c>
      <c r="R5" s="6">
        <v>148</v>
      </c>
      <c r="S5" s="6">
        <v>138</v>
      </c>
      <c r="T5" s="6">
        <v>20</v>
      </c>
      <c r="U5" s="6">
        <v>18</v>
      </c>
      <c r="V5" s="6">
        <v>34</v>
      </c>
      <c r="W5" s="6">
        <v>32</v>
      </c>
      <c r="X5" s="6">
        <v>17</v>
      </c>
      <c r="Y5" s="6">
        <v>15</v>
      </c>
      <c r="Z5" s="6">
        <v>44</v>
      </c>
      <c r="AA5" s="6">
        <v>43</v>
      </c>
      <c r="AB5" s="6">
        <v>10</v>
      </c>
      <c r="AC5" s="6">
        <v>10</v>
      </c>
      <c r="AD5" s="6">
        <f t="shared" si="0"/>
        <v>226</v>
      </c>
      <c r="AE5" s="6">
        <f t="shared" si="0"/>
        <v>213</v>
      </c>
      <c r="AF5" s="6">
        <f t="shared" si="0"/>
        <v>47</v>
      </c>
      <c r="AG5" s="6">
        <f t="shared" si="0"/>
        <v>43</v>
      </c>
      <c r="AH5" s="6">
        <v>2042</v>
      </c>
      <c r="AI5" s="10">
        <v>185</v>
      </c>
      <c r="AJ5" s="6">
        <v>5109</v>
      </c>
      <c r="AK5" s="22">
        <v>21249</v>
      </c>
      <c r="AL5" s="9">
        <v>478102.5</v>
      </c>
      <c r="AM5" s="22">
        <v>93730</v>
      </c>
      <c r="AN5" s="9">
        <v>4217850</v>
      </c>
      <c r="AO5" s="24">
        <v>1920</v>
      </c>
      <c r="AP5" s="10">
        <v>3</v>
      </c>
      <c r="AQ5" s="6">
        <v>2</v>
      </c>
      <c r="AR5" s="6">
        <v>1</v>
      </c>
      <c r="AS5" s="6">
        <v>2</v>
      </c>
      <c r="AT5" s="6">
        <v>2</v>
      </c>
      <c r="AU5" s="6">
        <v>10</v>
      </c>
      <c r="AV5" s="6">
        <v>60</v>
      </c>
      <c r="AW5" s="6">
        <v>219</v>
      </c>
      <c r="AX5" s="6">
        <v>232</v>
      </c>
      <c r="AY5" s="6">
        <v>327</v>
      </c>
      <c r="AZ5" s="6">
        <v>321</v>
      </c>
      <c r="BA5" s="6">
        <v>325</v>
      </c>
      <c r="BB5" s="6">
        <v>229</v>
      </c>
      <c r="BC5" s="6">
        <v>122</v>
      </c>
      <c r="BD5" s="6">
        <v>40</v>
      </c>
      <c r="BE5" s="6">
        <v>27</v>
      </c>
      <c r="BF5" s="22">
        <v>0</v>
      </c>
      <c r="BG5" s="22">
        <v>89</v>
      </c>
      <c r="BH5" s="22">
        <f t="shared" si="1"/>
        <v>93819</v>
      </c>
      <c r="BI5" s="22">
        <v>1019</v>
      </c>
      <c r="BJ5" s="22">
        <v>238</v>
      </c>
      <c r="BK5" s="22">
        <v>1159</v>
      </c>
      <c r="BL5" s="6">
        <v>6</v>
      </c>
      <c r="BM5" s="6">
        <v>60</v>
      </c>
      <c r="BN5" s="6">
        <v>131</v>
      </c>
      <c r="BO5" s="6">
        <v>239</v>
      </c>
      <c r="BP5" s="6">
        <v>274</v>
      </c>
      <c r="BQ5" s="6">
        <v>201</v>
      </c>
      <c r="BR5" s="6">
        <v>248</v>
      </c>
      <c r="BS5" s="7">
        <v>105633483</v>
      </c>
    </row>
    <row r="6" spans="1:71" s="6" customFormat="1" ht="12" thickBot="1" x14ac:dyDescent="0.2">
      <c r="A6" s="8">
        <v>2019</v>
      </c>
      <c r="B6" s="6">
        <v>629</v>
      </c>
      <c r="C6" s="6">
        <v>372</v>
      </c>
      <c r="D6" s="6">
        <v>1274</v>
      </c>
      <c r="K6" s="14">
        <v>58</v>
      </c>
      <c r="L6" s="14">
        <v>4</v>
      </c>
      <c r="M6" s="14">
        <v>26</v>
      </c>
      <c r="N6" s="6">
        <v>104</v>
      </c>
      <c r="O6" s="8">
        <v>1</v>
      </c>
      <c r="P6" s="6">
        <v>62</v>
      </c>
      <c r="Q6" s="8">
        <v>85</v>
      </c>
      <c r="R6" s="6">
        <v>151</v>
      </c>
      <c r="S6" s="6">
        <v>139</v>
      </c>
      <c r="T6" s="6">
        <v>23</v>
      </c>
      <c r="U6" s="6">
        <v>21</v>
      </c>
      <c r="V6" s="6">
        <v>33</v>
      </c>
      <c r="W6" s="6">
        <v>30</v>
      </c>
      <c r="X6" s="6">
        <v>18</v>
      </c>
      <c r="Y6" s="6">
        <v>16</v>
      </c>
      <c r="Z6" s="6">
        <v>57</v>
      </c>
      <c r="AA6" s="6">
        <v>54</v>
      </c>
      <c r="AB6" s="6">
        <v>9</v>
      </c>
      <c r="AC6" s="6">
        <v>9</v>
      </c>
      <c r="AD6" s="6">
        <f t="shared" si="0"/>
        <v>241</v>
      </c>
      <c r="AE6" s="6">
        <f t="shared" si="0"/>
        <v>223</v>
      </c>
      <c r="AF6" s="6">
        <f t="shared" si="0"/>
        <v>50</v>
      </c>
      <c r="AG6" s="6">
        <f t="shared" si="0"/>
        <v>46</v>
      </c>
      <c r="AH6" s="6">
        <v>2126</v>
      </c>
      <c r="AI6" s="6">
        <v>190</v>
      </c>
      <c r="AJ6" s="11">
        <v>4974</v>
      </c>
      <c r="AK6" s="22">
        <v>19989</v>
      </c>
      <c r="AL6" s="9">
        <v>449752.5</v>
      </c>
      <c r="AM6" s="22">
        <v>78686</v>
      </c>
      <c r="AN6" s="9">
        <v>3540870</v>
      </c>
      <c r="AO6" s="24">
        <v>2961</v>
      </c>
      <c r="AP6" s="6">
        <v>0</v>
      </c>
      <c r="AQ6" s="6">
        <v>0</v>
      </c>
      <c r="AR6" s="6">
        <v>3</v>
      </c>
      <c r="AS6" s="6">
        <v>2</v>
      </c>
      <c r="AT6" s="6">
        <v>7</v>
      </c>
      <c r="AU6" s="6">
        <v>20</v>
      </c>
      <c r="AV6" s="6">
        <v>91</v>
      </c>
      <c r="AW6" s="6">
        <v>345</v>
      </c>
      <c r="AX6" s="6">
        <v>405</v>
      </c>
      <c r="AY6" s="6">
        <v>460</v>
      </c>
      <c r="AZ6" s="6">
        <v>491</v>
      </c>
      <c r="BA6" s="6">
        <v>511</v>
      </c>
      <c r="BB6" s="6">
        <v>363</v>
      </c>
      <c r="BC6" s="6">
        <v>169</v>
      </c>
      <c r="BD6" s="6">
        <v>59</v>
      </c>
      <c r="BE6" s="6">
        <v>34</v>
      </c>
      <c r="BF6" s="22">
        <v>0</v>
      </c>
      <c r="BG6" s="22">
        <v>88</v>
      </c>
      <c r="BH6" s="22">
        <f t="shared" si="1"/>
        <v>78774</v>
      </c>
      <c r="BI6" s="22">
        <v>1078</v>
      </c>
      <c r="BJ6" s="22">
        <v>168</v>
      </c>
      <c r="BK6" s="22">
        <v>1067</v>
      </c>
      <c r="BL6" s="6">
        <v>2</v>
      </c>
      <c r="BM6" s="6">
        <v>59</v>
      </c>
      <c r="BN6" s="6">
        <v>106</v>
      </c>
      <c r="BO6" s="6">
        <v>221</v>
      </c>
      <c r="BP6" s="6">
        <v>244</v>
      </c>
      <c r="BQ6" s="6">
        <v>227</v>
      </c>
      <c r="BR6" s="6">
        <v>208</v>
      </c>
      <c r="BS6" s="7">
        <v>106348865</v>
      </c>
    </row>
    <row r="7" spans="1:71" s="6" customFormat="1" ht="12" thickBot="1" x14ac:dyDescent="0.2">
      <c r="A7" s="8">
        <v>2020</v>
      </c>
      <c r="B7" s="6">
        <v>452</v>
      </c>
      <c r="C7" s="6">
        <v>414</v>
      </c>
      <c r="D7" s="6">
        <v>1146</v>
      </c>
      <c r="H7" s="13">
        <v>2</v>
      </c>
      <c r="I7" s="13"/>
      <c r="J7" s="13"/>
      <c r="K7" s="13">
        <v>72</v>
      </c>
      <c r="L7" s="13">
        <v>7</v>
      </c>
      <c r="M7" s="13">
        <v>1</v>
      </c>
      <c r="N7" s="6">
        <v>93</v>
      </c>
      <c r="O7" s="8">
        <v>1</v>
      </c>
      <c r="P7" s="8">
        <v>44</v>
      </c>
      <c r="Q7" s="8">
        <v>62</v>
      </c>
      <c r="R7" s="6">
        <v>110</v>
      </c>
      <c r="S7" s="6">
        <v>99</v>
      </c>
      <c r="T7" s="6">
        <v>18</v>
      </c>
      <c r="U7" s="6">
        <v>16</v>
      </c>
      <c r="V7" s="6">
        <v>30</v>
      </c>
      <c r="W7" s="6">
        <v>28</v>
      </c>
      <c r="X7" s="6">
        <v>19</v>
      </c>
      <c r="Y7" s="6">
        <v>17</v>
      </c>
      <c r="Z7" s="6">
        <v>59</v>
      </c>
      <c r="AA7" s="6">
        <v>57</v>
      </c>
      <c r="AB7" s="6">
        <v>9</v>
      </c>
      <c r="AC7" s="6">
        <v>9</v>
      </c>
      <c r="AD7" s="6">
        <f t="shared" si="0"/>
        <v>199</v>
      </c>
      <c r="AE7" s="6">
        <f t="shared" si="0"/>
        <v>184</v>
      </c>
      <c r="AF7" s="6">
        <f t="shared" si="0"/>
        <v>46</v>
      </c>
      <c r="AG7" s="6">
        <f t="shared" si="0"/>
        <v>42</v>
      </c>
      <c r="AH7" s="6">
        <v>2265</v>
      </c>
      <c r="AI7" s="10">
        <v>161</v>
      </c>
      <c r="AJ7" s="6">
        <v>5075</v>
      </c>
      <c r="AK7" s="22">
        <v>12503</v>
      </c>
      <c r="AL7" s="9">
        <v>281317.5</v>
      </c>
      <c r="AM7" s="22">
        <v>37292</v>
      </c>
      <c r="AN7" s="9">
        <v>1678140</v>
      </c>
      <c r="AO7" s="24">
        <v>2509</v>
      </c>
      <c r="AP7" s="6">
        <v>0</v>
      </c>
      <c r="AQ7" s="6">
        <v>0</v>
      </c>
      <c r="AR7" s="6">
        <v>3</v>
      </c>
      <c r="AS7" s="6">
        <v>4</v>
      </c>
      <c r="AT7" s="6">
        <v>10</v>
      </c>
      <c r="AU7" s="6">
        <v>16</v>
      </c>
      <c r="AV7" s="6">
        <v>51</v>
      </c>
      <c r="AW7" s="6">
        <v>285</v>
      </c>
      <c r="AX7" s="6">
        <v>350</v>
      </c>
      <c r="AY7" s="6">
        <v>423</v>
      </c>
      <c r="AZ7" s="6">
        <v>427</v>
      </c>
      <c r="BA7" s="6">
        <v>419</v>
      </c>
      <c r="BB7" s="6">
        <v>297</v>
      </c>
      <c r="BC7" s="6">
        <v>118</v>
      </c>
      <c r="BD7" s="6">
        <v>75</v>
      </c>
      <c r="BE7" s="6">
        <v>31</v>
      </c>
      <c r="BF7" s="22">
        <v>2</v>
      </c>
      <c r="BG7" s="22">
        <v>80</v>
      </c>
      <c r="BH7" s="22">
        <f t="shared" si="1"/>
        <v>37374</v>
      </c>
      <c r="BI7" s="22">
        <v>861</v>
      </c>
      <c r="BJ7" s="22">
        <v>82</v>
      </c>
      <c r="BK7" s="22">
        <v>983</v>
      </c>
      <c r="BL7" s="6">
        <v>4</v>
      </c>
      <c r="BM7" s="6">
        <v>49</v>
      </c>
      <c r="BN7" s="6">
        <v>109</v>
      </c>
      <c r="BO7" s="6">
        <v>178</v>
      </c>
      <c r="BP7" s="6">
        <v>231</v>
      </c>
      <c r="BQ7" s="6">
        <v>199</v>
      </c>
      <c r="BR7" s="6">
        <v>213</v>
      </c>
      <c r="BS7" s="7">
        <v>107023935</v>
      </c>
    </row>
    <row r="8" spans="1:71" s="6" customFormat="1" ht="12" thickBot="1" x14ac:dyDescent="0.2">
      <c r="A8" s="8">
        <v>2021</v>
      </c>
      <c r="B8" s="6">
        <v>502</v>
      </c>
      <c r="C8" s="6">
        <v>415</v>
      </c>
      <c r="D8" s="6">
        <v>1344</v>
      </c>
      <c r="E8" s="15">
        <v>2045</v>
      </c>
      <c r="F8" s="14">
        <v>974</v>
      </c>
      <c r="G8" s="14">
        <v>62</v>
      </c>
      <c r="H8" s="14">
        <v>3</v>
      </c>
      <c r="I8" s="14"/>
      <c r="J8" s="14"/>
      <c r="K8" s="14">
        <v>105</v>
      </c>
      <c r="L8" s="14">
        <v>13</v>
      </c>
      <c r="M8" s="14">
        <v>9</v>
      </c>
      <c r="N8" s="6">
        <v>94</v>
      </c>
      <c r="O8" s="8">
        <v>1</v>
      </c>
      <c r="P8" s="8">
        <v>52</v>
      </c>
      <c r="Q8" s="8">
        <v>66</v>
      </c>
      <c r="R8" s="6">
        <v>120</v>
      </c>
      <c r="S8" s="6">
        <v>114</v>
      </c>
      <c r="T8" s="6">
        <v>21</v>
      </c>
      <c r="U8" s="6">
        <v>21</v>
      </c>
      <c r="V8" s="6">
        <v>30</v>
      </c>
      <c r="W8" s="6">
        <v>28</v>
      </c>
      <c r="X8" s="6">
        <v>18</v>
      </c>
      <c r="Y8" s="6">
        <v>16</v>
      </c>
      <c r="Z8" s="6">
        <v>71</v>
      </c>
      <c r="AA8" s="6">
        <v>66</v>
      </c>
      <c r="AB8" s="6">
        <v>12</v>
      </c>
      <c r="AC8" s="6">
        <v>11</v>
      </c>
      <c r="AD8" s="6">
        <f t="shared" si="0"/>
        <v>221</v>
      </c>
      <c r="AE8" s="6">
        <f t="shared" si="0"/>
        <v>208</v>
      </c>
      <c r="AF8" s="6">
        <f t="shared" si="0"/>
        <v>51</v>
      </c>
      <c r="AG8" s="6">
        <f t="shared" si="0"/>
        <v>48</v>
      </c>
      <c r="AH8" s="6">
        <v>2262</v>
      </c>
      <c r="AI8" s="6">
        <v>155</v>
      </c>
      <c r="AJ8" s="11">
        <v>5393</v>
      </c>
      <c r="AK8" s="22">
        <v>16757</v>
      </c>
      <c r="AL8" s="9">
        <v>377032.5</v>
      </c>
      <c r="AM8" s="22">
        <v>61057</v>
      </c>
      <c r="AN8" s="9">
        <v>2747565</v>
      </c>
      <c r="AO8" s="24">
        <v>7855</v>
      </c>
      <c r="AP8" s="6">
        <v>0</v>
      </c>
      <c r="AQ8" s="6">
        <v>1</v>
      </c>
      <c r="AR8" s="6">
        <v>3</v>
      </c>
      <c r="AS8" s="6">
        <v>12</v>
      </c>
      <c r="AT8" s="6">
        <v>13</v>
      </c>
      <c r="AU8" s="6">
        <v>61</v>
      </c>
      <c r="AV8" s="6">
        <v>141</v>
      </c>
      <c r="AW8" s="6">
        <v>663</v>
      </c>
      <c r="AX8" s="6">
        <v>914</v>
      </c>
      <c r="AY8" s="6">
        <v>1530</v>
      </c>
      <c r="AZ8" s="6">
        <v>1639</v>
      </c>
      <c r="BA8" s="6">
        <v>1366</v>
      </c>
      <c r="BB8" s="6">
        <v>997</v>
      </c>
      <c r="BC8" s="6">
        <v>346</v>
      </c>
      <c r="BD8" s="6">
        <v>121</v>
      </c>
      <c r="BE8" s="6">
        <v>49</v>
      </c>
      <c r="BF8" s="22">
        <v>3</v>
      </c>
      <c r="BG8" s="22">
        <v>127</v>
      </c>
      <c r="BH8" s="22">
        <f t="shared" si="1"/>
        <v>61187</v>
      </c>
      <c r="BI8" s="22">
        <v>758</v>
      </c>
      <c r="BJ8" s="22">
        <v>87</v>
      </c>
      <c r="BK8" s="22">
        <v>952</v>
      </c>
      <c r="BL8" s="6">
        <v>6</v>
      </c>
      <c r="BM8" s="6">
        <v>37</v>
      </c>
      <c r="BN8" s="6">
        <v>118</v>
      </c>
      <c r="BO8" s="6">
        <v>201</v>
      </c>
      <c r="BP8" s="6">
        <v>233</v>
      </c>
      <c r="BQ8" s="6">
        <v>165</v>
      </c>
      <c r="BR8" s="6">
        <v>192</v>
      </c>
      <c r="BS8" s="7">
        <v>107552789</v>
      </c>
    </row>
    <row r="9" spans="1:71" s="6" customFormat="1" ht="12" thickBot="1" x14ac:dyDescent="0.2">
      <c r="A9" s="8">
        <v>2022</v>
      </c>
      <c r="B9" s="6">
        <v>313</v>
      </c>
      <c r="C9" s="6">
        <v>290</v>
      </c>
      <c r="D9" s="6">
        <v>1314</v>
      </c>
      <c r="E9" s="16">
        <v>10920</v>
      </c>
      <c r="F9" s="16">
        <v>12522</v>
      </c>
      <c r="G9" s="16">
        <v>13661</v>
      </c>
      <c r="H9" s="13">
        <v>1</v>
      </c>
      <c r="I9" s="13"/>
      <c r="J9" s="13"/>
      <c r="K9" s="13">
        <v>129</v>
      </c>
      <c r="L9" s="13">
        <v>4</v>
      </c>
      <c r="M9" s="13">
        <v>1</v>
      </c>
      <c r="N9" s="6">
        <v>96</v>
      </c>
      <c r="O9" s="8">
        <v>2</v>
      </c>
      <c r="P9" s="8">
        <v>52</v>
      </c>
      <c r="Q9" s="8">
        <v>66</v>
      </c>
      <c r="R9" s="6">
        <v>125</v>
      </c>
      <c r="S9" s="6">
        <v>119</v>
      </c>
      <c r="T9" s="6">
        <v>19</v>
      </c>
      <c r="U9" s="6">
        <v>19</v>
      </c>
      <c r="V9" s="6">
        <v>30</v>
      </c>
      <c r="W9" s="6">
        <v>26</v>
      </c>
      <c r="X9" s="6">
        <v>17</v>
      </c>
      <c r="Y9" s="6">
        <v>13</v>
      </c>
      <c r="Z9" s="6">
        <v>82</v>
      </c>
      <c r="AA9" s="6">
        <v>76</v>
      </c>
      <c r="AB9" s="6">
        <v>11</v>
      </c>
      <c r="AC9" s="6">
        <v>10</v>
      </c>
      <c r="AD9" s="6">
        <f t="shared" si="0"/>
        <v>237</v>
      </c>
      <c r="AE9" s="6">
        <f t="shared" si="0"/>
        <v>221</v>
      </c>
      <c r="AF9" s="6">
        <f t="shared" si="0"/>
        <v>47</v>
      </c>
      <c r="AG9" s="6">
        <f t="shared" si="0"/>
        <v>42</v>
      </c>
      <c r="AH9" s="6">
        <v>2366</v>
      </c>
      <c r="AI9" s="10">
        <v>152</v>
      </c>
      <c r="AJ9" s="6">
        <v>5511</v>
      </c>
      <c r="AK9" s="22">
        <v>18134</v>
      </c>
      <c r="AL9" s="9">
        <v>408015</v>
      </c>
      <c r="AM9" s="22">
        <v>65905</v>
      </c>
      <c r="AN9" s="9">
        <v>2965725</v>
      </c>
      <c r="AO9" s="24">
        <v>42900</v>
      </c>
      <c r="AP9" s="6">
        <v>10</v>
      </c>
      <c r="AQ9" s="6">
        <v>0</v>
      </c>
      <c r="AR9" s="6">
        <v>15</v>
      </c>
      <c r="AS9" s="6">
        <v>52</v>
      </c>
      <c r="AT9" s="6">
        <v>106</v>
      </c>
      <c r="AU9" s="6">
        <v>181</v>
      </c>
      <c r="AV9" s="6">
        <v>500</v>
      </c>
      <c r="AW9" s="6">
        <v>1630</v>
      </c>
      <c r="AX9" s="6">
        <v>2182</v>
      </c>
      <c r="AY9" s="6">
        <v>10682</v>
      </c>
      <c r="AZ9" s="6">
        <v>10825</v>
      </c>
      <c r="BA9" s="6">
        <v>9606</v>
      </c>
      <c r="BB9" s="6">
        <v>5781</v>
      </c>
      <c r="BC9" s="6">
        <v>830</v>
      </c>
      <c r="BD9" s="6">
        <v>340</v>
      </c>
      <c r="BE9" s="6">
        <v>157</v>
      </c>
      <c r="BF9" s="22">
        <v>1</v>
      </c>
      <c r="BG9" s="22">
        <v>134</v>
      </c>
      <c r="BH9" s="22">
        <f t="shared" si="1"/>
        <v>66040</v>
      </c>
      <c r="BI9" s="22">
        <v>696</v>
      </c>
      <c r="BJ9" s="22">
        <v>109</v>
      </c>
      <c r="BK9" s="22">
        <v>1046</v>
      </c>
      <c r="BL9" s="6">
        <v>2</v>
      </c>
      <c r="BM9" s="6">
        <v>47</v>
      </c>
      <c r="BN9" s="6">
        <v>128</v>
      </c>
      <c r="BO9" s="6">
        <v>200</v>
      </c>
      <c r="BP9" s="6">
        <v>244</v>
      </c>
      <c r="BQ9" s="6">
        <v>218</v>
      </c>
      <c r="BR9" s="6">
        <v>207</v>
      </c>
      <c r="BS9" s="7">
        <v>107987869</v>
      </c>
    </row>
    <row r="10" spans="1:71" s="6" customFormat="1" ht="12" thickBot="1" x14ac:dyDescent="0.2">
      <c r="A10" s="8">
        <v>2023</v>
      </c>
      <c r="B10" s="6">
        <v>353</v>
      </c>
      <c r="C10" s="6">
        <v>246</v>
      </c>
      <c r="D10" s="6">
        <v>1357</v>
      </c>
      <c r="E10" s="16">
        <v>22199</v>
      </c>
      <c r="F10" s="16">
        <v>32191</v>
      </c>
      <c r="G10" s="16">
        <v>39630</v>
      </c>
      <c r="H10" s="14">
        <v>5</v>
      </c>
      <c r="I10" s="14">
        <v>5</v>
      </c>
      <c r="J10" s="14">
        <v>7</v>
      </c>
      <c r="K10" s="14">
        <v>281</v>
      </c>
      <c r="L10" s="14">
        <v>36</v>
      </c>
      <c r="M10" s="14">
        <v>87</v>
      </c>
      <c r="N10" s="6">
        <v>100</v>
      </c>
      <c r="O10" s="8">
        <v>2</v>
      </c>
      <c r="P10" s="8">
        <v>56</v>
      </c>
      <c r="Q10" s="8">
        <v>75</v>
      </c>
      <c r="R10" s="6">
        <v>126</v>
      </c>
      <c r="S10" s="6">
        <v>120</v>
      </c>
      <c r="T10" s="6">
        <v>20</v>
      </c>
      <c r="U10" s="6">
        <v>20</v>
      </c>
      <c r="V10" s="6">
        <v>32</v>
      </c>
      <c r="W10" s="6">
        <v>30</v>
      </c>
      <c r="X10" s="6">
        <v>19</v>
      </c>
      <c r="Y10" s="6">
        <v>17</v>
      </c>
      <c r="Z10" s="6">
        <v>80</v>
      </c>
      <c r="AA10" s="6">
        <v>74</v>
      </c>
      <c r="AB10" s="6">
        <v>15</v>
      </c>
      <c r="AC10" s="6">
        <v>12</v>
      </c>
      <c r="AD10" s="6">
        <f t="shared" si="0"/>
        <v>238</v>
      </c>
      <c r="AE10" s="6">
        <f t="shared" si="0"/>
        <v>224</v>
      </c>
      <c r="AF10" s="6">
        <f t="shared" si="0"/>
        <v>54</v>
      </c>
      <c r="AG10" s="6">
        <f t="shared" si="0"/>
        <v>49</v>
      </c>
      <c r="AH10" s="6">
        <v>2320</v>
      </c>
      <c r="AI10" s="6">
        <v>141</v>
      </c>
      <c r="AJ10" s="11">
        <v>5980</v>
      </c>
      <c r="AK10" s="22">
        <v>14726</v>
      </c>
      <c r="AL10" s="9">
        <v>331335</v>
      </c>
      <c r="AM10" s="22">
        <v>89966</v>
      </c>
      <c r="AN10" s="9">
        <v>4048470</v>
      </c>
      <c r="AO10" s="24">
        <v>97760</v>
      </c>
      <c r="AP10" s="6">
        <v>20</v>
      </c>
      <c r="AQ10" s="6">
        <v>0</v>
      </c>
      <c r="AR10" s="6">
        <v>60</v>
      </c>
      <c r="AS10" s="6">
        <v>132</v>
      </c>
      <c r="AT10" s="6">
        <v>292</v>
      </c>
      <c r="AU10" s="6">
        <v>506</v>
      </c>
      <c r="AV10" s="6">
        <v>1164</v>
      </c>
      <c r="AW10" s="6">
        <v>3644</v>
      </c>
      <c r="AX10" s="6">
        <v>5138</v>
      </c>
      <c r="AY10" s="6">
        <v>24404</v>
      </c>
      <c r="AZ10" s="6">
        <v>23916</v>
      </c>
      <c r="BA10" s="6">
        <v>21752</v>
      </c>
      <c r="BB10" s="6">
        <v>13170</v>
      </c>
      <c r="BC10" s="6">
        <v>2264</v>
      </c>
      <c r="BD10" s="6">
        <v>837</v>
      </c>
      <c r="BE10" s="6">
        <v>458</v>
      </c>
      <c r="BF10" s="22">
        <v>17</v>
      </c>
      <c r="BG10" s="22">
        <v>404</v>
      </c>
      <c r="BH10" s="22">
        <f t="shared" si="1"/>
        <v>90387</v>
      </c>
      <c r="BI10" s="22">
        <v>533</v>
      </c>
      <c r="BJ10" s="22">
        <v>93</v>
      </c>
      <c r="BK10" s="22">
        <v>1133</v>
      </c>
      <c r="BL10" s="6">
        <v>3</v>
      </c>
      <c r="BM10" s="6">
        <v>47</v>
      </c>
      <c r="BN10" s="6">
        <v>145</v>
      </c>
      <c r="BO10" s="6">
        <v>194</v>
      </c>
      <c r="BP10" s="6">
        <v>297</v>
      </c>
      <c r="BQ10" s="6">
        <v>212</v>
      </c>
      <c r="BR10" s="6">
        <v>235</v>
      </c>
      <c r="BS10" s="7">
        <v>108443605</v>
      </c>
    </row>
    <row r="11" spans="1:71" s="6" customFormat="1" ht="12" thickBot="1" x14ac:dyDescent="0.2">
      <c r="A11" s="8">
        <v>2024</v>
      </c>
      <c r="B11" s="6">
        <v>251</v>
      </c>
      <c r="C11" s="6">
        <v>237</v>
      </c>
      <c r="D11" s="6">
        <v>1564</v>
      </c>
      <c r="E11" s="15">
        <v>20198</v>
      </c>
      <c r="F11" s="15">
        <v>42450</v>
      </c>
      <c r="G11" s="15">
        <v>40505</v>
      </c>
      <c r="H11" s="13">
        <v>3</v>
      </c>
      <c r="I11" s="13">
        <v>3</v>
      </c>
      <c r="J11" s="13"/>
      <c r="K11" s="16">
        <v>1922</v>
      </c>
      <c r="L11" s="13">
        <v>483</v>
      </c>
      <c r="M11" s="13">
        <v>151</v>
      </c>
      <c r="N11" s="6">
        <v>104</v>
      </c>
      <c r="O11" s="8">
        <v>4</v>
      </c>
      <c r="P11" s="8">
        <v>57</v>
      </c>
      <c r="Q11" s="8">
        <v>80</v>
      </c>
      <c r="R11" s="6">
        <v>130</v>
      </c>
      <c r="S11" s="6">
        <v>123</v>
      </c>
      <c r="T11" s="6">
        <v>9</v>
      </c>
      <c r="U11" s="6">
        <v>9</v>
      </c>
      <c r="V11" s="6">
        <v>30</v>
      </c>
      <c r="W11" s="6">
        <v>29</v>
      </c>
      <c r="X11" s="6">
        <v>14</v>
      </c>
      <c r="Y11" s="6">
        <v>13</v>
      </c>
      <c r="Z11" s="6">
        <v>84</v>
      </c>
      <c r="AA11" s="6">
        <v>79</v>
      </c>
      <c r="AB11" s="6">
        <v>18</v>
      </c>
      <c r="AC11" s="6">
        <v>16</v>
      </c>
      <c r="AD11" s="6">
        <f t="shared" si="0"/>
        <v>244</v>
      </c>
      <c r="AE11" s="6">
        <f t="shared" si="0"/>
        <v>231</v>
      </c>
      <c r="AF11" s="6">
        <f t="shared" si="0"/>
        <v>41</v>
      </c>
      <c r="AG11" s="6">
        <f t="shared" si="0"/>
        <v>38</v>
      </c>
      <c r="AH11" s="6">
        <v>2552</v>
      </c>
      <c r="AI11" s="10">
        <v>127</v>
      </c>
      <c r="AJ11" s="6">
        <v>6567</v>
      </c>
      <c r="AK11" s="22">
        <v>17180</v>
      </c>
      <c r="AL11" s="9">
        <v>386550</v>
      </c>
      <c r="AM11" s="22">
        <v>102288</v>
      </c>
      <c r="AN11" s="9">
        <v>4602960</v>
      </c>
      <c r="AO11" s="24">
        <v>106827</v>
      </c>
      <c r="AP11" s="6">
        <v>11</v>
      </c>
      <c r="AQ11" s="6">
        <v>1</v>
      </c>
      <c r="AR11" s="6">
        <v>48</v>
      </c>
      <c r="AS11" s="6">
        <v>153</v>
      </c>
      <c r="AT11" s="6">
        <v>286</v>
      </c>
      <c r="AU11" s="6">
        <v>595</v>
      </c>
      <c r="AV11" s="6">
        <v>1219</v>
      </c>
      <c r="AW11" s="6">
        <v>3638</v>
      </c>
      <c r="AX11" s="6">
        <v>5089</v>
      </c>
      <c r="AY11" s="6">
        <v>27415</v>
      </c>
      <c r="AZ11" s="6">
        <v>26260</v>
      </c>
      <c r="BA11" s="6">
        <v>24140</v>
      </c>
      <c r="BB11" s="6">
        <v>14708</v>
      </c>
      <c r="BC11" s="6">
        <v>2046</v>
      </c>
      <c r="BD11" s="6">
        <v>813</v>
      </c>
      <c r="BE11" s="6">
        <v>403</v>
      </c>
      <c r="BF11" s="22">
        <v>6</v>
      </c>
      <c r="BG11" s="22">
        <v>2556</v>
      </c>
      <c r="BH11" s="22">
        <f t="shared" si="1"/>
        <v>104850</v>
      </c>
      <c r="BI11" s="22">
        <v>545</v>
      </c>
      <c r="BJ11" s="22">
        <v>107</v>
      </c>
      <c r="BK11" s="22">
        <v>1121</v>
      </c>
      <c r="BL11" s="6">
        <v>5</v>
      </c>
      <c r="BM11" s="6">
        <v>45</v>
      </c>
      <c r="BN11" s="6">
        <v>147</v>
      </c>
      <c r="BO11" s="6">
        <v>201</v>
      </c>
      <c r="BP11" s="6">
        <v>279</v>
      </c>
      <c r="BQ11" s="6">
        <v>228</v>
      </c>
      <c r="BR11" s="6">
        <v>216</v>
      </c>
      <c r="BS11" s="7">
        <v>108921464</v>
      </c>
    </row>
    <row r="12" spans="1:71" s="6" customFormat="1" ht="11" x14ac:dyDescent="0.15">
      <c r="A12" s="12"/>
      <c r="AH12" s="7"/>
      <c r="AK12" s="22"/>
      <c r="AM12" s="22"/>
      <c r="AN12" s="9"/>
      <c r="AO12" s="22"/>
      <c r="BF12" s="22"/>
      <c r="BG12" s="22"/>
      <c r="BH12" s="22"/>
      <c r="BI12" s="22"/>
      <c r="BJ12" s="22"/>
      <c r="BK12" s="22"/>
      <c r="BS12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2024</vt:lpstr>
      <vt:lpstr>2022</vt:lpstr>
      <vt:lpstr>cancer_de_mama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2025-11-19T22:52:53Z</dcterms:modified>
</cp:coreProperties>
</file>