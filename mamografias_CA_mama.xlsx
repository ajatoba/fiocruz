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6225D186-CB19-744B-94A6-4BA7DC983A0E}" xr6:coauthVersionLast="47" xr6:coauthVersionMax="47" xr10:uidLastSave="{00000000-0000-0000-0000-000000000000}"/>
  <bookViews>
    <workbookView xWindow="34380" yWindow="620" windowWidth="34400" windowHeight="28180" firstSheet="2" activeTab="3" xr2:uid="{1A3EED76-0BA3-4F12-9608-66A62CFBE2DA}"/>
  </bookViews>
  <sheets>
    <sheet name="2024" sheetId="2" r:id="rId1"/>
    <sheet name="2022" sheetId="4" r:id="rId2"/>
    <sheet name="CANCER MAMA" sheetId="12" r:id="rId3"/>
    <sheet name="base_mamografias" sheetId="18" r:id="rId4"/>
    <sheet name="cancer_de_mama" sheetId="17" r:id="rId5"/>
    <sheet name="Planilha3" sheetId="15" r:id="rId6"/>
    <sheet name="Planilha" sheetId="16" r:id="rId7"/>
    <sheet name="Planilha1" sheetId="13" r:id="rId8"/>
    <sheet name="Planilha2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11" i="18" l="1"/>
  <c r="O11" i="18" s="1"/>
  <c r="M11" i="18"/>
  <c r="N10" i="18"/>
  <c r="O10" i="18" s="1"/>
  <c r="M10" i="18"/>
  <c r="N9" i="18"/>
  <c r="M9" i="18"/>
  <c r="N8" i="18"/>
  <c r="M8" i="18"/>
  <c r="N7" i="18"/>
  <c r="O7" i="18" s="1"/>
  <c r="M7" i="18"/>
  <c r="N6" i="18"/>
  <c r="O6" i="18" s="1"/>
  <c r="M6" i="18"/>
  <c r="N5" i="18"/>
  <c r="M5" i="18"/>
  <c r="N4" i="18"/>
  <c r="O4" i="18" s="1"/>
  <c r="M4" i="18"/>
  <c r="N3" i="18"/>
  <c r="M3" i="18"/>
  <c r="N2" i="18"/>
  <c r="O2" i="18" s="1"/>
  <c r="M2" i="18"/>
  <c r="BH3" i="17"/>
  <c r="BH4" i="17"/>
  <c r="BH5" i="17"/>
  <c r="BH6" i="17"/>
  <c r="BH7" i="17"/>
  <c r="BH8" i="17"/>
  <c r="BH9" i="17"/>
  <c r="BH10" i="17"/>
  <c r="BH11" i="17"/>
  <c r="BH12" i="17"/>
  <c r="BH2" i="17"/>
  <c r="Z15" i="12"/>
  <c r="AG12" i="17"/>
  <c r="AF12" i="17"/>
  <c r="AE12" i="17"/>
  <c r="AD1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  <c r="BX15" i="12"/>
  <c r="BW15" i="12"/>
  <c r="BV15" i="12"/>
  <c r="D15" i="12"/>
  <c r="E15" i="12"/>
  <c r="B15" i="12"/>
  <c r="C15" i="12"/>
  <c r="BR15" i="12"/>
  <c r="BS15" i="12"/>
  <c r="BT15" i="12"/>
  <c r="BP15" i="12"/>
  <c r="BQ15" i="12"/>
  <c r="BO15" i="12"/>
  <c r="BM15" i="12"/>
  <c r="BN15" i="12"/>
  <c r="BL15" i="12"/>
  <c r="BI15" i="12"/>
  <c r="BJ15" i="12"/>
  <c r="BK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AW15" i="12"/>
  <c r="AX15" i="12"/>
  <c r="H15" i="13"/>
  <c r="G15" i="13"/>
  <c r="F15" i="13"/>
  <c r="E15" i="13"/>
  <c r="D15" i="13"/>
  <c r="C15" i="13"/>
  <c r="B15" i="13"/>
  <c r="A15" i="13"/>
  <c r="BB15" i="12"/>
  <c r="BC15" i="12"/>
  <c r="BD15" i="12"/>
  <c r="BE15" i="12"/>
  <c r="BF15" i="12"/>
  <c r="BG15" i="12"/>
  <c r="BH15" i="12"/>
  <c r="BA15" i="12"/>
  <c r="AZ15" i="12"/>
  <c r="AY15" i="12"/>
  <c r="BU15" i="12"/>
  <c r="AQ15" i="12"/>
  <c r="AR15" i="12"/>
  <c r="AS15" i="12"/>
  <c r="AT15" i="12"/>
  <c r="AU15" i="12"/>
  <c r="AV15" i="12"/>
  <c r="G15" i="12"/>
  <c r="H15" i="12"/>
  <c r="I15" i="12"/>
  <c r="J15" i="12"/>
  <c r="K15" i="12"/>
  <c r="L15" i="12"/>
  <c r="M15" i="12"/>
  <c r="N15" i="12"/>
  <c r="O15" i="12"/>
  <c r="P15" i="12"/>
  <c r="Q15" i="12"/>
  <c r="V15" i="12"/>
  <c r="W15" i="12"/>
  <c r="X15" i="12"/>
  <c r="Y15" i="12"/>
  <c r="F15" i="12"/>
  <c r="U13" i="12"/>
  <c r="U12" i="12"/>
  <c r="U11" i="12"/>
  <c r="U10" i="12"/>
  <c r="U9" i="12"/>
  <c r="U8" i="12"/>
  <c r="U7" i="12"/>
  <c r="U6" i="12"/>
  <c r="U5" i="12"/>
  <c r="U4" i="12"/>
  <c r="U14" i="12"/>
  <c r="T13" i="12"/>
  <c r="T12" i="12"/>
  <c r="T11" i="12"/>
  <c r="T10" i="12"/>
  <c r="T9" i="12"/>
  <c r="T8" i="12"/>
  <c r="T7" i="12"/>
  <c r="T6" i="12"/>
  <c r="T5" i="12"/>
  <c r="T4" i="12"/>
  <c r="T14" i="12"/>
  <c r="S13" i="12"/>
  <c r="S12" i="12"/>
  <c r="S11" i="12"/>
  <c r="S10" i="12"/>
  <c r="S9" i="12"/>
  <c r="S8" i="12"/>
  <c r="S7" i="12"/>
  <c r="S6" i="12"/>
  <c r="S5" i="12"/>
  <c r="S4" i="12"/>
  <c r="S14" i="12"/>
  <c r="R13" i="12"/>
  <c r="R12" i="12"/>
  <c r="R11" i="12"/>
  <c r="R10" i="12"/>
  <c r="R9" i="12"/>
  <c r="R8" i="12"/>
  <c r="R7" i="12"/>
  <c r="R6" i="12"/>
  <c r="R5" i="12"/>
  <c r="R4" i="12"/>
  <c r="R14" i="12"/>
  <c r="O3" i="18" l="1"/>
  <c r="O9" i="18"/>
  <c r="O8" i="18"/>
  <c r="O5" i="18"/>
  <c r="T15" i="12"/>
  <c r="R15" i="12"/>
  <c r="U15" i="12"/>
  <c r="S15" i="12"/>
</calcChain>
</file>

<file path=xl/sharedStrings.xml><?xml version="1.0" encoding="utf-8"?>
<sst xmlns="http://schemas.openxmlformats.org/spreadsheetml/2006/main" count="380" uniqueCount="223">
  <si>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</si>
  <si>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</si>
  <si>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</si>
  <si>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</si>
  <si>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</si>
  <si>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</si>
  <si>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</si>
  <si>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</si>
  <si>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Ano</t>
  </si>
  <si>
    <t>mamógrafo comando simples</t>
  </si>
  <si>
    <t>mamógrafo com estereotaxia</t>
  </si>
  <si>
    <t>mamógrafo computadorizado</t>
  </si>
  <si>
    <t>Rio de Janeiro</t>
  </si>
  <si>
    <t>Total</t>
  </si>
  <si>
    <t>*equivale principalmente à mamografia com finalidade diagnóstica e contabiliza-se uma por cada mama</t>
  </si>
  <si>
    <t>**é indicada para mulheres de 50 a 69 anos sem sinais e sintomas de câncer 
de mama, a cada dois anos</t>
  </si>
  <si>
    <t>OBS: nova Faixa etária rastreamento (50 a 74 anos) (INCA, set 2025)</t>
  </si>
  <si>
    <t>Até 9 anos</t>
  </si>
  <si>
    <t>Entre 10 a 14 anos</t>
  </si>
  <si>
    <t>Entre 15 a 19 anos</t>
  </si>
  <si>
    <t>Entre 20 a 24 anos</t>
  </si>
  <si>
    <t>Entre 25 a 29 anos</t>
  </si>
  <si>
    <t>Entre 30 a 34 anos</t>
  </si>
  <si>
    <t>Entre 35 a 39 anos</t>
  </si>
  <si>
    <t>Entre 40 a 44 anos</t>
  </si>
  <si>
    <t>Entre 45 a 49 anos</t>
  </si>
  <si>
    <t>Entre 50 a 54 anos</t>
  </si>
  <si>
    <t>Entre 55 a 59 anos</t>
  </si>
  <si>
    <t>Entre 60 a 64 anos</t>
  </si>
  <si>
    <t>Entre 65 a 69 anos</t>
  </si>
  <si>
    <t>Entre 70 a 74 anos</t>
  </si>
  <si>
    <t>Entre 75 a 79 anos</t>
  </si>
  <si>
    <t>Acima de 79 anos</t>
  </si>
  <si>
    <t>Não houve realização de OCI de avaliação diagnóstica de CA de mama durante 2025</t>
  </si>
  <si>
    <t>Mamografia SIA*</t>
  </si>
  <si>
    <t>Mamografia bilateral para rastreamento SIA**</t>
  </si>
  <si>
    <t>Dados CNES (até out_2025)</t>
  </si>
  <si>
    <t>Dados SIA (até set_2025)</t>
  </si>
  <si>
    <t>Branca</t>
  </si>
  <si>
    <t>Preta</t>
  </si>
  <si>
    <t>Amarela</t>
  </si>
  <si>
    <t>Parda</t>
  </si>
  <si>
    <t>Indígena</t>
  </si>
  <si>
    <t>Sem informação</t>
  </si>
  <si>
    <t>-</t>
  </si>
  <si>
    <t>Escolaridade com boa parte das informações ignoradas</t>
  </si>
  <si>
    <t>Dados SISCAN (até out_2025)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</si>
  <si>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</si>
  <si>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</si>
  <si>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</si>
  <si>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</si>
  <si>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Dados SIH (até set_2025)</t>
  </si>
  <si>
    <t>Mamógrafos total</t>
  </si>
  <si>
    <t>Mamografia Total (SISCAN)</t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</si>
  <si>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</si>
  <si>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</si>
  <si>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</si>
  <si>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</si>
  <si>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</si>
  <si>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</si>
  <si>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t>20 a 29 anos</t>
  </si>
  <si>
    <t>30 a 39 anos</t>
  </si>
  <si>
    <t>40 a 49 anos</t>
  </si>
  <si>
    <t>50 a 59 anos</t>
  </si>
  <si>
    <t>60 a 69 anos</t>
  </si>
  <si>
    <t>70 a 79 anos</t>
  </si>
  <si>
    <t>80 anos e mais</t>
  </si>
  <si>
    <t>Óbitos por CA mama total (SIM)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</si>
  <si>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</si>
  <si>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</si>
  <si>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Neoplasia malígna mama (C50)</t>
  </si>
  <si>
    <t>Óbitos por CA mama por faixa idade (Neoplasia malígna mama (C50))</t>
  </si>
  <si>
    <t>Até 30 dias</t>
  </si>
  <si>
    <t>31 - 60 dias</t>
  </si>
  <si>
    <t>Mais de 60</t>
  </si>
  <si>
    <t>_</t>
  </si>
  <si>
    <t>mais de 60</t>
  </si>
  <si>
    <t>*** corresponde ao intervalo do tempo, em dias, calculado pelo sistema,
entre a data de coleta e a liberação do laudo do exame por este laboratório.</t>
  </si>
  <si>
    <t>121012 121 SERVICO DE DIAGNOSTICO POR IMAGEM / 012 MAMOGRAFIA</t>
  </si>
  <si>
    <t>121013 121 SERVICO DE DIAGNOSTICO POR IMAGEM / 013 MAMOGRAFIA POR TELEMEDICINA</t>
  </si>
  <si>
    <t>Estabelecimentos com Serviço Classificação Mamografia (CNES)</t>
  </si>
  <si>
    <t>120 - 002 exames citopatológicos</t>
  </si>
  <si>
    <t>120 - 001 exames anatomopatológicos</t>
  </si>
  <si>
    <t>Equipamento por tipo (CNES)</t>
  </si>
  <si>
    <t>Equipamento total (CNES)</t>
  </si>
  <si>
    <t xml:space="preserve">Estabelecimentos com Serviço Classificação para exames citopatológicos e anatomopatológico de colo do útero e/ou mama (CNES) </t>
  </si>
  <si>
    <t>População feminina (IBGE)</t>
  </si>
  <si>
    <r>
      <t xml:space="preserve">Mamografia faixa etária (SISCAN) - </t>
    </r>
    <r>
      <rPr>
        <b/>
        <sz val="8"/>
        <color theme="5" tint="-0.249977111117893"/>
        <rFont val="Calibri"/>
        <family val="2"/>
      </rPr>
      <t>por local de residência</t>
    </r>
    <r>
      <rPr>
        <b/>
        <sz val="8"/>
        <color theme="1"/>
        <rFont val="Calibri"/>
        <family val="2"/>
      </rPr>
      <t>, por competência, sexo fem, residente</t>
    </r>
  </si>
  <si>
    <r>
      <t xml:space="preserve">Mamografia Raça_cor (SISCAN, feminino, 
por </t>
    </r>
    <r>
      <rPr>
        <b/>
        <sz val="8"/>
        <color theme="5" tint="-0.249977111117893"/>
        <rFont val="Calibri"/>
        <family val="2"/>
      </rPr>
      <t>local de residência</t>
    </r>
    <r>
      <rPr>
        <b/>
        <sz val="8"/>
        <color theme="1"/>
        <rFont val="Calibri"/>
        <family val="2"/>
      </rPr>
      <t xml:space="preserve">, por competência) </t>
    </r>
  </si>
  <si>
    <r>
      <t xml:space="preserve">Tempo até o início do tratamento C50 Neoplasia maligna mama, por ano de tratamento </t>
    </r>
    <r>
      <rPr>
        <b/>
        <sz val="8"/>
        <color theme="4"/>
        <rFont val="Calibri"/>
        <family val="2"/>
      </rPr>
      <t>por municipio de atendimento</t>
    </r>
    <r>
      <rPr>
        <b/>
        <sz val="8"/>
        <color theme="1"/>
        <rFont val="Calibri"/>
        <family val="2"/>
      </rPr>
      <t xml:space="preserve"> (Painel Oncologia)</t>
    </r>
  </si>
  <si>
    <r>
      <t xml:space="preserve">Tempo mamografia, sexo fem, por competência </t>
    </r>
    <r>
      <rPr>
        <b/>
        <sz val="8"/>
        <color theme="4"/>
        <rFont val="Calibri"/>
        <family val="2"/>
      </rPr>
      <t>municipio de atendimento</t>
    </r>
    <r>
      <rPr>
        <b/>
        <sz val="8"/>
        <color theme="1"/>
        <rFont val="Calibri"/>
        <family val="2"/>
      </rPr>
      <t xml:space="preserve"> (SISCAN) ***</t>
    </r>
  </si>
  <si>
    <r>
      <t xml:space="preserve">Tempo citopatológico,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</si>
  <si>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Tempo histopatológico,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</si>
  <si>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 (feminino, por 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</si>
  <si>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(feminino, por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</si>
  <si>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(internações, por competência, por</t>
    </r>
    <r>
      <rPr>
        <sz val="8"/>
        <color theme="5" tint="-0.249977111117893"/>
        <rFont val="Calibri"/>
        <family val="2"/>
      </rPr>
      <t xml:space="preserve">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</si>
  <si>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 xml:space="preserve">(internações, por competência,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</si>
  <si>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r>
      <t xml:space="preserve"> feminina </t>
    </r>
    <r>
      <rPr>
        <sz val="8"/>
        <color theme="5" tint="-0.249977111117893"/>
        <rFont val="Calibri"/>
        <family val="2"/>
      </rPr>
      <t>residente</t>
    </r>
  </si>
  <si>
    <t>225148	Médico anatomopatologista
223415	Farmacêutico analista clínico
225305	Médico citopatologista
221105	Biólogo
221205	Biomédico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</si>
  <si>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</si>
  <si>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</si>
  <si>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</si>
  <si>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</si>
  <si>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</si>
  <si>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</si>
  <si>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</si>
  <si>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</si>
  <si>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</si>
  <si>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</si>
  <si>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</si>
  <si>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</si>
  <si>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</si>
  <si>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</si>
  <si>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</si>
  <si>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</si>
  <si>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</si>
  <si>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</si>
  <si>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</si>
  <si>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</si>
  <si>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</si>
  <si>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</si>
  <si>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</si>
  <si>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</si>
  <si>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</si>
  <si>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</si>
  <si>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</si>
  <si>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</si>
  <si>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</si>
  <si>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</si>
  <si>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</si>
  <si>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</si>
  <si>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</si>
  <si>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</si>
  <si>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225148	Médico anatomopatologista
225305	Médico citopatologista</t>
  </si>
  <si>
    <t>Ocupações em geral: Médico anatomopatologista, Médico citopatologista</t>
  </si>
  <si>
    <t>2231F9	Médico residente
225250	Médico ginecologista e obstetra
225255	Médico mastologista
225320	Médico em radiologia e diagnóstico por imagem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</si>
  <si>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</si>
  <si>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</si>
  <si>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</si>
  <si>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</si>
  <si>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</si>
  <si>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</si>
  <si>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</si>
  <si>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r>
      <t xml:space="preserve">(quantidade apresentada por </t>
    </r>
    <r>
      <rPr>
        <sz val="8"/>
        <color theme="4"/>
        <rFont val="Calibri"/>
        <family val="2"/>
      </rPr>
      <t xml:space="preserve">local de atendimento </t>
    </r>
    <r>
      <rPr>
        <sz val="8"/>
        <color theme="1"/>
        <rFont val="Calibri"/>
        <family val="2"/>
      </rPr>
      <t>0204030030)</t>
    </r>
  </si>
  <si>
    <r>
      <t xml:space="preserve">(valor apresentado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 0204030030)</t>
    </r>
  </si>
  <si>
    <r>
      <t xml:space="preserve">(quantidade apresentada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, ano processamento, 0204030188)</t>
    </r>
  </si>
  <si>
    <r>
      <t>(valor apresentado por</t>
    </r>
    <r>
      <rPr>
        <sz val="8"/>
        <color theme="4"/>
        <rFont val="Calibri"/>
        <family val="2"/>
      </rPr>
      <t xml:space="preserve"> local de atendimento</t>
    </r>
    <r>
      <rPr>
        <sz val="8"/>
        <color theme="1"/>
        <rFont val="Calibri"/>
        <family val="2"/>
      </rPr>
      <t>, ano processamento, 0204030188)</t>
    </r>
  </si>
  <si>
    <r>
      <t xml:space="preserve">(por competência, sexo fem </t>
    </r>
    <r>
      <rPr>
        <sz val="8"/>
        <color theme="5" tint="-0.249977111117893"/>
        <rFont val="Calibri"/>
        <family val="2"/>
      </rPr>
      <t>residente</t>
    </r>
    <r>
      <rPr>
        <sz val="8"/>
        <color theme="1"/>
        <rFont val="Calibri"/>
        <family val="2"/>
      </rPr>
      <t>)</t>
    </r>
  </si>
  <si>
    <t>Profissionais (citopatológico mama) atende ao SUS por CBO 
02.03.01.004-3 - EXAME CITOPATOLOGICO DE MAMA 
(CNES + SIGTAP)</t>
  </si>
  <si>
    <t>Profissionais (anatomopatológico mama) atende ao SUS, por CBO
02.03.02.006-5 - EXAME ANATOMOPATOLOGICO DE MAMA - BIOPSIA
((CNES + SIGTAP))</t>
  </si>
  <si>
    <t>Profissionais mamografia, atende ao SUS, por CBO
02.04.03.003-0 - MAMOGRAFIA; 02.04.03.018-8 - MAMOGRAFIA BILATERAL PARA RASTREAMENTO
(CNES + SIGTAP)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</si>
  <si>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</si>
  <si>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</si>
  <si>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</si>
  <si>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</si>
  <si>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</si>
  <si>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</si>
  <si>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</si>
  <si>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</si>
  <si>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</si>
  <si>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</si>
  <si>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</si>
  <si>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</si>
  <si>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</si>
  <si>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</si>
  <si>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</si>
  <si>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</si>
  <si>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</si>
  <si>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</si>
  <si>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</si>
  <si>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</si>
  <si>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</si>
  <si>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</si>
  <si>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</si>
  <si>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</si>
  <si>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</si>
  <si>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</si>
  <si>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</si>
  <si>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</si>
  <si>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</si>
  <si>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</si>
  <si>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</si>
  <si>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</si>
  <si>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</si>
  <si>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</si>
  <si>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</si>
  <si>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</si>
  <si>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</si>
  <si>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</si>
  <si>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</si>
  <si>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</si>
  <si>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</si>
  <si>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</si>
  <si>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</si>
  <si>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</si>
  <si>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</si>
  <si>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</si>
  <si>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</si>
  <si>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</si>
  <si>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</si>
  <si>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</si>
  <si>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</si>
  <si>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</si>
  <si>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</si>
  <si>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</si>
  <si>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</si>
  <si>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</si>
  <si>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</si>
  <si>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</si>
  <si>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</si>
  <si>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</si>
  <si>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</si>
  <si>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</si>
  <si>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</si>
  <si>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</si>
  <si>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</si>
  <si>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</si>
  <si>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</si>
  <si>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</si>
  <si>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</si>
  <si>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</si>
  <si>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</si>
  <si>
    <t>r_percentual_mamografos_em_uso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</si>
</sst>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theme="5" tint="-0.249977111117893"/>
      <name val="Calibri"/>
      <family val="2"/>
    </font>
    <font>
      <b/>
      <sz val="8"/>
      <color theme="4"/>
      <name val="Calibri"/>
      <family val="2"/>
    </font>
    <font>
      <sz val="8"/>
      <color theme="1"/>
      <name val="Calibri"/>
      <family val="2"/>
    </font>
    <font>
      <sz val="8"/>
      <color theme="4"/>
      <name val="Calibri"/>
      <family val="2"/>
    </font>
    <font>
      <sz val="8"/>
      <color theme="5" tint="-0.249977111117893"/>
      <name val="Calibri"/>
      <family val="2"/>
    </font>
    <font>
      <sz val="8"/>
      <color rgb="FF000000"/>
      <name val="Calibri"/>
      <family val="2"/>
    </font>
    <font>
      <u/>
      <sz val="8"/>
      <color theme="10"/>
      <name val="Calibri"/>
      <family val="2"/>
    </font>
    <font>
      <b/>
      <sz val="8"/>
      <color rgb="FF000000"/>
      <name val="Calibri"/>
      <family val="2"/>
    </font>
    <font>
      <i/>
      <sz val="8"/>
      <color theme="1"/>
      <name val="Calibri"/>
      <family val="2"/>
    </font>
    <font>
      <i/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8" fillId="0" borderId="6" xfId="0" applyFont="1" applyBorder="1"/>
    <xf numFmtId="0" fontId="11" fillId="0" borderId="5" xfId="0" applyFont="1" applyBorder="1"/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3" fontId="11" fillId="0" borderId="0" xfId="0" applyNumberFormat="1" applyFont="1"/>
    <xf numFmtId="0" fontId="8" fillId="0" borderId="0" xfId="0" applyFont="1"/>
    <xf numFmtId="4" fontId="11" fillId="0" borderId="0" xfId="0" applyNumberFormat="1" applyFont="1"/>
    <xf numFmtId="0" fontId="14" fillId="0" borderId="0" xfId="0" applyFont="1"/>
    <xf numFmtId="3" fontId="14" fillId="0" borderId="0" xfId="0" applyNumberFormat="1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5" fillId="0" borderId="0" xfId="1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left" vertical="center" readingOrder="1"/>
    </xf>
    <xf numFmtId="0" fontId="11" fillId="0" borderId="5" xfId="0" applyFont="1" applyBorder="1" applyAlignment="1">
      <alignment horizontal="center" vertical="center"/>
    </xf>
    <xf numFmtId="0" fontId="14" fillId="4" borderId="13" xfId="0" applyFont="1" applyFill="1" applyBorder="1" applyAlignment="1">
      <alignment horizontal="right" vertical="center"/>
    </xf>
    <xf numFmtId="0" fontId="14" fillId="5" borderId="13" xfId="0" applyFont="1" applyFill="1" applyBorder="1" applyAlignment="1">
      <alignment horizontal="right" vertical="center"/>
    </xf>
    <xf numFmtId="3" fontId="14" fillId="5" borderId="13" xfId="0" applyNumberFormat="1" applyFont="1" applyFill="1" applyBorder="1" applyAlignment="1">
      <alignment horizontal="right" vertical="center"/>
    </xf>
    <xf numFmtId="3" fontId="14" fillId="4" borderId="13" xfId="0" applyNumberFormat="1" applyFont="1" applyFill="1" applyBorder="1" applyAlignment="1">
      <alignment horizontal="right" vertical="center"/>
    </xf>
    <xf numFmtId="0" fontId="8" fillId="0" borderId="6" xfId="0" applyFont="1" applyBorder="1" applyAlignment="1">
      <alignment horizontal="left" vertical="top" wrapText="1"/>
    </xf>
    <xf numFmtId="0" fontId="11" fillId="0" borderId="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7" xfId="0" applyFont="1" applyBorder="1" applyAlignment="1">
      <alignment horizontal="left" vertical="top" wrapText="1"/>
    </xf>
    <xf numFmtId="0" fontId="19" fillId="0" borderId="5" xfId="0" applyFont="1" applyBorder="1" applyAlignment="1">
      <alignment horizontal="left" vertical="top" wrapText="1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0" applyFont="1"/>
    <xf numFmtId="3" fontId="19" fillId="0" borderId="0" xfId="0" applyNumberFormat="1" applyFont="1"/>
    <xf numFmtId="2" fontId="11" fillId="0" borderId="0" xfId="0" applyNumberFormat="1" applyFont="1" applyAlignment="1">
      <alignment horizontal="left" vertical="top" wrapText="1"/>
    </xf>
    <xf numFmtId="2" fontId="11" fillId="0" borderId="0" xfId="0" applyNumberFormat="1" applyFont="1"/>
    <xf numFmtId="2" fontId="0" fillId="0" borderId="0" xfId="0" applyNumberFormat="1"/>
    <xf numFmtId="0" fontId="11" fillId="0" borderId="7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BX34"/>
  <sheetViews>
    <sheetView zoomScale="180" zoomScaleNormal="180" workbookViewId="0">
      <pane xSplit="1" topLeftCell="U1" activePane="topRight" state="frozen"/>
      <selection pane="topRight" activeCell="U4" sqref="U4"/>
    </sheetView>
  </sheetViews>
  <sheetFormatPr baseColWidth="10" defaultColWidth="8.6640625" defaultRowHeight="11" x14ac:dyDescent="0.15"/>
  <cols>
    <col min="1" max="3" width="13.5" style="26" customWidth="1"/>
    <col min="4" max="4" width="16.5" style="26" customWidth="1"/>
    <col min="5" max="5" width="17.5" style="26" customWidth="1"/>
    <col min="6" max="6" width="9.6640625" style="24" bestFit="1" customWidth="1"/>
    <col min="7" max="7" width="7.5" style="24" bestFit="1" customWidth="1"/>
    <col min="8" max="8" width="13.5" style="24" bestFit="1" customWidth="1"/>
    <col min="9" max="9" width="11.1640625" style="24" bestFit="1" customWidth="1"/>
    <col min="10" max="10" width="9.6640625" style="24" bestFit="1" customWidth="1"/>
    <col min="11" max="11" width="7.83203125" style="24" customWidth="1"/>
    <col min="12" max="12" width="13.5" style="24" bestFit="1" customWidth="1"/>
    <col min="13" max="13" width="11.1640625" style="24" bestFit="1" customWidth="1"/>
    <col min="14" max="14" width="11.5" style="24" customWidth="1"/>
    <col min="15" max="15" width="12.1640625" style="24" customWidth="1"/>
    <col min="16" max="16" width="12.83203125" style="24" customWidth="1"/>
    <col min="17" max="17" width="12.1640625" style="24" customWidth="1"/>
    <col min="18" max="18" width="17.5" style="24" bestFit="1" customWidth="1"/>
    <col min="19" max="19" width="17" style="24" customWidth="1"/>
    <col min="20" max="20" width="13.5" style="24" bestFit="1" customWidth="1"/>
    <col min="21" max="21" width="21.6640625" style="24" customWidth="1"/>
    <col min="22" max="22" width="24.33203125" style="24" customWidth="1"/>
    <col min="23" max="25" width="21.6640625" style="24" customWidth="1"/>
    <col min="26" max="26" width="18.83203125" style="24" customWidth="1"/>
    <col min="27" max="27" width="8.6640625" style="24" customWidth="1"/>
    <col min="28" max="29" width="10.1640625" style="24" customWidth="1"/>
    <col min="30" max="30" width="9" style="24" customWidth="1"/>
    <col min="31" max="32" width="11.1640625" style="24" customWidth="1"/>
    <col min="33" max="33" width="10.83203125" style="24" customWidth="1"/>
    <col min="34" max="34" width="10.6640625" style="24" customWidth="1"/>
    <col min="35" max="35" width="11.6640625" style="24" customWidth="1"/>
    <col min="36" max="36" width="10.83203125" style="24" customWidth="1"/>
    <col min="37" max="37" width="9.83203125" style="24" customWidth="1"/>
    <col min="38" max="38" width="11.1640625" style="24" customWidth="1"/>
    <col min="39" max="39" width="9.83203125" style="24" customWidth="1"/>
    <col min="40" max="40" width="8.83203125" style="24" customWidth="1"/>
    <col min="41" max="41" width="12.1640625" style="24" customWidth="1"/>
    <col min="42" max="42" width="12.6640625" style="24" customWidth="1"/>
    <col min="43" max="47" width="8.6640625" style="24"/>
    <col min="48" max="48" width="10.1640625" style="24" customWidth="1"/>
    <col min="49" max="49" width="21.1640625" style="24" customWidth="1"/>
    <col min="50" max="50" width="20" style="24" customWidth="1"/>
    <col min="51" max="51" width="42.5" style="24" bestFit="1" customWidth="1"/>
    <col min="52" max="52" width="31.1640625" style="24" customWidth="1"/>
    <col min="53" max="53" width="20" style="24" customWidth="1"/>
    <col min="54" max="59" width="9.5" style="24" bestFit="1" customWidth="1"/>
    <col min="60" max="60" width="11" style="24" bestFit="1" customWidth="1"/>
    <col min="61" max="61" width="8.5" style="24" bestFit="1" customWidth="1"/>
    <col min="62" max="62" width="8.6640625" style="24" bestFit="1" customWidth="1"/>
    <col min="63" max="63" width="8.1640625" style="24" bestFit="1" customWidth="1"/>
    <col min="64" max="64" width="7.83203125" style="24" bestFit="1" customWidth="1"/>
    <col min="65" max="65" width="8.1640625" style="24" bestFit="1" customWidth="1"/>
    <col min="66" max="67" width="7.83203125" style="24" bestFit="1" customWidth="1"/>
    <col min="68" max="68" width="8.1640625" style="24" bestFit="1" customWidth="1"/>
    <col min="69" max="69" width="7.83203125" style="24" bestFit="1" customWidth="1"/>
    <col min="70" max="72" width="8.6640625" style="24"/>
    <col min="73" max="73" width="14.1640625" style="24" customWidth="1"/>
    <col min="74" max="74" width="26.1640625" style="24" customWidth="1"/>
    <col min="75" max="75" width="27.5" style="24" customWidth="1"/>
    <col min="76" max="76" width="25.6640625" style="24" customWidth="1"/>
    <col min="77" max="16384" width="8.6640625" style="24"/>
  </cols>
  <sheetData>
    <row r="1" spans="1:76" s="16" customFormat="1" ht="70" customHeight="1" x14ac:dyDescent="0.2">
      <c r="A1" s="14" t="s">
        <v>8</v>
      </c>
      <c r="B1" s="61" t="s">
        <v>80</v>
      </c>
      <c r="C1" s="62"/>
      <c r="D1" s="61" t="s">
        <v>85</v>
      </c>
      <c r="E1" s="62"/>
      <c r="F1" s="54" t="s">
        <v>83</v>
      </c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5" t="s">
        <v>84</v>
      </c>
      <c r="S1" s="55"/>
      <c r="T1" s="55"/>
      <c r="U1" s="55"/>
      <c r="V1" s="59" t="s">
        <v>34</v>
      </c>
      <c r="W1" s="60"/>
      <c r="X1" s="61" t="s">
        <v>35</v>
      </c>
      <c r="Y1" s="62"/>
      <c r="Z1" s="15" t="s">
        <v>53</v>
      </c>
      <c r="AA1" s="57" t="s">
        <v>87</v>
      </c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64" t="s">
        <v>88</v>
      </c>
      <c r="AR1" s="65"/>
      <c r="AS1" s="65"/>
      <c r="AT1" s="65"/>
      <c r="AU1" s="65"/>
      <c r="AV1" s="65"/>
      <c r="AW1" s="15" t="s">
        <v>54</v>
      </c>
      <c r="AX1" s="15" t="s">
        <v>56</v>
      </c>
      <c r="AY1" s="15" t="s">
        <v>58</v>
      </c>
      <c r="AZ1" s="15" t="s">
        <v>59</v>
      </c>
      <c r="BA1" s="15" t="s">
        <v>67</v>
      </c>
      <c r="BB1" s="61" t="s">
        <v>71</v>
      </c>
      <c r="BC1" s="63"/>
      <c r="BD1" s="63"/>
      <c r="BE1" s="63"/>
      <c r="BF1" s="63"/>
      <c r="BG1" s="63"/>
      <c r="BH1" s="62"/>
      <c r="BI1" s="61" t="s">
        <v>89</v>
      </c>
      <c r="BJ1" s="63"/>
      <c r="BK1" s="62"/>
      <c r="BL1" s="61" t="s">
        <v>90</v>
      </c>
      <c r="BM1" s="63"/>
      <c r="BN1" s="62"/>
      <c r="BO1" s="61" t="s">
        <v>91</v>
      </c>
      <c r="BP1" s="63"/>
      <c r="BQ1" s="62"/>
      <c r="BR1" s="61" t="s">
        <v>92</v>
      </c>
      <c r="BS1" s="63"/>
      <c r="BT1" s="62"/>
      <c r="BU1" s="15" t="s">
        <v>86</v>
      </c>
      <c r="BV1" s="15" t="s">
        <v>148</v>
      </c>
      <c r="BW1" s="15" t="s">
        <v>149</v>
      </c>
      <c r="BX1" s="15" t="s">
        <v>150</v>
      </c>
    </row>
    <row r="2" spans="1:76" s="19" customFormat="1" ht="85.5" customHeight="1" x14ac:dyDescent="0.2">
      <c r="A2" s="19" t="s">
        <v>12</v>
      </c>
      <c r="B2" s="18" t="s">
        <v>78</v>
      </c>
      <c r="C2" s="18" t="s">
        <v>79</v>
      </c>
      <c r="D2" s="18" t="s">
        <v>82</v>
      </c>
      <c r="E2" s="18" t="s">
        <v>81</v>
      </c>
      <c r="F2" s="53" t="s">
        <v>9</v>
      </c>
      <c r="G2" s="53"/>
      <c r="H2" s="53"/>
      <c r="I2" s="53"/>
      <c r="J2" s="53" t="s">
        <v>10</v>
      </c>
      <c r="K2" s="53"/>
      <c r="L2" s="53"/>
      <c r="M2" s="53"/>
      <c r="N2" s="53" t="s">
        <v>11</v>
      </c>
      <c r="O2" s="53"/>
      <c r="P2" s="53"/>
      <c r="Q2" s="53"/>
      <c r="R2" s="56" t="s">
        <v>52</v>
      </c>
      <c r="S2" s="56"/>
      <c r="T2" s="56"/>
      <c r="U2" s="56"/>
      <c r="V2" s="17" t="s">
        <v>143</v>
      </c>
      <c r="W2" s="17" t="s">
        <v>144</v>
      </c>
      <c r="X2" s="17" t="s">
        <v>145</v>
      </c>
      <c r="Y2" s="17" t="s">
        <v>146</v>
      </c>
      <c r="Z2" s="17" t="s">
        <v>147</v>
      </c>
      <c r="AA2" s="17" t="s">
        <v>17</v>
      </c>
      <c r="AB2" s="17" t="s">
        <v>18</v>
      </c>
      <c r="AC2" s="17" t="s">
        <v>19</v>
      </c>
      <c r="AD2" s="17" t="s">
        <v>20</v>
      </c>
      <c r="AE2" s="17" t="s">
        <v>21</v>
      </c>
      <c r="AF2" s="17" t="s">
        <v>22</v>
      </c>
      <c r="AG2" s="17" t="s">
        <v>23</v>
      </c>
      <c r="AH2" s="17" t="s">
        <v>24</v>
      </c>
      <c r="AI2" s="17" t="s">
        <v>25</v>
      </c>
      <c r="AJ2" s="17" t="s">
        <v>26</v>
      </c>
      <c r="AK2" s="17" t="s">
        <v>27</v>
      </c>
      <c r="AL2" s="17" t="s">
        <v>28</v>
      </c>
      <c r="AM2" s="17" t="s">
        <v>29</v>
      </c>
      <c r="AN2" s="17" t="s">
        <v>30</v>
      </c>
      <c r="AO2" s="17" t="s">
        <v>31</v>
      </c>
      <c r="AP2" s="17" t="s">
        <v>32</v>
      </c>
      <c r="AQ2" s="17" t="s">
        <v>38</v>
      </c>
      <c r="AR2" s="17" t="s">
        <v>39</v>
      </c>
      <c r="AS2" s="17" t="s">
        <v>40</v>
      </c>
      <c r="AT2" s="17" t="s">
        <v>41</v>
      </c>
      <c r="AU2" s="17" t="s">
        <v>42</v>
      </c>
      <c r="AV2" s="17" t="s">
        <v>43</v>
      </c>
      <c r="AW2" s="17" t="s">
        <v>93</v>
      </c>
      <c r="AX2" s="17" t="s">
        <v>94</v>
      </c>
      <c r="AY2" s="17" t="s">
        <v>95</v>
      </c>
      <c r="AZ2" s="17" t="s">
        <v>96</v>
      </c>
      <c r="BA2" s="17" t="s">
        <v>70</v>
      </c>
      <c r="BB2" s="36" t="s">
        <v>60</v>
      </c>
      <c r="BC2" s="36" t="s">
        <v>61</v>
      </c>
      <c r="BD2" s="36" t="s">
        <v>62</v>
      </c>
      <c r="BE2" s="36" t="s">
        <v>63</v>
      </c>
      <c r="BF2" s="36" t="s">
        <v>64</v>
      </c>
      <c r="BG2" s="36" t="s">
        <v>65</v>
      </c>
      <c r="BH2" s="36" t="s">
        <v>66</v>
      </c>
      <c r="BI2" s="36" t="s">
        <v>72</v>
      </c>
      <c r="BJ2" s="36" t="s">
        <v>73</v>
      </c>
      <c r="BK2" s="36" t="s">
        <v>74</v>
      </c>
      <c r="BL2" s="36" t="s">
        <v>72</v>
      </c>
      <c r="BM2" s="36" t="s">
        <v>73</v>
      </c>
      <c r="BN2" s="36" t="s">
        <v>76</v>
      </c>
      <c r="BO2" s="36" t="s">
        <v>72</v>
      </c>
      <c r="BP2" s="36" t="s">
        <v>73</v>
      </c>
      <c r="BQ2" s="36" t="s">
        <v>76</v>
      </c>
      <c r="BR2" s="36" t="s">
        <v>72</v>
      </c>
      <c r="BS2" s="36" t="s">
        <v>73</v>
      </c>
      <c r="BT2" s="36" t="s">
        <v>76</v>
      </c>
      <c r="BU2" s="17" t="s">
        <v>97</v>
      </c>
      <c r="BV2" s="17" t="s">
        <v>98</v>
      </c>
      <c r="BW2" s="17" t="s">
        <v>133</v>
      </c>
      <c r="BX2" s="17" t="s">
        <v>135</v>
      </c>
    </row>
    <row r="3" spans="1:76" x14ac:dyDescent="0.15">
      <c r="A3" s="20"/>
      <c r="B3" s="20"/>
      <c r="C3" s="20"/>
      <c r="D3" s="20"/>
      <c r="E3" s="20"/>
      <c r="F3" s="21" t="s">
        <v>3</v>
      </c>
      <c r="G3" s="21" t="s">
        <v>6</v>
      </c>
      <c r="H3" s="21" t="s">
        <v>4</v>
      </c>
      <c r="I3" s="21" t="s">
        <v>7</v>
      </c>
      <c r="J3" s="21" t="s">
        <v>3</v>
      </c>
      <c r="K3" s="21" t="s">
        <v>6</v>
      </c>
      <c r="L3" s="21" t="s">
        <v>4</v>
      </c>
      <c r="M3" s="21" t="s">
        <v>7</v>
      </c>
      <c r="N3" s="21" t="s">
        <v>3</v>
      </c>
      <c r="O3" s="21" t="s">
        <v>6</v>
      </c>
      <c r="P3" s="21" t="s">
        <v>4</v>
      </c>
      <c r="Q3" s="21" t="s">
        <v>7</v>
      </c>
      <c r="R3" s="22" t="s">
        <v>3</v>
      </c>
      <c r="S3" s="22" t="s">
        <v>6</v>
      </c>
      <c r="T3" s="22" t="s">
        <v>4</v>
      </c>
      <c r="U3" s="22" t="s">
        <v>7</v>
      </c>
      <c r="V3" s="23"/>
      <c r="W3" s="23"/>
      <c r="X3" s="23"/>
      <c r="Y3" s="23"/>
      <c r="BU3" s="25"/>
    </row>
    <row r="4" spans="1:76" ht="12" thickBot="1" x14ac:dyDescent="0.2">
      <c r="A4" s="26">
        <v>2015</v>
      </c>
      <c r="B4" s="24">
        <v>60</v>
      </c>
      <c r="C4" s="26">
        <v>1</v>
      </c>
      <c r="D4" s="24">
        <v>68</v>
      </c>
      <c r="E4" s="26">
        <v>80</v>
      </c>
      <c r="F4" s="24">
        <v>142</v>
      </c>
      <c r="G4" s="24">
        <v>138</v>
      </c>
      <c r="H4" s="24">
        <v>14</v>
      </c>
      <c r="I4" s="24">
        <v>13</v>
      </c>
      <c r="J4" s="24">
        <v>32</v>
      </c>
      <c r="K4" s="24">
        <v>31</v>
      </c>
      <c r="L4" s="24">
        <v>18</v>
      </c>
      <c r="M4" s="24">
        <v>17</v>
      </c>
      <c r="N4" s="24">
        <v>27</v>
      </c>
      <c r="O4" s="24">
        <v>27</v>
      </c>
      <c r="P4" s="24">
        <v>6</v>
      </c>
      <c r="Q4" s="24">
        <v>6</v>
      </c>
      <c r="R4" s="24">
        <f t="shared" ref="R4:R14" si="0">F4+J4+N4</f>
        <v>201</v>
      </c>
      <c r="S4" s="24">
        <f t="shared" ref="S4:S14" si="1">G4+K4+O4</f>
        <v>196</v>
      </c>
      <c r="T4" s="24">
        <f t="shared" ref="T4:T14" si="2">H4+L4+P4</f>
        <v>38</v>
      </c>
      <c r="U4" s="24">
        <f t="shared" ref="U4:U14" si="3">I4+M4+Q4</f>
        <v>36</v>
      </c>
      <c r="V4" s="24">
        <v>19388</v>
      </c>
      <c r="W4" s="27">
        <v>436230</v>
      </c>
      <c r="X4" s="24">
        <v>88145</v>
      </c>
      <c r="Y4" s="27">
        <v>3966525</v>
      </c>
      <c r="Z4" s="28">
        <v>853</v>
      </c>
      <c r="AA4" s="28">
        <v>0</v>
      </c>
      <c r="AB4" s="24">
        <v>0</v>
      </c>
      <c r="AC4" s="28">
        <v>0</v>
      </c>
      <c r="AD4" s="28">
        <v>0</v>
      </c>
      <c r="AE4" s="28">
        <v>1</v>
      </c>
      <c r="AF4" s="28">
        <v>10</v>
      </c>
      <c r="AG4" s="28">
        <v>19</v>
      </c>
      <c r="AH4" s="28">
        <v>88</v>
      </c>
      <c r="AI4" s="28">
        <v>95</v>
      </c>
      <c r="AJ4" s="28">
        <v>134</v>
      </c>
      <c r="AK4" s="28">
        <v>164</v>
      </c>
      <c r="AL4" s="28">
        <v>150</v>
      </c>
      <c r="AM4" s="28">
        <v>108</v>
      </c>
      <c r="AN4" s="28">
        <v>39</v>
      </c>
      <c r="AO4" s="28">
        <v>27</v>
      </c>
      <c r="AP4" s="28">
        <v>18</v>
      </c>
      <c r="AQ4" s="24">
        <v>302</v>
      </c>
      <c r="AR4" s="24">
        <v>67</v>
      </c>
      <c r="AS4" s="24">
        <v>167</v>
      </c>
      <c r="AT4" s="24">
        <v>119</v>
      </c>
      <c r="AU4" s="24">
        <v>1</v>
      </c>
      <c r="AV4" s="24">
        <v>197</v>
      </c>
      <c r="AW4" s="24">
        <v>6</v>
      </c>
      <c r="AX4" s="24">
        <v>76</v>
      </c>
      <c r="AY4" s="24">
        <v>1009</v>
      </c>
      <c r="AZ4" s="24">
        <v>238</v>
      </c>
      <c r="BA4" s="24">
        <v>960</v>
      </c>
      <c r="BB4" s="24">
        <v>9</v>
      </c>
      <c r="BC4" s="24">
        <v>52</v>
      </c>
      <c r="BD4" s="24">
        <v>117</v>
      </c>
      <c r="BE4" s="24">
        <v>195</v>
      </c>
      <c r="BF4" s="24">
        <v>210</v>
      </c>
      <c r="BG4" s="24">
        <v>191</v>
      </c>
      <c r="BH4" s="24">
        <v>186</v>
      </c>
      <c r="BI4" s="24">
        <v>366</v>
      </c>
      <c r="BJ4" s="24">
        <v>274</v>
      </c>
      <c r="BK4" s="24">
        <v>693</v>
      </c>
      <c r="BL4" s="37">
        <v>5</v>
      </c>
      <c r="BM4" s="37">
        <v>1</v>
      </c>
      <c r="BN4" s="37">
        <v>9</v>
      </c>
      <c r="BO4" s="38">
        <v>6</v>
      </c>
      <c r="BP4" s="38" t="s">
        <v>44</v>
      </c>
      <c r="BQ4" s="38" t="s">
        <v>44</v>
      </c>
      <c r="BR4" s="38">
        <v>62</v>
      </c>
      <c r="BS4" s="38">
        <v>9</v>
      </c>
      <c r="BT4" s="38">
        <v>5</v>
      </c>
      <c r="BU4" s="25">
        <v>103476277</v>
      </c>
      <c r="BV4" s="24">
        <v>1898</v>
      </c>
      <c r="BW4" s="24">
        <v>195</v>
      </c>
      <c r="BX4" s="29">
        <v>5013</v>
      </c>
    </row>
    <row r="5" spans="1:76" ht="12" thickBot="1" x14ac:dyDescent="0.2">
      <c r="A5" s="26">
        <v>2016</v>
      </c>
      <c r="B5" s="24">
        <v>61</v>
      </c>
      <c r="C5" s="26">
        <v>1</v>
      </c>
      <c r="D5" s="24">
        <v>64</v>
      </c>
      <c r="E5" s="26">
        <v>77</v>
      </c>
      <c r="F5" s="24">
        <v>148</v>
      </c>
      <c r="G5" s="24">
        <v>143</v>
      </c>
      <c r="H5" s="24">
        <v>18</v>
      </c>
      <c r="I5" s="24">
        <v>18</v>
      </c>
      <c r="J5" s="24">
        <v>30</v>
      </c>
      <c r="K5" s="24">
        <v>29</v>
      </c>
      <c r="L5" s="24">
        <v>18</v>
      </c>
      <c r="M5" s="24">
        <v>17</v>
      </c>
      <c r="N5" s="24">
        <v>29</v>
      </c>
      <c r="O5" s="24">
        <v>29</v>
      </c>
      <c r="P5" s="24">
        <v>10</v>
      </c>
      <c r="Q5" s="24">
        <v>10</v>
      </c>
      <c r="R5" s="24">
        <f t="shared" si="0"/>
        <v>207</v>
      </c>
      <c r="S5" s="24">
        <f t="shared" si="1"/>
        <v>201</v>
      </c>
      <c r="T5" s="24">
        <f t="shared" si="2"/>
        <v>46</v>
      </c>
      <c r="U5" s="24">
        <f t="shared" si="3"/>
        <v>45</v>
      </c>
      <c r="V5" s="24">
        <v>21218</v>
      </c>
      <c r="W5" s="27">
        <v>477405</v>
      </c>
      <c r="X5" s="24">
        <v>91272</v>
      </c>
      <c r="Y5" s="27">
        <v>4107240</v>
      </c>
      <c r="Z5" s="29">
        <v>1314</v>
      </c>
      <c r="AA5" s="28">
        <v>1</v>
      </c>
      <c r="AB5" s="24">
        <v>2</v>
      </c>
      <c r="AC5" s="28">
        <v>0</v>
      </c>
      <c r="AD5" s="24">
        <v>1</v>
      </c>
      <c r="AE5" s="24">
        <v>4</v>
      </c>
      <c r="AF5" s="24">
        <v>9</v>
      </c>
      <c r="AG5" s="24">
        <v>33</v>
      </c>
      <c r="AH5" s="24">
        <v>134</v>
      </c>
      <c r="AI5" s="24">
        <v>148</v>
      </c>
      <c r="AJ5" s="24">
        <v>228</v>
      </c>
      <c r="AK5" s="24">
        <v>242</v>
      </c>
      <c r="AL5" s="24">
        <v>232</v>
      </c>
      <c r="AM5" s="24">
        <v>148</v>
      </c>
      <c r="AN5" s="24">
        <v>71</v>
      </c>
      <c r="AO5" s="24">
        <v>36</v>
      </c>
      <c r="AP5" s="24">
        <v>26</v>
      </c>
      <c r="AQ5" s="24">
        <v>436</v>
      </c>
      <c r="AR5" s="24">
        <v>92</v>
      </c>
      <c r="AS5" s="24">
        <v>246</v>
      </c>
      <c r="AT5" s="24">
        <v>206</v>
      </c>
      <c r="AU5" s="24">
        <v>1</v>
      </c>
      <c r="AV5" s="24">
        <v>333</v>
      </c>
      <c r="AW5" s="24">
        <v>10</v>
      </c>
      <c r="AX5" s="24">
        <v>105</v>
      </c>
      <c r="AY5" s="24">
        <v>1047</v>
      </c>
      <c r="AZ5" s="24">
        <v>211</v>
      </c>
      <c r="BA5" s="24">
        <v>955</v>
      </c>
      <c r="BB5" s="24">
        <v>5</v>
      </c>
      <c r="BC5" s="24">
        <v>41</v>
      </c>
      <c r="BD5" s="24">
        <v>111</v>
      </c>
      <c r="BE5" s="24">
        <v>211</v>
      </c>
      <c r="BF5" s="24">
        <v>214</v>
      </c>
      <c r="BG5" s="24">
        <v>185</v>
      </c>
      <c r="BH5" s="24">
        <v>188</v>
      </c>
      <c r="BI5" s="24">
        <v>410</v>
      </c>
      <c r="BJ5" s="24">
        <v>263</v>
      </c>
      <c r="BK5" s="24">
        <v>1319</v>
      </c>
      <c r="BO5" s="37">
        <v>9</v>
      </c>
      <c r="BP5" s="37">
        <v>1</v>
      </c>
      <c r="BQ5" s="37" t="s">
        <v>44</v>
      </c>
      <c r="BR5" s="37">
        <v>94</v>
      </c>
      <c r="BS5" s="37">
        <v>8</v>
      </c>
      <c r="BT5" s="37">
        <v>3</v>
      </c>
      <c r="BU5" s="25">
        <v>104241004</v>
      </c>
      <c r="BV5" s="24">
        <v>1927</v>
      </c>
      <c r="BW5" s="28">
        <v>214</v>
      </c>
      <c r="BX5" s="24">
        <v>5261</v>
      </c>
    </row>
    <row r="6" spans="1:76" ht="12" thickBot="1" x14ac:dyDescent="0.2">
      <c r="A6" s="26">
        <v>2017</v>
      </c>
      <c r="B6" s="24">
        <v>67</v>
      </c>
      <c r="C6" s="26">
        <v>2</v>
      </c>
      <c r="D6" s="26">
        <v>67</v>
      </c>
      <c r="E6" s="26">
        <v>87</v>
      </c>
      <c r="F6" s="24">
        <v>144</v>
      </c>
      <c r="G6" s="24">
        <v>140</v>
      </c>
      <c r="H6" s="24">
        <v>17</v>
      </c>
      <c r="I6" s="24">
        <v>17</v>
      </c>
      <c r="J6" s="24">
        <v>32</v>
      </c>
      <c r="K6" s="24">
        <v>31</v>
      </c>
      <c r="L6" s="24">
        <v>17</v>
      </c>
      <c r="M6" s="24">
        <v>16</v>
      </c>
      <c r="N6" s="24">
        <v>36</v>
      </c>
      <c r="O6" s="24">
        <v>36</v>
      </c>
      <c r="P6" s="24">
        <v>11</v>
      </c>
      <c r="Q6" s="24">
        <v>11</v>
      </c>
      <c r="R6" s="24">
        <f t="shared" si="0"/>
        <v>212</v>
      </c>
      <c r="S6" s="24">
        <f t="shared" si="1"/>
        <v>207</v>
      </c>
      <c r="T6" s="24">
        <f t="shared" si="2"/>
        <v>45</v>
      </c>
      <c r="U6" s="24">
        <f t="shared" si="3"/>
        <v>44</v>
      </c>
      <c r="V6" s="24">
        <v>18653</v>
      </c>
      <c r="W6" s="27">
        <v>419692.5</v>
      </c>
      <c r="X6" s="24">
        <v>88839</v>
      </c>
      <c r="Y6" s="27">
        <v>3997755</v>
      </c>
      <c r="Z6" s="29">
        <v>1456</v>
      </c>
      <c r="AA6" s="28">
        <v>2</v>
      </c>
      <c r="AB6" s="24">
        <v>3</v>
      </c>
      <c r="AC6" s="28">
        <v>0</v>
      </c>
      <c r="AD6" s="24">
        <v>1</v>
      </c>
      <c r="AE6" s="24">
        <v>5</v>
      </c>
      <c r="AF6" s="24">
        <v>9</v>
      </c>
      <c r="AG6" s="24">
        <v>30</v>
      </c>
      <c r="AH6" s="24">
        <v>132</v>
      </c>
      <c r="AI6" s="24">
        <v>153</v>
      </c>
      <c r="AJ6" s="24">
        <v>232</v>
      </c>
      <c r="AK6" s="24">
        <v>271</v>
      </c>
      <c r="AL6" s="24">
        <v>262</v>
      </c>
      <c r="AM6" s="24">
        <v>210</v>
      </c>
      <c r="AN6" s="24">
        <v>80</v>
      </c>
      <c r="AO6" s="24">
        <v>46</v>
      </c>
      <c r="AP6" s="24">
        <v>23</v>
      </c>
      <c r="AQ6" s="24">
        <v>518</v>
      </c>
      <c r="AR6" s="24">
        <v>94</v>
      </c>
      <c r="AS6" s="24">
        <v>304</v>
      </c>
      <c r="AT6" s="24">
        <v>196</v>
      </c>
      <c r="AU6" s="24" t="s">
        <v>44</v>
      </c>
      <c r="AV6" s="24">
        <v>344</v>
      </c>
      <c r="AW6" s="24">
        <v>2</v>
      </c>
      <c r="AX6" s="24">
        <v>122</v>
      </c>
      <c r="AY6" s="24">
        <v>997</v>
      </c>
      <c r="AZ6" s="24">
        <v>263</v>
      </c>
      <c r="BA6" s="24">
        <v>1074</v>
      </c>
      <c r="BB6" s="24">
        <v>6</v>
      </c>
      <c r="BC6" s="24">
        <v>45</v>
      </c>
      <c r="BD6" s="24">
        <v>142</v>
      </c>
      <c r="BE6" s="24">
        <v>232</v>
      </c>
      <c r="BF6" s="24">
        <v>243</v>
      </c>
      <c r="BG6" s="24">
        <v>201</v>
      </c>
      <c r="BH6" s="24">
        <v>205</v>
      </c>
      <c r="BI6" s="24">
        <v>474</v>
      </c>
      <c r="BJ6" s="24">
        <v>232</v>
      </c>
      <c r="BK6" s="24">
        <v>1287</v>
      </c>
      <c r="BO6" s="38">
        <v>2</v>
      </c>
      <c r="BP6" s="38" t="s">
        <v>44</v>
      </c>
      <c r="BQ6" s="38" t="s">
        <v>44</v>
      </c>
      <c r="BR6" s="38">
        <v>112</v>
      </c>
      <c r="BS6" s="38">
        <v>6</v>
      </c>
      <c r="BT6" s="38">
        <v>4</v>
      </c>
      <c r="BU6" s="25">
        <v>104943736</v>
      </c>
      <c r="BV6" s="24">
        <v>2029</v>
      </c>
      <c r="BW6" s="24">
        <v>208</v>
      </c>
      <c r="BX6" s="29">
        <v>5417</v>
      </c>
    </row>
    <row r="7" spans="1:76" ht="12" thickBot="1" x14ac:dyDescent="0.2">
      <c r="A7" s="26">
        <v>2018</v>
      </c>
      <c r="B7" s="24">
        <v>84</v>
      </c>
      <c r="C7" s="26">
        <v>1</v>
      </c>
      <c r="D7" s="26">
        <v>67</v>
      </c>
      <c r="E7" s="26">
        <v>85</v>
      </c>
      <c r="F7" s="24">
        <v>148</v>
      </c>
      <c r="G7" s="24">
        <v>138</v>
      </c>
      <c r="H7" s="24">
        <v>20</v>
      </c>
      <c r="I7" s="24">
        <v>18</v>
      </c>
      <c r="J7" s="24">
        <v>34</v>
      </c>
      <c r="K7" s="24">
        <v>32</v>
      </c>
      <c r="L7" s="24">
        <v>17</v>
      </c>
      <c r="M7" s="24">
        <v>15</v>
      </c>
      <c r="N7" s="24">
        <v>44</v>
      </c>
      <c r="O7" s="24">
        <v>43</v>
      </c>
      <c r="P7" s="24">
        <v>10</v>
      </c>
      <c r="Q7" s="24">
        <v>10</v>
      </c>
      <c r="R7" s="24">
        <f t="shared" si="0"/>
        <v>226</v>
      </c>
      <c r="S7" s="24">
        <f t="shared" si="1"/>
        <v>213</v>
      </c>
      <c r="T7" s="24">
        <f t="shared" si="2"/>
        <v>47</v>
      </c>
      <c r="U7" s="24">
        <f t="shared" si="3"/>
        <v>43</v>
      </c>
      <c r="V7" s="24">
        <v>21249</v>
      </c>
      <c r="W7" s="27">
        <v>478102.5</v>
      </c>
      <c r="X7" s="24">
        <v>93730</v>
      </c>
      <c r="Y7" s="27">
        <v>4217850</v>
      </c>
      <c r="Z7" s="29">
        <v>1920</v>
      </c>
      <c r="AA7" s="28">
        <v>3</v>
      </c>
      <c r="AB7" s="24">
        <v>2</v>
      </c>
      <c r="AC7" s="24">
        <v>1</v>
      </c>
      <c r="AD7" s="24">
        <v>2</v>
      </c>
      <c r="AE7" s="24">
        <v>2</v>
      </c>
      <c r="AF7" s="24">
        <v>10</v>
      </c>
      <c r="AG7" s="24">
        <v>60</v>
      </c>
      <c r="AH7" s="24">
        <v>219</v>
      </c>
      <c r="AI7" s="24">
        <v>232</v>
      </c>
      <c r="AJ7" s="24">
        <v>327</v>
      </c>
      <c r="AK7" s="24">
        <v>321</v>
      </c>
      <c r="AL7" s="24">
        <v>325</v>
      </c>
      <c r="AM7" s="24">
        <v>229</v>
      </c>
      <c r="AN7" s="24">
        <v>122</v>
      </c>
      <c r="AO7" s="24">
        <v>40</v>
      </c>
      <c r="AP7" s="24">
        <v>27</v>
      </c>
      <c r="AQ7" s="24">
        <v>665</v>
      </c>
      <c r="AR7" s="24">
        <v>164</v>
      </c>
      <c r="AS7" s="24">
        <v>415</v>
      </c>
      <c r="AT7" s="24">
        <v>215</v>
      </c>
      <c r="AU7" s="24" t="s">
        <v>44</v>
      </c>
      <c r="AV7" s="24">
        <v>461</v>
      </c>
      <c r="AW7" s="24">
        <v>0</v>
      </c>
      <c r="AX7" s="24">
        <v>89</v>
      </c>
      <c r="AY7" s="24">
        <v>1019</v>
      </c>
      <c r="AZ7" s="24">
        <v>238</v>
      </c>
      <c r="BA7" s="24">
        <v>1159</v>
      </c>
      <c r="BB7" s="24">
        <v>6</v>
      </c>
      <c r="BC7" s="24">
        <v>60</v>
      </c>
      <c r="BD7" s="24">
        <v>131</v>
      </c>
      <c r="BE7" s="24">
        <v>239</v>
      </c>
      <c r="BF7" s="24">
        <v>274</v>
      </c>
      <c r="BG7" s="24">
        <v>201</v>
      </c>
      <c r="BH7" s="24">
        <v>248</v>
      </c>
      <c r="BI7" s="24">
        <v>586</v>
      </c>
      <c r="BJ7" s="24">
        <v>336</v>
      </c>
      <c r="BK7" s="24">
        <v>1555</v>
      </c>
      <c r="BR7" s="37">
        <v>84</v>
      </c>
      <c r="BS7" s="37">
        <v>3</v>
      </c>
      <c r="BT7" s="37">
        <v>2</v>
      </c>
      <c r="BU7" s="25">
        <v>105633483</v>
      </c>
      <c r="BV7" s="24">
        <v>2042</v>
      </c>
      <c r="BW7" s="28">
        <v>185</v>
      </c>
      <c r="BX7" s="24">
        <v>5109</v>
      </c>
    </row>
    <row r="8" spans="1:76" ht="12" thickBot="1" x14ac:dyDescent="0.2">
      <c r="A8" s="26">
        <v>2019</v>
      </c>
      <c r="B8" s="24">
        <v>104</v>
      </c>
      <c r="C8" s="26">
        <v>1</v>
      </c>
      <c r="D8" s="24">
        <v>62</v>
      </c>
      <c r="E8" s="26">
        <v>85</v>
      </c>
      <c r="F8" s="24">
        <v>151</v>
      </c>
      <c r="G8" s="24">
        <v>139</v>
      </c>
      <c r="H8" s="24">
        <v>23</v>
      </c>
      <c r="I8" s="24">
        <v>21</v>
      </c>
      <c r="J8" s="24">
        <v>33</v>
      </c>
      <c r="K8" s="24">
        <v>30</v>
      </c>
      <c r="L8" s="24">
        <v>18</v>
      </c>
      <c r="M8" s="24">
        <v>16</v>
      </c>
      <c r="N8" s="24">
        <v>57</v>
      </c>
      <c r="O8" s="24">
        <v>54</v>
      </c>
      <c r="P8" s="24">
        <v>9</v>
      </c>
      <c r="Q8" s="24">
        <v>9</v>
      </c>
      <c r="R8" s="24">
        <f t="shared" si="0"/>
        <v>241</v>
      </c>
      <c r="S8" s="24">
        <f t="shared" si="1"/>
        <v>223</v>
      </c>
      <c r="T8" s="24">
        <f t="shared" si="2"/>
        <v>50</v>
      </c>
      <c r="U8" s="24">
        <f t="shared" si="3"/>
        <v>46</v>
      </c>
      <c r="V8" s="24">
        <v>19989</v>
      </c>
      <c r="W8" s="27">
        <v>449752.5</v>
      </c>
      <c r="X8" s="24">
        <v>78686</v>
      </c>
      <c r="Y8" s="27">
        <v>3540870</v>
      </c>
      <c r="Z8" s="29">
        <v>2961</v>
      </c>
      <c r="AA8" s="24">
        <v>0</v>
      </c>
      <c r="AB8" s="24">
        <v>0</v>
      </c>
      <c r="AC8" s="24">
        <v>3</v>
      </c>
      <c r="AD8" s="24">
        <v>2</v>
      </c>
      <c r="AE8" s="24">
        <v>7</v>
      </c>
      <c r="AF8" s="24">
        <v>20</v>
      </c>
      <c r="AG8" s="24">
        <v>91</v>
      </c>
      <c r="AH8" s="24">
        <v>345</v>
      </c>
      <c r="AI8" s="24">
        <v>405</v>
      </c>
      <c r="AJ8" s="24">
        <v>460</v>
      </c>
      <c r="AK8" s="24">
        <v>491</v>
      </c>
      <c r="AL8" s="24">
        <v>511</v>
      </c>
      <c r="AM8" s="24">
        <v>363</v>
      </c>
      <c r="AN8" s="24">
        <v>169</v>
      </c>
      <c r="AO8" s="24">
        <v>59</v>
      </c>
      <c r="AP8" s="24">
        <v>34</v>
      </c>
      <c r="AQ8" s="24">
        <v>973</v>
      </c>
      <c r="AR8" s="24">
        <v>255</v>
      </c>
      <c r="AS8" s="24">
        <v>779</v>
      </c>
      <c r="AT8" s="24">
        <v>327</v>
      </c>
      <c r="AU8" s="24" t="s">
        <v>44</v>
      </c>
      <c r="AV8" s="24">
        <v>627</v>
      </c>
      <c r="AW8" s="24">
        <v>0</v>
      </c>
      <c r="AX8" s="24">
        <v>88</v>
      </c>
      <c r="AY8" s="24">
        <v>1078</v>
      </c>
      <c r="AZ8" s="24">
        <v>168</v>
      </c>
      <c r="BA8" s="24">
        <v>1067</v>
      </c>
      <c r="BB8" s="24">
        <v>2</v>
      </c>
      <c r="BC8" s="24">
        <v>59</v>
      </c>
      <c r="BD8" s="24">
        <v>106</v>
      </c>
      <c r="BE8" s="24">
        <v>221</v>
      </c>
      <c r="BF8" s="24">
        <v>244</v>
      </c>
      <c r="BG8" s="24">
        <v>227</v>
      </c>
      <c r="BH8" s="24">
        <v>208</v>
      </c>
      <c r="BI8" s="24">
        <v>629</v>
      </c>
      <c r="BJ8" s="24">
        <v>372</v>
      </c>
      <c r="BK8" s="24">
        <v>1274</v>
      </c>
      <c r="BR8" s="38">
        <v>58</v>
      </c>
      <c r="BS8" s="38">
        <v>4</v>
      </c>
      <c r="BT8" s="38">
        <v>26</v>
      </c>
      <c r="BU8" s="25">
        <v>106348865</v>
      </c>
      <c r="BV8" s="24">
        <v>2126</v>
      </c>
      <c r="BW8" s="24">
        <v>190</v>
      </c>
      <c r="BX8" s="29">
        <v>4974</v>
      </c>
    </row>
    <row r="9" spans="1:76" ht="12" thickBot="1" x14ac:dyDescent="0.2">
      <c r="A9" s="26">
        <v>2020</v>
      </c>
      <c r="B9" s="24">
        <v>93</v>
      </c>
      <c r="C9" s="26">
        <v>1</v>
      </c>
      <c r="D9" s="26">
        <v>44</v>
      </c>
      <c r="E9" s="26">
        <v>62</v>
      </c>
      <c r="F9" s="24">
        <v>110</v>
      </c>
      <c r="G9" s="24">
        <v>99</v>
      </c>
      <c r="H9" s="24">
        <v>18</v>
      </c>
      <c r="I9" s="24">
        <v>16</v>
      </c>
      <c r="J9" s="24">
        <v>30</v>
      </c>
      <c r="K9" s="24">
        <v>28</v>
      </c>
      <c r="L9" s="24">
        <v>19</v>
      </c>
      <c r="M9" s="24">
        <v>17</v>
      </c>
      <c r="N9" s="24">
        <v>59</v>
      </c>
      <c r="O9" s="24">
        <v>57</v>
      </c>
      <c r="P9" s="24">
        <v>9</v>
      </c>
      <c r="Q9" s="24">
        <v>9</v>
      </c>
      <c r="R9" s="24">
        <f t="shared" si="0"/>
        <v>199</v>
      </c>
      <c r="S9" s="24">
        <f t="shared" si="1"/>
        <v>184</v>
      </c>
      <c r="T9" s="24">
        <f t="shared" si="2"/>
        <v>46</v>
      </c>
      <c r="U9" s="24">
        <f t="shared" si="3"/>
        <v>42</v>
      </c>
      <c r="V9" s="24">
        <v>12503</v>
      </c>
      <c r="W9" s="27">
        <v>281317.5</v>
      </c>
      <c r="X9" s="24">
        <v>37292</v>
      </c>
      <c r="Y9" s="27">
        <v>1678140</v>
      </c>
      <c r="Z9" s="29">
        <v>2509</v>
      </c>
      <c r="AA9" s="24">
        <v>0</v>
      </c>
      <c r="AB9" s="24">
        <v>0</v>
      </c>
      <c r="AC9" s="24">
        <v>3</v>
      </c>
      <c r="AD9" s="24">
        <v>4</v>
      </c>
      <c r="AE9" s="24">
        <v>10</v>
      </c>
      <c r="AF9" s="24">
        <v>16</v>
      </c>
      <c r="AG9" s="24">
        <v>51</v>
      </c>
      <c r="AH9" s="24">
        <v>285</v>
      </c>
      <c r="AI9" s="24">
        <v>350</v>
      </c>
      <c r="AJ9" s="24">
        <v>423</v>
      </c>
      <c r="AK9" s="24">
        <v>427</v>
      </c>
      <c r="AL9" s="24">
        <v>419</v>
      </c>
      <c r="AM9" s="24">
        <v>297</v>
      </c>
      <c r="AN9" s="24">
        <v>118</v>
      </c>
      <c r="AO9" s="24">
        <v>75</v>
      </c>
      <c r="AP9" s="24">
        <v>31</v>
      </c>
      <c r="AQ9" s="24">
        <v>817</v>
      </c>
      <c r="AR9" s="24">
        <v>237</v>
      </c>
      <c r="AS9" s="24">
        <v>801</v>
      </c>
      <c r="AT9" s="24">
        <v>270</v>
      </c>
      <c r="AU9" s="24">
        <v>1</v>
      </c>
      <c r="AV9" s="24">
        <v>383</v>
      </c>
      <c r="AW9" s="24">
        <v>2</v>
      </c>
      <c r="AX9" s="24">
        <v>80</v>
      </c>
      <c r="AY9" s="24">
        <v>861</v>
      </c>
      <c r="AZ9" s="24">
        <v>82</v>
      </c>
      <c r="BA9" s="24">
        <v>983</v>
      </c>
      <c r="BB9" s="24">
        <v>4</v>
      </c>
      <c r="BC9" s="24">
        <v>49</v>
      </c>
      <c r="BD9" s="24">
        <v>109</v>
      </c>
      <c r="BE9" s="24">
        <v>178</v>
      </c>
      <c r="BF9" s="24">
        <v>231</v>
      </c>
      <c r="BG9" s="24">
        <v>199</v>
      </c>
      <c r="BH9" s="24">
        <v>213</v>
      </c>
      <c r="BI9" s="24">
        <v>452</v>
      </c>
      <c r="BJ9" s="24">
        <v>414</v>
      </c>
      <c r="BK9" s="24">
        <v>1146</v>
      </c>
      <c r="BO9" s="37">
        <v>2</v>
      </c>
      <c r="BP9" s="37" t="s">
        <v>44</v>
      </c>
      <c r="BQ9" s="37" t="s">
        <v>44</v>
      </c>
      <c r="BR9" s="37">
        <v>72</v>
      </c>
      <c r="BS9" s="37">
        <v>7</v>
      </c>
      <c r="BT9" s="37">
        <v>1</v>
      </c>
      <c r="BU9" s="25">
        <v>107023935</v>
      </c>
      <c r="BV9" s="24">
        <v>2265</v>
      </c>
      <c r="BW9" s="28">
        <v>161</v>
      </c>
      <c r="BX9" s="24">
        <v>5075</v>
      </c>
    </row>
    <row r="10" spans="1:76" ht="12" thickBot="1" x14ac:dyDescent="0.2">
      <c r="A10" s="26">
        <v>2021</v>
      </c>
      <c r="B10" s="24">
        <v>94</v>
      </c>
      <c r="C10" s="26">
        <v>1</v>
      </c>
      <c r="D10" s="26">
        <v>52</v>
      </c>
      <c r="E10" s="26">
        <v>66</v>
      </c>
      <c r="F10" s="24">
        <v>120</v>
      </c>
      <c r="G10" s="24">
        <v>114</v>
      </c>
      <c r="H10" s="24">
        <v>21</v>
      </c>
      <c r="I10" s="24">
        <v>21</v>
      </c>
      <c r="J10" s="24">
        <v>30</v>
      </c>
      <c r="K10" s="24">
        <v>28</v>
      </c>
      <c r="L10" s="24">
        <v>18</v>
      </c>
      <c r="M10" s="24">
        <v>16</v>
      </c>
      <c r="N10" s="24">
        <v>71</v>
      </c>
      <c r="O10" s="24">
        <v>66</v>
      </c>
      <c r="P10" s="24">
        <v>12</v>
      </c>
      <c r="Q10" s="24">
        <v>11</v>
      </c>
      <c r="R10" s="24">
        <f t="shared" si="0"/>
        <v>221</v>
      </c>
      <c r="S10" s="24">
        <f t="shared" si="1"/>
        <v>208</v>
      </c>
      <c r="T10" s="24">
        <f t="shared" si="2"/>
        <v>51</v>
      </c>
      <c r="U10" s="24">
        <f t="shared" si="3"/>
        <v>48</v>
      </c>
      <c r="V10" s="24">
        <v>16757</v>
      </c>
      <c r="W10" s="27">
        <v>377032.5</v>
      </c>
      <c r="X10" s="24">
        <v>61057</v>
      </c>
      <c r="Y10" s="27">
        <v>2747565</v>
      </c>
      <c r="Z10" s="29">
        <v>7855</v>
      </c>
      <c r="AA10" s="24">
        <v>0</v>
      </c>
      <c r="AB10" s="24">
        <v>1</v>
      </c>
      <c r="AC10" s="24">
        <v>3</v>
      </c>
      <c r="AD10" s="24">
        <v>12</v>
      </c>
      <c r="AE10" s="24">
        <v>13</v>
      </c>
      <c r="AF10" s="24">
        <v>61</v>
      </c>
      <c r="AG10" s="24">
        <v>141</v>
      </c>
      <c r="AH10" s="24">
        <v>663</v>
      </c>
      <c r="AI10" s="24">
        <v>914</v>
      </c>
      <c r="AJ10" s="24">
        <v>1530</v>
      </c>
      <c r="AK10" s="24">
        <v>1639</v>
      </c>
      <c r="AL10" s="24">
        <v>1366</v>
      </c>
      <c r="AM10" s="24">
        <v>997</v>
      </c>
      <c r="AN10" s="24">
        <v>346</v>
      </c>
      <c r="AO10" s="24">
        <v>121</v>
      </c>
      <c r="AP10" s="24">
        <v>49</v>
      </c>
      <c r="AQ10" s="24">
        <v>2494</v>
      </c>
      <c r="AR10" s="24">
        <v>959</v>
      </c>
      <c r="AS10" s="24">
        <v>3081</v>
      </c>
      <c r="AT10" s="24">
        <v>710</v>
      </c>
      <c r="AU10" s="24" t="s">
        <v>44</v>
      </c>
      <c r="AV10" s="24">
        <v>611</v>
      </c>
      <c r="AW10" s="24">
        <v>3</v>
      </c>
      <c r="AX10" s="24">
        <v>127</v>
      </c>
      <c r="AY10" s="24">
        <v>758</v>
      </c>
      <c r="AZ10" s="24">
        <v>87</v>
      </c>
      <c r="BA10" s="24">
        <v>952</v>
      </c>
      <c r="BB10" s="24">
        <v>6</v>
      </c>
      <c r="BC10" s="24">
        <v>37</v>
      </c>
      <c r="BD10" s="24">
        <v>118</v>
      </c>
      <c r="BE10" s="24">
        <v>201</v>
      </c>
      <c r="BF10" s="24">
        <v>233</v>
      </c>
      <c r="BG10" s="24">
        <v>165</v>
      </c>
      <c r="BH10" s="24">
        <v>192</v>
      </c>
      <c r="BI10" s="24">
        <v>502</v>
      </c>
      <c r="BJ10" s="24">
        <v>415</v>
      </c>
      <c r="BK10" s="24">
        <v>1344</v>
      </c>
      <c r="BL10" s="39">
        <v>2045</v>
      </c>
      <c r="BM10" s="38">
        <v>974</v>
      </c>
      <c r="BN10" s="38">
        <v>62</v>
      </c>
      <c r="BO10" s="38">
        <v>3</v>
      </c>
      <c r="BP10" s="38" t="s">
        <v>44</v>
      </c>
      <c r="BQ10" s="38" t="s">
        <v>44</v>
      </c>
      <c r="BR10" s="38">
        <v>105</v>
      </c>
      <c r="BS10" s="38">
        <v>13</v>
      </c>
      <c r="BT10" s="38">
        <v>9</v>
      </c>
      <c r="BU10" s="25">
        <v>107552789</v>
      </c>
      <c r="BV10" s="24">
        <v>2262</v>
      </c>
      <c r="BW10" s="24">
        <v>155</v>
      </c>
      <c r="BX10" s="29">
        <v>5393</v>
      </c>
    </row>
    <row r="11" spans="1:76" ht="12" thickBot="1" x14ac:dyDescent="0.2">
      <c r="A11" s="26">
        <v>2022</v>
      </c>
      <c r="B11" s="24">
        <v>96</v>
      </c>
      <c r="C11" s="26">
        <v>2</v>
      </c>
      <c r="D11" s="26">
        <v>52</v>
      </c>
      <c r="E11" s="26">
        <v>66</v>
      </c>
      <c r="F11" s="24">
        <v>125</v>
      </c>
      <c r="G11" s="24">
        <v>119</v>
      </c>
      <c r="H11" s="24">
        <v>19</v>
      </c>
      <c r="I11" s="24">
        <v>19</v>
      </c>
      <c r="J11" s="24">
        <v>30</v>
      </c>
      <c r="K11" s="24">
        <v>26</v>
      </c>
      <c r="L11" s="24">
        <v>17</v>
      </c>
      <c r="M11" s="24">
        <v>13</v>
      </c>
      <c r="N11" s="24">
        <v>82</v>
      </c>
      <c r="O11" s="24">
        <v>76</v>
      </c>
      <c r="P11" s="24">
        <v>11</v>
      </c>
      <c r="Q11" s="24">
        <v>10</v>
      </c>
      <c r="R11" s="24">
        <f t="shared" si="0"/>
        <v>237</v>
      </c>
      <c r="S11" s="24">
        <f t="shared" si="1"/>
        <v>221</v>
      </c>
      <c r="T11" s="24">
        <f t="shared" si="2"/>
        <v>47</v>
      </c>
      <c r="U11" s="24">
        <f t="shared" si="3"/>
        <v>42</v>
      </c>
      <c r="V11" s="24">
        <v>18134</v>
      </c>
      <c r="W11" s="27">
        <v>408015</v>
      </c>
      <c r="X11" s="24">
        <v>65905</v>
      </c>
      <c r="Y11" s="27">
        <v>2965725</v>
      </c>
      <c r="Z11" s="29">
        <v>42900</v>
      </c>
      <c r="AA11" s="24">
        <v>10</v>
      </c>
      <c r="AB11" s="24">
        <v>0</v>
      </c>
      <c r="AC11" s="24">
        <v>15</v>
      </c>
      <c r="AD11" s="24">
        <v>52</v>
      </c>
      <c r="AE11" s="24">
        <v>106</v>
      </c>
      <c r="AF11" s="24">
        <v>181</v>
      </c>
      <c r="AG11" s="24">
        <v>500</v>
      </c>
      <c r="AH11" s="24">
        <v>1630</v>
      </c>
      <c r="AI11" s="24">
        <v>2182</v>
      </c>
      <c r="AJ11" s="24">
        <v>10682</v>
      </c>
      <c r="AK11" s="24">
        <v>10825</v>
      </c>
      <c r="AL11" s="24">
        <v>9606</v>
      </c>
      <c r="AM11" s="24">
        <v>5781</v>
      </c>
      <c r="AN11" s="24">
        <v>830</v>
      </c>
      <c r="AO11" s="24">
        <v>340</v>
      </c>
      <c r="AP11" s="24">
        <v>157</v>
      </c>
      <c r="AQ11" s="24">
        <v>13584</v>
      </c>
      <c r="AR11" s="24">
        <v>5889</v>
      </c>
      <c r="AS11" s="24">
        <v>18071</v>
      </c>
      <c r="AT11" s="24">
        <v>3962</v>
      </c>
      <c r="AU11" s="24">
        <v>4</v>
      </c>
      <c r="AV11" s="24">
        <v>1390</v>
      </c>
      <c r="AW11" s="24">
        <v>1</v>
      </c>
      <c r="AX11" s="24">
        <v>134</v>
      </c>
      <c r="AY11" s="24">
        <v>696</v>
      </c>
      <c r="AZ11" s="24">
        <v>109</v>
      </c>
      <c r="BA11" s="24">
        <v>1046</v>
      </c>
      <c r="BB11" s="24">
        <v>2</v>
      </c>
      <c r="BC11" s="24">
        <v>47</v>
      </c>
      <c r="BD11" s="24">
        <v>128</v>
      </c>
      <c r="BE11" s="24">
        <v>200</v>
      </c>
      <c r="BF11" s="24">
        <v>244</v>
      </c>
      <c r="BG11" s="24">
        <v>218</v>
      </c>
      <c r="BH11" s="24">
        <v>207</v>
      </c>
      <c r="BI11" s="24">
        <v>313</v>
      </c>
      <c r="BJ11" s="24">
        <v>290</v>
      </c>
      <c r="BK11" s="24">
        <v>1314</v>
      </c>
      <c r="BL11" s="40">
        <v>10920</v>
      </c>
      <c r="BM11" s="40">
        <v>12522</v>
      </c>
      <c r="BN11" s="40">
        <v>13661</v>
      </c>
      <c r="BO11" s="37">
        <v>1</v>
      </c>
      <c r="BP11" s="37" t="s">
        <v>44</v>
      </c>
      <c r="BQ11" s="37" t="s">
        <v>44</v>
      </c>
      <c r="BR11" s="37">
        <v>129</v>
      </c>
      <c r="BS11" s="37">
        <v>4</v>
      </c>
      <c r="BT11" s="37">
        <v>1</v>
      </c>
      <c r="BU11" s="25">
        <v>107987869</v>
      </c>
      <c r="BV11" s="24">
        <v>2366</v>
      </c>
      <c r="BW11" s="28">
        <v>152</v>
      </c>
      <c r="BX11" s="24">
        <v>5511</v>
      </c>
    </row>
    <row r="12" spans="1:76" ht="12" thickBot="1" x14ac:dyDescent="0.2">
      <c r="A12" s="26">
        <v>2023</v>
      </c>
      <c r="B12" s="24">
        <v>100</v>
      </c>
      <c r="C12" s="26">
        <v>2</v>
      </c>
      <c r="D12" s="26">
        <v>56</v>
      </c>
      <c r="E12" s="26">
        <v>75</v>
      </c>
      <c r="F12" s="24">
        <v>126</v>
      </c>
      <c r="G12" s="24">
        <v>120</v>
      </c>
      <c r="H12" s="24">
        <v>20</v>
      </c>
      <c r="I12" s="24">
        <v>20</v>
      </c>
      <c r="J12" s="24">
        <v>32</v>
      </c>
      <c r="K12" s="24">
        <v>30</v>
      </c>
      <c r="L12" s="24">
        <v>19</v>
      </c>
      <c r="M12" s="24">
        <v>17</v>
      </c>
      <c r="N12" s="24">
        <v>80</v>
      </c>
      <c r="O12" s="24">
        <v>74</v>
      </c>
      <c r="P12" s="24">
        <v>15</v>
      </c>
      <c r="Q12" s="24">
        <v>12</v>
      </c>
      <c r="R12" s="24">
        <f t="shared" si="0"/>
        <v>238</v>
      </c>
      <c r="S12" s="24">
        <f t="shared" si="1"/>
        <v>224</v>
      </c>
      <c r="T12" s="24">
        <f t="shared" si="2"/>
        <v>54</v>
      </c>
      <c r="U12" s="24">
        <f t="shared" si="3"/>
        <v>49</v>
      </c>
      <c r="V12" s="24">
        <v>14726</v>
      </c>
      <c r="W12" s="27">
        <v>331335</v>
      </c>
      <c r="X12" s="24">
        <v>89966</v>
      </c>
      <c r="Y12" s="27">
        <v>4048470</v>
      </c>
      <c r="Z12" s="29">
        <v>97760</v>
      </c>
      <c r="AA12" s="24">
        <v>20</v>
      </c>
      <c r="AB12" s="24">
        <v>0</v>
      </c>
      <c r="AC12" s="24">
        <v>60</v>
      </c>
      <c r="AD12" s="24">
        <v>132</v>
      </c>
      <c r="AE12" s="24">
        <v>292</v>
      </c>
      <c r="AF12" s="24">
        <v>506</v>
      </c>
      <c r="AG12" s="24">
        <v>1164</v>
      </c>
      <c r="AH12" s="24">
        <v>3644</v>
      </c>
      <c r="AI12" s="24">
        <v>5138</v>
      </c>
      <c r="AJ12" s="24">
        <v>24404</v>
      </c>
      <c r="AK12" s="24">
        <v>23916</v>
      </c>
      <c r="AL12" s="24">
        <v>21752</v>
      </c>
      <c r="AM12" s="24">
        <v>13170</v>
      </c>
      <c r="AN12" s="24">
        <v>2264</v>
      </c>
      <c r="AO12" s="24">
        <v>837</v>
      </c>
      <c r="AP12" s="24">
        <v>458</v>
      </c>
      <c r="AQ12" s="24">
        <v>32073</v>
      </c>
      <c r="AR12" s="24">
        <v>13835</v>
      </c>
      <c r="AS12" s="24">
        <v>42826</v>
      </c>
      <c r="AT12" s="24">
        <v>8358</v>
      </c>
      <c r="AU12" s="24">
        <v>14</v>
      </c>
      <c r="AV12" s="24">
        <v>654</v>
      </c>
      <c r="AW12" s="24">
        <v>17</v>
      </c>
      <c r="AX12" s="24">
        <v>404</v>
      </c>
      <c r="AY12" s="24">
        <v>533</v>
      </c>
      <c r="AZ12" s="24">
        <v>93</v>
      </c>
      <c r="BA12" s="24">
        <v>1133</v>
      </c>
      <c r="BB12" s="24">
        <v>3</v>
      </c>
      <c r="BC12" s="24">
        <v>47</v>
      </c>
      <c r="BD12" s="24">
        <v>145</v>
      </c>
      <c r="BE12" s="24">
        <v>194</v>
      </c>
      <c r="BF12" s="24">
        <v>297</v>
      </c>
      <c r="BG12" s="24">
        <v>212</v>
      </c>
      <c r="BH12" s="24">
        <v>235</v>
      </c>
      <c r="BI12" s="24">
        <v>353</v>
      </c>
      <c r="BJ12" s="24">
        <v>246</v>
      </c>
      <c r="BK12" s="24">
        <v>1357</v>
      </c>
      <c r="BL12" s="40">
        <v>22199</v>
      </c>
      <c r="BM12" s="40">
        <v>32191</v>
      </c>
      <c r="BN12" s="40">
        <v>39630</v>
      </c>
      <c r="BO12" s="38">
        <v>5</v>
      </c>
      <c r="BP12" s="38">
        <v>5</v>
      </c>
      <c r="BQ12" s="38">
        <v>7</v>
      </c>
      <c r="BR12" s="38">
        <v>281</v>
      </c>
      <c r="BS12" s="38">
        <v>36</v>
      </c>
      <c r="BT12" s="38">
        <v>87</v>
      </c>
      <c r="BU12" s="25">
        <v>108443605</v>
      </c>
      <c r="BV12" s="24">
        <v>2320</v>
      </c>
      <c r="BW12" s="24">
        <v>141</v>
      </c>
      <c r="BX12" s="29">
        <v>5980</v>
      </c>
    </row>
    <row r="13" spans="1:76" ht="12" thickBot="1" x14ac:dyDescent="0.2">
      <c r="A13" s="26">
        <v>2024</v>
      </c>
      <c r="B13" s="24">
        <v>104</v>
      </c>
      <c r="C13" s="26">
        <v>4</v>
      </c>
      <c r="D13" s="26">
        <v>57</v>
      </c>
      <c r="E13" s="26">
        <v>80</v>
      </c>
      <c r="F13" s="24">
        <v>130</v>
      </c>
      <c r="G13" s="24">
        <v>123</v>
      </c>
      <c r="H13" s="24">
        <v>9</v>
      </c>
      <c r="I13" s="24">
        <v>9</v>
      </c>
      <c r="J13" s="24">
        <v>30</v>
      </c>
      <c r="K13" s="24">
        <v>29</v>
      </c>
      <c r="L13" s="24">
        <v>14</v>
      </c>
      <c r="M13" s="24">
        <v>13</v>
      </c>
      <c r="N13" s="24">
        <v>84</v>
      </c>
      <c r="O13" s="24">
        <v>79</v>
      </c>
      <c r="P13" s="24">
        <v>18</v>
      </c>
      <c r="Q13" s="24">
        <v>16</v>
      </c>
      <c r="R13" s="24">
        <f t="shared" si="0"/>
        <v>244</v>
      </c>
      <c r="S13" s="24">
        <f t="shared" si="1"/>
        <v>231</v>
      </c>
      <c r="T13" s="24">
        <f t="shared" si="2"/>
        <v>41</v>
      </c>
      <c r="U13" s="24">
        <f t="shared" si="3"/>
        <v>38</v>
      </c>
      <c r="V13" s="24">
        <v>17180</v>
      </c>
      <c r="W13" s="27">
        <v>386550</v>
      </c>
      <c r="X13" s="24">
        <v>102288</v>
      </c>
      <c r="Y13" s="27">
        <v>4602960</v>
      </c>
      <c r="Z13" s="29">
        <v>106827</v>
      </c>
      <c r="AA13" s="24">
        <v>11</v>
      </c>
      <c r="AB13" s="24">
        <v>1</v>
      </c>
      <c r="AC13" s="24">
        <v>48</v>
      </c>
      <c r="AD13" s="24">
        <v>153</v>
      </c>
      <c r="AE13" s="24">
        <v>286</v>
      </c>
      <c r="AF13" s="24">
        <v>595</v>
      </c>
      <c r="AG13" s="24">
        <v>1219</v>
      </c>
      <c r="AH13" s="24">
        <v>3638</v>
      </c>
      <c r="AI13" s="24">
        <v>5089</v>
      </c>
      <c r="AJ13" s="24">
        <v>27415</v>
      </c>
      <c r="AK13" s="24">
        <v>26260</v>
      </c>
      <c r="AL13" s="24">
        <v>24140</v>
      </c>
      <c r="AM13" s="24">
        <v>14708</v>
      </c>
      <c r="AN13" s="24">
        <v>2046</v>
      </c>
      <c r="AO13" s="24">
        <v>813</v>
      </c>
      <c r="AP13" s="24">
        <v>403</v>
      </c>
      <c r="AQ13" s="24">
        <v>35059</v>
      </c>
      <c r="AR13" s="24">
        <v>15113</v>
      </c>
      <c r="AS13" s="24">
        <v>47704</v>
      </c>
      <c r="AT13" s="24">
        <v>8931</v>
      </c>
      <c r="AU13" s="24">
        <v>18</v>
      </c>
      <c r="AV13" s="24">
        <v>2</v>
      </c>
      <c r="AW13" s="24">
        <v>6</v>
      </c>
      <c r="AX13" s="24">
        <v>2556</v>
      </c>
      <c r="AY13" s="24">
        <v>545</v>
      </c>
      <c r="AZ13" s="24">
        <v>107</v>
      </c>
      <c r="BA13" s="24">
        <v>1121</v>
      </c>
      <c r="BB13" s="24">
        <v>5</v>
      </c>
      <c r="BC13" s="24">
        <v>45</v>
      </c>
      <c r="BD13" s="24">
        <v>147</v>
      </c>
      <c r="BE13" s="24">
        <v>201</v>
      </c>
      <c r="BF13" s="24">
        <v>279</v>
      </c>
      <c r="BG13" s="24">
        <v>228</v>
      </c>
      <c r="BH13" s="24">
        <v>216</v>
      </c>
      <c r="BI13" s="24">
        <v>251</v>
      </c>
      <c r="BJ13" s="24">
        <v>237</v>
      </c>
      <c r="BK13" s="24">
        <v>1564</v>
      </c>
      <c r="BL13" s="39">
        <v>20198</v>
      </c>
      <c r="BM13" s="39">
        <v>42450</v>
      </c>
      <c r="BN13" s="39">
        <v>40505</v>
      </c>
      <c r="BO13" s="37">
        <v>3</v>
      </c>
      <c r="BP13" s="37">
        <v>3</v>
      </c>
      <c r="BQ13" s="37" t="s">
        <v>44</v>
      </c>
      <c r="BR13" s="40">
        <v>1922</v>
      </c>
      <c r="BS13" s="37">
        <v>483</v>
      </c>
      <c r="BT13" s="37">
        <v>151</v>
      </c>
      <c r="BU13" s="25">
        <v>108921464</v>
      </c>
      <c r="BV13" s="24">
        <v>2552</v>
      </c>
      <c r="BW13" s="28">
        <v>127</v>
      </c>
      <c r="BX13" s="24">
        <v>6567</v>
      </c>
    </row>
    <row r="14" spans="1:76" ht="12" thickBot="1" x14ac:dyDescent="0.2">
      <c r="A14" s="26">
        <v>2025</v>
      </c>
      <c r="B14" s="24">
        <v>107</v>
      </c>
      <c r="C14" s="26">
        <v>5</v>
      </c>
      <c r="D14" s="26">
        <v>57</v>
      </c>
      <c r="E14" s="26">
        <v>84</v>
      </c>
      <c r="F14" s="24">
        <v>135</v>
      </c>
      <c r="G14" s="24">
        <v>127</v>
      </c>
      <c r="H14" s="24">
        <v>13</v>
      </c>
      <c r="I14" s="24">
        <v>10</v>
      </c>
      <c r="J14" s="24">
        <v>28</v>
      </c>
      <c r="K14" s="24">
        <v>26</v>
      </c>
      <c r="L14" s="24">
        <v>12</v>
      </c>
      <c r="M14" s="24">
        <v>11</v>
      </c>
      <c r="N14" s="24">
        <v>90</v>
      </c>
      <c r="O14" s="24">
        <v>84</v>
      </c>
      <c r="P14" s="24">
        <v>18</v>
      </c>
      <c r="Q14" s="24">
        <v>16</v>
      </c>
      <c r="R14" s="24">
        <f t="shared" si="0"/>
        <v>253</v>
      </c>
      <c r="S14" s="24">
        <f t="shared" si="1"/>
        <v>237</v>
      </c>
      <c r="T14" s="24">
        <f t="shared" si="2"/>
        <v>43</v>
      </c>
      <c r="U14" s="24">
        <f t="shared" si="3"/>
        <v>37</v>
      </c>
      <c r="V14" s="24">
        <v>15884</v>
      </c>
      <c r="W14" s="27">
        <v>357390</v>
      </c>
      <c r="X14" s="24">
        <v>62589</v>
      </c>
      <c r="Y14" s="27">
        <v>2816505</v>
      </c>
      <c r="Z14" s="29">
        <v>65402</v>
      </c>
      <c r="AA14" s="24">
        <v>16</v>
      </c>
      <c r="AB14" s="24">
        <v>0</v>
      </c>
      <c r="AC14" s="24">
        <v>39</v>
      </c>
      <c r="AD14" s="24">
        <v>109</v>
      </c>
      <c r="AE14" s="24">
        <v>218</v>
      </c>
      <c r="AF14" s="24">
        <v>523</v>
      </c>
      <c r="AG14" s="24">
        <v>1031</v>
      </c>
      <c r="AH14" s="24">
        <v>2698</v>
      </c>
      <c r="AI14" s="24">
        <v>3896</v>
      </c>
      <c r="AJ14" s="24">
        <v>16191</v>
      </c>
      <c r="AK14" s="24">
        <v>14755</v>
      </c>
      <c r="AL14" s="24">
        <v>14312</v>
      </c>
      <c r="AM14" s="24">
        <v>9058</v>
      </c>
      <c r="AN14" s="24">
        <v>1597</v>
      </c>
      <c r="AO14" s="24">
        <v>632</v>
      </c>
      <c r="AP14" s="24">
        <v>327</v>
      </c>
      <c r="AQ14" s="24">
        <v>21737</v>
      </c>
      <c r="AR14" s="24">
        <v>8996</v>
      </c>
      <c r="AS14" s="24">
        <v>29030</v>
      </c>
      <c r="AT14" s="24">
        <v>5629</v>
      </c>
      <c r="AU14" s="24">
        <v>8</v>
      </c>
      <c r="AV14" s="24">
        <v>2</v>
      </c>
      <c r="AW14" s="24">
        <v>114</v>
      </c>
      <c r="AX14" s="24">
        <v>1497</v>
      </c>
      <c r="AY14" s="24">
        <v>403</v>
      </c>
      <c r="AZ14" s="24">
        <v>94</v>
      </c>
      <c r="BA14" s="30" t="s">
        <v>75</v>
      </c>
      <c r="BB14" s="30" t="s">
        <v>75</v>
      </c>
      <c r="BC14" s="30" t="s">
        <v>75</v>
      </c>
      <c r="BD14" s="30" t="s">
        <v>75</v>
      </c>
      <c r="BE14" s="30" t="s">
        <v>75</v>
      </c>
      <c r="BF14" s="30" t="s">
        <v>75</v>
      </c>
      <c r="BG14" s="30" t="s">
        <v>75</v>
      </c>
      <c r="BH14" s="30" t="s">
        <v>75</v>
      </c>
      <c r="BI14" s="24">
        <v>91</v>
      </c>
      <c r="BJ14" s="24">
        <v>75</v>
      </c>
      <c r="BK14" s="24">
        <v>1107</v>
      </c>
      <c r="BL14" s="39">
        <v>15145</v>
      </c>
      <c r="BM14" s="39">
        <v>20733</v>
      </c>
      <c r="BN14" s="39">
        <v>28087</v>
      </c>
      <c r="BO14" s="38">
        <v>6</v>
      </c>
      <c r="BP14" s="38">
        <v>10</v>
      </c>
      <c r="BQ14" s="38">
        <v>98</v>
      </c>
      <c r="BR14" s="39">
        <v>1012</v>
      </c>
      <c r="BS14" s="38">
        <v>421</v>
      </c>
      <c r="BT14" s="38">
        <v>64</v>
      </c>
      <c r="BU14" s="25">
        <v>109374409</v>
      </c>
      <c r="BV14" s="24">
        <v>2775</v>
      </c>
      <c r="BW14" s="24">
        <v>131</v>
      </c>
      <c r="BX14" s="24">
        <v>7460</v>
      </c>
    </row>
    <row r="15" spans="1:76" x14ac:dyDescent="0.15">
      <c r="A15" s="31" t="s">
        <v>13</v>
      </c>
      <c r="B15" s="24">
        <f t="shared" ref="B15" si="4">SUM(B4:B14)</f>
        <v>970</v>
      </c>
      <c r="C15" s="24">
        <f t="shared" ref="C15" si="5">SUM(C4:C14)</f>
        <v>21</v>
      </c>
      <c r="D15" s="24">
        <f t="shared" ref="D15" si="6">SUM(D4:D14)</f>
        <v>646</v>
      </c>
      <c r="E15" s="24">
        <f t="shared" ref="E15" si="7">SUM(E4:E14)</f>
        <v>847</v>
      </c>
      <c r="F15" s="24">
        <f t="shared" ref="F15:AK15" si="8">SUM(F4:F14)</f>
        <v>1479</v>
      </c>
      <c r="G15" s="24">
        <f t="shared" si="8"/>
        <v>1400</v>
      </c>
      <c r="H15" s="24">
        <f t="shared" si="8"/>
        <v>192</v>
      </c>
      <c r="I15" s="24">
        <f t="shared" si="8"/>
        <v>182</v>
      </c>
      <c r="J15" s="24">
        <f t="shared" si="8"/>
        <v>341</v>
      </c>
      <c r="K15" s="24">
        <f t="shared" si="8"/>
        <v>320</v>
      </c>
      <c r="L15" s="24">
        <f t="shared" si="8"/>
        <v>187</v>
      </c>
      <c r="M15" s="24">
        <f t="shared" si="8"/>
        <v>168</v>
      </c>
      <c r="N15" s="24">
        <f t="shared" si="8"/>
        <v>659</v>
      </c>
      <c r="O15" s="24">
        <f t="shared" si="8"/>
        <v>625</v>
      </c>
      <c r="P15" s="24">
        <f t="shared" si="8"/>
        <v>129</v>
      </c>
      <c r="Q15" s="24">
        <f t="shared" si="8"/>
        <v>120</v>
      </c>
      <c r="R15" s="24">
        <f t="shared" si="8"/>
        <v>2479</v>
      </c>
      <c r="S15" s="24">
        <f t="shared" si="8"/>
        <v>2345</v>
      </c>
      <c r="T15" s="24">
        <f t="shared" si="8"/>
        <v>508</v>
      </c>
      <c r="U15" s="24">
        <f t="shared" si="8"/>
        <v>470</v>
      </c>
      <c r="V15" s="24">
        <f t="shared" si="8"/>
        <v>195681</v>
      </c>
      <c r="W15" s="24">
        <f t="shared" si="8"/>
        <v>4402822.5</v>
      </c>
      <c r="X15" s="24">
        <f t="shared" si="8"/>
        <v>859769</v>
      </c>
      <c r="Y15" s="27">
        <f t="shared" si="8"/>
        <v>38689605</v>
      </c>
      <c r="Z15" s="24">
        <f t="shared" si="8"/>
        <v>331757</v>
      </c>
      <c r="AA15" s="24">
        <f t="shared" si="8"/>
        <v>63</v>
      </c>
      <c r="AB15" s="24">
        <f t="shared" si="8"/>
        <v>9</v>
      </c>
      <c r="AC15" s="24">
        <f t="shared" si="8"/>
        <v>172</v>
      </c>
      <c r="AD15" s="24">
        <f t="shared" si="8"/>
        <v>468</v>
      </c>
      <c r="AE15" s="24">
        <f t="shared" si="8"/>
        <v>944</v>
      </c>
      <c r="AF15" s="24">
        <f t="shared" si="8"/>
        <v>1940</v>
      </c>
      <c r="AG15" s="24">
        <f t="shared" si="8"/>
        <v>4339</v>
      </c>
      <c r="AH15" s="24">
        <f t="shared" si="8"/>
        <v>13476</v>
      </c>
      <c r="AI15" s="24">
        <f t="shared" si="8"/>
        <v>18602</v>
      </c>
      <c r="AJ15" s="24">
        <f t="shared" si="8"/>
        <v>82026</v>
      </c>
      <c r="AK15" s="24">
        <f t="shared" si="8"/>
        <v>79311</v>
      </c>
      <c r="AL15" s="24">
        <f t="shared" ref="AL15:BH15" si="9">SUM(AL4:AL14)</f>
        <v>73075</v>
      </c>
      <c r="AM15" s="24">
        <f t="shared" si="9"/>
        <v>45069</v>
      </c>
      <c r="AN15" s="24">
        <f t="shared" si="9"/>
        <v>7682</v>
      </c>
      <c r="AO15" s="24">
        <f t="shared" si="9"/>
        <v>3026</v>
      </c>
      <c r="AP15" s="24">
        <f t="shared" si="9"/>
        <v>1553</v>
      </c>
      <c r="AQ15" s="24">
        <f t="shared" si="9"/>
        <v>108658</v>
      </c>
      <c r="AR15" s="24">
        <f t="shared" si="9"/>
        <v>45701</v>
      </c>
      <c r="AS15" s="24">
        <f t="shared" si="9"/>
        <v>143424</v>
      </c>
      <c r="AT15" s="24">
        <f t="shared" si="9"/>
        <v>28923</v>
      </c>
      <c r="AU15" s="24">
        <f t="shared" si="9"/>
        <v>47</v>
      </c>
      <c r="AV15" s="24">
        <f t="shared" si="9"/>
        <v>5004</v>
      </c>
      <c r="AW15" s="24">
        <f t="shared" si="9"/>
        <v>161</v>
      </c>
      <c r="AX15" s="24">
        <f t="shared" si="9"/>
        <v>5278</v>
      </c>
      <c r="AY15" s="24">
        <f t="shared" si="9"/>
        <v>8946</v>
      </c>
      <c r="AZ15" s="24">
        <f t="shared" si="9"/>
        <v>1690</v>
      </c>
      <c r="BA15" s="24">
        <f t="shared" si="9"/>
        <v>10450</v>
      </c>
      <c r="BB15" s="24">
        <f t="shared" si="9"/>
        <v>48</v>
      </c>
      <c r="BC15" s="24">
        <f t="shared" si="9"/>
        <v>482</v>
      </c>
      <c r="BD15" s="24">
        <f t="shared" si="9"/>
        <v>1254</v>
      </c>
      <c r="BE15" s="24">
        <f t="shared" si="9"/>
        <v>2072</v>
      </c>
      <c r="BF15" s="24">
        <f t="shared" si="9"/>
        <v>2469</v>
      </c>
      <c r="BG15" s="24">
        <f t="shared" si="9"/>
        <v>2027</v>
      </c>
      <c r="BH15" s="24">
        <f t="shared" si="9"/>
        <v>2098</v>
      </c>
      <c r="BI15" s="24">
        <f t="shared" ref="BI15:BK15" si="10">SUM(BI4:BI14)</f>
        <v>4427</v>
      </c>
      <c r="BJ15" s="24">
        <f t="shared" si="10"/>
        <v>3154</v>
      </c>
      <c r="BK15" s="24">
        <f t="shared" si="10"/>
        <v>13960</v>
      </c>
      <c r="BL15" s="24">
        <f>SUM(BL4:BL14)</f>
        <v>70512</v>
      </c>
      <c r="BM15" s="24">
        <f t="shared" ref="BM15:BN15" si="11">SUM(BM4:BM14)</f>
        <v>108871</v>
      </c>
      <c r="BN15" s="24">
        <f t="shared" si="11"/>
        <v>121954</v>
      </c>
      <c r="BO15" s="24">
        <f>SUM(BO4:BO14)</f>
        <v>37</v>
      </c>
      <c r="BP15" s="24">
        <f t="shared" ref="BP15:BQ15" si="12">SUM(BP4:BP14)</f>
        <v>19</v>
      </c>
      <c r="BQ15" s="24">
        <f t="shared" si="12"/>
        <v>105</v>
      </c>
      <c r="BR15" s="24">
        <f t="shared" ref="BR15" si="13">SUM(BR4:BR14)</f>
        <v>3931</v>
      </c>
      <c r="BS15" s="24">
        <f t="shared" ref="BS15" si="14">SUM(BS4:BS14)</f>
        <v>994</v>
      </c>
      <c r="BT15" s="24">
        <f t="shared" ref="BT15" si="15">SUM(BT4:BT14)</f>
        <v>353</v>
      </c>
      <c r="BU15" s="25">
        <f>SUM(BU4:BU14)</f>
        <v>1173947436</v>
      </c>
      <c r="BV15" s="25">
        <f>SUM(BV4:BV14)</f>
        <v>24562</v>
      </c>
      <c r="BW15" s="24">
        <f>SUM(BW4:BW14)</f>
        <v>1859</v>
      </c>
      <c r="BX15" s="24">
        <f>SUM(BX4:BX14)</f>
        <v>61760</v>
      </c>
    </row>
    <row r="16" spans="1:76" x14ac:dyDescent="0.15">
      <c r="W16" s="27"/>
      <c r="Y16" s="27"/>
      <c r="AA16" s="28"/>
      <c r="AC16" s="28"/>
      <c r="AE16" s="28"/>
      <c r="AG16" s="28"/>
      <c r="AI16" s="28"/>
      <c r="AK16" s="28"/>
      <c r="AM16" s="28"/>
      <c r="AO16" s="28"/>
      <c r="BU16" s="25"/>
    </row>
    <row r="20" spans="5:19" x14ac:dyDescent="0.15">
      <c r="H20" s="32"/>
    </row>
    <row r="21" spans="5:19" x14ac:dyDescent="0.15">
      <c r="E21" s="34" t="s">
        <v>14</v>
      </c>
      <c r="H21" s="32"/>
    </row>
    <row r="22" spans="5:19" x14ac:dyDescent="0.15">
      <c r="E22" s="34" t="s">
        <v>15</v>
      </c>
      <c r="H22" s="32"/>
    </row>
    <row r="23" spans="5:19" x14ac:dyDescent="0.15">
      <c r="E23" s="34" t="s">
        <v>16</v>
      </c>
      <c r="H23" s="32"/>
    </row>
    <row r="24" spans="5:19" x14ac:dyDescent="0.15">
      <c r="E24" s="34" t="s">
        <v>33</v>
      </c>
      <c r="H24" s="32"/>
    </row>
    <row r="25" spans="5:19" x14ac:dyDescent="0.15">
      <c r="E25" s="34" t="s">
        <v>36</v>
      </c>
      <c r="O25" s="33"/>
      <c r="P25" s="29"/>
      <c r="R25" s="34"/>
    </row>
    <row r="26" spans="5:19" x14ac:dyDescent="0.15">
      <c r="E26" s="34" t="s">
        <v>37</v>
      </c>
      <c r="O26" s="33"/>
      <c r="P26" s="29"/>
      <c r="R26" s="34"/>
    </row>
    <row r="27" spans="5:19" x14ac:dyDescent="0.15">
      <c r="E27" s="34" t="s">
        <v>46</v>
      </c>
      <c r="O27" s="33"/>
      <c r="P27" s="29"/>
      <c r="R27" s="34"/>
    </row>
    <row r="28" spans="5:19" x14ac:dyDescent="0.15">
      <c r="E28" s="24" t="s">
        <v>51</v>
      </c>
      <c r="O28" s="33"/>
      <c r="P28" s="29"/>
      <c r="R28" s="34"/>
    </row>
    <row r="29" spans="5:19" x14ac:dyDescent="0.15">
      <c r="E29" s="34" t="s">
        <v>45</v>
      </c>
      <c r="O29" s="33"/>
      <c r="P29" s="29"/>
      <c r="R29" s="34"/>
    </row>
    <row r="30" spans="5:19" ht="14" customHeight="1" x14ac:dyDescent="0.15">
      <c r="E30" s="34" t="s">
        <v>77</v>
      </c>
      <c r="O30" s="33"/>
      <c r="P30" s="29"/>
      <c r="R30" s="34"/>
      <c r="S30" s="35"/>
    </row>
    <row r="31" spans="5:19" ht="14" customHeight="1" x14ac:dyDescent="0.15">
      <c r="O31" s="33"/>
      <c r="P31" s="29"/>
      <c r="R31" s="34"/>
      <c r="S31" s="35"/>
    </row>
    <row r="32" spans="5:19" x14ac:dyDescent="0.15">
      <c r="O32" s="28"/>
      <c r="P32" s="28"/>
    </row>
    <row r="33" spans="18:18" x14ac:dyDescent="0.15">
      <c r="R33" s="34"/>
    </row>
    <row r="34" spans="18:18" x14ac:dyDescent="0.15">
      <c r="R34" s="34"/>
    </row>
  </sheetData>
  <mergeCells count="17">
    <mergeCell ref="BL1:BN1"/>
    <mergeCell ref="BO1:BQ1"/>
    <mergeCell ref="BR1:BT1"/>
    <mergeCell ref="B1:C1"/>
    <mergeCell ref="D1:E1"/>
    <mergeCell ref="BB1:BH1"/>
    <mergeCell ref="BI1:BK1"/>
    <mergeCell ref="AQ1:AV1"/>
    <mergeCell ref="F2:I2"/>
    <mergeCell ref="F1:Q1"/>
    <mergeCell ref="R1:U1"/>
    <mergeCell ref="R2:U2"/>
    <mergeCell ref="AA1:AP1"/>
    <mergeCell ref="J2:M2"/>
    <mergeCell ref="N2:Q2"/>
    <mergeCell ref="V1:W1"/>
    <mergeCell ref="X1:Y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A02A8-E350-DF48-B179-85AF1BE36AFE}">
  <dimension ref="A1:R12"/>
  <sheetViews>
    <sheetView tabSelected="1" zoomScale="271" zoomScaleNormal="271" workbookViewId="0">
      <selection activeCell="A12" sqref="A12:XFD12"/>
    </sheetView>
  </sheetViews>
  <sheetFormatPr baseColWidth="10" defaultRowHeight="15" x14ac:dyDescent="0.2"/>
  <cols>
    <col min="1" max="1" width="3.5" bestFit="1" customWidth="1"/>
    <col min="15" max="15" width="10.83203125" style="52"/>
    <col min="17" max="17" width="10.83203125" style="48"/>
  </cols>
  <sheetData>
    <row r="1" spans="1:18" s="43" customFormat="1" ht="36" x14ac:dyDescent="0.2">
      <c r="A1" s="41" t="s">
        <v>215</v>
      </c>
      <c r="B1" s="42" t="s">
        <v>203</v>
      </c>
      <c r="C1" s="42" t="s">
        <v>205</v>
      </c>
      <c r="D1" s="42" t="s">
        <v>206</v>
      </c>
      <c r="E1" s="42" t="s">
        <v>208</v>
      </c>
      <c r="F1" s="43" t="s">
        <v>151</v>
      </c>
      <c r="G1" s="42" t="s">
        <v>156</v>
      </c>
      <c r="H1" s="42" t="s">
        <v>157</v>
      </c>
      <c r="I1" s="42" t="s">
        <v>159</v>
      </c>
      <c r="J1" s="42" t="s">
        <v>160</v>
      </c>
      <c r="K1" s="42" t="s">
        <v>163</v>
      </c>
      <c r="L1" s="42" t="s">
        <v>164</v>
      </c>
      <c r="M1" s="44" t="s">
        <v>167</v>
      </c>
      <c r="N1" s="44" t="s">
        <v>168</v>
      </c>
      <c r="O1" s="50" t="s">
        <v>222</v>
      </c>
      <c r="P1" s="43" t="s">
        <v>218</v>
      </c>
      <c r="Q1" s="45" t="s">
        <v>173</v>
      </c>
      <c r="R1" s="42" t="s">
        <v>219</v>
      </c>
    </row>
    <row r="2" spans="1:18" s="24" customFormat="1" ht="12" thickBot="1" x14ac:dyDescent="0.2">
      <c r="A2" s="26">
        <v>2015</v>
      </c>
      <c r="B2" s="24">
        <v>366</v>
      </c>
      <c r="C2" s="24">
        <v>693</v>
      </c>
      <c r="D2" s="37">
        <v>5</v>
      </c>
      <c r="E2" s="37">
        <v>9</v>
      </c>
      <c r="F2" s="24">
        <v>60</v>
      </c>
      <c r="G2" s="24">
        <v>142</v>
      </c>
      <c r="H2" s="24">
        <v>138</v>
      </c>
      <c r="I2" s="24">
        <v>32</v>
      </c>
      <c r="J2" s="24">
        <v>31</v>
      </c>
      <c r="K2" s="24">
        <v>27</v>
      </c>
      <c r="L2" s="24">
        <v>27</v>
      </c>
      <c r="M2" s="24">
        <f t="shared" ref="M2:M11" si="0">G2+I2+K2</f>
        <v>201</v>
      </c>
      <c r="N2" s="24">
        <f t="shared" ref="N2:N11" si="1">H2+J2+L2</f>
        <v>196</v>
      </c>
      <c r="O2" s="51">
        <f>N2*100/M2</f>
        <v>97.512437810945272</v>
      </c>
      <c r="P2" s="29">
        <v>5013</v>
      </c>
      <c r="Q2" s="46">
        <v>88145</v>
      </c>
      <c r="R2" s="25">
        <v>103476277</v>
      </c>
    </row>
    <row r="3" spans="1:18" s="24" customFormat="1" ht="11" x14ac:dyDescent="0.15">
      <c r="A3" s="26">
        <v>2016</v>
      </c>
      <c r="B3" s="24">
        <v>410</v>
      </c>
      <c r="C3" s="24">
        <v>1319</v>
      </c>
      <c r="F3" s="24">
        <v>61</v>
      </c>
      <c r="G3" s="24">
        <v>148</v>
      </c>
      <c r="H3" s="24">
        <v>143</v>
      </c>
      <c r="I3" s="24">
        <v>30</v>
      </c>
      <c r="J3" s="24">
        <v>29</v>
      </c>
      <c r="K3" s="24">
        <v>29</v>
      </c>
      <c r="L3" s="24">
        <v>29</v>
      </c>
      <c r="M3" s="24">
        <f t="shared" si="0"/>
        <v>207</v>
      </c>
      <c r="N3" s="24">
        <f t="shared" si="1"/>
        <v>201</v>
      </c>
      <c r="O3" s="51">
        <f t="shared" ref="O3:O11" si="2">N3*100/M3</f>
        <v>97.101449275362313</v>
      </c>
      <c r="P3" s="24">
        <v>5261</v>
      </c>
      <c r="Q3" s="46">
        <v>91272</v>
      </c>
      <c r="R3" s="25">
        <v>104241004</v>
      </c>
    </row>
    <row r="4" spans="1:18" s="24" customFormat="1" ht="11" x14ac:dyDescent="0.15">
      <c r="A4" s="26">
        <v>2017</v>
      </c>
      <c r="B4" s="24">
        <v>474</v>
      </c>
      <c r="C4" s="24">
        <v>1287</v>
      </c>
      <c r="F4" s="24">
        <v>67</v>
      </c>
      <c r="G4" s="24">
        <v>144</v>
      </c>
      <c r="H4" s="24">
        <v>140</v>
      </c>
      <c r="I4" s="24">
        <v>32</v>
      </c>
      <c r="J4" s="24">
        <v>31</v>
      </c>
      <c r="K4" s="24">
        <v>36</v>
      </c>
      <c r="L4" s="24">
        <v>36</v>
      </c>
      <c r="M4" s="24">
        <f t="shared" si="0"/>
        <v>212</v>
      </c>
      <c r="N4" s="24">
        <f t="shared" si="1"/>
        <v>207</v>
      </c>
      <c r="O4" s="51">
        <f t="shared" si="2"/>
        <v>97.64150943396227</v>
      </c>
      <c r="P4" s="29">
        <v>5417</v>
      </c>
      <c r="Q4" s="46">
        <v>88839</v>
      </c>
      <c r="R4" s="25">
        <v>104943736</v>
      </c>
    </row>
    <row r="5" spans="1:18" s="24" customFormat="1" ht="11" x14ac:dyDescent="0.15">
      <c r="A5" s="26">
        <v>2018</v>
      </c>
      <c r="B5" s="24">
        <v>586</v>
      </c>
      <c r="C5" s="24">
        <v>1555</v>
      </c>
      <c r="F5" s="24">
        <v>84</v>
      </c>
      <c r="G5" s="24">
        <v>148</v>
      </c>
      <c r="H5" s="24">
        <v>138</v>
      </c>
      <c r="I5" s="24">
        <v>34</v>
      </c>
      <c r="J5" s="24">
        <v>32</v>
      </c>
      <c r="K5" s="24">
        <v>44</v>
      </c>
      <c r="L5" s="24">
        <v>43</v>
      </c>
      <c r="M5" s="24">
        <f t="shared" si="0"/>
        <v>226</v>
      </c>
      <c r="N5" s="24">
        <f t="shared" si="1"/>
        <v>213</v>
      </c>
      <c r="O5" s="51">
        <f t="shared" si="2"/>
        <v>94.247787610619469</v>
      </c>
      <c r="P5" s="24">
        <v>5109</v>
      </c>
      <c r="Q5" s="46">
        <v>93730</v>
      </c>
      <c r="R5" s="25">
        <v>105633483</v>
      </c>
    </row>
    <row r="6" spans="1:18" s="24" customFormat="1" ht="11" x14ac:dyDescent="0.15">
      <c r="A6" s="26">
        <v>2019</v>
      </c>
      <c r="B6" s="24">
        <v>629</v>
      </c>
      <c r="C6" s="24">
        <v>1274</v>
      </c>
      <c r="F6" s="24">
        <v>104</v>
      </c>
      <c r="G6" s="24">
        <v>151</v>
      </c>
      <c r="H6" s="24">
        <v>139</v>
      </c>
      <c r="I6" s="24">
        <v>33</v>
      </c>
      <c r="J6" s="24">
        <v>30</v>
      </c>
      <c r="K6" s="24">
        <v>57</v>
      </c>
      <c r="L6" s="24">
        <v>54</v>
      </c>
      <c r="M6" s="24">
        <f t="shared" si="0"/>
        <v>241</v>
      </c>
      <c r="N6" s="24">
        <f t="shared" si="1"/>
        <v>223</v>
      </c>
      <c r="O6" s="51">
        <f t="shared" si="2"/>
        <v>92.531120331950206</v>
      </c>
      <c r="P6" s="29">
        <v>4974</v>
      </c>
      <c r="Q6" s="46">
        <v>78686</v>
      </c>
      <c r="R6" s="25">
        <v>106348865</v>
      </c>
    </row>
    <row r="7" spans="1:18" s="24" customFormat="1" ht="11" x14ac:dyDescent="0.15">
      <c r="A7" s="26">
        <v>2020</v>
      </c>
      <c r="B7" s="24">
        <v>452</v>
      </c>
      <c r="C7" s="24">
        <v>1146</v>
      </c>
      <c r="F7" s="24">
        <v>93</v>
      </c>
      <c r="G7" s="24">
        <v>110</v>
      </c>
      <c r="H7" s="24">
        <v>99</v>
      </c>
      <c r="I7" s="24">
        <v>30</v>
      </c>
      <c r="J7" s="24">
        <v>28</v>
      </c>
      <c r="K7" s="24">
        <v>59</v>
      </c>
      <c r="L7" s="24">
        <v>57</v>
      </c>
      <c r="M7" s="24">
        <f t="shared" si="0"/>
        <v>199</v>
      </c>
      <c r="N7" s="24">
        <f t="shared" si="1"/>
        <v>184</v>
      </c>
      <c r="O7" s="51">
        <f t="shared" si="2"/>
        <v>92.462311557788951</v>
      </c>
      <c r="P7" s="24">
        <v>5075</v>
      </c>
      <c r="Q7" s="46">
        <v>37292</v>
      </c>
      <c r="R7" s="25">
        <v>107023935</v>
      </c>
    </row>
    <row r="8" spans="1:18" s="24" customFormat="1" ht="12" thickBot="1" x14ac:dyDescent="0.2">
      <c r="A8" s="26">
        <v>2021</v>
      </c>
      <c r="B8" s="24">
        <v>502</v>
      </c>
      <c r="C8" s="24">
        <v>1344</v>
      </c>
      <c r="D8" s="39">
        <v>2045</v>
      </c>
      <c r="E8" s="38">
        <v>62</v>
      </c>
      <c r="F8" s="24">
        <v>94</v>
      </c>
      <c r="G8" s="24">
        <v>120</v>
      </c>
      <c r="H8" s="24">
        <v>114</v>
      </c>
      <c r="I8" s="24">
        <v>30</v>
      </c>
      <c r="J8" s="24">
        <v>28</v>
      </c>
      <c r="K8" s="24">
        <v>71</v>
      </c>
      <c r="L8" s="24">
        <v>66</v>
      </c>
      <c r="M8" s="24">
        <f t="shared" si="0"/>
        <v>221</v>
      </c>
      <c r="N8" s="24">
        <f t="shared" si="1"/>
        <v>208</v>
      </c>
      <c r="O8" s="51">
        <f t="shared" si="2"/>
        <v>94.117647058823536</v>
      </c>
      <c r="P8" s="29">
        <v>5393</v>
      </c>
      <c r="Q8" s="46">
        <v>61057</v>
      </c>
      <c r="R8" s="25">
        <v>107552789</v>
      </c>
    </row>
    <row r="9" spans="1:18" s="24" customFormat="1" ht="12" thickBot="1" x14ac:dyDescent="0.2">
      <c r="A9" s="26">
        <v>2022</v>
      </c>
      <c r="B9" s="24">
        <v>313</v>
      </c>
      <c r="C9" s="24">
        <v>1314</v>
      </c>
      <c r="D9" s="40">
        <v>10920</v>
      </c>
      <c r="E9" s="40">
        <v>13661</v>
      </c>
      <c r="F9" s="24">
        <v>96</v>
      </c>
      <c r="G9" s="24">
        <v>125</v>
      </c>
      <c r="H9" s="24">
        <v>119</v>
      </c>
      <c r="I9" s="24">
        <v>30</v>
      </c>
      <c r="J9" s="24">
        <v>26</v>
      </c>
      <c r="K9" s="24">
        <v>82</v>
      </c>
      <c r="L9" s="24">
        <v>76</v>
      </c>
      <c r="M9" s="24">
        <f t="shared" si="0"/>
        <v>237</v>
      </c>
      <c r="N9" s="24">
        <f t="shared" si="1"/>
        <v>221</v>
      </c>
      <c r="O9" s="51">
        <f t="shared" si="2"/>
        <v>93.248945147679322</v>
      </c>
      <c r="P9" s="24">
        <v>5511</v>
      </c>
      <c r="Q9" s="46">
        <v>65905</v>
      </c>
      <c r="R9" s="25">
        <v>107987869</v>
      </c>
    </row>
    <row r="10" spans="1:18" s="24" customFormat="1" ht="12" thickBot="1" x14ac:dyDescent="0.2">
      <c r="A10" s="26">
        <v>2023</v>
      </c>
      <c r="B10" s="24">
        <v>353</v>
      </c>
      <c r="C10" s="24">
        <v>1357</v>
      </c>
      <c r="D10" s="40">
        <v>22199</v>
      </c>
      <c r="E10" s="40">
        <v>39630</v>
      </c>
      <c r="F10" s="24">
        <v>100</v>
      </c>
      <c r="G10" s="24">
        <v>126</v>
      </c>
      <c r="H10" s="24">
        <v>120</v>
      </c>
      <c r="I10" s="24">
        <v>32</v>
      </c>
      <c r="J10" s="24">
        <v>30</v>
      </c>
      <c r="K10" s="24">
        <v>80</v>
      </c>
      <c r="L10" s="24">
        <v>74</v>
      </c>
      <c r="M10" s="24">
        <f t="shared" si="0"/>
        <v>238</v>
      </c>
      <c r="N10" s="24">
        <f t="shared" si="1"/>
        <v>224</v>
      </c>
      <c r="O10" s="51">
        <f t="shared" si="2"/>
        <v>94.117647058823536</v>
      </c>
      <c r="P10" s="29">
        <v>5980</v>
      </c>
      <c r="Q10" s="46">
        <v>89966</v>
      </c>
      <c r="R10" s="25">
        <v>108443605</v>
      </c>
    </row>
    <row r="11" spans="1:18" s="24" customFormat="1" ht="12" thickBot="1" x14ac:dyDescent="0.2">
      <c r="A11" s="26">
        <v>2024</v>
      </c>
      <c r="B11" s="24">
        <v>251</v>
      </c>
      <c r="C11" s="24">
        <v>1564</v>
      </c>
      <c r="D11" s="39">
        <v>20198</v>
      </c>
      <c r="E11" s="39">
        <v>40505</v>
      </c>
      <c r="F11" s="24">
        <v>104</v>
      </c>
      <c r="G11" s="24">
        <v>130</v>
      </c>
      <c r="H11" s="24">
        <v>123</v>
      </c>
      <c r="I11" s="24">
        <v>30</v>
      </c>
      <c r="J11" s="24">
        <v>29</v>
      </c>
      <c r="K11" s="24">
        <v>84</v>
      </c>
      <c r="L11" s="24">
        <v>79</v>
      </c>
      <c r="M11" s="24">
        <f t="shared" si="0"/>
        <v>244</v>
      </c>
      <c r="N11" s="24">
        <f t="shared" si="1"/>
        <v>231</v>
      </c>
      <c r="O11" s="51">
        <f t="shared" si="2"/>
        <v>94.672131147540981</v>
      </c>
      <c r="P11" s="24">
        <v>6567</v>
      </c>
      <c r="Q11" s="46">
        <v>102288</v>
      </c>
      <c r="R11" s="25">
        <v>108921464</v>
      </c>
    </row>
    <row r="12" spans="1:18" s="24" customFormat="1" ht="11" x14ac:dyDescent="0.15">
      <c r="A12" s="31"/>
      <c r="O12" s="51"/>
      <c r="Q12" s="46"/>
      <c r="R12" s="2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3"/>
  <sheetViews>
    <sheetView zoomScale="190" zoomScaleNormal="190" workbookViewId="0">
      <selection activeCell="D18" sqref="D18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48"/>
    <col min="39" max="39" width="10.83203125" style="48"/>
    <col min="41" max="41" width="10.83203125" style="48"/>
    <col min="58" max="63" width="10.83203125" style="48"/>
  </cols>
  <sheetData>
    <row r="1" spans="1:71" s="43" customFormat="1" ht="48" x14ac:dyDescent="0.2">
      <c r="A1" s="41" t="s">
        <v>215</v>
      </c>
      <c r="B1" s="42" t="s">
        <v>203</v>
      </c>
      <c r="C1" s="42" t="s">
        <v>204</v>
      </c>
      <c r="D1" s="42" t="s">
        <v>205</v>
      </c>
      <c r="E1" s="42" t="s">
        <v>206</v>
      </c>
      <c r="F1" s="42" t="s">
        <v>207</v>
      </c>
      <c r="G1" s="42" t="s">
        <v>208</v>
      </c>
      <c r="H1" s="42" t="s">
        <v>209</v>
      </c>
      <c r="I1" s="42" t="s">
        <v>210</v>
      </c>
      <c r="J1" s="42" t="s">
        <v>211</v>
      </c>
      <c r="K1" s="42" t="s">
        <v>212</v>
      </c>
      <c r="L1" s="42" t="s">
        <v>213</v>
      </c>
      <c r="M1" s="42" t="s">
        <v>214</v>
      </c>
      <c r="N1" s="43" t="s">
        <v>151</v>
      </c>
      <c r="O1" s="43" t="s">
        <v>152</v>
      </c>
      <c r="P1" s="43" t="s">
        <v>153</v>
      </c>
      <c r="Q1" s="43" t="s">
        <v>154</v>
      </c>
      <c r="R1" s="42" t="s">
        <v>156</v>
      </c>
      <c r="S1" s="42" t="s">
        <v>157</v>
      </c>
      <c r="T1" s="42" t="s">
        <v>158</v>
      </c>
      <c r="U1" s="42" t="s">
        <v>155</v>
      </c>
      <c r="V1" s="42" t="s">
        <v>159</v>
      </c>
      <c r="W1" s="42" t="s">
        <v>160</v>
      </c>
      <c r="X1" s="42" t="s">
        <v>161</v>
      </c>
      <c r="Y1" s="42" t="s">
        <v>162</v>
      </c>
      <c r="Z1" s="42" t="s">
        <v>163</v>
      </c>
      <c r="AA1" s="42" t="s">
        <v>164</v>
      </c>
      <c r="AB1" s="42" t="s">
        <v>165</v>
      </c>
      <c r="AC1" s="42" t="s">
        <v>166</v>
      </c>
      <c r="AD1" s="44" t="s">
        <v>167</v>
      </c>
      <c r="AE1" s="44" t="s">
        <v>168</v>
      </c>
      <c r="AF1" s="44" t="s">
        <v>169</v>
      </c>
      <c r="AG1" s="44" t="s">
        <v>170</v>
      </c>
      <c r="AH1" s="43" t="s">
        <v>216</v>
      </c>
      <c r="AI1" s="43" t="s">
        <v>217</v>
      </c>
      <c r="AJ1" s="43" t="s">
        <v>218</v>
      </c>
      <c r="AK1" s="45" t="s">
        <v>171</v>
      </c>
      <c r="AL1" s="42" t="s">
        <v>172</v>
      </c>
      <c r="AM1" s="45" t="s">
        <v>173</v>
      </c>
      <c r="AN1" s="42" t="s">
        <v>174</v>
      </c>
      <c r="AO1" s="45" t="s">
        <v>220</v>
      </c>
      <c r="AP1" s="42" t="s">
        <v>175</v>
      </c>
      <c r="AQ1" s="42" t="s">
        <v>176</v>
      </c>
      <c r="AR1" s="42" t="s">
        <v>177</v>
      </c>
      <c r="AS1" s="42" t="s">
        <v>178</v>
      </c>
      <c r="AT1" s="42" t="s">
        <v>179</v>
      </c>
      <c r="AU1" s="42" t="s">
        <v>180</v>
      </c>
      <c r="AV1" s="42" t="s">
        <v>181</v>
      </c>
      <c r="AW1" s="42" t="s">
        <v>182</v>
      </c>
      <c r="AX1" s="42" t="s">
        <v>183</v>
      </c>
      <c r="AY1" s="42" t="s">
        <v>184</v>
      </c>
      <c r="AZ1" s="42" t="s">
        <v>185</v>
      </c>
      <c r="BA1" s="42" t="s">
        <v>186</v>
      </c>
      <c r="BB1" s="42" t="s">
        <v>187</v>
      </c>
      <c r="BC1" s="42" t="s">
        <v>188</v>
      </c>
      <c r="BD1" s="42" t="s">
        <v>189</v>
      </c>
      <c r="BE1" s="42" t="s">
        <v>190</v>
      </c>
      <c r="BF1" s="45" t="s">
        <v>193</v>
      </c>
      <c r="BG1" s="45" t="s">
        <v>192</v>
      </c>
      <c r="BH1" s="45" t="s">
        <v>221</v>
      </c>
      <c r="BI1" s="45" t="s">
        <v>191</v>
      </c>
      <c r="BJ1" s="45" t="s">
        <v>194</v>
      </c>
      <c r="BK1" s="45" t="s">
        <v>195</v>
      </c>
      <c r="BL1" s="42" t="s">
        <v>196</v>
      </c>
      <c r="BM1" s="42" t="s">
        <v>197</v>
      </c>
      <c r="BN1" s="42" t="s">
        <v>198</v>
      </c>
      <c r="BO1" s="42" t="s">
        <v>199</v>
      </c>
      <c r="BP1" s="42" t="s">
        <v>200</v>
      </c>
      <c r="BQ1" s="42" t="s">
        <v>201</v>
      </c>
      <c r="BR1" s="42" t="s">
        <v>202</v>
      </c>
      <c r="BS1" s="42" t="s">
        <v>219</v>
      </c>
    </row>
    <row r="2" spans="1:71" s="24" customFormat="1" ht="12" thickBot="1" x14ac:dyDescent="0.2">
      <c r="A2" s="26">
        <v>2015</v>
      </c>
      <c r="B2" s="24">
        <v>366</v>
      </c>
      <c r="C2" s="24">
        <v>274</v>
      </c>
      <c r="D2" s="24">
        <v>693</v>
      </c>
      <c r="E2" s="37">
        <v>5</v>
      </c>
      <c r="F2" s="37">
        <v>1</v>
      </c>
      <c r="G2" s="37">
        <v>9</v>
      </c>
      <c r="H2" s="38">
        <v>6</v>
      </c>
      <c r="I2" s="38" t="s">
        <v>44</v>
      </c>
      <c r="J2" s="38" t="s">
        <v>44</v>
      </c>
      <c r="K2" s="38">
        <v>62</v>
      </c>
      <c r="L2" s="38">
        <v>9</v>
      </c>
      <c r="M2" s="38">
        <v>5</v>
      </c>
      <c r="N2" s="24">
        <v>60</v>
      </c>
      <c r="O2" s="26">
        <v>1</v>
      </c>
      <c r="P2" s="24">
        <v>68</v>
      </c>
      <c r="Q2" s="26">
        <v>80</v>
      </c>
      <c r="R2" s="24">
        <v>142</v>
      </c>
      <c r="S2" s="24">
        <v>138</v>
      </c>
      <c r="T2" s="24">
        <v>14</v>
      </c>
      <c r="U2" s="24">
        <v>13</v>
      </c>
      <c r="V2" s="24">
        <v>32</v>
      </c>
      <c r="W2" s="24">
        <v>31</v>
      </c>
      <c r="X2" s="24">
        <v>18</v>
      </c>
      <c r="Y2" s="24">
        <v>17</v>
      </c>
      <c r="Z2" s="24">
        <v>27</v>
      </c>
      <c r="AA2" s="24">
        <v>27</v>
      </c>
      <c r="AB2" s="24">
        <v>6</v>
      </c>
      <c r="AC2" s="24">
        <v>6</v>
      </c>
      <c r="AD2" s="24">
        <f t="shared" ref="AD2:AG12" si="0">R2+V2+Z2</f>
        <v>201</v>
      </c>
      <c r="AE2" s="24">
        <f t="shared" si="0"/>
        <v>196</v>
      </c>
      <c r="AF2" s="24">
        <f t="shared" si="0"/>
        <v>38</v>
      </c>
      <c r="AG2" s="24">
        <f t="shared" si="0"/>
        <v>36</v>
      </c>
      <c r="AH2" s="24">
        <v>1898</v>
      </c>
      <c r="AI2" s="24">
        <v>195</v>
      </c>
      <c r="AJ2" s="29">
        <v>5013</v>
      </c>
      <c r="AK2" s="46">
        <v>19388</v>
      </c>
      <c r="AL2" s="27">
        <v>436230</v>
      </c>
      <c r="AM2" s="46">
        <v>88145</v>
      </c>
      <c r="AN2" s="27">
        <v>3966525</v>
      </c>
      <c r="AO2" s="46">
        <v>853</v>
      </c>
      <c r="AP2" s="28">
        <v>0</v>
      </c>
      <c r="AQ2" s="24">
        <v>0</v>
      </c>
      <c r="AR2" s="28">
        <v>0</v>
      </c>
      <c r="AS2" s="28">
        <v>0</v>
      </c>
      <c r="AT2" s="28">
        <v>1</v>
      </c>
      <c r="AU2" s="28">
        <v>10</v>
      </c>
      <c r="AV2" s="28">
        <v>19</v>
      </c>
      <c r="AW2" s="28">
        <v>88</v>
      </c>
      <c r="AX2" s="28">
        <v>95</v>
      </c>
      <c r="AY2" s="28">
        <v>134</v>
      </c>
      <c r="AZ2" s="28">
        <v>164</v>
      </c>
      <c r="BA2" s="28">
        <v>150</v>
      </c>
      <c r="BB2" s="28">
        <v>108</v>
      </c>
      <c r="BC2" s="28">
        <v>39</v>
      </c>
      <c r="BD2" s="28">
        <v>27</v>
      </c>
      <c r="BE2" s="28">
        <v>18</v>
      </c>
      <c r="BF2" s="46">
        <v>6</v>
      </c>
      <c r="BG2" s="46">
        <v>76</v>
      </c>
      <c r="BH2" s="46">
        <f>BG2+BF2+AM2</f>
        <v>88227</v>
      </c>
      <c r="BI2" s="46">
        <v>1009</v>
      </c>
      <c r="BJ2" s="46">
        <v>238</v>
      </c>
      <c r="BK2" s="46">
        <v>960</v>
      </c>
      <c r="BL2" s="24">
        <v>9</v>
      </c>
      <c r="BM2" s="24">
        <v>52</v>
      </c>
      <c r="BN2" s="24">
        <v>117</v>
      </c>
      <c r="BO2" s="24">
        <v>195</v>
      </c>
      <c r="BP2" s="24">
        <v>210</v>
      </c>
      <c r="BQ2" s="24">
        <v>191</v>
      </c>
      <c r="BR2" s="24">
        <v>186</v>
      </c>
      <c r="BS2" s="25">
        <v>103476277</v>
      </c>
    </row>
    <row r="3" spans="1:71" s="24" customFormat="1" ht="12" thickBot="1" x14ac:dyDescent="0.2">
      <c r="A3" s="26">
        <v>2016</v>
      </c>
      <c r="B3" s="24">
        <v>410</v>
      </c>
      <c r="C3" s="24">
        <v>263</v>
      </c>
      <c r="D3" s="24">
        <v>1319</v>
      </c>
      <c r="H3" s="37">
        <v>9</v>
      </c>
      <c r="I3" s="37">
        <v>1</v>
      </c>
      <c r="J3" s="37" t="s">
        <v>44</v>
      </c>
      <c r="K3" s="37">
        <v>94</v>
      </c>
      <c r="L3" s="37">
        <v>8</v>
      </c>
      <c r="M3" s="37">
        <v>3</v>
      </c>
      <c r="N3" s="24">
        <v>61</v>
      </c>
      <c r="O3" s="26">
        <v>1</v>
      </c>
      <c r="P3" s="24">
        <v>64</v>
      </c>
      <c r="Q3" s="26">
        <v>77</v>
      </c>
      <c r="R3" s="24">
        <v>148</v>
      </c>
      <c r="S3" s="24">
        <v>143</v>
      </c>
      <c r="T3" s="24">
        <v>18</v>
      </c>
      <c r="U3" s="24">
        <v>18</v>
      </c>
      <c r="V3" s="24">
        <v>30</v>
      </c>
      <c r="W3" s="24">
        <v>29</v>
      </c>
      <c r="X3" s="24">
        <v>18</v>
      </c>
      <c r="Y3" s="24">
        <v>17</v>
      </c>
      <c r="Z3" s="24">
        <v>29</v>
      </c>
      <c r="AA3" s="24">
        <v>29</v>
      </c>
      <c r="AB3" s="24">
        <v>10</v>
      </c>
      <c r="AC3" s="24">
        <v>10</v>
      </c>
      <c r="AD3" s="24">
        <f t="shared" si="0"/>
        <v>207</v>
      </c>
      <c r="AE3" s="24">
        <f t="shared" si="0"/>
        <v>201</v>
      </c>
      <c r="AF3" s="24">
        <f t="shared" si="0"/>
        <v>46</v>
      </c>
      <c r="AG3" s="24">
        <f t="shared" si="0"/>
        <v>45</v>
      </c>
      <c r="AH3" s="24">
        <v>1927</v>
      </c>
      <c r="AI3" s="28">
        <v>214</v>
      </c>
      <c r="AJ3" s="24">
        <v>5261</v>
      </c>
      <c r="AK3" s="46">
        <v>21218</v>
      </c>
      <c r="AL3" s="27">
        <v>477405</v>
      </c>
      <c r="AM3" s="46">
        <v>91272</v>
      </c>
      <c r="AN3" s="27">
        <v>4107240</v>
      </c>
      <c r="AO3" s="49">
        <v>1314</v>
      </c>
      <c r="AP3" s="28">
        <v>1</v>
      </c>
      <c r="AQ3" s="24">
        <v>2</v>
      </c>
      <c r="AR3" s="28">
        <v>0</v>
      </c>
      <c r="AS3" s="24">
        <v>1</v>
      </c>
      <c r="AT3" s="24">
        <v>4</v>
      </c>
      <c r="AU3" s="24">
        <v>9</v>
      </c>
      <c r="AV3" s="24">
        <v>33</v>
      </c>
      <c r="AW3" s="24">
        <v>134</v>
      </c>
      <c r="AX3" s="24">
        <v>148</v>
      </c>
      <c r="AY3" s="24">
        <v>228</v>
      </c>
      <c r="AZ3" s="24">
        <v>242</v>
      </c>
      <c r="BA3" s="24">
        <v>232</v>
      </c>
      <c r="BB3" s="24">
        <v>148</v>
      </c>
      <c r="BC3" s="24">
        <v>71</v>
      </c>
      <c r="BD3" s="24">
        <v>36</v>
      </c>
      <c r="BE3" s="24">
        <v>26</v>
      </c>
      <c r="BF3" s="46">
        <v>10</v>
      </c>
      <c r="BG3" s="46">
        <v>105</v>
      </c>
      <c r="BH3" s="46">
        <f>BG3+BF3+AM3</f>
        <v>91387</v>
      </c>
      <c r="BI3" s="46">
        <v>1047</v>
      </c>
      <c r="BJ3" s="46">
        <v>211</v>
      </c>
      <c r="BK3" s="46">
        <v>955</v>
      </c>
      <c r="BL3" s="24">
        <v>5</v>
      </c>
      <c r="BM3" s="24">
        <v>41</v>
      </c>
      <c r="BN3" s="24">
        <v>111</v>
      </c>
      <c r="BO3" s="24">
        <v>211</v>
      </c>
      <c r="BP3" s="24">
        <v>214</v>
      </c>
      <c r="BQ3" s="24">
        <v>185</v>
      </c>
      <c r="BR3" s="24">
        <v>188</v>
      </c>
      <c r="BS3" s="25">
        <v>104241004</v>
      </c>
    </row>
    <row r="4" spans="1:71" s="24" customFormat="1" ht="12" thickBot="1" x14ac:dyDescent="0.2">
      <c r="A4" s="26">
        <v>2017</v>
      </c>
      <c r="B4" s="24">
        <v>474</v>
      </c>
      <c r="C4" s="24">
        <v>232</v>
      </c>
      <c r="D4" s="24">
        <v>1287</v>
      </c>
      <c r="H4" s="38">
        <v>2</v>
      </c>
      <c r="I4" s="38" t="s">
        <v>44</v>
      </c>
      <c r="J4" s="38" t="s">
        <v>44</v>
      </c>
      <c r="K4" s="38">
        <v>112</v>
      </c>
      <c r="L4" s="38">
        <v>6</v>
      </c>
      <c r="M4" s="38">
        <v>4</v>
      </c>
      <c r="N4" s="24">
        <v>67</v>
      </c>
      <c r="O4" s="26">
        <v>2</v>
      </c>
      <c r="P4" s="26">
        <v>67</v>
      </c>
      <c r="Q4" s="26">
        <v>87</v>
      </c>
      <c r="R4" s="24">
        <v>144</v>
      </c>
      <c r="S4" s="24">
        <v>140</v>
      </c>
      <c r="T4" s="24">
        <v>17</v>
      </c>
      <c r="U4" s="24">
        <v>17</v>
      </c>
      <c r="V4" s="24">
        <v>32</v>
      </c>
      <c r="W4" s="24">
        <v>31</v>
      </c>
      <c r="X4" s="24">
        <v>17</v>
      </c>
      <c r="Y4" s="24">
        <v>16</v>
      </c>
      <c r="Z4" s="24">
        <v>36</v>
      </c>
      <c r="AA4" s="24">
        <v>36</v>
      </c>
      <c r="AB4" s="24">
        <v>11</v>
      </c>
      <c r="AC4" s="24">
        <v>11</v>
      </c>
      <c r="AD4" s="24">
        <f t="shared" si="0"/>
        <v>212</v>
      </c>
      <c r="AE4" s="24">
        <f t="shared" si="0"/>
        <v>207</v>
      </c>
      <c r="AF4" s="24">
        <f t="shared" si="0"/>
        <v>45</v>
      </c>
      <c r="AG4" s="24">
        <f t="shared" si="0"/>
        <v>44</v>
      </c>
      <c r="AH4" s="24">
        <v>2029</v>
      </c>
      <c r="AI4" s="24">
        <v>208</v>
      </c>
      <c r="AJ4" s="29">
        <v>5417</v>
      </c>
      <c r="AK4" s="46">
        <v>18653</v>
      </c>
      <c r="AL4" s="27">
        <v>419692.5</v>
      </c>
      <c r="AM4" s="46">
        <v>88839</v>
      </c>
      <c r="AN4" s="27">
        <v>3997755</v>
      </c>
      <c r="AO4" s="49">
        <v>1456</v>
      </c>
      <c r="AP4" s="28">
        <v>2</v>
      </c>
      <c r="AQ4" s="24">
        <v>3</v>
      </c>
      <c r="AR4" s="28">
        <v>0</v>
      </c>
      <c r="AS4" s="24">
        <v>1</v>
      </c>
      <c r="AT4" s="24">
        <v>5</v>
      </c>
      <c r="AU4" s="24">
        <v>9</v>
      </c>
      <c r="AV4" s="24">
        <v>30</v>
      </c>
      <c r="AW4" s="24">
        <v>132</v>
      </c>
      <c r="AX4" s="24">
        <v>153</v>
      </c>
      <c r="AY4" s="24">
        <v>232</v>
      </c>
      <c r="AZ4" s="24">
        <v>271</v>
      </c>
      <c r="BA4" s="24">
        <v>262</v>
      </c>
      <c r="BB4" s="24">
        <v>210</v>
      </c>
      <c r="BC4" s="24">
        <v>80</v>
      </c>
      <c r="BD4" s="24">
        <v>46</v>
      </c>
      <c r="BE4" s="24">
        <v>23</v>
      </c>
      <c r="BF4" s="46">
        <v>2</v>
      </c>
      <c r="BG4" s="46">
        <v>122</v>
      </c>
      <c r="BH4" s="46">
        <f t="shared" ref="BH4:BH12" si="1">BG4+BF4+AM4</f>
        <v>88963</v>
      </c>
      <c r="BI4" s="46">
        <v>997</v>
      </c>
      <c r="BJ4" s="46">
        <v>263</v>
      </c>
      <c r="BK4" s="46">
        <v>1074</v>
      </c>
      <c r="BL4" s="24">
        <v>6</v>
      </c>
      <c r="BM4" s="24">
        <v>45</v>
      </c>
      <c r="BN4" s="24">
        <v>142</v>
      </c>
      <c r="BO4" s="24">
        <v>232</v>
      </c>
      <c r="BP4" s="24">
        <v>243</v>
      </c>
      <c r="BQ4" s="24">
        <v>201</v>
      </c>
      <c r="BR4" s="24">
        <v>205</v>
      </c>
      <c r="BS4" s="25">
        <v>104943736</v>
      </c>
    </row>
    <row r="5" spans="1:71" s="24" customFormat="1" ht="12" thickBot="1" x14ac:dyDescent="0.2">
      <c r="A5" s="26">
        <v>2018</v>
      </c>
      <c r="B5" s="24">
        <v>586</v>
      </c>
      <c r="C5" s="24">
        <v>336</v>
      </c>
      <c r="D5" s="24">
        <v>1555</v>
      </c>
      <c r="K5" s="37">
        <v>84</v>
      </c>
      <c r="L5" s="37">
        <v>3</v>
      </c>
      <c r="M5" s="37">
        <v>2</v>
      </c>
      <c r="N5" s="24">
        <v>84</v>
      </c>
      <c r="O5" s="26">
        <v>1</v>
      </c>
      <c r="P5" s="26">
        <v>67</v>
      </c>
      <c r="Q5" s="26">
        <v>85</v>
      </c>
      <c r="R5" s="24">
        <v>148</v>
      </c>
      <c r="S5" s="24">
        <v>138</v>
      </c>
      <c r="T5" s="24">
        <v>20</v>
      </c>
      <c r="U5" s="24">
        <v>18</v>
      </c>
      <c r="V5" s="24">
        <v>34</v>
      </c>
      <c r="W5" s="24">
        <v>32</v>
      </c>
      <c r="X5" s="24">
        <v>17</v>
      </c>
      <c r="Y5" s="24">
        <v>15</v>
      </c>
      <c r="Z5" s="24">
        <v>44</v>
      </c>
      <c r="AA5" s="24">
        <v>43</v>
      </c>
      <c r="AB5" s="24">
        <v>10</v>
      </c>
      <c r="AC5" s="24">
        <v>10</v>
      </c>
      <c r="AD5" s="24">
        <f t="shared" si="0"/>
        <v>226</v>
      </c>
      <c r="AE5" s="24">
        <f t="shared" si="0"/>
        <v>213</v>
      </c>
      <c r="AF5" s="24">
        <f t="shared" si="0"/>
        <v>47</v>
      </c>
      <c r="AG5" s="24">
        <f t="shared" si="0"/>
        <v>43</v>
      </c>
      <c r="AH5" s="24">
        <v>2042</v>
      </c>
      <c r="AI5" s="28">
        <v>185</v>
      </c>
      <c r="AJ5" s="24">
        <v>5109</v>
      </c>
      <c r="AK5" s="46">
        <v>21249</v>
      </c>
      <c r="AL5" s="27">
        <v>478102.5</v>
      </c>
      <c r="AM5" s="46">
        <v>93730</v>
      </c>
      <c r="AN5" s="27">
        <v>4217850</v>
      </c>
      <c r="AO5" s="49">
        <v>1920</v>
      </c>
      <c r="AP5" s="28">
        <v>3</v>
      </c>
      <c r="AQ5" s="24">
        <v>2</v>
      </c>
      <c r="AR5" s="24">
        <v>1</v>
      </c>
      <c r="AS5" s="24">
        <v>2</v>
      </c>
      <c r="AT5" s="24">
        <v>2</v>
      </c>
      <c r="AU5" s="24">
        <v>10</v>
      </c>
      <c r="AV5" s="24">
        <v>60</v>
      </c>
      <c r="AW5" s="24">
        <v>219</v>
      </c>
      <c r="AX5" s="24">
        <v>232</v>
      </c>
      <c r="AY5" s="24">
        <v>327</v>
      </c>
      <c r="AZ5" s="24">
        <v>321</v>
      </c>
      <c r="BA5" s="24">
        <v>325</v>
      </c>
      <c r="BB5" s="24">
        <v>229</v>
      </c>
      <c r="BC5" s="24">
        <v>122</v>
      </c>
      <c r="BD5" s="24">
        <v>40</v>
      </c>
      <c r="BE5" s="24">
        <v>27</v>
      </c>
      <c r="BF5" s="46">
        <v>0</v>
      </c>
      <c r="BG5" s="46">
        <v>89</v>
      </c>
      <c r="BH5" s="46">
        <f t="shared" si="1"/>
        <v>93819</v>
      </c>
      <c r="BI5" s="46">
        <v>1019</v>
      </c>
      <c r="BJ5" s="46">
        <v>238</v>
      </c>
      <c r="BK5" s="46">
        <v>1159</v>
      </c>
      <c r="BL5" s="24">
        <v>6</v>
      </c>
      <c r="BM5" s="24">
        <v>60</v>
      </c>
      <c r="BN5" s="24">
        <v>131</v>
      </c>
      <c r="BO5" s="24">
        <v>239</v>
      </c>
      <c r="BP5" s="24">
        <v>274</v>
      </c>
      <c r="BQ5" s="24">
        <v>201</v>
      </c>
      <c r="BR5" s="24">
        <v>248</v>
      </c>
      <c r="BS5" s="25">
        <v>105633483</v>
      </c>
    </row>
    <row r="6" spans="1:71" s="24" customFormat="1" ht="12" thickBot="1" x14ac:dyDescent="0.2">
      <c r="A6" s="26">
        <v>2019</v>
      </c>
      <c r="B6" s="24">
        <v>629</v>
      </c>
      <c r="C6" s="24">
        <v>372</v>
      </c>
      <c r="D6" s="24">
        <v>1274</v>
      </c>
      <c r="K6" s="38">
        <v>58</v>
      </c>
      <c r="L6" s="38">
        <v>4</v>
      </c>
      <c r="M6" s="38">
        <v>26</v>
      </c>
      <c r="N6" s="24">
        <v>104</v>
      </c>
      <c r="O6" s="26">
        <v>1</v>
      </c>
      <c r="P6" s="24">
        <v>62</v>
      </c>
      <c r="Q6" s="26">
        <v>85</v>
      </c>
      <c r="R6" s="24">
        <v>151</v>
      </c>
      <c r="S6" s="24">
        <v>139</v>
      </c>
      <c r="T6" s="24">
        <v>23</v>
      </c>
      <c r="U6" s="24">
        <v>21</v>
      </c>
      <c r="V6" s="24">
        <v>33</v>
      </c>
      <c r="W6" s="24">
        <v>30</v>
      </c>
      <c r="X6" s="24">
        <v>18</v>
      </c>
      <c r="Y6" s="24">
        <v>16</v>
      </c>
      <c r="Z6" s="24">
        <v>57</v>
      </c>
      <c r="AA6" s="24">
        <v>54</v>
      </c>
      <c r="AB6" s="24">
        <v>9</v>
      </c>
      <c r="AC6" s="24">
        <v>9</v>
      </c>
      <c r="AD6" s="24">
        <f t="shared" si="0"/>
        <v>241</v>
      </c>
      <c r="AE6" s="24">
        <f t="shared" si="0"/>
        <v>223</v>
      </c>
      <c r="AF6" s="24">
        <f t="shared" si="0"/>
        <v>50</v>
      </c>
      <c r="AG6" s="24">
        <f t="shared" si="0"/>
        <v>46</v>
      </c>
      <c r="AH6" s="24">
        <v>2126</v>
      </c>
      <c r="AI6" s="24">
        <v>190</v>
      </c>
      <c r="AJ6" s="29">
        <v>4974</v>
      </c>
      <c r="AK6" s="46">
        <v>19989</v>
      </c>
      <c r="AL6" s="27">
        <v>449752.5</v>
      </c>
      <c r="AM6" s="46">
        <v>78686</v>
      </c>
      <c r="AN6" s="27">
        <v>3540870</v>
      </c>
      <c r="AO6" s="49">
        <v>2961</v>
      </c>
      <c r="AP6" s="24">
        <v>0</v>
      </c>
      <c r="AQ6" s="24">
        <v>0</v>
      </c>
      <c r="AR6" s="24">
        <v>3</v>
      </c>
      <c r="AS6" s="24">
        <v>2</v>
      </c>
      <c r="AT6" s="24">
        <v>7</v>
      </c>
      <c r="AU6" s="24">
        <v>20</v>
      </c>
      <c r="AV6" s="24">
        <v>91</v>
      </c>
      <c r="AW6" s="24">
        <v>345</v>
      </c>
      <c r="AX6" s="24">
        <v>405</v>
      </c>
      <c r="AY6" s="24">
        <v>460</v>
      </c>
      <c r="AZ6" s="24">
        <v>491</v>
      </c>
      <c r="BA6" s="24">
        <v>511</v>
      </c>
      <c r="BB6" s="24">
        <v>363</v>
      </c>
      <c r="BC6" s="24">
        <v>169</v>
      </c>
      <c r="BD6" s="24">
        <v>59</v>
      </c>
      <c r="BE6" s="24">
        <v>34</v>
      </c>
      <c r="BF6" s="46">
        <v>0</v>
      </c>
      <c r="BG6" s="46">
        <v>88</v>
      </c>
      <c r="BH6" s="46">
        <f t="shared" si="1"/>
        <v>78774</v>
      </c>
      <c r="BI6" s="46">
        <v>1078</v>
      </c>
      <c r="BJ6" s="46">
        <v>168</v>
      </c>
      <c r="BK6" s="46">
        <v>1067</v>
      </c>
      <c r="BL6" s="24">
        <v>2</v>
      </c>
      <c r="BM6" s="24">
        <v>59</v>
      </c>
      <c r="BN6" s="24">
        <v>106</v>
      </c>
      <c r="BO6" s="24">
        <v>221</v>
      </c>
      <c r="BP6" s="24">
        <v>244</v>
      </c>
      <c r="BQ6" s="24">
        <v>227</v>
      </c>
      <c r="BR6" s="24">
        <v>208</v>
      </c>
      <c r="BS6" s="25">
        <v>106348865</v>
      </c>
    </row>
    <row r="7" spans="1:71" s="24" customFormat="1" ht="12" thickBot="1" x14ac:dyDescent="0.2">
      <c r="A7" s="26">
        <v>2020</v>
      </c>
      <c r="B7" s="24">
        <v>452</v>
      </c>
      <c r="C7" s="24">
        <v>414</v>
      </c>
      <c r="D7" s="24">
        <v>1146</v>
      </c>
      <c r="H7" s="37">
        <v>2</v>
      </c>
      <c r="I7" s="37" t="s">
        <v>44</v>
      </c>
      <c r="J7" s="37" t="s">
        <v>44</v>
      </c>
      <c r="K7" s="37">
        <v>72</v>
      </c>
      <c r="L7" s="37">
        <v>7</v>
      </c>
      <c r="M7" s="37">
        <v>1</v>
      </c>
      <c r="N7" s="24">
        <v>93</v>
      </c>
      <c r="O7" s="26">
        <v>1</v>
      </c>
      <c r="P7" s="26">
        <v>44</v>
      </c>
      <c r="Q7" s="26">
        <v>62</v>
      </c>
      <c r="R7" s="24">
        <v>110</v>
      </c>
      <c r="S7" s="24">
        <v>99</v>
      </c>
      <c r="T7" s="24">
        <v>18</v>
      </c>
      <c r="U7" s="24">
        <v>16</v>
      </c>
      <c r="V7" s="24">
        <v>30</v>
      </c>
      <c r="W7" s="24">
        <v>28</v>
      </c>
      <c r="X7" s="24">
        <v>19</v>
      </c>
      <c r="Y7" s="24">
        <v>17</v>
      </c>
      <c r="Z7" s="24">
        <v>59</v>
      </c>
      <c r="AA7" s="24">
        <v>57</v>
      </c>
      <c r="AB7" s="24">
        <v>9</v>
      </c>
      <c r="AC7" s="24">
        <v>9</v>
      </c>
      <c r="AD7" s="24">
        <f t="shared" si="0"/>
        <v>199</v>
      </c>
      <c r="AE7" s="24">
        <f t="shared" si="0"/>
        <v>184</v>
      </c>
      <c r="AF7" s="24">
        <f t="shared" si="0"/>
        <v>46</v>
      </c>
      <c r="AG7" s="24">
        <f t="shared" si="0"/>
        <v>42</v>
      </c>
      <c r="AH7" s="24">
        <v>2265</v>
      </c>
      <c r="AI7" s="28">
        <v>161</v>
      </c>
      <c r="AJ7" s="24">
        <v>5075</v>
      </c>
      <c r="AK7" s="46">
        <v>12503</v>
      </c>
      <c r="AL7" s="27">
        <v>281317.5</v>
      </c>
      <c r="AM7" s="46">
        <v>37292</v>
      </c>
      <c r="AN7" s="27">
        <v>1678140</v>
      </c>
      <c r="AO7" s="49">
        <v>2509</v>
      </c>
      <c r="AP7" s="24">
        <v>0</v>
      </c>
      <c r="AQ7" s="24">
        <v>0</v>
      </c>
      <c r="AR7" s="24">
        <v>3</v>
      </c>
      <c r="AS7" s="24">
        <v>4</v>
      </c>
      <c r="AT7" s="24">
        <v>10</v>
      </c>
      <c r="AU7" s="24">
        <v>16</v>
      </c>
      <c r="AV7" s="24">
        <v>51</v>
      </c>
      <c r="AW7" s="24">
        <v>285</v>
      </c>
      <c r="AX7" s="24">
        <v>350</v>
      </c>
      <c r="AY7" s="24">
        <v>423</v>
      </c>
      <c r="AZ7" s="24">
        <v>427</v>
      </c>
      <c r="BA7" s="24">
        <v>419</v>
      </c>
      <c r="BB7" s="24">
        <v>297</v>
      </c>
      <c r="BC7" s="24">
        <v>118</v>
      </c>
      <c r="BD7" s="24">
        <v>75</v>
      </c>
      <c r="BE7" s="24">
        <v>31</v>
      </c>
      <c r="BF7" s="46">
        <v>2</v>
      </c>
      <c r="BG7" s="46">
        <v>80</v>
      </c>
      <c r="BH7" s="46">
        <f t="shared" si="1"/>
        <v>37374</v>
      </c>
      <c r="BI7" s="46">
        <v>861</v>
      </c>
      <c r="BJ7" s="46">
        <v>82</v>
      </c>
      <c r="BK7" s="46">
        <v>983</v>
      </c>
      <c r="BL7" s="24">
        <v>4</v>
      </c>
      <c r="BM7" s="24">
        <v>49</v>
      </c>
      <c r="BN7" s="24">
        <v>109</v>
      </c>
      <c r="BO7" s="24">
        <v>178</v>
      </c>
      <c r="BP7" s="24">
        <v>231</v>
      </c>
      <c r="BQ7" s="24">
        <v>199</v>
      </c>
      <c r="BR7" s="24">
        <v>213</v>
      </c>
      <c r="BS7" s="25">
        <v>107023935</v>
      </c>
    </row>
    <row r="8" spans="1:71" s="24" customFormat="1" ht="12" thickBot="1" x14ac:dyDescent="0.2">
      <c r="A8" s="26">
        <v>2021</v>
      </c>
      <c r="B8" s="24">
        <v>502</v>
      </c>
      <c r="C8" s="24">
        <v>415</v>
      </c>
      <c r="D8" s="24">
        <v>1344</v>
      </c>
      <c r="E8" s="39">
        <v>2045</v>
      </c>
      <c r="F8" s="38">
        <v>974</v>
      </c>
      <c r="G8" s="38">
        <v>62</v>
      </c>
      <c r="H8" s="38">
        <v>3</v>
      </c>
      <c r="I8" s="38" t="s">
        <v>44</v>
      </c>
      <c r="J8" s="38" t="s">
        <v>44</v>
      </c>
      <c r="K8" s="38">
        <v>105</v>
      </c>
      <c r="L8" s="38">
        <v>13</v>
      </c>
      <c r="M8" s="38">
        <v>9</v>
      </c>
      <c r="N8" s="24">
        <v>94</v>
      </c>
      <c r="O8" s="26">
        <v>1</v>
      </c>
      <c r="P8" s="26">
        <v>52</v>
      </c>
      <c r="Q8" s="26">
        <v>66</v>
      </c>
      <c r="R8" s="24">
        <v>120</v>
      </c>
      <c r="S8" s="24">
        <v>114</v>
      </c>
      <c r="T8" s="24">
        <v>21</v>
      </c>
      <c r="U8" s="24">
        <v>21</v>
      </c>
      <c r="V8" s="24">
        <v>30</v>
      </c>
      <c r="W8" s="24">
        <v>28</v>
      </c>
      <c r="X8" s="24">
        <v>18</v>
      </c>
      <c r="Y8" s="24">
        <v>16</v>
      </c>
      <c r="Z8" s="24">
        <v>71</v>
      </c>
      <c r="AA8" s="24">
        <v>66</v>
      </c>
      <c r="AB8" s="24">
        <v>12</v>
      </c>
      <c r="AC8" s="24">
        <v>11</v>
      </c>
      <c r="AD8" s="24">
        <f t="shared" si="0"/>
        <v>221</v>
      </c>
      <c r="AE8" s="24">
        <f t="shared" si="0"/>
        <v>208</v>
      </c>
      <c r="AF8" s="24">
        <f t="shared" si="0"/>
        <v>51</v>
      </c>
      <c r="AG8" s="24">
        <f t="shared" si="0"/>
        <v>48</v>
      </c>
      <c r="AH8" s="24">
        <v>2262</v>
      </c>
      <c r="AI8" s="24">
        <v>155</v>
      </c>
      <c r="AJ8" s="29">
        <v>5393</v>
      </c>
      <c r="AK8" s="46">
        <v>16757</v>
      </c>
      <c r="AL8" s="27">
        <v>377032.5</v>
      </c>
      <c r="AM8" s="46">
        <v>61057</v>
      </c>
      <c r="AN8" s="27">
        <v>2747565</v>
      </c>
      <c r="AO8" s="49">
        <v>7855</v>
      </c>
      <c r="AP8" s="24">
        <v>0</v>
      </c>
      <c r="AQ8" s="24">
        <v>1</v>
      </c>
      <c r="AR8" s="24">
        <v>3</v>
      </c>
      <c r="AS8" s="24">
        <v>12</v>
      </c>
      <c r="AT8" s="24">
        <v>13</v>
      </c>
      <c r="AU8" s="24">
        <v>61</v>
      </c>
      <c r="AV8" s="24">
        <v>141</v>
      </c>
      <c r="AW8" s="24">
        <v>663</v>
      </c>
      <c r="AX8" s="24">
        <v>914</v>
      </c>
      <c r="AY8" s="24">
        <v>1530</v>
      </c>
      <c r="AZ8" s="24">
        <v>1639</v>
      </c>
      <c r="BA8" s="24">
        <v>1366</v>
      </c>
      <c r="BB8" s="24">
        <v>997</v>
      </c>
      <c r="BC8" s="24">
        <v>346</v>
      </c>
      <c r="BD8" s="24">
        <v>121</v>
      </c>
      <c r="BE8" s="24">
        <v>49</v>
      </c>
      <c r="BF8" s="46">
        <v>3</v>
      </c>
      <c r="BG8" s="46">
        <v>127</v>
      </c>
      <c r="BH8" s="46">
        <f t="shared" si="1"/>
        <v>61187</v>
      </c>
      <c r="BI8" s="46">
        <v>758</v>
      </c>
      <c r="BJ8" s="46">
        <v>87</v>
      </c>
      <c r="BK8" s="46">
        <v>952</v>
      </c>
      <c r="BL8" s="24">
        <v>6</v>
      </c>
      <c r="BM8" s="24">
        <v>37</v>
      </c>
      <c r="BN8" s="24">
        <v>118</v>
      </c>
      <c r="BO8" s="24">
        <v>201</v>
      </c>
      <c r="BP8" s="24">
        <v>233</v>
      </c>
      <c r="BQ8" s="24">
        <v>165</v>
      </c>
      <c r="BR8" s="24">
        <v>192</v>
      </c>
      <c r="BS8" s="25">
        <v>107552789</v>
      </c>
    </row>
    <row r="9" spans="1:71" s="24" customFormat="1" ht="12" thickBot="1" x14ac:dyDescent="0.2">
      <c r="A9" s="26">
        <v>2022</v>
      </c>
      <c r="B9" s="24">
        <v>313</v>
      </c>
      <c r="C9" s="24">
        <v>290</v>
      </c>
      <c r="D9" s="24">
        <v>1314</v>
      </c>
      <c r="E9" s="40">
        <v>10920</v>
      </c>
      <c r="F9" s="40">
        <v>12522</v>
      </c>
      <c r="G9" s="40">
        <v>13661</v>
      </c>
      <c r="H9" s="37">
        <v>1</v>
      </c>
      <c r="I9" s="37" t="s">
        <v>44</v>
      </c>
      <c r="J9" s="37" t="s">
        <v>44</v>
      </c>
      <c r="K9" s="37">
        <v>129</v>
      </c>
      <c r="L9" s="37">
        <v>4</v>
      </c>
      <c r="M9" s="37">
        <v>1</v>
      </c>
      <c r="N9" s="24">
        <v>96</v>
      </c>
      <c r="O9" s="26">
        <v>2</v>
      </c>
      <c r="P9" s="26">
        <v>52</v>
      </c>
      <c r="Q9" s="26">
        <v>66</v>
      </c>
      <c r="R9" s="24">
        <v>125</v>
      </c>
      <c r="S9" s="24">
        <v>119</v>
      </c>
      <c r="T9" s="24">
        <v>19</v>
      </c>
      <c r="U9" s="24">
        <v>19</v>
      </c>
      <c r="V9" s="24">
        <v>30</v>
      </c>
      <c r="W9" s="24">
        <v>26</v>
      </c>
      <c r="X9" s="24">
        <v>17</v>
      </c>
      <c r="Y9" s="24">
        <v>13</v>
      </c>
      <c r="Z9" s="24">
        <v>82</v>
      </c>
      <c r="AA9" s="24">
        <v>76</v>
      </c>
      <c r="AB9" s="24">
        <v>11</v>
      </c>
      <c r="AC9" s="24">
        <v>10</v>
      </c>
      <c r="AD9" s="24">
        <f t="shared" si="0"/>
        <v>237</v>
      </c>
      <c r="AE9" s="24">
        <f t="shared" si="0"/>
        <v>221</v>
      </c>
      <c r="AF9" s="24">
        <f t="shared" si="0"/>
        <v>47</v>
      </c>
      <c r="AG9" s="24">
        <f t="shared" si="0"/>
        <v>42</v>
      </c>
      <c r="AH9" s="24">
        <v>2366</v>
      </c>
      <c r="AI9" s="28">
        <v>152</v>
      </c>
      <c r="AJ9" s="24">
        <v>5511</v>
      </c>
      <c r="AK9" s="46">
        <v>18134</v>
      </c>
      <c r="AL9" s="27">
        <v>408015</v>
      </c>
      <c r="AM9" s="46">
        <v>65905</v>
      </c>
      <c r="AN9" s="27">
        <v>2965725</v>
      </c>
      <c r="AO9" s="49">
        <v>42900</v>
      </c>
      <c r="AP9" s="24">
        <v>10</v>
      </c>
      <c r="AQ9" s="24">
        <v>0</v>
      </c>
      <c r="AR9" s="24">
        <v>15</v>
      </c>
      <c r="AS9" s="24">
        <v>52</v>
      </c>
      <c r="AT9" s="24">
        <v>106</v>
      </c>
      <c r="AU9" s="24">
        <v>181</v>
      </c>
      <c r="AV9" s="24">
        <v>500</v>
      </c>
      <c r="AW9" s="24">
        <v>1630</v>
      </c>
      <c r="AX9" s="24">
        <v>2182</v>
      </c>
      <c r="AY9" s="24">
        <v>10682</v>
      </c>
      <c r="AZ9" s="24">
        <v>10825</v>
      </c>
      <c r="BA9" s="24">
        <v>9606</v>
      </c>
      <c r="BB9" s="24">
        <v>5781</v>
      </c>
      <c r="BC9" s="24">
        <v>830</v>
      </c>
      <c r="BD9" s="24">
        <v>340</v>
      </c>
      <c r="BE9" s="24">
        <v>157</v>
      </c>
      <c r="BF9" s="46">
        <v>1</v>
      </c>
      <c r="BG9" s="46">
        <v>134</v>
      </c>
      <c r="BH9" s="46">
        <f t="shared" si="1"/>
        <v>66040</v>
      </c>
      <c r="BI9" s="46">
        <v>696</v>
      </c>
      <c r="BJ9" s="46">
        <v>109</v>
      </c>
      <c r="BK9" s="46">
        <v>1046</v>
      </c>
      <c r="BL9" s="24">
        <v>2</v>
      </c>
      <c r="BM9" s="24">
        <v>47</v>
      </c>
      <c r="BN9" s="24">
        <v>128</v>
      </c>
      <c r="BO9" s="24">
        <v>200</v>
      </c>
      <c r="BP9" s="24">
        <v>244</v>
      </c>
      <c r="BQ9" s="24">
        <v>218</v>
      </c>
      <c r="BR9" s="24">
        <v>207</v>
      </c>
      <c r="BS9" s="25">
        <v>107987869</v>
      </c>
    </row>
    <row r="10" spans="1:71" s="24" customFormat="1" ht="12" thickBot="1" x14ac:dyDescent="0.2">
      <c r="A10" s="26">
        <v>2023</v>
      </c>
      <c r="B10" s="24">
        <v>353</v>
      </c>
      <c r="C10" s="24">
        <v>246</v>
      </c>
      <c r="D10" s="24">
        <v>1357</v>
      </c>
      <c r="E10" s="40">
        <v>22199</v>
      </c>
      <c r="F10" s="40">
        <v>32191</v>
      </c>
      <c r="G10" s="40">
        <v>39630</v>
      </c>
      <c r="H10" s="38">
        <v>5</v>
      </c>
      <c r="I10" s="38">
        <v>5</v>
      </c>
      <c r="J10" s="38">
        <v>7</v>
      </c>
      <c r="K10" s="38">
        <v>281</v>
      </c>
      <c r="L10" s="38">
        <v>36</v>
      </c>
      <c r="M10" s="38">
        <v>87</v>
      </c>
      <c r="N10" s="24">
        <v>100</v>
      </c>
      <c r="O10" s="26">
        <v>2</v>
      </c>
      <c r="P10" s="26">
        <v>56</v>
      </c>
      <c r="Q10" s="26">
        <v>75</v>
      </c>
      <c r="R10" s="24">
        <v>126</v>
      </c>
      <c r="S10" s="24">
        <v>120</v>
      </c>
      <c r="T10" s="24">
        <v>20</v>
      </c>
      <c r="U10" s="24">
        <v>20</v>
      </c>
      <c r="V10" s="24">
        <v>32</v>
      </c>
      <c r="W10" s="24">
        <v>30</v>
      </c>
      <c r="X10" s="24">
        <v>19</v>
      </c>
      <c r="Y10" s="24">
        <v>17</v>
      </c>
      <c r="Z10" s="24">
        <v>80</v>
      </c>
      <c r="AA10" s="24">
        <v>74</v>
      </c>
      <c r="AB10" s="24">
        <v>15</v>
      </c>
      <c r="AC10" s="24">
        <v>12</v>
      </c>
      <c r="AD10" s="24">
        <f t="shared" si="0"/>
        <v>238</v>
      </c>
      <c r="AE10" s="24">
        <f t="shared" si="0"/>
        <v>224</v>
      </c>
      <c r="AF10" s="24">
        <f t="shared" si="0"/>
        <v>54</v>
      </c>
      <c r="AG10" s="24">
        <f t="shared" si="0"/>
        <v>49</v>
      </c>
      <c r="AH10" s="24">
        <v>2320</v>
      </c>
      <c r="AI10" s="24">
        <v>141</v>
      </c>
      <c r="AJ10" s="29">
        <v>5980</v>
      </c>
      <c r="AK10" s="46">
        <v>14726</v>
      </c>
      <c r="AL10" s="27">
        <v>331335</v>
      </c>
      <c r="AM10" s="46">
        <v>89966</v>
      </c>
      <c r="AN10" s="27">
        <v>4048470</v>
      </c>
      <c r="AO10" s="49">
        <v>97760</v>
      </c>
      <c r="AP10" s="24">
        <v>20</v>
      </c>
      <c r="AQ10" s="24">
        <v>0</v>
      </c>
      <c r="AR10" s="24">
        <v>60</v>
      </c>
      <c r="AS10" s="24">
        <v>132</v>
      </c>
      <c r="AT10" s="24">
        <v>292</v>
      </c>
      <c r="AU10" s="24">
        <v>506</v>
      </c>
      <c r="AV10" s="24">
        <v>1164</v>
      </c>
      <c r="AW10" s="24">
        <v>3644</v>
      </c>
      <c r="AX10" s="24">
        <v>5138</v>
      </c>
      <c r="AY10" s="24">
        <v>24404</v>
      </c>
      <c r="AZ10" s="24">
        <v>23916</v>
      </c>
      <c r="BA10" s="24">
        <v>21752</v>
      </c>
      <c r="BB10" s="24">
        <v>13170</v>
      </c>
      <c r="BC10" s="24">
        <v>2264</v>
      </c>
      <c r="BD10" s="24">
        <v>837</v>
      </c>
      <c r="BE10" s="24">
        <v>458</v>
      </c>
      <c r="BF10" s="46">
        <v>17</v>
      </c>
      <c r="BG10" s="46">
        <v>404</v>
      </c>
      <c r="BH10" s="46">
        <f t="shared" si="1"/>
        <v>90387</v>
      </c>
      <c r="BI10" s="46">
        <v>533</v>
      </c>
      <c r="BJ10" s="46">
        <v>93</v>
      </c>
      <c r="BK10" s="46">
        <v>1133</v>
      </c>
      <c r="BL10" s="24">
        <v>3</v>
      </c>
      <c r="BM10" s="24">
        <v>47</v>
      </c>
      <c r="BN10" s="24">
        <v>145</v>
      </c>
      <c r="BO10" s="24">
        <v>194</v>
      </c>
      <c r="BP10" s="24">
        <v>297</v>
      </c>
      <c r="BQ10" s="24">
        <v>212</v>
      </c>
      <c r="BR10" s="24">
        <v>235</v>
      </c>
      <c r="BS10" s="25">
        <v>108443605</v>
      </c>
    </row>
    <row r="11" spans="1:71" s="24" customFormat="1" ht="12" thickBot="1" x14ac:dyDescent="0.2">
      <c r="A11" s="26">
        <v>2024</v>
      </c>
      <c r="B11" s="24">
        <v>251</v>
      </c>
      <c r="C11" s="24">
        <v>237</v>
      </c>
      <c r="D11" s="24">
        <v>1564</v>
      </c>
      <c r="E11" s="39">
        <v>20198</v>
      </c>
      <c r="F11" s="39">
        <v>42450</v>
      </c>
      <c r="G11" s="39">
        <v>40505</v>
      </c>
      <c r="H11" s="37">
        <v>3</v>
      </c>
      <c r="I11" s="37">
        <v>3</v>
      </c>
      <c r="J11" s="37" t="s">
        <v>44</v>
      </c>
      <c r="K11" s="40">
        <v>1922</v>
      </c>
      <c r="L11" s="37">
        <v>483</v>
      </c>
      <c r="M11" s="37">
        <v>151</v>
      </c>
      <c r="N11" s="24">
        <v>104</v>
      </c>
      <c r="O11" s="26">
        <v>4</v>
      </c>
      <c r="P11" s="26">
        <v>57</v>
      </c>
      <c r="Q11" s="26">
        <v>80</v>
      </c>
      <c r="R11" s="24">
        <v>130</v>
      </c>
      <c r="S11" s="24">
        <v>123</v>
      </c>
      <c r="T11" s="24">
        <v>9</v>
      </c>
      <c r="U11" s="24">
        <v>9</v>
      </c>
      <c r="V11" s="24">
        <v>30</v>
      </c>
      <c r="W11" s="24">
        <v>29</v>
      </c>
      <c r="X11" s="24">
        <v>14</v>
      </c>
      <c r="Y11" s="24">
        <v>13</v>
      </c>
      <c r="Z11" s="24">
        <v>84</v>
      </c>
      <c r="AA11" s="24">
        <v>79</v>
      </c>
      <c r="AB11" s="24">
        <v>18</v>
      </c>
      <c r="AC11" s="24">
        <v>16</v>
      </c>
      <c r="AD11" s="24">
        <f t="shared" si="0"/>
        <v>244</v>
      </c>
      <c r="AE11" s="24">
        <f t="shared" si="0"/>
        <v>231</v>
      </c>
      <c r="AF11" s="24">
        <f t="shared" si="0"/>
        <v>41</v>
      </c>
      <c r="AG11" s="24">
        <f t="shared" si="0"/>
        <v>38</v>
      </c>
      <c r="AH11" s="24">
        <v>2552</v>
      </c>
      <c r="AI11" s="28">
        <v>127</v>
      </c>
      <c r="AJ11" s="24">
        <v>6567</v>
      </c>
      <c r="AK11" s="46">
        <v>17180</v>
      </c>
      <c r="AL11" s="27">
        <v>386550</v>
      </c>
      <c r="AM11" s="46">
        <v>102288</v>
      </c>
      <c r="AN11" s="27">
        <v>4602960</v>
      </c>
      <c r="AO11" s="49">
        <v>106827</v>
      </c>
      <c r="AP11" s="24">
        <v>11</v>
      </c>
      <c r="AQ11" s="24">
        <v>1</v>
      </c>
      <c r="AR11" s="24">
        <v>48</v>
      </c>
      <c r="AS11" s="24">
        <v>153</v>
      </c>
      <c r="AT11" s="24">
        <v>286</v>
      </c>
      <c r="AU11" s="24">
        <v>595</v>
      </c>
      <c r="AV11" s="24">
        <v>1219</v>
      </c>
      <c r="AW11" s="24">
        <v>3638</v>
      </c>
      <c r="AX11" s="24">
        <v>5089</v>
      </c>
      <c r="AY11" s="24">
        <v>27415</v>
      </c>
      <c r="AZ11" s="24">
        <v>26260</v>
      </c>
      <c r="BA11" s="24">
        <v>24140</v>
      </c>
      <c r="BB11" s="24">
        <v>14708</v>
      </c>
      <c r="BC11" s="24">
        <v>2046</v>
      </c>
      <c r="BD11" s="24">
        <v>813</v>
      </c>
      <c r="BE11" s="24">
        <v>403</v>
      </c>
      <c r="BF11" s="46">
        <v>6</v>
      </c>
      <c r="BG11" s="46">
        <v>2556</v>
      </c>
      <c r="BH11" s="46">
        <f t="shared" si="1"/>
        <v>104850</v>
      </c>
      <c r="BI11" s="46">
        <v>545</v>
      </c>
      <c r="BJ11" s="46">
        <v>107</v>
      </c>
      <c r="BK11" s="46">
        <v>1121</v>
      </c>
      <c r="BL11" s="24">
        <v>5</v>
      </c>
      <c r="BM11" s="24">
        <v>45</v>
      </c>
      <c r="BN11" s="24">
        <v>147</v>
      </c>
      <c r="BO11" s="24">
        <v>201</v>
      </c>
      <c r="BP11" s="24">
        <v>279</v>
      </c>
      <c r="BQ11" s="24">
        <v>228</v>
      </c>
      <c r="BR11" s="24">
        <v>216</v>
      </c>
      <c r="BS11" s="25">
        <v>108921464</v>
      </c>
    </row>
    <row r="12" spans="1:71" s="24" customFormat="1" ht="12" thickBot="1" x14ac:dyDescent="0.2">
      <c r="A12" s="26">
        <v>2025</v>
      </c>
      <c r="B12" s="24">
        <v>91</v>
      </c>
      <c r="C12" s="24">
        <v>75</v>
      </c>
      <c r="D12" s="24">
        <v>1107</v>
      </c>
      <c r="E12" s="39">
        <v>15145</v>
      </c>
      <c r="F12" s="39">
        <v>20733</v>
      </c>
      <c r="G12" s="39">
        <v>28087</v>
      </c>
      <c r="H12" s="38">
        <v>6</v>
      </c>
      <c r="I12" s="38">
        <v>10</v>
      </c>
      <c r="J12" s="38">
        <v>98</v>
      </c>
      <c r="K12" s="39">
        <v>1012</v>
      </c>
      <c r="L12" s="38">
        <v>421</v>
      </c>
      <c r="M12" s="38">
        <v>64</v>
      </c>
      <c r="N12" s="24">
        <v>107</v>
      </c>
      <c r="O12" s="26">
        <v>5</v>
      </c>
      <c r="P12" s="26">
        <v>57</v>
      </c>
      <c r="Q12" s="26">
        <v>84</v>
      </c>
      <c r="R12" s="24">
        <v>135</v>
      </c>
      <c r="S12" s="24">
        <v>127</v>
      </c>
      <c r="T12" s="24">
        <v>13</v>
      </c>
      <c r="U12" s="24">
        <v>10</v>
      </c>
      <c r="V12" s="24">
        <v>28</v>
      </c>
      <c r="W12" s="24">
        <v>26</v>
      </c>
      <c r="X12" s="24">
        <v>12</v>
      </c>
      <c r="Y12" s="24">
        <v>11</v>
      </c>
      <c r="Z12" s="24">
        <v>90</v>
      </c>
      <c r="AA12" s="24">
        <v>84</v>
      </c>
      <c r="AB12" s="24">
        <v>18</v>
      </c>
      <c r="AC12" s="24">
        <v>16</v>
      </c>
      <c r="AD12" s="24">
        <f t="shared" si="0"/>
        <v>253</v>
      </c>
      <c r="AE12" s="24">
        <f t="shared" si="0"/>
        <v>237</v>
      </c>
      <c r="AF12" s="24">
        <f t="shared" si="0"/>
        <v>43</v>
      </c>
      <c r="AG12" s="24">
        <f t="shared" si="0"/>
        <v>37</v>
      </c>
      <c r="AH12" s="24">
        <v>2775</v>
      </c>
      <c r="AI12" s="24">
        <v>131</v>
      </c>
      <c r="AJ12" s="24">
        <v>7460</v>
      </c>
      <c r="AK12" s="46">
        <v>15884</v>
      </c>
      <c r="AL12" s="27">
        <v>357390</v>
      </c>
      <c r="AM12" s="46">
        <v>62589</v>
      </c>
      <c r="AN12" s="27">
        <v>2816505</v>
      </c>
      <c r="AO12" s="49">
        <v>65402</v>
      </c>
      <c r="AP12" s="24">
        <v>16</v>
      </c>
      <c r="AQ12" s="24">
        <v>0</v>
      </c>
      <c r="AR12" s="24">
        <v>39</v>
      </c>
      <c r="AS12" s="24">
        <v>109</v>
      </c>
      <c r="AT12" s="24">
        <v>218</v>
      </c>
      <c r="AU12" s="24">
        <v>523</v>
      </c>
      <c r="AV12" s="24">
        <v>1031</v>
      </c>
      <c r="AW12" s="24">
        <v>2698</v>
      </c>
      <c r="AX12" s="24">
        <v>3896</v>
      </c>
      <c r="AY12" s="24">
        <v>16191</v>
      </c>
      <c r="AZ12" s="24">
        <v>14755</v>
      </c>
      <c r="BA12" s="24">
        <v>14312</v>
      </c>
      <c r="BB12" s="24">
        <v>9058</v>
      </c>
      <c r="BC12" s="24">
        <v>1597</v>
      </c>
      <c r="BD12" s="24">
        <v>632</v>
      </c>
      <c r="BE12" s="24">
        <v>327</v>
      </c>
      <c r="BF12" s="46">
        <v>114</v>
      </c>
      <c r="BG12" s="46">
        <v>1497</v>
      </c>
      <c r="BH12" s="46">
        <f t="shared" si="1"/>
        <v>64200</v>
      </c>
      <c r="BI12" s="46">
        <v>403</v>
      </c>
      <c r="BJ12" s="46">
        <v>94</v>
      </c>
      <c r="BK12" s="47" t="s">
        <v>75</v>
      </c>
      <c r="BL12" s="30" t="s">
        <v>75</v>
      </c>
      <c r="BM12" s="30" t="s">
        <v>75</v>
      </c>
      <c r="BN12" s="30" t="s">
        <v>75</v>
      </c>
      <c r="BO12" s="30" t="s">
        <v>75</v>
      </c>
      <c r="BP12" s="30" t="s">
        <v>75</v>
      </c>
      <c r="BQ12" s="30" t="s">
        <v>75</v>
      </c>
      <c r="BR12" s="30" t="s">
        <v>75</v>
      </c>
      <c r="BS12" s="25">
        <v>109374409</v>
      </c>
    </row>
    <row r="13" spans="1:71" s="24" customFormat="1" ht="11" x14ac:dyDescent="0.15">
      <c r="A13" s="31"/>
      <c r="AH13" s="25"/>
      <c r="AK13" s="46"/>
      <c r="AM13" s="46"/>
      <c r="AN13" s="27"/>
      <c r="AO13" s="46"/>
      <c r="BF13" s="46"/>
      <c r="BG13" s="46"/>
      <c r="BH13" s="46"/>
      <c r="BI13" s="46"/>
      <c r="BJ13" s="46"/>
      <c r="BK13" s="46"/>
      <c r="BS13" s="25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134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119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120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121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13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125</v>
      </c>
    </row>
    <row r="13" spans="1:12" x14ac:dyDescent="0.2">
      <c r="A13" t="s">
        <v>126</v>
      </c>
    </row>
    <row r="14" spans="1:12" x14ac:dyDescent="0.2">
      <c r="A14" t="s">
        <v>127</v>
      </c>
    </row>
    <row r="15" spans="1:12" x14ac:dyDescent="0.2">
      <c r="A15" t="s">
        <v>128</v>
      </c>
    </row>
    <row r="16" spans="1:12" x14ac:dyDescent="0.2">
      <c r="A16" t="s">
        <v>129</v>
      </c>
    </row>
    <row r="17" spans="1:1" x14ac:dyDescent="0.2">
      <c r="A17" t="s">
        <v>130</v>
      </c>
    </row>
    <row r="18" spans="1:1" x14ac:dyDescent="0.2">
      <c r="A18" t="s">
        <v>131</v>
      </c>
    </row>
    <row r="19" spans="1:1" x14ac:dyDescent="0.2">
      <c r="A19" t="s">
        <v>132</v>
      </c>
    </row>
    <row r="20" spans="1:1" x14ac:dyDescent="0.2">
      <c r="A20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F72" sqref="F72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136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137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138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139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140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119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141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142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13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125</v>
      </c>
    </row>
    <row r="17" spans="1:1" x14ac:dyDescent="0.2">
      <c r="A17" t="s">
        <v>126</v>
      </c>
    </row>
    <row r="18" spans="1:1" x14ac:dyDescent="0.2">
      <c r="A18" t="s">
        <v>127</v>
      </c>
    </row>
    <row r="19" spans="1:1" x14ac:dyDescent="0.2">
      <c r="A19" t="s">
        <v>128</v>
      </c>
    </row>
    <row r="20" spans="1:1" x14ac:dyDescent="0.2">
      <c r="A20" t="s">
        <v>129</v>
      </c>
    </row>
    <row r="21" spans="1:1" x14ac:dyDescent="0.2">
      <c r="A21" t="s">
        <v>130</v>
      </c>
    </row>
    <row r="22" spans="1:1" x14ac:dyDescent="0.2">
      <c r="A22" t="s">
        <v>131</v>
      </c>
    </row>
    <row r="23" spans="1:1" x14ac:dyDescent="0.2">
      <c r="A23" t="s">
        <v>132</v>
      </c>
    </row>
    <row r="24" spans="1:1" x14ac:dyDescent="0.2">
      <c r="A24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1640625" style="10" customWidth="1"/>
    <col min="14" max="14" width="13" style="10" customWidth="1"/>
    <col min="15" max="16" width="13.83203125" style="10" customWidth="1"/>
    <col min="17" max="17" width="14.16406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66" t="s">
        <v>34</v>
      </c>
      <c r="B1" s="67"/>
      <c r="C1" s="66" t="s">
        <v>35</v>
      </c>
      <c r="D1" s="67"/>
      <c r="E1" s="6" t="s">
        <v>58</v>
      </c>
      <c r="F1" s="6" t="s">
        <v>59</v>
      </c>
      <c r="G1" s="6" t="s">
        <v>54</v>
      </c>
      <c r="H1" s="6" t="s">
        <v>56</v>
      </c>
    </row>
    <row r="2" spans="1:8" ht="104" x14ac:dyDescent="0.2">
      <c r="A2" s="7" t="s">
        <v>47</v>
      </c>
      <c r="B2" s="7" t="s">
        <v>48</v>
      </c>
      <c r="C2" s="7" t="s">
        <v>49</v>
      </c>
      <c r="D2" s="7" t="s">
        <v>50</v>
      </c>
      <c r="E2" s="12" t="s">
        <v>68</v>
      </c>
      <c r="F2" s="12" t="s">
        <v>69</v>
      </c>
      <c r="G2" s="12" t="s">
        <v>55</v>
      </c>
      <c r="H2" s="12" t="s">
        <v>57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102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117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118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119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120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121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122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123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124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13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125</v>
      </c>
    </row>
    <row r="18" spans="1:1" x14ac:dyDescent="0.2">
      <c r="A18" t="s">
        <v>126</v>
      </c>
    </row>
    <row r="19" spans="1:1" x14ac:dyDescent="0.2">
      <c r="A19" t="s">
        <v>127</v>
      </c>
    </row>
    <row r="20" spans="1:1" x14ac:dyDescent="0.2">
      <c r="A20" t="s">
        <v>128</v>
      </c>
    </row>
    <row r="21" spans="1:1" x14ac:dyDescent="0.2">
      <c r="A21" t="s">
        <v>129</v>
      </c>
    </row>
    <row r="22" spans="1:1" x14ac:dyDescent="0.2">
      <c r="A22" t="s">
        <v>130</v>
      </c>
    </row>
    <row r="23" spans="1:1" x14ac:dyDescent="0.2">
      <c r="A23" t="s">
        <v>131</v>
      </c>
    </row>
    <row r="24" spans="1:1" x14ac:dyDescent="0.2">
      <c r="A24" t="s">
        <v>132</v>
      </c>
    </row>
    <row r="25" spans="1:1" x14ac:dyDescent="0.2">
      <c r="A25" t="s">
        <v>129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2024</vt:lpstr>
      <vt:lpstr>2022</vt:lpstr>
      <vt:lpstr>CANCER MAMA</vt:lpstr>
      <vt:lpstr>base_mamografias</vt:lpstr>
      <vt:lpstr>cancer_de_mama</vt:lpstr>
      <vt:lpstr>Planilha3</vt:lpstr>
      <vt:lpstr>Planilha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2025-11-22T23:07:35Z</dcterms:modified>
</cp:coreProperties>
</file>