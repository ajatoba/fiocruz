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C37B76B2-520F-844A-9001-977C8F66C1C2}" xr6:coauthVersionLast="47" xr6:coauthVersionMax="47" xr10:uidLastSave="{00000000-0000-0000-0000-000000000000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base_mamografias" sheetId="18" r:id="rId4"/>
    <sheet name="cancer_de_mama" sheetId="17" r:id="rId5"/>
    <sheet name="Planilha3" sheetId="15" r:id="rId6"/>
    <sheet name="Planilha" sheetId="16" r:id="rId7"/>
    <sheet name="Planilha1" sheetId="13" r:id="rId8"/>
    <sheet name="Planilha2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2" i="18" l="1"/>
  <c r="N2" i="18"/>
  <c r="O2" i="18"/>
  <c r="M3" i="18"/>
  <c r="N3" i="18"/>
  <c r="O3" i="18"/>
  <c r="M4" i="18"/>
  <c r="N4" i="18"/>
  <c r="O4" i="18"/>
  <c r="M5" i="18"/>
  <c r="N5" i="18"/>
  <c r="O5" i="18" s="1"/>
  <c r="M6" i="18"/>
  <c r="N6" i="18"/>
  <c r="O6" i="18" s="1"/>
  <c r="M7" i="18"/>
  <c r="N7" i="18"/>
  <c r="O7" i="18"/>
  <c r="M8" i="18"/>
  <c r="N8" i="18"/>
  <c r="O8" i="18"/>
  <c r="M9" i="18"/>
  <c r="N9" i="18"/>
  <c r="O9" i="18" s="1"/>
  <c r="M10" i="18"/>
  <c r="N10" i="18"/>
  <c r="O10" i="18" s="1"/>
  <c r="M11" i="18"/>
  <c r="N11" i="18"/>
  <c r="O11" i="18"/>
  <c r="BH3" i="17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T15" i="12" l="1"/>
  <c r="R15" i="12"/>
  <c r="U15" i="12"/>
  <c r="S15" i="12"/>
</calcChain>
</file>

<file path=xl/sharedStrings.xml><?xml version="1.0" encoding="utf-8"?>
<sst xmlns="http://schemas.openxmlformats.org/spreadsheetml/2006/main" count="380" uniqueCount="223">
  <si>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</si>
  <si>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</si>
  <si>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</si>
  <si>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</si>
  <si>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</si>
  <si>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</si>
  <si>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</si>
  <si>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</si>
  <si>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</si>
  <si>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</si>
  <si>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</si>
  <si>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</si>
  <si>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</si>
  <si>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</si>
  <si>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</si>
  <si>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</si>
  <si>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</si>
  <si>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</si>
  <si>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</si>
  <si>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</si>
  <si>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</si>
  <si>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</si>
  <si>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</si>
  <si>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</si>
  <si>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</si>
  <si>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</si>
  <si>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</si>
  <si>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</si>
  <si>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</si>
  <si>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</si>
  <si>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</si>
  <si>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</si>
  <si>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</si>
  <si>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</si>
  <si>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</si>
  <si>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</si>
  <si>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</si>
  <si>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</si>
  <si>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</si>
  <si>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</si>
  <si>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</si>
  <si>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</si>
  <si>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</si>
  <si>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</si>
  <si>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</si>
  <si>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</si>
  <si>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</si>
  <si>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</si>
  <si>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</si>
  <si>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</si>
  <si>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</si>
  <si>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</si>
  <si>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</si>
  <si>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</si>
  <si>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</si>
  <si>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</si>
  <si>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</si>
  <si>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</si>
  <si>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</si>
  <si>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</si>
  <si>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</si>
  <si>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</si>
  <si>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</si>
  <si>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</si>
  <si>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</si>
  <si>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</si>
  <si>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</si>
  <si>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</si>
  <si>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</si>
  <si>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</si>
  <si>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</si>
  <si>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</si>
  <si>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</si>
  <si>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</si>
  <si>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</si>
  <si>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</si>
  <si>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</si>
  <si>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</si>
  <si>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</si>
  <si>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</si>
  <si>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</si>
  <si>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</si>
  <si>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</si>
  <si>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</si>
  <si>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</si>
  <si>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</si>
  <si>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</si>
  <si>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</si>
  <si>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</si>
  <si>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</si>
  <si>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</si>
  <si>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</si>
  <si>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</si>
  <si>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</si>
  <si>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</si>
  <si>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</si>
  <si>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</si>
  <si>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</si>
  <si>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</si>
  <si>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</si>
  <si>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</si>
  <si>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</si>
  <si>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</si>
  <si>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</si>
  <si>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</si>
  <si>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</si>
  <si>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</si>
  <si>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</si>
  <si>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</si>
  <si>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</si>
  <si>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</si>
  <si>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</si>
  <si>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</si>
  <si>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</si>
  <si>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</si>
  <si>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</si>
  <si>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</si>
  <si>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</si>
  <si>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</si>
  <si>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</si>
  <si>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</si>
  <si>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</si>
  <si>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</si>
  <si>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</si>
  <si>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</si>
  <si>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</si>
  <si>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</si>
  <si>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</si>
  <si>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</si>
  <si>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</si>
  <si>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</si>
  <si>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</si>
  <si>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</si>
  <si>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</si>
  <si>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</si>
  <si>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</si>
  <si>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</si>
  <si>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</si>
  <si>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</si>
  <si>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</si>
  <si>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</si>
  <si>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</si>
  <si>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</si>
  <si>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</si>
  <si>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</si>
  <si>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</si>
  <si>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</si>
  <si>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</si>
  <si>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</si>
  <si>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</si>
  <si>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</si>
  <si>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</si>
  <si>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</si>
  <si>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</si>
  <si>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</si>
  <si>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</si>
  <si>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</si>
  <si>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</si>
  <si>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</si>
  <si>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</si>
  <si>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</si>
  <si>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</si>
  <si>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</si>
  <si>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</si>
  <si>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</si>
  <si>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</si>
  <si>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</si>
  <si>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</si>
  <si>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</si>
  <si>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</si>
  <si>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</si>
  <si>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</si>
  <si>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</si>
  <si>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</si>
  <si>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</si>
  <si>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</si>
  <si>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</si>
  <si>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</si>
  <si>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</si>
  <si>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</si>
  <si>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</si>
  <si>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</si>
  <si>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</si>
  <si>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</si>
  <si>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</si>
  <si>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</si>
  <si>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</si>
  <si>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</si>
  <si>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</si>
  <si>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</si>
  <si>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</si>
  <si>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</si>
  <si>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</si>
  <si>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</si>
  <si>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</si>
  <si>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</si>
  <si>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</si>
  <si>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</si>
  <si>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</si>
  <si>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</si>
  <si>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</si>
  <si>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</si>
  <si>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</si>
  <si>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</si>
  <si>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</si>
  <si>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</si>
  <si>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</si>
  <si>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</si>
  <si>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</si>
  <si>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</si>
  <si>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</si>
  <si>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</si>
  <si>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</si>
  <si>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</si>
  <si>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</si>
  <si>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</si>
  <si>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</si>
  <si>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</si>
  <si>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</si>
  <si>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</si>
  <si>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</si>
  <si>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</si>
  <si>
    <t>r_percentual_mamografos_em_uso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</si>
</sst>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  <xf numFmtId="2" fontId="11" fillId="0" borderId="0" xfId="0" applyNumberFormat="1" applyFont="1" applyAlignment="1">
      <alignment horizontal="left" vertical="top" wrapText="1"/>
    </xf>
    <xf numFmtId="2" fontId="11" fillId="0" borderId="0" xfId="0" applyNumberFormat="1" applyFont="1"/>
    <xf numFmtId="2" fontId="0" fillId="0" borderId="0" xfId="0" applyNumberFormat="1"/>
    <xf numFmtId="0" fontId="8" fillId="3" borderId="10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" fontId="8" fillId="0" borderId="0" xfId="0" applyNumberFormat="1" applyFont="1"/>
    <xf numFmtId="1" fontId="11" fillId="0" borderId="0" xfId="0" applyNumberFormat="1" applyFont="1"/>
    <xf numFmtId="1" fontId="14" fillId="4" borderId="13" xfId="0" applyNumberFormat="1" applyFont="1" applyFill="1" applyBorder="1" applyAlignment="1">
      <alignment horizontal="right" vertical="center"/>
    </xf>
    <xf numFmtId="1" fontId="14" fillId="0" borderId="0" xfId="0" applyNumberFormat="1" applyFont="1"/>
    <xf numFmtId="1" fontId="19" fillId="0" borderId="0" xfId="0" applyNumberFormat="1" applyFont="1"/>
    <xf numFmtId="1" fontId="14" fillId="5" borderId="13" xfId="0" applyNumberFormat="1" applyFont="1" applyFill="1" applyBorder="1" applyAlignment="1">
      <alignment horizontal="righ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53" t="s">
        <v>80</v>
      </c>
      <c r="C1" s="55"/>
      <c r="D1" s="53" t="s">
        <v>85</v>
      </c>
      <c r="E1" s="55"/>
      <c r="F1" s="59" t="s">
        <v>83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60" t="s">
        <v>84</v>
      </c>
      <c r="S1" s="60"/>
      <c r="T1" s="60"/>
      <c r="U1" s="60"/>
      <c r="V1" s="64" t="s">
        <v>34</v>
      </c>
      <c r="W1" s="65"/>
      <c r="X1" s="53" t="s">
        <v>35</v>
      </c>
      <c r="Y1" s="55"/>
      <c r="Z1" s="15" t="s">
        <v>53</v>
      </c>
      <c r="AA1" s="62" t="s">
        <v>87</v>
      </c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56" t="s">
        <v>88</v>
      </c>
      <c r="AR1" s="57"/>
      <c r="AS1" s="57"/>
      <c r="AT1" s="57"/>
      <c r="AU1" s="57"/>
      <c r="AV1" s="57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53" t="s">
        <v>71</v>
      </c>
      <c r="BC1" s="54"/>
      <c r="BD1" s="54"/>
      <c r="BE1" s="54"/>
      <c r="BF1" s="54"/>
      <c r="BG1" s="54"/>
      <c r="BH1" s="55"/>
      <c r="BI1" s="53" t="s">
        <v>89</v>
      </c>
      <c r="BJ1" s="54"/>
      <c r="BK1" s="55"/>
      <c r="BL1" s="53" t="s">
        <v>90</v>
      </c>
      <c r="BM1" s="54"/>
      <c r="BN1" s="55"/>
      <c r="BO1" s="53" t="s">
        <v>91</v>
      </c>
      <c r="BP1" s="54"/>
      <c r="BQ1" s="55"/>
      <c r="BR1" s="53" t="s">
        <v>92</v>
      </c>
      <c r="BS1" s="54"/>
      <c r="BT1" s="55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58" t="s">
        <v>9</v>
      </c>
      <c r="G2" s="58"/>
      <c r="H2" s="58"/>
      <c r="I2" s="58"/>
      <c r="J2" s="58" t="s">
        <v>10</v>
      </c>
      <c r="K2" s="58"/>
      <c r="L2" s="58"/>
      <c r="M2" s="58"/>
      <c r="N2" s="58" t="s">
        <v>11</v>
      </c>
      <c r="O2" s="58"/>
      <c r="P2" s="58"/>
      <c r="Q2" s="58"/>
      <c r="R2" s="61" t="s">
        <v>52</v>
      </c>
      <c r="S2" s="61"/>
      <c r="T2" s="61"/>
      <c r="U2" s="61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F2:I2"/>
    <mergeCell ref="F1:Q1"/>
    <mergeCell ref="R1:U1"/>
    <mergeCell ref="R2:U2"/>
    <mergeCell ref="AA1:AP1"/>
    <mergeCell ref="J2:M2"/>
    <mergeCell ref="N2:Q2"/>
    <mergeCell ref="V1:W1"/>
    <mergeCell ref="X1:Y1"/>
    <mergeCell ref="BL1:BN1"/>
    <mergeCell ref="BO1:BQ1"/>
    <mergeCell ref="BR1:BT1"/>
    <mergeCell ref="B1:C1"/>
    <mergeCell ref="D1:E1"/>
    <mergeCell ref="BB1:BH1"/>
    <mergeCell ref="BI1:BK1"/>
    <mergeCell ref="AQ1:AV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02A8-E350-DF48-B179-85AF1BE36AFE}">
  <dimension ref="A1:R12"/>
  <sheetViews>
    <sheetView tabSelected="1" topLeftCell="J1" zoomScale="271" zoomScaleNormal="271" workbookViewId="0">
      <selection activeCell="R18" sqref="R18"/>
    </sheetView>
  </sheetViews>
  <sheetFormatPr baseColWidth="10" defaultRowHeight="15" x14ac:dyDescent="0.2"/>
  <cols>
    <col min="1" max="1" width="3.5" bestFit="1" customWidth="1"/>
    <col min="15" max="15" width="10.83203125" style="52"/>
    <col min="17" max="17" width="10.83203125" style="48"/>
  </cols>
  <sheetData>
    <row r="1" spans="1:18" s="43" customFormat="1" ht="36" x14ac:dyDescent="0.2">
      <c r="A1" s="41" t="s">
        <v>215</v>
      </c>
      <c r="B1" s="42" t="s">
        <v>203</v>
      </c>
      <c r="C1" s="42" t="s">
        <v>205</v>
      </c>
      <c r="D1" s="42" t="s">
        <v>206</v>
      </c>
      <c r="E1" s="42" t="s">
        <v>208</v>
      </c>
      <c r="F1" s="43" t="s">
        <v>151</v>
      </c>
      <c r="G1" s="42" t="s">
        <v>156</v>
      </c>
      <c r="H1" s="42" t="s">
        <v>157</v>
      </c>
      <c r="I1" s="42" t="s">
        <v>159</v>
      </c>
      <c r="J1" s="42" t="s">
        <v>160</v>
      </c>
      <c r="K1" s="42" t="s">
        <v>163</v>
      </c>
      <c r="L1" s="42" t="s">
        <v>164</v>
      </c>
      <c r="M1" s="44" t="s">
        <v>167</v>
      </c>
      <c r="N1" s="44" t="s">
        <v>168</v>
      </c>
      <c r="O1" s="50" t="s">
        <v>222</v>
      </c>
      <c r="P1" s="43" t="s">
        <v>218</v>
      </c>
      <c r="Q1" s="45" t="s">
        <v>173</v>
      </c>
      <c r="R1" s="42" t="s">
        <v>219</v>
      </c>
    </row>
    <row r="2" spans="1:18" s="69" customFormat="1" ht="12" thickBot="1" x14ac:dyDescent="0.2">
      <c r="A2" s="68">
        <v>2015</v>
      </c>
      <c r="B2" s="69">
        <v>366</v>
      </c>
      <c r="C2" s="69">
        <v>693</v>
      </c>
      <c r="D2" s="70">
        <v>5</v>
      </c>
      <c r="E2" s="70">
        <v>9</v>
      </c>
      <c r="F2" s="69">
        <v>60</v>
      </c>
      <c r="G2" s="69">
        <v>142</v>
      </c>
      <c r="H2" s="69">
        <v>138</v>
      </c>
      <c r="I2" s="69">
        <v>32</v>
      </c>
      <c r="J2" s="69">
        <v>31</v>
      </c>
      <c r="K2" s="69">
        <v>27</v>
      </c>
      <c r="L2" s="69">
        <v>27</v>
      </c>
      <c r="M2" s="69">
        <f t="shared" ref="M2:M11" si="0">G2+I2+K2</f>
        <v>201</v>
      </c>
      <c r="N2" s="69">
        <f t="shared" ref="N2:N11" si="1">H2+J2+L2</f>
        <v>196</v>
      </c>
      <c r="O2" s="69">
        <f>N2*100/M2</f>
        <v>97.512437810945272</v>
      </c>
      <c r="P2" s="71">
        <v>5013</v>
      </c>
      <c r="Q2" s="72">
        <v>88145</v>
      </c>
      <c r="R2" s="69">
        <v>103476277</v>
      </c>
    </row>
    <row r="3" spans="1:18" s="69" customFormat="1" ht="11" x14ac:dyDescent="0.15">
      <c r="A3" s="68">
        <v>2016</v>
      </c>
      <c r="B3" s="69">
        <v>410</v>
      </c>
      <c r="C3" s="69">
        <v>1319</v>
      </c>
      <c r="F3" s="69">
        <v>61</v>
      </c>
      <c r="G3" s="69">
        <v>148</v>
      </c>
      <c r="H3" s="69">
        <v>143</v>
      </c>
      <c r="I3" s="69">
        <v>30</v>
      </c>
      <c r="J3" s="69">
        <v>29</v>
      </c>
      <c r="K3" s="69">
        <v>29</v>
      </c>
      <c r="L3" s="69">
        <v>29</v>
      </c>
      <c r="M3" s="69">
        <f t="shared" si="0"/>
        <v>207</v>
      </c>
      <c r="N3" s="69">
        <f t="shared" si="1"/>
        <v>201</v>
      </c>
      <c r="O3" s="69">
        <f t="shared" ref="O3:O11" si="2">N3*100/M3</f>
        <v>97.101449275362313</v>
      </c>
      <c r="P3" s="69">
        <v>5261</v>
      </c>
      <c r="Q3" s="72">
        <v>91272</v>
      </c>
      <c r="R3" s="69">
        <v>104241004</v>
      </c>
    </row>
    <row r="4" spans="1:18" s="69" customFormat="1" ht="11" x14ac:dyDescent="0.15">
      <c r="A4" s="68">
        <v>2017</v>
      </c>
      <c r="B4" s="69">
        <v>474</v>
      </c>
      <c r="C4" s="69">
        <v>1287</v>
      </c>
      <c r="F4" s="69">
        <v>67</v>
      </c>
      <c r="G4" s="69">
        <v>144</v>
      </c>
      <c r="H4" s="69">
        <v>140</v>
      </c>
      <c r="I4" s="69">
        <v>32</v>
      </c>
      <c r="J4" s="69">
        <v>31</v>
      </c>
      <c r="K4" s="69">
        <v>36</v>
      </c>
      <c r="L4" s="69">
        <v>36</v>
      </c>
      <c r="M4" s="69">
        <f t="shared" si="0"/>
        <v>212</v>
      </c>
      <c r="N4" s="69">
        <f t="shared" si="1"/>
        <v>207</v>
      </c>
      <c r="O4" s="69">
        <f t="shared" si="2"/>
        <v>97.64150943396227</v>
      </c>
      <c r="P4" s="71">
        <v>5417</v>
      </c>
      <c r="Q4" s="72">
        <v>88839</v>
      </c>
      <c r="R4" s="69">
        <v>104943736</v>
      </c>
    </row>
    <row r="5" spans="1:18" s="69" customFormat="1" ht="11" x14ac:dyDescent="0.15">
      <c r="A5" s="68">
        <v>2018</v>
      </c>
      <c r="B5" s="69">
        <v>586</v>
      </c>
      <c r="C5" s="69">
        <v>1555</v>
      </c>
      <c r="F5" s="69">
        <v>84</v>
      </c>
      <c r="G5" s="69">
        <v>148</v>
      </c>
      <c r="H5" s="69">
        <v>138</v>
      </c>
      <c r="I5" s="69">
        <v>34</v>
      </c>
      <c r="J5" s="69">
        <v>32</v>
      </c>
      <c r="K5" s="69">
        <v>44</v>
      </c>
      <c r="L5" s="69">
        <v>43</v>
      </c>
      <c r="M5" s="69">
        <f t="shared" si="0"/>
        <v>226</v>
      </c>
      <c r="N5" s="69">
        <f t="shared" si="1"/>
        <v>213</v>
      </c>
      <c r="O5" s="69">
        <f t="shared" si="2"/>
        <v>94.247787610619469</v>
      </c>
      <c r="P5" s="69">
        <v>5109</v>
      </c>
      <c r="Q5" s="72">
        <v>93730</v>
      </c>
      <c r="R5" s="69">
        <v>105633483</v>
      </c>
    </row>
    <row r="6" spans="1:18" s="69" customFormat="1" ht="11" x14ac:dyDescent="0.15">
      <c r="A6" s="68">
        <v>2019</v>
      </c>
      <c r="B6" s="69">
        <v>629</v>
      </c>
      <c r="C6" s="69">
        <v>1274</v>
      </c>
      <c r="F6" s="69">
        <v>104</v>
      </c>
      <c r="G6" s="69">
        <v>151</v>
      </c>
      <c r="H6" s="69">
        <v>139</v>
      </c>
      <c r="I6" s="69">
        <v>33</v>
      </c>
      <c r="J6" s="69">
        <v>30</v>
      </c>
      <c r="K6" s="69">
        <v>57</v>
      </c>
      <c r="L6" s="69">
        <v>54</v>
      </c>
      <c r="M6" s="69">
        <f t="shared" si="0"/>
        <v>241</v>
      </c>
      <c r="N6" s="69">
        <f t="shared" si="1"/>
        <v>223</v>
      </c>
      <c r="O6" s="69">
        <f t="shared" si="2"/>
        <v>92.531120331950206</v>
      </c>
      <c r="P6" s="71">
        <v>4974</v>
      </c>
      <c r="Q6" s="72">
        <v>78686</v>
      </c>
      <c r="R6" s="69">
        <v>106348865</v>
      </c>
    </row>
    <row r="7" spans="1:18" s="69" customFormat="1" ht="11" x14ac:dyDescent="0.15">
      <c r="A7" s="68">
        <v>2020</v>
      </c>
      <c r="B7" s="69">
        <v>452</v>
      </c>
      <c r="C7" s="69">
        <v>1146</v>
      </c>
      <c r="F7" s="69">
        <v>93</v>
      </c>
      <c r="G7" s="69">
        <v>110</v>
      </c>
      <c r="H7" s="69">
        <v>99</v>
      </c>
      <c r="I7" s="69">
        <v>30</v>
      </c>
      <c r="J7" s="69">
        <v>28</v>
      </c>
      <c r="K7" s="69">
        <v>59</v>
      </c>
      <c r="L7" s="69">
        <v>57</v>
      </c>
      <c r="M7" s="69">
        <f t="shared" si="0"/>
        <v>199</v>
      </c>
      <c r="N7" s="69">
        <f t="shared" si="1"/>
        <v>184</v>
      </c>
      <c r="O7" s="69">
        <f t="shared" si="2"/>
        <v>92.462311557788951</v>
      </c>
      <c r="P7" s="69">
        <v>5075</v>
      </c>
      <c r="Q7" s="72">
        <v>37292</v>
      </c>
      <c r="R7" s="69">
        <v>107023935</v>
      </c>
    </row>
    <row r="8" spans="1:18" s="69" customFormat="1" ht="12" thickBot="1" x14ac:dyDescent="0.2">
      <c r="A8" s="68">
        <v>2021</v>
      </c>
      <c r="B8" s="69">
        <v>502</v>
      </c>
      <c r="C8" s="69">
        <v>1344</v>
      </c>
      <c r="D8" s="73">
        <v>2045</v>
      </c>
      <c r="E8" s="73">
        <v>62</v>
      </c>
      <c r="F8" s="69">
        <v>94</v>
      </c>
      <c r="G8" s="69">
        <v>120</v>
      </c>
      <c r="H8" s="69">
        <v>114</v>
      </c>
      <c r="I8" s="69">
        <v>30</v>
      </c>
      <c r="J8" s="69">
        <v>28</v>
      </c>
      <c r="K8" s="69">
        <v>71</v>
      </c>
      <c r="L8" s="69">
        <v>66</v>
      </c>
      <c r="M8" s="69">
        <f t="shared" si="0"/>
        <v>221</v>
      </c>
      <c r="N8" s="69">
        <f t="shared" si="1"/>
        <v>208</v>
      </c>
      <c r="O8" s="69">
        <f t="shared" si="2"/>
        <v>94.117647058823536</v>
      </c>
      <c r="P8" s="71">
        <v>5393</v>
      </c>
      <c r="Q8" s="72">
        <v>61057</v>
      </c>
      <c r="R8" s="69">
        <v>107552789</v>
      </c>
    </row>
    <row r="9" spans="1:18" s="69" customFormat="1" ht="12" thickBot="1" x14ac:dyDescent="0.2">
      <c r="A9" s="68">
        <v>2022</v>
      </c>
      <c r="B9" s="69">
        <v>313</v>
      </c>
      <c r="C9" s="69">
        <v>1314</v>
      </c>
      <c r="D9" s="70">
        <v>10920</v>
      </c>
      <c r="E9" s="70">
        <v>13661</v>
      </c>
      <c r="F9" s="69">
        <v>96</v>
      </c>
      <c r="G9" s="69">
        <v>125</v>
      </c>
      <c r="H9" s="69">
        <v>119</v>
      </c>
      <c r="I9" s="69">
        <v>30</v>
      </c>
      <c r="J9" s="69">
        <v>26</v>
      </c>
      <c r="K9" s="69">
        <v>82</v>
      </c>
      <c r="L9" s="69">
        <v>76</v>
      </c>
      <c r="M9" s="69">
        <f t="shared" si="0"/>
        <v>237</v>
      </c>
      <c r="N9" s="69">
        <f t="shared" si="1"/>
        <v>221</v>
      </c>
      <c r="O9" s="69">
        <f t="shared" si="2"/>
        <v>93.248945147679322</v>
      </c>
      <c r="P9" s="69">
        <v>5511</v>
      </c>
      <c r="Q9" s="72">
        <v>65905</v>
      </c>
      <c r="R9" s="69">
        <v>107987869</v>
      </c>
    </row>
    <row r="10" spans="1:18" s="69" customFormat="1" ht="12" thickBot="1" x14ac:dyDescent="0.2">
      <c r="A10" s="68">
        <v>2023</v>
      </c>
      <c r="B10" s="69">
        <v>353</v>
      </c>
      <c r="C10" s="69">
        <v>1357</v>
      </c>
      <c r="D10" s="70">
        <v>22199</v>
      </c>
      <c r="E10" s="70">
        <v>39630</v>
      </c>
      <c r="F10" s="69">
        <v>100</v>
      </c>
      <c r="G10" s="69">
        <v>126</v>
      </c>
      <c r="H10" s="69">
        <v>120</v>
      </c>
      <c r="I10" s="69">
        <v>32</v>
      </c>
      <c r="J10" s="69">
        <v>30</v>
      </c>
      <c r="K10" s="69">
        <v>80</v>
      </c>
      <c r="L10" s="69">
        <v>74</v>
      </c>
      <c r="M10" s="69">
        <f t="shared" si="0"/>
        <v>238</v>
      </c>
      <c r="N10" s="69">
        <f t="shared" si="1"/>
        <v>224</v>
      </c>
      <c r="O10" s="69">
        <f t="shared" si="2"/>
        <v>94.117647058823536</v>
      </c>
      <c r="P10" s="71">
        <v>5980</v>
      </c>
      <c r="Q10" s="72">
        <v>89966</v>
      </c>
      <c r="R10" s="69">
        <v>108443605</v>
      </c>
    </row>
    <row r="11" spans="1:18" s="69" customFormat="1" ht="12" thickBot="1" x14ac:dyDescent="0.2">
      <c r="A11" s="68">
        <v>2024</v>
      </c>
      <c r="B11" s="69">
        <v>251</v>
      </c>
      <c r="C11" s="69">
        <v>1564</v>
      </c>
      <c r="D11" s="73">
        <v>20198</v>
      </c>
      <c r="E11" s="73">
        <v>40505</v>
      </c>
      <c r="F11" s="69">
        <v>104</v>
      </c>
      <c r="G11" s="69">
        <v>130</v>
      </c>
      <c r="H11" s="69">
        <v>123</v>
      </c>
      <c r="I11" s="69">
        <v>30</v>
      </c>
      <c r="J11" s="69">
        <v>29</v>
      </c>
      <c r="K11" s="69">
        <v>84</v>
      </c>
      <c r="L11" s="69">
        <v>79</v>
      </c>
      <c r="M11" s="69">
        <f t="shared" si="0"/>
        <v>244</v>
      </c>
      <c r="N11" s="69">
        <f t="shared" si="1"/>
        <v>231</v>
      </c>
      <c r="O11" s="69">
        <f t="shared" si="2"/>
        <v>94.672131147540981</v>
      </c>
      <c r="P11" s="69">
        <v>6567</v>
      </c>
      <c r="Q11" s="72">
        <v>102288</v>
      </c>
      <c r="R11" s="69">
        <v>108921464</v>
      </c>
    </row>
    <row r="12" spans="1:18" s="24" customFormat="1" ht="11" x14ac:dyDescent="0.15">
      <c r="A12" s="31"/>
      <c r="O12" s="51"/>
      <c r="Q12" s="46"/>
      <c r="R12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zoomScale="190" zoomScaleNormal="190" workbookViewId="0">
      <selection activeCell="D18" sqref="D18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48"/>
    <col min="39" max="39" width="10.83203125" style="48"/>
    <col min="41" max="41" width="10.83203125" style="48"/>
    <col min="58" max="63" width="10.83203125" style="48"/>
  </cols>
  <sheetData>
    <row r="1" spans="1:71" s="43" customFormat="1" ht="48" x14ac:dyDescent="0.2">
      <c r="A1" s="41" t="s">
        <v>215</v>
      </c>
      <c r="B1" s="42" t="s">
        <v>203</v>
      </c>
      <c r="C1" s="42" t="s">
        <v>204</v>
      </c>
      <c r="D1" s="42" t="s">
        <v>205</v>
      </c>
      <c r="E1" s="42" t="s">
        <v>206</v>
      </c>
      <c r="F1" s="42" t="s">
        <v>207</v>
      </c>
      <c r="G1" s="42" t="s">
        <v>208</v>
      </c>
      <c r="H1" s="42" t="s">
        <v>209</v>
      </c>
      <c r="I1" s="42" t="s">
        <v>210</v>
      </c>
      <c r="J1" s="42" t="s">
        <v>211</v>
      </c>
      <c r="K1" s="42" t="s">
        <v>212</v>
      </c>
      <c r="L1" s="42" t="s">
        <v>213</v>
      </c>
      <c r="M1" s="42" t="s">
        <v>214</v>
      </c>
      <c r="N1" s="43" t="s">
        <v>151</v>
      </c>
      <c r="O1" s="43" t="s">
        <v>152</v>
      </c>
      <c r="P1" s="43" t="s">
        <v>153</v>
      </c>
      <c r="Q1" s="43" t="s">
        <v>154</v>
      </c>
      <c r="R1" s="42" t="s">
        <v>156</v>
      </c>
      <c r="S1" s="42" t="s">
        <v>157</v>
      </c>
      <c r="T1" s="42" t="s">
        <v>158</v>
      </c>
      <c r="U1" s="42" t="s">
        <v>155</v>
      </c>
      <c r="V1" s="42" t="s">
        <v>159</v>
      </c>
      <c r="W1" s="42" t="s">
        <v>160</v>
      </c>
      <c r="X1" s="42" t="s">
        <v>161</v>
      </c>
      <c r="Y1" s="42" t="s">
        <v>162</v>
      </c>
      <c r="Z1" s="42" t="s">
        <v>163</v>
      </c>
      <c r="AA1" s="42" t="s">
        <v>164</v>
      </c>
      <c r="AB1" s="42" t="s">
        <v>165</v>
      </c>
      <c r="AC1" s="42" t="s">
        <v>166</v>
      </c>
      <c r="AD1" s="44" t="s">
        <v>167</v>
      </c>
      <c r="AE1" s="44" t="s">
        <v>168</v>
      </c>
      <c r="AF1" s="44" t="s">
        <v>169</v>
      </c>
      <c r="AG1" s="44" t="s">
        <v>170</v>
      </c>
      <c r="AH1" s="43" t="s">
        <v>216</v>
      </c>
      <c r="AI1" s="43" t="s">
        <v>217</v>
      </c>
      <c r="AJ1" s="43" t="s">
        <v>218</v>
      </c>
      <c r="AK1" s="45" t="s">
        <v>171</v>
      </c>
      <c r="AL1" s="42" t="s">
        <v>172</v>
      </c>
      <c r="AM1" s="45" t="s">
        <v>173</v>
      </c>
      <c r="AN1" s="42" t="s">
        <v>174</v>
      </c>
      <c r="AO1" s="45" t="s">
        <v>220</v>
      </c>
      <c r="AP1" s="42" t="s">
        <v>175</v>
      </c>
      <c r="AQ1" s="42" t="s">
        <v>176</v>
      </c>
      <c r="AR1" s="42" t="s">
        <v>177</v>
      </c>
      <c r="AS1" s="42" t="s">
        <v>178</v>
      </c>
      <c r="AT1" s="42" t="s">
        <v>179</v>
      </c>
      <c r="AU1" s="42" t="s">
        <v>180</v>
      </c>
      <c r="AV1" s="42" t="s">
        <v>181</v>
      </c>
      <c r="AW1" s="42" t="s">
        <v>182</v>
      </c>
      <c r="AX1" s="42" t="s">
        <v>183</v>
      </c>
      <c r="AY1" s="42" t="s">
        <v>184</v>
      </c>
      <c r="AZ1" s="42" t="s">
        <v>185</v>
      </c>
      <c r="BA1" s="42" t="s">
        <v>186</v>
      </c>
      <c r="BB1" s="42" t="s">
        <v>187</v>
      </c>
      <c r="BC1" s="42" t="s">
        <v>188</v>
      </c>
      <c r="BD1" s="42" t="s">
        <v>189</v>
      </c>
      <c r="BE1" s="42" t="s">
        <v>190</v>
      </c>
      <c r="BF1" s="45" t="s">
        <v>193</v>
      </c>
      <c r="BG1" s="45" t="s">
        <v>192</v>
      </c>
      <c r="BH1" s="45" t="s">
        <v>221</v>
      </c>
      <c r="BI1" s="45" t="s">
        <v>191</v>
      </c>
      <c r="BJ1" s="45" t="s">
        <v>194</v>
      </c>
      <c r="BK1" s="45" t="s">
        <v>195</v>
      </c>
      <c r="BL1" s="42" t="s">
        <v>196</v>
      </c>
      <c r="BM1" s="42" t="s">
        <v>197</v>
      </c>
      <c r="BN1" s="42" t="s">
        <v>198</v>
      </c>
      <c r="BO1" s="42" t="s">
        <v>199</v>
      </c>
      <c r="BP1" s="42" t="s">
        <v>200</v>
      </c>
      <c r="BQ1" s="42" t="s">
        <v>201</v>
      </c>
      <c r="BR1" s="42" t="s">
        <v>202</v>
      </c>
      <c r="BS1" s="42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46">
        <v>19388</v>
      </c>
      <c r="AL2" s="27">
        <v>436230</v>
      </c>
      <c r="AM2" s="46">
        <v>88145</v>
      </c>
      <c r="AN2" s="27">
        <v>3966525</v>
      </c>
      <c r="AO2" s="46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46">
        <v>6</v>
      </c>
      <c r="BG2" s="46">
        <v>76</v>
      </c>
      <c r="BH2" s="46">
        <f>BG2+BF2+AM2</f>
        <v>88227</v>
      </c>
      <c r="BI2" s="46">
        <v>1009</v>
      </c>
      <c r="BJ2" s="46">
        <v>238</v>
      </c>
      <c r="BK2" s="46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46">
        <v>21218</v>
      </c>
      <c r="AL3" s="27">
        <v>477405</v>
      </c>
      <c r="AM3" s="46">
        <v>91272</v>
      </c>
      <c r="AN3" s="27">
        <v>4107240</v>
      </c>
      <c r="AO3" s="49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46">
        <v>10</v>
      </c>
      <c r="BG3" s="46">
        <v>105</v>
      </c>
      <c r="BH3" s="46">
        <f>BG3+BF3+AM3</f>
        <v>91387</v>
      </c>
      <c r="BI3" s="46">
        <v>1047</v>
      </c>
      <c r="BJ3" s="46">
        <v>211</v>
      </c>
      <c r="BK3" s="46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46">
        <v>18653</v>
      </c>
      <c r="AL4" s="27">
        <v>419692.5</v>
      </c>
      <c r="AM4" s="46">
        <v>88839</v>
      </c>
      <c r="AN4" s="27">
        <v>3997755</v>
      </c>
      <c r="AO4" s="49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46">
        <v>2</v>
      </c>
      <c r="BG4" s="46">
        <v>122</v>
      </c>
      <c r="BH4" s="46">
        <f t="shared" ref="BH4:BH12" si="1">BG4+BF4+AM4</f>
        <v>88963</v>
      </c>
      <c r="BI4" s="46">
        <v>997</v>
      </c>
      <c r="BJ4" s="46">
        <v>263</v>
      </c>
      <c r="BK4" s="46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46">
        <v>21249</v>
      </c>
      <c r="AL5" s="27">
        <v>478102.5</v>
      </c>
      <c r="AM5" s="46">
        <v>93730</v>
      </c>
      <c r="AN5" s="27">
        <v>4217850</v>
      </c>
      <c r="AO5" s="49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46">
        <v>0</v>
      </c>
      <c r="BG5" s="46">
        <v>89</v>
      </c>
      <c r="BH5" s="46">
        <f t="shared" si="1"/>
        <v>93819</v>
      </c>
      <c r="BI5" s="46">
        <v>1019</v>
      </c>
      <c r="BJ5" s="46">
        <v>238</v>
      </c>
      <c r="BK5" s="46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46">
        <v>19989</v>
      </c>
      <c r="AL6" s="27">
        <v>449752.5</v>
      </c>
      <c r="AM6" s="46">
        <v>78686</v>
      </c>
      <c r="AN6" s="27">
        <v>3540870</v>
      </c>
      <c r="AO6" s="49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46">
        <v>0</v>
      </c>
      <c r="BG6" s="46">
        <v>88</v>
      </c>
      <c r="BH6" s="46">
        <f t="shared" si="1"/>
        <v>78774</v>
      </c>
      <c r="BI6" s="46">
        <v>1078</v>
      </c>
      <c r="BJ6" s="46">
        <v>168</v>
      </c>
      <c r="BK6" s="46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46">
        <v>12503</v>
      </c>
      <c r="AL7" s="27">
        <v>281317.5</v>
      </c>
      <c r="AM7" s="46">
        <v>37292</v>
      </c>
      <c r="AN7" s="27">
        <v>1678140</v>
      </c>
      <c r="AO7" s="49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46">
        <v>2</v>
      </c>
      <c r="BG7" s="46">
        <v>80</v>
      </c>
      <c r="BH7" s="46">
        <f t="shared" si="1"/>
        <v>37374</v>
      </c>
      <c r="BI7" s="46">
        <v>861</v>
      </c>
      <c r="BJ7" s="46">
        <v>82</v>
      </c>
      <c r="BK7" s="46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46">
        <v>16757</v>
      </c>
      <c r="AL8" s="27">
        <v>377032.5</v>
      </c>
      <c r="AM8" s="46">
        <v>61057</v>
      </c>
      <c r="AN8" s="27">
        <v>2747565</v>
      </c>
      <c r="AO8" s="49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46">
        <v>3</v>
      </c>
      <c r="BG8" s="46">
        <v>127</v>
      </c>
      <c r="BH8" s="46">
        <f t="shared" si="1"/>
        <v>61187</v>
      </c>
      <c r="BI8" s="46">
        <v>758</v>
      </c>
      <c r="BJ8" s="46">
        <v>87</v>
      </c>
      <c r="BK8" s="46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46">
        <v>18134</v>
      </c>
      <c r="AL9" s="27">
        <v>408015</v>
      </c>
      <c r="AM9" s="46">
        <v>65905</v>
      </c>
      <c r="AN9" s="27">
        <v>2965725</v>
      </c>
      <c r="AO9" s="49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46">
        <v>1</v>
      </c>
      <c r="BG9" s="46">
        <v>134</v>
      </c>
      <c r="BH9" s="46">
        <f t="shared" si="1"/>
        <v>66040</v>
      </c>
      <c r="BI9" s="46">
        <v>696</v>
      </c>
      <c r="BJ9" s="46">
        <v>109</v>
      </c>
      <c r="BK9" s="46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46">
        <v>14726</v>
      </c>
      <c r="AL10" s="27">
        <v>331335</v>
      </c>
      <c r="AM10" s="46">
        <v>89966</v>
      </c>
      <c r="AN10" s="27">
        <v>4048470</v>
      </c>
      <c r="AO10" s="49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46">
        <v>17</v>
      </c>
      <c r="BG10" s="46">
        <v>404</v>
      </c>
      <c r="BH10" s="46">
        <f t="shared" si="1"/>
        <v>90387</v>
      </c>
      <c r="BI10" s="46">
        <v>533</v>
      </c>
      <c r="BJ10" s="46">
        <v>93</v>
      </c>
      <c r="BK10" s="46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46">
        <v>17180</v>
      </c>
      <c r="AL11" s="27">
        <v>386550</v>
      </c>
      <c r="AM11" s="46">
        <v>102288</v>
      </c>
      <c r="AN11" s="27">
        <v>4602960</v>
      </c>
      <c r="AO11" s="49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46">
        <v>6</v>
      </c>
      <c r="BG11" s="46">
        <v>2556</v>
      </c>
      <c r="BH11" s="46">
        <f t="shared" si="1"/>
        <v>104850</v>
      </c>
      <c r="BI11" s="46">
        <v>545</v>
      </c>
      <c r="BJ11" s="46">
        <v>107</v>
      </c>
      <c r="BK11" s="46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46">
        <v>15884</v>
      </c>
      <c r="AL12" s="27">
        <v>357390</v>
      </c>
      <c r="AM12" s="46">
        <v>62589</v>
      </c>
      <c r="AN12" s="27">
        <v>2816505</v>
      </c>
      <c r="AO12" s="49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46">
        <v>114</v>
      </c>
      <c r="BG12" s="46">
        <v>1497</v>
      </c>
      <c r="BH12" s="46">
        <f t="shared" si="1"/>
        <v>64200</v>
      </c>
      <c r="BI12" s="46">
        <v>403</v>
      </c>
      <c r="BJ12" s="46">
        <v>94</v>
      </c>
      <c r="BK12" s="47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46"/>
      <c r="AM13" s="46"/>
      <c r="AN13" s="27"/>
      <c r="AO13" s="46"/>
      <c r="BF13" s="46"/>
      <c r="BG13" s="46"/>
      <c r="BH13" s="46"/>
      <c r="BI13" s="46"/>
      <c r="BJ13" s="46"/>
      <c r="BK13" s="46"/>
      <c r="BS13" s="2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66" t="s">
        <v>34</v>
      </c>
      <c r="B1" s="67"/>
      <c r="C1" s="66" t="s">
        <v>35</v>
      </c>
      <c r="D1" s="67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2024</vt:lpstr>
      <vt:lpstr>2022</vt:lpstr>
      <vt:lpstr>CANCER MAMA</vt:lpstr>
      <vt:lpstr>base_mamografias</vt:lpstr>
      <vt:lpstr>cancer_de_mama</vt:lpstr>
      <vt:lpstr>Planilha3</vt:lpstr>
      <vt:lpstr>Planilha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2025-11-22T23:22:15Z</dcterms:modified>
</cp:coreProperties>
</file>